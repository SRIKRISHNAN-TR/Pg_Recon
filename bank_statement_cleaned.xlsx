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SRIKRISHNAN_TR_PGRecon\"/>
    </mc:Choice>
  </mc:AlternateContent>
  <xr:revisionPtr revIDLastSave="0" documentId="13_ncr:1_{FFD505EB-958F-472D-B439-1EDC72981166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bank_statement_cleaned" sheetId="1" r:id="rId1"/>
    <sheet name="batch_recon" sheetId="4" r:id="rId2"/>
    <sheet name="formulas" sheetId="3" r:id="rId3"/>
    <sheet name="bank_statement" sheetId="2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1" i="4" l="1"/>
  <c r="E31" i="4" s="1"/>
  <c r="C31" i="4"/>
  <c r="B31" i="4"/>
  <c r="F31" i="4" s="1"/>
  <c r="D30" i="4"/>
  <c r="E30" i="4" s="1"/>
  <c r="C30" i="4"/>
  <c r="B30" i="4"/>
  <c r="F30" i="4" s="1"/>
  <c r="D29" i="4"/>
  <c r="E29" i="4" s="1"/>
  <c r="C29" i="4"/>
  <c r="B29" i="4"/>
  <c r="F29" i="4" s="1"/>
  <c r="D28" i="4"/>
  <c r="E28" i="4" s="1"/>
  <c r="C28" i="4"/>
  <c r="B28" i="4"/>
  <c r="F28" i="4" s="1"/>
  <c r="D27" i="4"/>
  <c r="E27" i="4" s="1"/>
  <c r="C27" i="4"/>
  <c r="B27" i="4"/>
  <c r="F27" i="4" s="1"/>
  <c r="D26" i="4"/>
  <c r="E26" i="4" s="1"/>
  <c r="C26" i="4"/>
  <c r="B26" i="4"/>
  <c r="F26" i="4" s="1"/>
  <c r="D25" i="4"/>
  <c r="E25" i="4" s="1"/>
  <c r="C25" i="4"/>
  <c r="B25" i="4"/>
  <c r="F25" i="4" s="1"/>
  <c r="D24" i="4"/>
  <c r="E24" i="4" s="1"/>
  <c r="C24" i="4"/>
  <c r="B24" i="4"/>
  <c r="F24" i="4" s="1"/>
  <c r="D23" i="4"/>
  <c r="E23" i="4" s="1"/>
  <c r="C23" i="4"/>
  <c r="B23" i="4"/>
  <c r="F23" i="4" s="1"/>
  <c r="D22" i="4"/>
  <c r="E22" i="4" s="1"/>
  <c r="C22" i="4"/>
  <c r="B22" i="4"/>
  <c r="F22" i="4" s="1"/>
  <c r="D21" i="4"/>
  <c r="E21" i="4" s="1"/>
  <c r="C21" i="4"/>
  <c r="B21" i="4"/>
  <c r="F21" i="4" s="1"/>
  <c r="D20" i="4"/>
  <c r="E20" i="4" s="1"/>
  <c r="C20" i="4"/>
  <c r="B20" i="4"/>
  <c r="F20" i="4" s="1"/>
  <c r="D19" i="4"/>
  <c r="E19" i="4" s="1"/>
  <c r="C19" i="4"/>
  <c r="B19" i="4"/>
  <c r="F19" i="4" s="1"/>
  <c r="D18" i="4"/>
  <c r="E18" i="4" s="1"/>
  <c r="C18" i="4"/>
  <c r="B18" i="4"/>
  <c r="F18" i="4" s="1"/>
  <c r="D17" i="4"/>
  <c r="E17" i="4" s="1"/>
  <c r="C17" i="4"/>
  <c r="B17" i="4"/>
  <c r="F17" i="4" s="1"/>
  <c r="D16" i="4"/>
  <c r="E16" i="4" s="1"/>
  <c r="C16" i="4"/>
  <c r="B16" i="4"/>
  <c r="F16" i="4" s="1"/>
  <c r="D15" i="4"/>
  <c r="E15" i="4" s="1"/>
  <c r="C15" i="4"/>
  <c r="B15" i="4"/>
  <c r="F15" i="4" s="1"/>
  <c r="D14" i="4"/>
  <c r="E14" i="4" s="1"/>
  <c r="C14" i="4"/>
  <c r="B14" i="4"/>
  <c r="F14" i="4" s="1"/>
  <c r="I13" i="4"/>
  <c r="K13" i="4" s="1"/>
  <c r="D13" i="4"/>
  <c r="E13" i="4" s="1"/>
  <c r="C13" i="4"/>
  <c r="B13" i="4"/>
  <c r="F13" i="4" s="1"/>
  <c r="D12" i="4"/>
  <c r="E12" i="4" s="1"/>
  <c r="C12" i="4"/>
  <c r="B12" i="4"/>
  <c r="F12" i="4" s="1"/>
  <c r="D11" i="4"/>
  <c r="E11" i="4" s="1"/>
  <c r="C11" i="4"/>
  <c r="B11" i="4"/>
  <c r="F11" i="4" s="1"/>
  <c r="D10" i="4"/>
  <c r="E10" i="4" s="1"/>
  <c r="C10" i="4"/>
  <c r="B10" i="4"/>
  <c r="F10" i="4" s="1"/>
  <c r="D9" i="4"/>
  <c r="E9" i="4" s="1"/>
  <c r="C9" i="4"/>
  <c r="B9" i="4"/>
  <c r="F9" i="4" s="1"/>
  <c r="D8" i="4"/>
  <c r="E8" i="4" s="1"/>
  <c r="C8" i="4"/>
  <c r="B8" i="4"/>
  <c r="F8" i="4" s="1"/>
  <c r="D7" i="4"/>
  <c r="E7" i="4" s="1"/>
  <c r="C7" i="4"/>
  <c r="B7" i="4"/>
  <c r="F7" i="4" s="1"/>
  <c r="D6" i="4"/>
  <c r="E6" i="4" s="1"/>
  <c r="C6" i="4"/>
  <c r="B6" i="4"/>
  <c r="F6" i="4" s="1"/>
  <c r="D5" i="4"/>
  <c r="E5" i="4" s="1"/>
  <c r="C5" i="4"/>
  <c r="B5" i="4"/>
  <c r="F5" i="4" s="1"/>
  <c r="D4" i="4"/>
  <c r="E4" i="4" s="1"/>
  <c r="C4" i="4"/>
  <c r="B4" i="4"/>
  <c r="F4" i="4" s="1"/>
  <c r="D3" i="4"/>
  <c r="E3" i="4" s="1"/>
  <c r="C3" i="4"/>
  <c r="B3" i="4"/>
  <c r="F3" i="4" s="1"/>
  <c r="D2" i="4"/>
  <c r="C2" i="4"/>
  <c r="C32" i="4" s="1"/>
  <c r="B2" i="4"/>
  <c r="I36" i="1"/>
  <c r="J36" i="1" s="1"/>
  <c r="H36" i="1"/>
  <c r="G36" i="1"/>
  <c r="K36" i="1" s="1"/>
  <c r="F36" i="1"/>
  <c r="I35" i="1"/>
  <c r="J35" i="1" s="1"/>
  <c r="H35" i="1"/>
  <c r="G35" i="1"/>
  <c r="K35" i="1" s="1"/>
  <c r="F35" i="1"/>
  <c r="I34" i="1"/>
  <c r="J34" i="1" s="1"/>
  <c r="H34" i="1"/>
  <c r="G34" i="1"/>
  <c r="K34" i="1" s="1"/>
  <c r="F34" i="1"/>
  <c r="I33" i="1"/>
  <c r="J33" i="1" s="1"/>
  <c r="H33" i="1"/>
  <c r="G33" i="1"/>
  <c r="K33" i="1" s="1"/>
  <c r="F33" i="1"/>
  <c r="I32" i="1"/>
  <c r="J32" i="1" s="1"/>
  <c r="H32" i="1"/>
  <c r="G32" i="1"/>
  <c r="K32" i="1" s="1"/>
  <c r="F32" i="1"/>
  <c r="I31" i="1"/>
  <c r="J31" i="1" s="1"/>
  <c r="H31" i="1"/>
  <c r="G31" i="1"/>
  <c r="K31" i="1" s="1"/>
  <c r="F31" i="1"/>
  <c r="I30" i="1"/>
  <c r="J30" i="1" s="1"/>
  <c r="H30" i="1"/>
  <c r="G30" i="1"/>
  <c r="K30" i="1" s="1"/>
  <c r="F30" i="1"/>
  <c r="I29" i="1"/>
  <c r="J29" i="1" s="1"/>
  <c r="H29" i="1"/>
  <c r="G29" i="1"/>
  <c r="K29" i="1" s="1"/>
  <c r="F29" i="1"/>
  <c r="I28" i="1"/>
  <c r="J28" i="1" s="1"/>
  <c r="H28" i="1"/>
  <c r="G28" i="1"/>
  <c r="K28" i="1" s="1"/>
  <c r="F28" i="1"/>
  <c r="I27" i="1"/>
  <c r="J27" i="1" s="1"/>
  <c r="H27" i="1"/>
  <c r="G27" i="1"/>
  <c r="K27" i="1" s="1"/>
  <c r="F27" i="1"/>
  <c r="I26" i="1"/>
  <c r="J26" i="1" s="1"/>
  <c r="H26" i="1"/>
  <c r="G26" i="1"/>
  <c r="K26" i="1" s="1"/>
  <c r="F26" i="1"/>
  <c r="I25" i="1"/>
  <c r="J25" i="1" s="1"/>
  <c r="H25" i="1"/>
  <c r="G25" i="1"/>
  <c r="K25" i="1" s="1"/>
  <c r="F25" i="1"/>
  <c r="I24" i="1"/>
  <c r="J24" i="1" s="1"/>
  <c r="H24" i="1"/>
  <c r="G24" i="1"/>
  <c r="K24" i="1" s="1"/>
  <c r="F24" i="1"/>
  <c r="I23" i="1"/>
  <c r="J23" i="1" s="1"/>
  <c r="H23" i="1"/>
  <c r="G23" i="1"/>
  <c r="K23" i="1" s="1"/>
  <c r="F23" i="1"/>
  <c r="I22" i="1"/>
  <c r="J22" i="1" s="1"/>
  <c r="H22" i="1"/>
  <c r="G22" i="1"/>
  <c r="K22" i="1" s="1"/>
  <c r="F22" i="1"/>
  <c r="I21" i="1"/>
  <c r="J21" i="1" s="1"/>
  <c r="H21" i="1"/>
  <c r="G21" i="1"/>
  <c r="K21" i="1" s="1"/>
  <c r="F21" i="1"/>
  <c r="I20" i="1"/>
  <c r="J20" i="1" s="1"/>
  <c r="H20" i="1"/>
  <c r="G20" i="1"/>
  <c r="K20" i="1" s="1"/>
  <c r="F20" i="1"/>
  <c r="I19" i="1"/>
  <c r="J19" i="1" s="1"/>
  <c r="H19" i="1"/>
  <c r="G19" i="1"/>
  <c r="K19" i="1" s="1"/>
  <c r="F19" i="1"/>
  <c r="I18" i="1"/>
  <c r="J18" i="1" s="1"/>
  <c r="H18" i="1"/>
  <c r="G18" i="1"/>
  <c r="K18" i="1" s="1"/>
  <c r="F18" i="1"/>
  <c r="I17" i="1"/>
  <c r="J17" i="1" s="1"/>
  <c r="H17" i="1"/>
  <c r="G17" i="1"/>
  <c r="K17" i="1" s="1"/>
  <c r="F17" i="1"/>
  <c r="I16" i="1"/>
  <c r="J16" i="1" s="1"/>
  <c r="H16" i="1"/>
  <c r="G16" i="1"/>
  <c r="K16" i="1" s="1"/>
  <c r="F16" i="1"/>
  <c r="I15" i="1"/>
  <c r="J15" i="1" s="1"/>
  <c r="H15" i="1"/>
  <c r="G15" i="1"/>
  <c r="K15" i="1" s="1"/>
  <c r="F15" i="1"/>
  <c r="I14" i="1"/>
  <c r="J14" i="1" s="1"/>
  <c r="H14" i="1"/>
  <c r="G14" i="1"/>
  <c r="K14" i="1" s="1"/>
  <c r="F14" i="1"/>
  <c r="I13" i="1"/>
  <c r="J13" i="1" s="1"/>
  <c r="H13" i="1"/>
  <c r="G13" i="1"/>
  <c r="K13" i="1" s="1"/>
  <c r="F13" i="1"/>
  <c r="I12" i="1"/>
  <c r="J12" i="1" s="1"/>
  <c r="H12" i="1"/>
  <c r="G12" i="1"/>
  <c r="K12" i="1" s="1"/>
  <c r="F12" i="1"/>
  <c r="I11" i="1"/>
  <c r="J11" i="1" s="1"/>
  <c r="H11" i="1"/>
  <c r="G11" i="1"/>
  <c r="K11" i="1" s="1"/>
  <c r="F11" i="1"/>
  <c r="I10" i="1"/>
  <c r="J10" i="1" s="1"/>
  <c r="H10" i="1"/>
  <c r="G10" i="1"/>
  <c r="K10" i="1" s="1"/>
  <c r="F10" i="1"/>
  <c r="I9" i="1"/>
  <c r="J9" i="1" s="1"/>
  <c r="H9" i="1"/>
  <c r="G9" i="1"/>
  <c r="K9" i="1" s="1"/>
  <c r="F9" i="1"/>
  <c r="I8" i="1"/>
  <c r="J8" i="1" s="1"/>
  <c r="H8" i="1"/>
  <c r="G8" i="1"/>
  <c r="K8" i="1" s="1"/>
  <c r="F8" i="1"/>
  <c r="I7" i="1"/>
  <c r="J7" i="1" s="1"/>
  <c r="H7" i="1"/>
  <c r="G7" i="1"/>
  <c r="K7" i="1" s="1"/>
  <c r="F7" i="1"/>
  <c r="I6" i="1"/>
  <c r="J6" i="1" s="1"/>
  <c r="H6" i="1"/>
  <c r="G6" i="1"/>
  <c r="K6" i="1" s="1"/>
  <c r="F6" i="1"/>
  <c r="I5" i="1"/>
  <c r="J5" i="1" s="1"/>
  <c r="H5" i="1"/>
  <c r="G5" i="1"/>
  <c r="K5" i="1" s="1"/>
  <c r="F5" i="1"/>
  <c r="I4" i="1"/>
  <c r="J4" i="1" s="1"/>
  <c r="H4" i="1"/>
  <c r="G4" i="1"/>
  <c r="K4" i="1" s="1"/>
  <c r="F4" i="1"/>
  <c r="I3" i="1"/>
  <c r="J3" i="1" s="1"/>
  <c r="H3" i="1"/>
  <c r="G3" i="1"/>
  <c r="K3" i="1" s="1"/>
  <c r="F3" i="1"/>
  <c r="I2" i="1"/>
  <c r="J2" i="1" s="1"/>
  <c r="H2" i="1"/>
  <c r="G2" i="1"/>
  <c r="K2" i="1" s="1"/>
  <c r="F2" i="1"/>
  <c r="D32" i="4" l="1"/>
  <c r="E2" i="4"/>
  <c r="I23" i="4"/>
  <c r="K23" i="4" s="1"/>
  <c r="I22" i="4"/>
  <c r="K22" i="4" s="1"/>
  <c r="I24" i="4" l="1"/>
  <c r="K24" i="4" s="1"/>
  <c r="I25" i="4"/>
  <c r="K25" i="4" s="1"/>
  <c r="F2" i="4"/>
  <c r="E32" i="4"/>
  <c r="K5" i="4" l="1"/>
  <c r="L5" i="4" s="1"/>
  <c r="J5" i="4"/>
  <c r="I20" i="4" s="1"/>
  <c r="K20" i="4" s="1"/>
  <c r="I5" i="4"/>
  <c r="I16" i="4" s="1"/>
  <c r="K16" i="4" s="1"/>
  <c r="K7" i="4"/>
  <c r="I7" i="4"/>
  <c r="I18" i="4" s="1"/>
  <c r="K18" i="4" s="1"/>
  <c r="K4" i="4"/>
  <c r="J4" i="4"/>
  <c r="I4" i="4"/>
  <c r="I15" i="4" s="1"/>
  <c r="K15" i="4" s="1"/>
  <c r="K3" i="4"/>
  <c r="I3" i="4"/>
  <c r="J7" i="4"/>
  <c r="K6" i="4"/>
  <c r="L6" i="4" s="1"/>
  <c r="J6" i="4"/>
  <c r="I21" i="4" s="1"/>
  <c r="K21" i="4" s="1"/>
  <c r="I6" i="4"/>
  <c r="I17" i="4" s="1"/>
  <c r="K17" i="4" s="1"/>
  <c r="J3" i="4"/>
  <c r="J8" i="4" s="1"/>
  <c r="L3" i="4" l="1"/>
  <c r="K8" i="4"/>
  <c r="I8" i="4"/>
  <c r="I14" i="4"/>
  <c r="K14" i="4" s="1"/>
  <c r="L7" i="4"/>
  <c r="L4" i="4"/>
  <c r="I19" i="4" l="1"/>
  <c r="K19" i="4" s="1"/>
  <c r="I28" i="4" s="1"/>
  <c r="I26" i="4"/>
  <c r="K26" i="4" s="1"/>
  <c r="L8" i="4"/>
</calcChain>
</file>

<file path=xl/sharedStrings.xml><?xml version="1.0" encoding="utf-8"?>
<sst xmlns="http://schemas.openxmlformats.org/spreadsheetml/2006/main" count="57209" uniqueCount="12374">
  <si>
    <t>value_date</t>
  </si>
  <si>
    <t>narration</t>
  </si>
  <si>
    <t>utr</t>
  </si>
  <si>
    <t>debit</t>
  </si>
  <si>
    <t>credit</t>
  </si>
  <si>
    <t>debit_cleaned</t>
  </si>
  <si>
    <t>credit_cleaned</t>
  </si>
  <si>
    <t>batch_id</t>
  </si>
  <si>
    <t>source</t>
  </si>
  <si>
    <t>category</t>
  </si>
  <si>
    <t>net_movement</t>
  </si>
  <si>
    <t>NEFT CR-COD REMITTANCE-SWIFTSHIP LOGISTICS</t>
  </si>
  <si>
    <t>HDFC8136935688</t>
  </si>
  <si>
    <t>NEFT CR-UTIB906660787800-PAYGATE SOLUTIONS PVT LTD-STL-20260903</t>
  </si>
  <si>
    <t>UTIB906660787800</t>
  </si>
  <si>
    <t>NEFT CR-UTIB134740040561-PAYGATE SOLUTIONS PVT LTD-STL-20260904</t>
  </si>
  <si>
    <t>UTIB134740040561</t>
  </si>
  <si>
    <t>NEFT CR-UTIB276524154158-PAYGATE SOLUTIONS PVT LTD-STL-20260905</t>
  </si>
  <si>
    <t>UTIB276524154158</t>
  </si>
  <si>
    <t>NEFT CR-UTIB865792282614-PAYGATE SOLUTIONS PVT LTD-STL-20260906</t>
  </si>
  <si>
    <t>UTIB865792282614</t>
  </si>
  <si>
    <t>NEFT CR-UTIB595654249028-PAYGATE SOLUTIONS PVT LTD-STL-20260907</t>
  </si>
  <si>
    <t>UTIB595654249028</t>
  </si>
  <si>
    <t>NEFT CR-UTIB943220216078-PAYGATE SOLUTIONS PVT LTD-STL-20260908</t>
  </si>
  <si>
    <t>UTIB943220216078</t>
  </si>
  <si>
    <t>NEFT CR-UTIB756510761290-PAYGATE SOLUTIONS PVT LTD-STL-20260909</t>
  </si>
  <si>
    <t>UTIB756510761290</t>
  </si>
  <si>
    <t>NEFT CR-UTIB418123975882-PAYGATE SOLUTIONS PVT LTD-STL-20260910</t>
  </si>
  <si>
    <t>UTIB418123975882</t>
  </si>
  <si>
    <t>NEFT CR-UTIB746733271111-PAYGATE SOLUTIONS PVT LTD-STL-20260911</t>
  </si>
  <si>
    <t>UTIB746733271111</t>
  </si>
  <si>
    <t>NEFT CR-UTIB764296259187-PAYGATE SOLUTIONS PVT LTD-STL-20260913</t>
  </si>
  <si>
    <t>UTIB764296259187</t>
  </si>
  <si>
    <t>ACH DR-GST PAYMENT CBIC</t>
  </si>
  <si>
    <t>HDFC8870097090</t>
  </si>
  <si>
    <t>NEFT CR-UTIB939970366942-PAYGATE SOLUTIONS PVT LTD-STL-20260914</t>
  </si>
  <si>
    <t>UTIB939970366942</t>
  </si>
  <si>
    <t>NEFT CR-UTIB932589805755-PAYGATE SOLUTIONS PVT LTD-STL-20260915</t>
  </si>
  <si>
    <t>UTIB932589805755</t>
  </si>
  <si>
    <t>NEFT CR-UTIB617324531513-PAYGATE SOLUTIONS PVT LTD-STL-20260916</t>
  </si>
  <si>
    <t>UTIB617324531513</t>
  </si>
  <si>
    <t>NEFT CR-UTIB353584654258-PAYGATE SOLUTIONS PVT LTD-STL-20260917</t>
  </si>
  <si>
    <t>UTIB353584654258</t>
  </si>
  <si>
    <t>IMPS CR-MARKETPLACE PAYOUT-AMZ-SELLER</t>
  </si>
  <si>
    <t>HDFC2862216226</t>
  </si>
  <si>
    <t>NEFT CR-UTIB869208425014-PAYGATE SOLUTIONS PVT LTD-STL-20260918</t>
  </si>
  <si>
    <t>UTIB869208425014</t>
  </si>
  <si>
    <t>NEFT CR-UTIB627442163787-PAYGATE SOLUTIONS PVT LTD-STL-20260919</t>
  </si>
  <si>
    <t>UTIB627442163787</t>
  </si>
  <si>
    <t>NEFT CR-UTIB495144992158-PAYGATE SOLUTIONS PVT LTD-STL-20260920</t>
  </si>
  <si>
    <t>UTIB495144992158</t>
  </si>
  <si>
    <t>NEFT CR-UTIB685956355261-PAYGATE SOLUTIONS PVT LTD-STL-20260921</t>
  </si>
  <si>
    <t>UTIB685956355261</t>
  </si>
  <si>
    <t>NEFT CR-UTIB897394810424-PAYGATE SOLUTIONS PVT LTD-STL-20260922</t>
  </si>
  <si>
    <t>UTIB897394810424</t>
  </si>
  <si>
    <t>NEFT DR-SALARY BATCH SEP</t>
  </si>
  <si>
    <t>HDFC4763928633</t>
  </si>
  <si>
    <t>NEFT CR-UTIB504267861608-PAYGATE SOLUTIONS PVT LTD-STL-20260923</t>
  </si>
  <si>
    <t>UTIB504267861608</t>
  </si>
  <si>
    <t>NEFT CR-UTIB317118579786-PAYGATE SOLUTIONS PVT LTD-STL-20260924</t>
  </si>
  <si>
    <t>UTIB317118579786</t>
  </si>
  <si>
    <t>NEFT CR-UTIB143751158713-PAYGATE SOLUTIONS PVT LTD-STL-20260925</t>
  </si>
  <si>
    <t>UTIB143751158713</t>
  </si>
  <si>
    <t>UPI DR-AWS INDIA CLOUD</t>
  </si>
  <si>
    <t>HDFC5411449517</t>
  </si>
  <si>
    <t>NEFT CR-UTIB981609697217-PAYGATE SOLUTIONS PVT LTD-STL-20260926</t>
  </si>
  <si>
    <t>UTIB981609697217</t>
  </si>
  <si>
    <t>NEFT DR-OFFICE RENT SEP-ANDHERI PROPS</t>
  </si>
  <si>
    <t>HDFC6284745480</t>
  </si>
  <si>
    <t>NEFT CR-UTIB340186474117-PAYGATE SOLUTIONS PVT LTD-STL-20260927</t>
  </si>
  <si>
    <t>UTIB340186474117</t>
  </si>
  <si>
    <t>NEFT DR-PACKAGING VENDOR PAYMENT</t>
  </si>
  <si>
    <t>HDFC5393831742</t>
  </si>
  <si>
    <t>NEFT CR-UTIB436423719552-PAYGATE SOLUTIONS PVT LTD-STL-20260928</t>
  </si>
  <si>
    <t>UTIB436423719552</t>
  </si>
  <si>
    <t>NEFT CR-UTIB526794747767-PAYGATE SOLUTIONS PVT LTD-STL-20260929</t>
  </si>
  <si>
    <t>UTIB526794747767</t>
  </si>
  <si>
    <t>NEFT CR-UTIB314165247757-PAYGATE SOLUTIONS PVT LTD-STL-20260930</t>
  </si>
  <si>
    <t>UTIB314165247757</t>
  </si>
  <si>
    <t>BANK CHARGES SMS ALERT</t>
  </si>
  <si>
    <t>HDFC5100105168</t>
  </si>
  <si>
    <t>bank_statement_cleaned</t>
  </si>
  <si>
    <t>Rows 2–36 · 35 bank statement records</t>
  </si>
  <si>
    <t>Column</t>
  </si>
  <si>
    <t>Formula used</t>
  </si>
  <si>
    <t>Purpose</t>
  </si>
  <si>
    <t>F — debit_cleaned</t>
  </si>
  <si>
    <t>IF(D2"",0,VALUE(D2))</t>
  </si>
  <si>
    <t>Converts debits into numbers and treats blank debits as zero.</t>
  </si>
  <si>
    <t>G — credit_cleaned</t>
  </si>
  <si>
    <t>IF(E2"",0,VALUE(E2))</t>
  </si>
  <si>
    <t>Converts credits into numbers and treats blank credits as zero.</t>
  </si>
  <si>
    <t>H — batch_id</t>
  </si>
  <si>
    <t>IFERROR(MID(B2,FIND("STL-",B2),12),"")</t>
  </si>
  <si>
    <t>Extracts the settlement batch ID from the bank narration.</t>
  </si>
  <si>
    <t>I — source</t>
  </si>
  <si>
    <t>IF(ISNUMBER(SEARCH("PAYGATE",B2)),"Gateway","Other")</t>
  </si>
  <si>
    <t>Identifies gateway-related bank entries.</t>
  </si>
  <si>
    <t>J — category</t>
  </si>
  <si>
    <t>See the detailed formula below.</t>
  </si>
  <si>
    <t>Categorizes bank entries by narration.</t>
  </si>
  <si>
    <t>K — net_movement</t>
  </si>
  <si>
    <t>G2-F2</t>
  </si>
  <si>
    <t>Calculates the net movement for each bank row.</t>
  </si>
  <si>
    <t>J2 — Bank category formula</t>
  </si>
  <si>
    <t>IF(I2="Gateway","Gateway settlement",)</t>
  </si>
  <si>
    <t>IF(ISNUMBER(SEARCH("COD",B2)),"COD remittance",</t>
  </si>
  <si>
    <t>IF(ISNUMBER(SEARCH("MARKETPLACE",B2)),"Marketplace payout",</t>
  </si>
  <si>
    <t>IF(ISNUMBER(SEARCH("GST",B2)),"GST payment",</t>
  </si>
  <si>
    <t>IF(ISNUMBER(SEARCH("SALARY",B2)),"Salary",</t>
  </si>
  <si>
    <t>IF(ISNUMBER(SEARCH("AWS",B2)),"Cloud (AWS)",</t>
  </si>
  <si>
    <t>IF(ISNUMBER(SEARCH("RENT",B2)),"Rent",</t>
  </si>
  <si>
    <t>IF(ISNUMBER(SEARCH("PACKAGING",B2)),"Packaging vendor",</t>
  </si>
  <si>
    <t>IF(ISNUMBER(SEARCH("BANK CHARGES",B2)),"Bank charges","Unclassified")))))))))</t>
  </si>
  <si>
    <t>batch_recon</t>
  </si>
  <si>
    <t>Rows 2–31 · 30 settlement batches</t>
  </si>
  <si>
    <t>This is the main gateway-to-bank reconciliation sheet.</t>
  </si>
  <si>
    <t>B — settlement_date</t>
  </si>
  <si>
    <t>DATE(MID(A2,5,4),MID(A2,9,2),RIGHT(A2,2))</t>
  </si>
  <si>
    <t>Extracts the year, month and day from the batch ID and creates a date.</t>
  </si>
  <si>
    <t>C — gateway_net</t>
  </si>
  <si>
    <t>SUMIFS(pg_transaction_cleaned!$K:$K,pg_transaction_cleaned!$M:$M,A2)</t>
  </si>
  <si>
    <t>Totals the gateway's net amount for the batch.</t>
  </si>
  <si>
    <t>D — bank_credit</t>
  </si>
  <si>
    <t>SUMIFS(bank_statement_cleaned!$G:$G,bank_statement_cleaned!$H:$H,A2)</t>
  </si>
  <si>
    <t>Totals the bank credits matching the batch ID.</t>
  </si>
  <si>
    <t>E — difference</t>
  </si>
  <si>
    <t>D2-C2</t>
  </si>
  <si>
    <t>Calculates bank credit minus gateway net.</t>
  </si>
  <si>
    <t>F — status</t>
  </si>
  <si>
    <t>See below.</t>
  </si>
  <si>
    <t>Classifies the settlement.</t>
  </si>
  <si>
    <t>F2 — Settlement status formula</t>
  </si>
  <si>
    <t>IF(B2&gt;DATE(2026,9,30),"Due in October",</t>
  </si>
  <si>
    <t>IF(COUNTIF(bank_statement_cleaned!$H:$H,A2)=0,"Missing",</t>
  </si>
  <si>
    <t>IF(ROUND(E2,2)=0,"Matched",</t>
  </si>
  <si>
    <t>IF(E2&lt;0,"Short-paid","Excess"))))</t>
  </si>
  <si>
    <t>Summary formulas in this sheet</t>
  </si>
  <si>
    <t>Cell / Range</t>
  </si>
  <si>
    <t>Formula</t>
  </si>
  <si>
    <t>I3:I7</t>
  </si>
  <si>
    <t>COUNTIF($F$2:$F$31,H3)</t>
  </si>
  <si>
    <t>Counts batches for each status. Fill down.</t>
  </si>
  <si>
    <t>J3:J7</t>
  </si>
  <si>
    <t>SUMIF($F$2:$F$31,H3,$C$2:$C$31)</t>
  </si>
  <si>
    <t>Totals gateway net for each status. Fill down.</t>
  </si>
  <si>
    <t>I8</t>
  </si>
  <si>
    <t>SUM(I3:I7)</t>
  </si>
  <si>
    <t>Sums the status counts.</t>
  </si>
  <si>
    <t>J8</t>
  </si>
  <si>
    <t>SUM(J3:J7)</t>
  </si>
  <si>
    <t>Sums the gateway net by status.</t>
  </si>
  <si>
    <t>I13</t>
  </si>
  <si>
    <t>COUNTA(A2:A31)</t>
  </si>
  <si>
    <t>Counts listed settlement batches.</t>
  </si>
  <si>
    <t>I14:I17</t>
  </si>
  <si>
    <t>I3, I4, I5, I6 respectively</t>
  </si>
  <si>
    <t>Displays the matched, short-paid, missing and October-due counts.</t>
  </si>
  <si>
    <t>J19</t>
  </si>
  <si>
    <t>ROUND(-L4,2)</t>
  </si>
  <si>
    <t>Reports the short-paid amount.</t>
  </si>
  <si>
    <t>J20</t>
  </si>
  <si>
    <t>ROUND(J5,2)</t>
  </si>
  <si>
    <t>Reports the missing settlement amount.</t>
  </si>
  <si>
    <t>J21</t>
  </si>
  <si>
    <t>ROUND(J6,2)</t>
  </si>
  <si>
    <t>Reports the October-due amount.</t>
  </si>
  <si>
    <t>J22</t>
  </si>
  <si>
    <t>ROUND(C32,2)</t>
  </si>
  <si>
    <t>Reports total gateway net.</t>
  </si>
  <si>
    <t>J23</t>
  </si>
  <si>
    <t>ROUND(C32-SUM(pg_transaction_cleaned!$K:$K),2)</t>
  </si>
  <si>
    <t>Checks gateway net against transaction net.</t>
  </si>
  <si>
    <t>J24</t>
  </si>
  <si>
    <t>ROUND(D32,2)</t>
  </si>
  <si>
    <t>Reports total bank credit across the listed batches.</t>
  </si>
  <si>
    <t>J25</t>
  </si>
  <si>
    <t>ROUND(D32-SUMIF(bank_statement_cleaned!$I:$I,"Gateway",bank_statement_cleaned!$G:$G),2)</t>
  </si>
  <si>
    <t>Checks batch bank credits against gateway-tagged bank credits.</t>
  </si>
  <si>
    <t>J26</t>
  </si>
  <si>
    <t>ROUND((C32-D32)-(-L4+J5+J6),2)</t>
  </si>
  <si>
    <t>Checks whether the gateway-to-bank gap is explained by short-paid, missing and October-due batches.</t>
  </si>
  <si>
    <t>C32:E32</t>
  </si>
  <si>
    <t>SUM(C2:C31); SUM(D2:D31); SUM(E2:E31)</t>
  </si>
  <si>
    <t>Totals gateway net, bank credit and difference.</t>
  </si>
  <si>
    <t>pg_txn_id</t>
  </si>
  <si>
    <t>original_payment_id</t>
  </si>
  <si>
    <t>merchant_order_ref</t>
  </si>
  <si>
    <t>merchant_order_ref_cleaned</t>
  </si>
  <si>
    <t>txn_date</t>
  </si>
  <si>
    <t>txn_type</t>
  </si>
  <si>
    <t>payment_method</t>
  </si>
  <si>
    <t>gross_amount</t>
  </si>
  <si>
    <t>mdr_fee</t>
  </si>
  <si>
    <t>gst_on_fee</t>
  </si>
  <si>
    <t>net_amount</t>
  </si>
  <si>
    <t>settlement_date</t>
  </si>
  <si>
    <t>settlement_batch_id</t>
  </si>
  <si>
    <t>dup_flag</t>
  </si>
  <si>
    <t>order_key</t>
  </si>
  <si>
    <t>settlement_period</t>
  </si>
  <si>
    <t>order_found</t>
  </si>
  <si>
    <t>pay_420000065</t>
  </si>
  <si>
    <t>ORD26000066</t>
  </si>
  <si>
    <t>CAPTURE</t>
  </si>
  <si>
    <t>Wallet</t>
  </si>
  <si>
    <t>STL-20260903</t>
  </si>
  <si>
    <t>OK</t>
  </si>
  <si>
    <t>Sep</t>
  </si>
  <si>
    <t>Yes</t>
  </si>
  <si>
    <t>pay_420000121</t>
  </si>
  <si>
    <t>ORD-26000130</t>
  </si>
  <si>
    <t>ORD26000130</t>
  </si>
  <si>
    <t>Card</t>
  </si>
  <si>
    <t>pay_420000170</t>
  </si>
  <si>
    <t>ORD26000184</t>
  </si>
  <si>
    <t>pay_420000229</t>
  </si>
  <si>
    <t>ORD26000244</t>
  </si>
  <si>
    <t>pay_420000236</t>
  </si>
  <si>
    <t>ORD26000252</t>
  </si>
  <si>
    <t>UPI</t>
  </si>
  <si>
    <t>pay_420000249</t>
  </si>
  <si>
    <t>ORD26000266</t>
  </si>
  <si>
    <t>pay_420000316</t>
  </si>
  <si>
    <t>ORD26000331</t>
  </si>
  <si>
    <t>pay_420000355</t>
  </si>
  <si>
    <t>ORD26000373</t>
  </si>
  <si>
    <t>pay_420000357</t>
  </si>
  <si>
    <t>ORD26000375</t>
  </si>
  <si>
    <t>pay_420000392</t>
  </si>
  <si>
    <t>ORD26000410</t>
  </si>
  <si>
    <t>pay_420000449</t>
  </si>
  <si>
    <t>ORD26000470</t>
  </si>
  <si>
    <t>pay_420000460</t>
  </si>
  <si>
    <t>ORD26000483</t>
  </si>
  <si>
    <t>pay_420000471</t>
  </si>
  <si>
    <t>ORD26000494</t>
  </si>
  <si>
    <t>pay_420000489</t>
  </si>
  <si>
    <t>ORD26000512</t>
  </si>
  <si>
    <t>pay_420000525</t>
  </si>
  <si>
    <t>ORD26000550</t>
  </si>
  <si>
    <t>pay_420000584</t>
  </si>
  <si>
    <t>ORD26000606</t>
  </si>
  <si>
    <t>pay_420000597</t>
  </si>
  <si>
    <t>ORD26000619</t>
  </si>
  <si>
    <t>pay_420000636</t>
  </si>
  <si>
    <t>ORD26000663</t>
  </si>
  <si>
    <t>pay_420000644</t>
  </si>
  <si>
    <t>ORD26000671</t>
  </si>
  <si>
    <t>pay_420000659</t>
  </si>
  <si>
    <t>ORD26000687</t>
  </si>
  <si>
    <t>pay_420000691</t>
  </si>
  <si>
    <t>ORD26000721</t>
  </si>
  <si>
    <t>pay_420000728</t>
  </si>
  <si>
    <t>ORD26000762</t>
  </si>
  <si>
    <t>NetBanking</t>
  </si>
  <si>
    <t>pay_420000774</t>
  </si>
  <si>
    <t>ORD26000806</t>
  </si>
  <si>
    <t>pay_420000775</t>
  </si>
  <si>
    <t>ORD26000807</t>
  </si>
  <si>
    <t>pay_420000884</t>
  </si>
  <si>
    <t>ORD26000922</t>
  </si>
  <si>
    <t>pay_420001020</t>
  </si>
  <si>
    <t>ORD26001064</t>
  </si>
  <si>
    <t>pay_420001091</t>
  </si>
  <si>
    <t>ORD26001134</t>
  </si>
  <si>
    <t>pay_420001207</t>
  </si>
  <si>
    <t>ORD26001261</t>
  </si>
  <si>
    <t>pay_420001249</t>
  </si>
  <si>
    <t>ORD26001306</t>
  </si>
  <si>
    <t>pay_420001252</t>
  </si>
  <si>
    <t>ORD26001309</t>
  </si>
  <si>
    <t>pay_420001351</t>
  </si>
  <si>
    <t>ord26001416</t>
  </si>
  <si>
    <t>ORD26001416</t>
  </si>
  <si>
    <t>pay_420001364</t>
  </si>
  <si>
    <t xml:space="preserve">ORD26001432  </t>
  </si>
  <si>
    <t>ORD26001432</t>
  </si>
  <si>
    <t>pay_420001385</t>
  </si>
  <si>
    <t>ORD26001455</t>
  </si>
  <si>
    <t>pay_420001543</t>
  </si>
  <si>
    <t>ORD26001611</t>
  </si>
  <si>
    <t>pay_420001555</t>
  </si>
  <si>
    <t>ORD26001623</t>
  </si>
  <si>
    <t>pay_420001707</t>
  </si>
  <si>
    <t>ORD26001787</t>
  </si>
  <si>
    <t>pay_420001729</t>
  </si>
  <si>
    <t>ORD26001810</t>
  </si>
  <si>
    <t>pay_420001791</t>
  </si>
  <si>
    <t>ORD26001874</t>
  </si>
  <si>
    <t>pay_420001817</t>
  </si>
  <si>
    <t>ORD26001900</t>
  </si>
  <si>
    <t>pay_420001888</t>
  </si>
  <si>
    <t xml:space="preserve">ORD26001976  </t>
  </si>
  <si>
    <t>ORD26001976</t>
  </si>
  <si>
    <t>pay_420001905</t>
  </si>
  <si>
    <t>ORD26001994</t>
  </si>
  <si>
    <t>pay_420001921</t>
  </si>
  <si>
    <t>ORD26002013</t>
  </si>
  <si>
    <t>pay_420001962</t>
  </si>
  <si>
    <t>ORD26002057</t>
  </si>
  <si>
    <t>pay_420001968</t>
  </si>
  <si>
    <t>ord26002063</t>
  </si>
  <si>
    <t>ORD26002063</t>
  </si>
  <si>
    <t>pay_420001995</t>
  </si>
  <si>
    <t>ORD26002088</t>
  </si>
  <si>
    <t>pay_420002054</t>
  </si>
  <si>
    <t>ORD26002146</t>
  </si>
  <si>
    <t>pay_420002196</t>
  </si>
  <si>
    <t>ORD26002300</t>
  </si>
  <si>
    <t>pay_420002219</t>
  </si>
  <si>
    <t>ORD26002322</t>
  </si>
  <si>
    <t>pay_420002224</t>
  </si>
  <si>
    <t>ord26002328</t>
  </si>
  <si>
    <t>ORD26002328</t>
  </si>
  <si>
    <t>pay_420002249</t>
  </si>
  <si>
    <t xml:space="preserve">ORD26002354  </t>
  </si>
  <si>
    <t>ORD26002354</t>
  </si>
  <si>
    <t>pay_420002385</t>
  </si>
  <si>
    <t>ORD26002497</t>
  </si>
  <si>
    <t>pay_420002425</t>
  </si>
  <si>
    <t>ord26002538</t>
  </si>
  <si>
    <t>ORD26002538</t>
  </si>
  <si>
    <t>pay_420002486</t>
  </si>
  <si>
    <t>ORD26002603</t>
  </si>
  <si>
    <t>pay_420002520</t>
  </si>
  <si>
    <t>ORD26002643</t>
  </si>
  <si>
    <t>pay_420002533</t>
  </si>
  <si>
    <t>ORD26002656</t>
  </si>
  <si>
    <t>pay_420002535</t>
  </si>
  <si>
    <t>ORD26002658</t>
  </si>
  <si>
    <t>pay_420002554</t>
  </si>
  <si>
    <t>ORD26002680</t>
  </si>
  <si>
    <t>pay_420002588</t>
  </si>
  <si>
    <t xml:space="preserve">ORD26002715  </t>
  </si>
  <si>
    <t>ORD26002715</t>
  </si>
  <si>
    <t>pay_420002598</t>
  </si>
  <si>
    <t>ORD26002726</t>
  </si>
  <si>
    <t>pay_420002626</t>
  </si>
  <si>
    <t>ORD26002754</t>
  </si>
  <si>
    <t>pay_420002691</t>
  </si>
  <si>
    <t>ORD26002823</t>
  </si>
  <si>
    <t>pay_420002708</t>
  </si>
  <si>
    <t>ORD26002844</t>
  </si>
  <si>
    <t>pay_420002719</t>
  </si>
  <si>
    <t>ORD26002857</t>
  </si>
  <si>
    <t>pay_420002740</t>
  </si>
  <si>
    <t>ORD26002877</t>
  </si>
  <si>
    <t>pay_420002748</t>
  </si>
  <si>
    <t>ORD26002885</t>
  </si>
  <si>
    <t>pay_420002797</t>
  </si>
  <si>
    <t>ord26002939</t>
  </si>
  <si>
    <t>ORD26002939</t>
  </si>
  <si>
    <t>pay_420002811</t>
  </si>
  <si>
    <t>ORD26002953</t>
  </si>
  <si>
    <t>pay_420002851</t>
  </si>
  <si>
    <t>ORD26002994</t>
  </si>
  <si>
    <t>pay_420002862</t>
  </si>
  <si>
    <t>ord26003003</t>
  </si>
  <si>
    <t>ORD26003003</t>
  </si>
  <si>
    <t>pay_420002886</t>
  </si>
  <si>
    <t>ORD26003028</t>
  </si>
  <si>
    <t>pay_420002905</t>
  </si>
  <si>
    <t>ord26003049</t>
  </si>
  <si>
    <t>ORD26003049</t>
  </si>
  <si>
    <t>pay_420002930</t>
  </si>
  <si>
    <t xml:space="preserve">ORD26003073  </t>
  </si>
  <si>
    <t>ORD26003073</t>
  </si>
  <si>
    <t>pay_420002938</t>
  </si>
  <si>
    <t>ORD26003083</t>
  </si>
  <si>
    <t>pay_420003103</t>
  </si>
  <si>
    <t>ord26003260</t>
  </si>
  <si>
    <t>ORD26003260</t>
  </si>
  <si>
    <t>pay_420003120</t>
  </si>
  <si>
    <t>ORD26003280</t>
  </si>
  <si>
    <t>pay_420003126</t>
  </si>
  <si>
    <t>ORD26003286</t>
  </si>
  <si>
    <t>pay_420003202</t>
  </si>
  <si>
    <t>ORD26003363</t>
  </si>
  <si>
    <t>pay_420003211</t>
  </si>
  <si>
    <t>ORD26003372</t>
  </si>
  <si>
    <t>pay_420003216</t>
  </si>
  <si>
    <t>ORD26003377</t>
  </si>
  <si>
    <t>pay_420003327</t>
  </si>
  <si>
    <t>ORD-26003490</t>
  </si>
  <si>
    <t>ORD26003490</t>
  </si>
  <si>
    <t>pay_420003347</t>
  </si>
  <si>
    <t>ORD26003511</t>
  </si>
  <si>
    <t>pay_420003365</t>
  </si>
  <si>
    <t>ORD26003531</t>
  </si>
  <si>
    <t>pay_420003419</t>
  </si>
  <si>
    <t>ORD26003587</t>
  </si>
  <si>
    <t>pay_420003424</t>
  </si>
  <si>
    <t>ORD26003593</t>
  </si>
  <si>
    <t>pay_420003471</t>
  </si>
  <si>
    <t>ORD26003639</t>
  </si>
  <si>
    <t>pay_420003588</t>
  </si>
  <si>
    <t>ORD26003757</t>
  </si>
  <si>
    <t>pay_420003758</t>
  </si>
  <si>
    <t>ORD26003933</t>
  </si>
  <si>
    <t>pay_420003792</t>
  </si>
  <si>
    <t>ORD26003970</t>
  </si>
  <si>
    <t>pay_420003819</t>
  </si>
  <si>
    <t>ORD26004000</t>
  </si>
  <si>
    <t>pay_420003852</t>
  </si>
  <si>
    <t>ORD26004034</t>
  </si>
  <si>
    <t>pay_420003895</t>
  </si>
  <si>
    <t>ord26004077</t>
  </si>
  <si>
    <t>ORD26004077</t>
  </si>
  <si>
    <t>pay_420003999</t>
  </si>
  <si>
    <t>ORD26004186</t>
  </si>
  <si>
    <t>pay_420004053</t>
  </si>
  <si>
    <t>ORD26004244</t>
  </si>
  <si>
    <t>pay_420004070</t>
  </si>
  <si>
    <t>ORD26004263</t>
  </si>
  <si>
    <t>pay_420004072</t>
  </si>
  <si>
    <t>ORD26004265</t>
  </si>
  <si>
    <t>pay_420004086</t>
  </si>
  <si>
    <t>ORD26004279</t>
  </si>
  <si>
    <t>pay_420004101</t>
  </si>
  <si>
    <t>ord26004296</t>
  </si>
  <si>
    <t>ORD26004296</t>
  </si>
  <si>
    <t>pay_420004190</t>
  </si>
  <si>
    <t>ORD26004385</t>
  </si>
  <si>
    <t>pay_420004252</t>
  </si>
  <si>
    <t>ORD26004450</t>
  </si>
  <si>
    <t>pay_420004272</t>
  </si>
  <si>
    <t>ORD26004472</t>
  </si>
  <si>
    <t>pay_420004486</t>
  </si>
  <si>
    <t>ORD26004698</t>
  </si>
  <si>
    <t>pay_420004555</t>
  </si>
  <si>
    <t>ORD26004769</t>
  </si>
  <si>
    <t>pay_420004563</t>
  </si>
  <si>
    <t>ord26004777</t>
  </si>
  <si>
    <t>ORD26004777</t>
  </si>
  <si>
    <t>pay_420004565</t>
  </si>
  <si>
    <t>ORD26004779</t>
  </si>
  <si>
    <t>pay_420004574</t>
  </si>
  <si>
    <t>ORD26004787</t>
  </si>
  <si>
    <t>pay_420004637</t>
  </si>
  <si>
    <t>ORD26004853</t>
  </si>
  <si>
    <t>pay_420004777</t>
  </si>
  <si>
    <t>ORD26004999</t>
  </si>
  <si>
    <t>pay_420004896</t>
  </si>
  <si>
    <t>ORD26005124</t>
  </si>
  <si>
    <t>pay_420004926</t>
  </si>
  <si>
    <t>ORD26005158</t>
  </si>
  <si>
    <t>pay_420004934</t>
  </si>
  <si>
    <t>ORD26005165</t>
  </si>
  <si>
    <t>pay_420005006</t>
  </si>
  <si>
    <t>ORD26005242</t>
  </si>
  <si>
    <t>pay_420005015</t>
  </si>
  <si>
    <t>ORD26005251</t>
  </si>
  <si>
    <t>pay_420005055</t>
  </si>
  <si>
    <t>ORD26005294</t>
  </si>
  <si>
    <t>pay_420005093</t>
  </si>
  <si>
    <t>ORD26005333</t>
  </si>
  <si>
    <t>pay_420005094</t>
  </si>
  <si>
    <t>ORD26005334</t>
  </si>
  <si>
    <t>pay_420005144</t>
  </si>
  <si>
    <t>ORD26005384</t>
  </si>
  <si>
    <t>pay_420005269</t>
  </si>
  <si>
    <t>ORD26005506</t>
  </si>
  <si>
    <t>pay_420005288</t>
  </si>
  <si>
    <t>ORD-26005526</t>
  </si>
  <si>
    <t>ORD26005526</t>
  </si>
  <si>
    <t>pay_420005306</t>
  </si>
  <si>
    <t>ORD26005544</t>
  </si>
  <si>
    <t>pay_420005309</t>
  </si>
  <si>
    <t>ORD26005548</t>
  </si>
  <si>
    <t>pay_420005343</t>
  </si>
  <si>
    <t>ORD26005585</t>
  </si>
  <si>
    <t>pay_420005418</t>
  </si>
  <si>
    <t>ORD26005665</t>
  </si>
  <si>
    <t>pay_420005424</t>
  </si>
  <si>
    <t>ORD26005671</t>
  </si>
  <si>
    <t>pay_420005464</t>
  </si>
  <si>
    <t>ORD26005713</t>
  </si>
  <si>
    <t>pay_420005484</t>
  </si>
  <si>
    <t>ORD26005733</t>
  </si>
  <si>
    <t>pay_420005568</t>
  </si>
  <si>
    <t>ORD26005823</t>
  </si>
  <si>
    <t>pay_420005609</t>
  </si>
  <si>
    <t>ORD26005866</t>
  </si>
  <si>
    <t>pay_420005694</t>
  </si>
  <si>
    <t>ORD26005960</t>
  </si>
  <si>
    <t>pay_420005740</t>
  </si>
  <si>
    <t>ORD26006505</t>
  </si>
  <si>
    <t>NO ORDER</t>
  </si>
  <si>
    <t>pay_420000034</t>
  </si>
  <si>
    <t>ORD26000034</t>
  </si>
  <si>
    <t>STL-20260904</t>
  </si>
  <si>
    <t>pay_420000054</t>
  </si>
  <si>
    <t>ORD26000055</t>
  </si>
  <si>
    <t>pay_420000064</t>
  </si>
  <si>
    <t>ORD26000064</t>
  </si>
  <si>
    <t>pay_420000082</t>
  </si>
  <si>
    <t>ORD26000086</t>
  </si>
  <si>
    <t>pay_420000086</t>
  </si>
  <si>
    <t>ord26000091</t>
  </si>
  <si>
    <t>ORD26000091</t>
  </si>
  <si>
    <t>pay_420000107</t>
  </si>
  <si>
    <t>ORD26000115</t>
  </si>
  <si>
    <t>pay_420000109</t>
  </si>
  <si>
    <t>ORD26000117</t>
  </si>
  <si>
    <t>pay_420000117</t>
  </si>
  <si>
    <t>ORD26000126</t>
  </si>
  <si>
    <t>pay_420000142</t>
  </si>
  <si>
    <t>ORD26000152</t>
  </si>
  <si>
    <t>pay_420000173</t>
  </si>
  <si>
    <t>ORD26000187</t>
  </si>
  <si>
    <t>pay_420000187</t>
  </si>
  <si>
    <t>ORD26000200</t>
  </si>
  <si>
    <t>pay_420000230</t>
  </si>
  <si>
    <t>ORD26000245</t>
  </si>
  <si>
    <t>pay_420000233</t>
  </si>
  <si>
    <t>ORD26000248</t>
  </si>
  <si>
    <t>pay_420000293</t>
  </si>
  <si>
    <t>ORD26000309</t>
  </si>
  <si>
    <t>pay_420000411</t>
  </si>
  <si>
    <t>ORD26000428</t>
  </si>
  <si>
    <t>pay_420000433</t>
  </si>
  <si>
    <t>ORD26000450</t>
  </si>
  <si>
    <t>pay_420000461</t>
  </si>
  <si>
    <t>ORD26000484</t>
  </si>
  <si>
    <t>pay_420000476</t>
  </si>
  <si>
    <t>ORD26000500</t>
  </si>
  <si>
    <t>pay_420000500</t>
  </si>
  <si>
    <t>ORD26000522</t>
  </si>
  <si>
    <t>pay_420000531</t>
  </si>
  <si>
    <t>ORD26000556</t>
  </si>
  <si>
    <t>pay_420000550</t>
  </si>
  <si>
    <t>ORD26000575</t>
  </si>
  <si>
    <t>pay_420000585</t>
  </si>
  <si>
    <t>ord26000607</t>
  </si>
  <si>
    <t>ORD26000607</t>
  </si>
  <si>
    <t>pay_420000589</t>
  </si>
  <si>
    <t>ORD26000611</t>
  </si>
  <si>
    <t>pay_420000615</t>
  </si>
  <si>
    <t>ORD26000639</t>
  </si>
  <si>
    <t>pay_420000624</t>
  </si>
  <si>
    <t>ORD26000651</t>
  </si>
  <si>
    <t>pay_420000625</t>
  </si>
  <si>
    <t>ORD26000652</t>
  </si>
  <si>
    <t>pay_420000670</t>
  </si>
  <si>
    <t xml:space="preserve">ORD26000699  </t>
  </si>
  <si>
    <t>ORD26000699</t>
  </si>
  <si>
    <t>pay_420000700</t>
  </si>
  <si>
    <t>ORD26000732</t>
  </si>
  <si>
    <t>pay_420000724</t>
  </si>
  <si>
    <t>ORD26000758</t>
  </si>
  <si>
    <t>pay_420000729</t>
  </si>
  <si>
    <t>ORD26000764</t>
  </si>
  <si>
    <t>pay_420000760</t>
  </si>
  <si>
    <t>ORD26000792</t>
  </si>
  <si>
    <t>pay_420000782</t>
  </si>
  <si>
    <t>ORD26000815</t>
  </si>
  <si>
    <t>pay_420000783</t>
  </si>
  <si>
    <t>ORD26000816</t>
  </si>
  <si>
    <t>pay_420000845</t>
  </si>
  <si>
    <t>ORD26000880</t>
  </si>
  <si>
    <t>pay_420000864</t>
  </si>
  <si>
    <t>ORD26000902</t>
  </si>
  <si>
    <t>pay_420000865</t>
  </si>
  <si>
    <t>ord26000903</t>
  </si>
  <si>
    <t>ORD26000903</t>
  </si>
  <si>
    <t>pay_420000929</t>
  </si>
  <si>
    <t>ORD26000970</t>
  </si>
  <si>
    <t>pay_420000931</t>
  </si>
  <si>
    <t>ord26000972</t>
  </si>
  <si>
    <t>ORD26000972</t>
  </si>
  <si>
    <t>pay_420000960</t>
  </si>
  <si>
    <t>ord26001002</t>
  </si>
  <si>
    <t>ORD26001002</t>
  </si>
  <si>
    <t>pay_420000968</t>
  </si>
  <si>
    <t>ORD26001010</t>
  </si>
  <si>
    <t>pay_420001107</t>
  </si>
  <si>
    <t>ORD26001154</t>
  </si>
  <si>
    <t>pay_420001111</t>
  </si>
  <si>
    <t>ord26001158</t>
  </si>
  <si>
    <t>ORD26001158</t>
  </si>
  <si>
    <t>pay_420001121</t>
  </si>
  <si>
    <t>ORD26001169</t>
  </si>
  <si>
    <t>pay_420001158</t>
  </si>
  <si>
    <t>ord26001207</t>
  </si>
  <si>
    <t>ORD26001207</t>
  </si>
  <si>
    <t>pay_420001170</t>
  </si>
  <si>
    <t>ORD26001218</t>
  </si>
  <si>
    <t>pay_420001206</t>
  </si>
  <si>
    <t>ORD26001260</t>
  </si>
  <si>
    <t>pay_420001219</t>
  </si>
  <si>
    <t>ORD26001274</t>
  </si>
  <si>
    <t>pay_420001232</t>
  </si>
  <si>
    <t>ORD26001289</t>
  </si>
  <si>
    <t>pay_420001250</t>
  </si>
  <si>
    <t>ORD26001307</t>
  </si>
  <si>
    <t>pay_420001266</t>
  </si>
  <si>
    <t>ORD26001326</t>
  </si>
  <si>
    <t>pay_420001294</t>
  </si>
  <si>
    <t>ORD26001355</t>
  </si>
  <si>
    <t>pay_420001301</t>
  </si>
  <si>
    <t>ORD26001363</t>
  </si>
  <si>
    <t>pay_420001338</t>
  </si>
  <si>
    <t>ORD26001402</t>
  </si>
  <si>
    <t>pay_420001356</t>
  </si>
  <si>
    <t>ORD26001420</t>
  </si>
  <si>
    <t>pay_420001362</t>
  </si>
  <si>
    <t>ORD26001430</t>
  </si>
  <si>
    <t>pay_420001415</t>
  </si>
  <si>
    <t>ORD26001484</t>
  </si>
  <si>
    <t>pay_420001477</t>
  </si>
  <si>
    <t>ORD26001541</t>
  </si>
  <si>
    <t>pay_420001502</t>
  </si>
  <si>
    <t>ORD26001567</t>
  </si>
  <si>
    <t>pay_420001582</t>
  </si>
  <si>
    <t>ORD26001655</t>
  </si>
  <si>
    <t>pay_420001655</t>
  </si>
  <si>
    <t>ORD26001732</t>
  </si>
  <si>
    <t>pay_420001662</t>
  </si>
  <si>
    <t>ORD26001741</t>
  </si>
  <si>
    <t>pay_420001718</t>
  </si>
  <si>
    <t>ORD-26001799</t>
  </si>
  <si>
    <t>ORD26001799</t>
  </si>
  <si>
    <t>pay_420001760</t>
  </si>
  <si>
    <t>ord26001842</t>
  </si>
  <si>
    <t>ORD26001842</t>
  </si>
  <si>
    <t>pay_420001827</t>
  </si>
  <si>
    <t>ORD26001911</t>
  </si>
  <si>
    <t>pay_420001929</t>
  </si>
  <si>
    <t>ORD26002022</t>
  </si>
  <si>
    <t>pay_420001935</t>
  </si>
  <si>
    <t>ORD26002028</t>
  </si>
  <si>
    <t>pay_420001956</t>
  </si>
  <si>
    <t>ORD26002050</t>
  </si>
  <si>
    <t>pay_420001964</t>
  </si>
  <si>
    <t>ORD26002059</t>
  </si>
  <si>
    <t>pay_420001992</t>
  </si>
  <si>
    <t>ORD26002084</t>
  </si>
  <si>
    <t>pay_420002013</t>
  </si>
  <si>
    <t>ORD26002104</t>
  </si>
  <si>
    <t>pay_420002083</t>
  </si>
  <si>
    <t>ORD26002177</t>
  </si>
  <si>
    <t>pay_420002091</t>
  </si>
  <si>
    <t>ORD26002187</t>
  </si>
  <si>
    <t>pay_420002096</t>
  </si>
  <si>
    <t>ORD26002193</t>
  </si>
  <si>
    <t>pay_420002120</t>
  </si>
  <si>
    <t>ORD26002222</t>
  </si>
  <si>
    <t>pay_420002142</t>
  </si>
  <si>
    <t>ORD26002243</t>
  </si>
  <si>
    <t>pay_420002182</t>
  </si>
  <si>
    <t>ORD26002283</t>
  </si>
  <si>
    <t>pay_420002220</t>
  </si>
  <si>
    <t>ORD26002324</t>
  </si>
  <si>
    <t>pay_420002242</t>
  </si>
  <si>
    <t>ORD26002346</t>
  </si>
  <si>
    <t>pay_420002265</t>
  </si>
  <si>
    <t>ORD26002373</t>
  </si>
  <si>
    <t>pay_420002286</t>
  </si>
  <si>
    <t>ORD26002396</t>
  </si>
  <si>
    <t>pay_420002329</t>
  </si>
  <si>
    <t>ORD26002443</t>
  </si>
  <si>
    <t>pay_420002338</t>
  </si>
  <si>
    <t>ORD26002452</t>
  </si>
  <si>
    <t>pay_420002388</t>
  </si>
  <si>
    <t>ORD26002500</t>
  </si>
  <si>
    <t>pay_420002408</t>
  </si>
  <si>
    <t>ORD26002520</t>
  </si>
  <si>
    <t>pay_420002450</t>
  </si>
  <si>
    <t>ORD26002564</t>
  </si>
  <si>
    <t>pay_420002453</t>
  </si>
  <si>
    <t>ORD26002567</t>
  </si>
  <si>
    <t>pay_420002457</t>
  </si>
  <si>
    <t>ord26002572</t>
  </si>
  <si>
    <t>ORD26002572</t>
  </si>
  <si>
    <t>pay_420002527</t>
  </si>
  <si>
    <t>ORD26002650</t>
  </si>
  <si>
    <t>pay_420002530</t>
  </si>
  <si>
    <t>ord26002653</t>
  </si>
  <si>
    <t>ORD26002653</t>
  </si>
  <si>
    <t>pay_420002565</t>
  </si>
  <si>
    <t>ORD26002691</t>
  </si>
  <si>
    <t>pay_420002634</t>
  </si>
  <si>
    <t>ORD26002763</t>
  </si>
  <si>
    <t>pay_420002655</t>
  </si>
  <si>
    <t>ord26002787</t>
  </si>
  <si>
    <t>ORD26002787</t>
  </si>
  <si>
    <t>pay_420002663</t>
  </si>
  <si>
    <t>ORD-26002796</t>
  </si>
  <si>
    <t>ORD26002796</t>
  </si>
  <si>
    <t>pay_420002677</t>
  </si>
  <si>
    <t>ORD26002809</t>
  </si>
  <si>
    <t>pay_420002711</t>
  </si>
  <si>
    <t>ORD26002847</t>
  </si>
  <si>
    <t>pay_420002734</t>
  </si>
  <si>
    <t>ORD-26002871</t>
  </si>
  <si>
    <t>ORD26002871</t>
  </si>
  <si>
    <t>pay_420002742</t>
  </si>
  <si>
    <t>ORD26002879</t>
  </si>
  <si>
    <t>pay_420002756</t>
  </si>
  <si>
    <t>ORD-26002894</t>
  </si>
  <si>
    <t>ORD26002894</t>
  </si>
  <si>
    <t>pay_420002763</t>
  </si>
  <si>
    <t>ORD26002901</t>
  </si>
  <si>
    <t>pay_420002786</t>
  </si>
  <si>
    <t>ORD26002928</t>
  </si>
  <si>
    <t>pay_420002791</t>
  </si>
  <si>
    <t>ORD26002933</t>
  </si>
  <si>
    <t>pay_420002814</t>
  </si>
  <si>
    <t>ORD26002956</t>
  </si>
  <si>
    <t>pay_420002820</t>
  </si>
  <si>
    <t>ord26002962</t>
  </si>
  <si>
    <t>ORD26002962</t>
  </si>
  <si>
    <t>pay_420002838</t>
  </si>
  <si>
    <t>ORD26002980</t>
  </si>
  <si>
    <t>pay_420002860</t>
  </si>
  <si>
    <t>ORD26003001</t>
  </si>
  <si>
    <t>pay_420002937</t>
  </si>
  <si>
    <t>ORD26003082</t>
  </si>
  <si>
    <t>pay_420002995</t>
  </si>
  <si>
    <t>ORD26003144</t>
  </si>
  <si>
    <t>pay_420003008</t>
  </si>
  <si>
    <t>ORD26003160</t>
  </si>
  <si>
    <t>pay_420003055</t>
  </si>
  <si>
    <t>ORD26003207</t>
  </si>
  <si>
    <t>pay_420003075</t>
  </si>
  <si>
    <t>ORD26003229</t>
  </si>
  <si>
    <t>pay_420003111</t>
  </si>
  <si>
    <t>ORD26003270</t>
  </si>
  <si>
    <t>pay_420003116</t>
  </si>
  <si>
    <t>ORD26003276</t>
  </si>
  <si>
    <t>pay_420003164</t>
  </si>
  <si>
    <t>ORD26003325</t>
  </si>
  <si>
    <t>pay_420003215</t>
  </si>
  <si>
    <t>ORD26003376</t>
  </si>
  <si>
    <t>pay_420003219</t>
  </si>
  <si>
    <t>ORD-26003380</t>
  </si>
  <si>
    <t>ORD26003380</t>
  </si>
  <si>
    <t>pay_420003233</t>
  </si>
  <si>
    <t>ORD26003395</t>
  </si>
  <si>
    <t>pay_420003242</t>
  </si>
  <si>
    <t>ORD26003405</t>
  </si>
  <si>
    <t>pay_420003266</t>
  </si>
  <si>
    <t>ORD26003434</t>
  </si>
  <si>
    <t>pay_420003296</t>
  </si>
  <si>
    <t>ORD26003460</t>
  </si>
  <si>
    <t>pay_420003334</t>
  </si>
  <si>
    <t>ORD26003498</t>
  </si>
  <si>
    <t>pay_420003359</t>
  </si>
  <si>
    <t>ORD26003523</t>
  </si>
  <si>
    <t>pay_420003366</t>
  </si>
  <si>
    <t>ORD26003532</t>
  </si>
  <si>
    <t>pay_420003379</t>
  </si>
  <si>
    <t>ORD26003545</t>
  </si>
  <si>
    <t>pay_420003397</t>
  </si>
  <si>
    <t>ORD26003564</t>
  </si>
  <si>
    <t>pay_420003530</t>
  </si>
  <si>
    <t>ORD26003701</t>
  </si>
  <si>
    <t>pay_420003531</t>
  </si>
  <si>
    <t>ORD-26003702</t>
  </si>
  <si>
    <t>ORD26003702</t>
  </si>
  <si>
    <t>pay_420003532</t>
  </si>
  <si>
    <t>ord26003703</t>
  </si>
  <si>
    <t>ORD26003703</t>
  </si>
  <si>
    <t>pay_420003534</t>
  </si>
  <si>
    <t>ORD26003705</t>
  </si>
  <si>
    <t>pay_420003536</t>
  </si>
  <si>
    <t>ORD26003707</t>
  </si>
  <si>
    <t>pay_420003544</t>
  </si>
  <si>
    <t>ORD-26003715</t>
  </si>
  <si>
    <t>ORD26003715</t>
  </si>
  <si>
    <t>pay_420003553</t>
  </si>
  <si>
    <t>ORD26003723</t>
  </si>
  <si>
    <t>pay_420003561</t>
  </si>
  <si>
    <t>ORD26003729</t>
  </si>
  <si>
    <t>pay_420003570</t>
  </si>
  <si>
    <t>ORD26003738</t>
  </si>
  <si>
    <t>pay_420003587</t>
  </si>
  <si>
    <t>ORD26003756</t>
  </si>
  <si>
    <t>pay_420003592</t>
  </si>
  <si>
    <t>ORD26003761</t>
  </si>
  <si>
    <t>pay_420003595</t>
  </si>
  <si>
    <t>ORD26003764</t>
  </si>
  <si>
    <t>pay_420003614</t>
  </si>
  <si>
    <t>ORD26003782</t>
  </si>
  <si>
    <t>pay_420003618</t>
  </si>
  <si>
    <t>ORD26003787</t>
  </si>
  <si>
    <t>pay_420003636</t>
  </si>
  <si>
    <t>ORD26003808</t>
  </si>
  <si>
    <t>pay_420003683</t>
  </si>
  <si>
    <t>ORD26003854</t>
  </si>
  <si>
    <t>pay_420003740</t>
  </si>
  <si>
    <t>ORD-26003914</t>
  </si>
  <si>
    <t>ORD26003914</t>
  </si>
  <si>
    <t>pay_420003755</t>
  </si>
  <si>
    <t>ORD26003930</t>
  </si>
  <si>
    <t>pay_420003822</t>
  </si>
  <si>
    <t>ORD26004003</t>
  </si>
  <si>
    <t>pay_420003872</t>
  </si>
  <si>
    <t>ord26004057</t>
  </si>
  <si>
    <t>ORD26004057</t>
  </si>
  <si>
    <t>pay_420003935</t>
  </si>
  <si>
    <t>ORD26004119</t>
  </si>
  <si>
    <t>pay_420003978</t>
  </si>
  <si>
    <t>ORD26004165</t>
  </si>
  <si>
    <t>pay_420004010</t>
  </si>
  <si>
    <t>ORD26004198</t>
  </si>
  <si>
    <t>pay_420004054</t>
  </si>
  <si>
    <t>ORD26004245</t>
  </si>
  <si>
    <t>pay_420004075</t>
  </si>
  <si>
    <t>ORD26004268</t>
  </si>
  <si>
    <t>pay_420004079</t>
  </si>
  <si>
    <t xml:space="preserve">ORD26004272  </t>
  </si>
  <si>
    <t>ORD26004272</t>
  </si>
  <si>
    <t>pay_420004103</t>
  </si>
  <si>
    <t>ORD26004298</t>
  </si>
  <si>
    <t>pay_420004157</t>
  </si>
  <si>
    <t>ORD26004350</t>
  </si>
  <si>
    <t>pay_420004173</t>
  </si>
  <si>
    <t>ORD26004366</t>
  </si>
  <si>
    <t>pay_420004202</t>
  </si>
  <si>
    <t>ORD26004400</t>
  </si>
  <si>
    <t>pay_420004267</t>
  </si>
  <si>
    <t>ORD26004467</t>
  </si>
  <si>
    <t>pay_420004271</t>
  </si>
  <si>
    <t>ORD26004471</t>
  </si>
  <si>
    <t>pay_420004337</t>
  </si>
  <si>
    <t>ORD26004538</t>
  </si>
  <si>
    <t>pay_420004345</t>
  </si>
  <si>
    <t>ORD26004547</t>
  </si>
  <si>
    <t>pay_420004373</t>
  </si>
  <si>
    <t>ORD26004576</t>
  </si>
  <si>
    <t>pay_420004377</t>
  </si>
  <si>
    <t>ORD26004580</t>
  </si>
  <si>
    <t>pay_420004421</t>
  </si>
  <si>
    <t>ord26004628</t>
  </si>
  <si>
    <t>ORD26004628</t>
  </si>
  <si>
    <t>pay_420004511</t>
  </si>
  <si>
    <t>ORD26004724</t>
  </si>
  <si>
    <t>pay_420004537</t>
  </si>
  <si>
    <t>ORD26004750</t>
  </si>
  <si>
    <t>pay_420004559</t>
  </si>
  <si>
    <t>ord26004773</t>
  </si>
  <si>
    <t>ORD26004773</t>
  </si>
  <si>
    <t>pay_420004569</t>
  </si>
  <si>
    <t>ORD26004783</t>
  </si>
  <si>
    <t>pay_420004599</t>
  </si>
  <si>
    <t>ORD26004813</t>
  </si>
  <si>
    <t>pay_420004610</t>
  </si>
  <si>
    <t>ORD26004823</t>
  </si>
  <si>
    <t>pay_420004636</t>
  </si>
  <si>
    <t>ORD26004851</t>
  </si>
  <si>
    <t>pay_420004666</t>
  </si>
  <si>
    <t>ORD-26004887</t>
  </si>
  <si>
    <t>ORD26004887</t>
  </si>
  <si>
    <t>pay_420004679</t>
  </si>
  <si>
    <t>ord26004900</t>
  </si>
  <si>
    <t>ORD26004900</t>
  </si>
  <si>
    <t>pay_420004710</t>
  </si>
  <si>
    <t>ORD26004930</t>
  </si>
  <si>
    <t>pay_420004715</t>
  </si>
  <si>
    <t>ORD26004936</t>
  </si>
  <si>
    <t>pay_420004745</t>
  </si>
  <si>
    <t>ORD26004966</t>
  </si>
  <si>
    <t>pay_420004750</t>
  </si>
  <si>
    <t>ORD26004971</t>
  </si>
  <si>
    <t>pay_420004884</t>
  </si>
  <si>
    <t>ord26005111</t>
  </si>
  <si>
    <t>ORD26005111</t>
  </si>
  <si>
    <t>pay_420004887</t>
  </si>
  <si>
    <t xml:space="preserve">ORD26005115  </t>
  </si>
  <si>
    <t>ORD26005115</t>
  </si>
  <si>
    <t>pay_420004903</t>
  </si>
  <si>
    <t>ORD26005130</t>
  </si>
  <si>
    <t>pay_420004960</t>
  </si>
  <si>
    <t>ORD26005193</t>
  </si>
  <si>
    <t>pay_420004979</t>
  </si>
  <si>
    <t>ord26005211</t>
  </si>
  <si>
    <t>ORD26005211</t>
  </si>
  <si>
    <t>pay_420005029</t>
  </si>
  <si>
    <t>ORD26005266</t>
  </si>
  <si>
    <t>pay_420005124</t>
  </si>
  <si>
    <t>ORD26005361</t>
  </si>
  <si>
    <t>pay_420005280</t>
  </si>
  <si>
    <t>ORD26005517</t>
  </si>
  <si>
    <t>pay_420005287</t>
  </si>
  <si>
    <t>ORD26005524</t>
  </si>
  <si>
    <t>pay_420005300</t>
  </si>
  <si>
    <t>ORD26005538</t>
  </si>
  <si>
    <t>pay_420005311</t>
  </si>
  <si>
    <t>ORD26005550</t>
  </si>
  <si>
    <t>pay_420005317</t>
  </si>
  <si>
    <t>ORD26005557</t>
  </si>
  <si>
    <t>pay_420005319</t>
  </si>
  <si>
    <t>ORD26005560</t>
  </si>
  <si>
    <t>pay_420005340</t>
  </si>
  <si>
    <t>ord26005582</t>
  </si>
  <si>
    <t>ORD26005582</t>
  </si>
  <si>
    <t>pay_420005384</t>
  </si>
  <si>
    <t>ORD26005626</t>
  </si>
  <si>
    <t>pay_420005389</t>
  </si>
  <si>
    <t>ORD26005631</t>
  </si>
  <si>
    <t>pay_420005427</t>
  </si>
  <si>
    <t>ORD26005673</t>
  </si>
  <si>
    <t>pay_420005448</t>
  </si>
  <si>
    <t>ORD26005695</t>
  </si>
  <si>
    <t>pay_420005479</t>
  </si>
  <si>
    <t>ORD26005728</t>
  </si>
  <si>
    <t>pay_420005490</t>
  </si>
  <si>
    <t>ORD26005739</t>
  </si>
  <si>
    <t>pay_420005529</t>
  </si>
  <si>
    <t>ORD26005782</t>
  </si>
  <si>
    <t>pay_420005572</t>
  </si>
  <si>
    <t>ORD26005827</t>
  </si>
  <si>
    <t>pay_420005578</t>
  </si>
  <si>
    <t>ORD26005835</t>
  </si>
  <si>
    <t>pay_420005600</t>
  </si>
  <si>
    <t>ORD26005857</t>
  </si>
  <si>
    <t>pay_420005677</t>
  </si>
  <si>
    <t>ORD26005942</t>
  </si>
  <si>
    <t>rfnd_BDDX8L3AAXM0</t>
  </si>
  <si>
    <t>REFUND</t>
  </si>
  <si>
    <t>rfnd_W6UU5WJWSTPB</t>
  </si>
  <si>
    <t>pay_420000041</t>
  </si>
  <si>
    <t>ORD26000042</t>
  </si>
  <si>
    <t>STL-20260905</t>
  </si>
  <si>
    <t>pay_420000078</t>
  </si>
  <si>
    <t>ORD26000082</t>
  </si>
  <si>
    <t>pay_420000101</t>
  </si>
  <si>
    <t>ORD26000109</t>
  </si>
  <si>
    <t>pay_420000111</t>
  </si>
  <si>
    <t>ORD26000119</t>
  </si>
  <si>
    <t>pay_420000115</t>
  </si>
  <si>
    <t>ORD26000124</t>
  </si>
  <si>
    <t>pay_420000228</t>
  </si>
  <si>
    <t>ORD26000243</t>
  </si>
  <si>
    <t>pay_420000250</t>
  </si>
  <si>
    <t>ORD26000267</t>
  </si>
  <si>
    <t>pay_420000268</t>
  </si>
  <si>
    <t>ORD26000285</t>
  </si>
  <si>
    <t>pay_420000281</t>
  </si>
  <si>
    <t>ord26000298</t>
  </si>
  <si>
    <t>ORD26000298</t>
  </si>
  <si>
    <t>pay_420000315</t>
  </si>
  <si>
    <t>ORD26000330</t>
  </si>
  <si>
    <t>pay_420000430</t>
  </si>
  <si>
    <t>ORD26000447</t>
  </si>
  <si>
    <t>pay_420000437</t>
  </si>
  <si>
    <t>ord26000455</t>
  </si>
  <si>
    <t>ORD26000455</t>
  </si>
  <si>
    <t>pay_420000464</t>
  </si>
  <si>
    <t>ORD26000487</t>
  </si>
  <si>
    <t>pay_420000470</t>
  </si>
  <si>
    <t>ORD26000493</t>
  </si>
  <si>
    <t>pay_420000482</t>
  </si>
  <si>
    <t>ORD26000506</t>
  </si>
  <si>
    <t>pay_420000512</t>
  </si>
  <si>
    <t>ORD26000534</t>
  </si>
  <si>
    <t>pay_420000513</t>
  </si>
  <si>
    <t>ORD26000536</t>
  </si>
  <si>
    <t>pay_420000592</t>
  </si>
  <si>
    <t>ORD26000614</t>
  </si>
  <si>
    <t>pay_420000647</t>
  </si>
  <si>
    <t>ORD26000674</t>
  </si>
  <si>
    <t>pay_420000735</t>
  </si>
  <si>
    <t>ORD26000770</t>
  </si>
  <si>
    <t>pay_420000740</t>
  </si>
  <si>
    <t>ORD26000774</t>
  </si>
  <si>
    <t>pay_420000823</t>
  </si>
  <si>
    <t>ORD26000857</t>
  </si>
  <si>
    <t>pay_420000825</t>
  </si>
  <si>
    <t>ord26000859</t>
  </si>
  <si>
    <t>ORD26000859</t>
  </si>
  <si>
    <t>pay_420000826</t>
  </si>
  <si>
    <t>ORD26000860</t>
  </si>
  <si>
    <t>pay_420000840</t>
  </si>
  <si>
    <t>ORD26000875</t>
  </si>
  <si>
    <t>pay_420000867</t>
  </si>
  <si>
    <t>ORD26000905</t>
  </si>
  <si>
    <t>pay_420000870</t>
  </si>
  <si>
    <t>ORD-26000909</t>
  </si>
  <si>
    <t>ORD26000909</t>
  </si>
  <si>
    <t>pay_420000930</t>
  </si>
  <si>
    <t>ord26000971</t>
  </si>
  <si>
    <t>ORD26000971</t>
  </si>
  <si>
    <t>pay_420000951</t>
  </si>
  <si>
    <t>ORD26000993</t>
  </si>
  <si>
    <t>pay_420001000</t>
  </si>
  <si>
    <t>ORD26001043</t>
  </si>
  <si>
    <t>pay_420001010</t>
  </si>
  <si>
    <t>ORD26001053</t>
  </si>
  <si>
    <t>pay_420001106</t>
  </si>
  <si>
    <t>ORD26001153</t>
  </si>
  <si>
    <t>pay_420001138</t>
  </si>
  <si>
    <t>ORD26001186</t>
  </si>
  <si>
    <t>pay_420001195</t>
  </si>
  <si>
    <t>ORD26001248</t>
  </si>
  <si>
    <t>pay_420001197</t>
  </si>
  <si>
    <t>ORD26001250</t>
  </si>
  <si>
    <t>pay_420001209</t>
  </si>
  <si>
    <t>ORD26001263</t>
  </si>
  <si>
    <t>pay_420001230</t>
  </si>
  <si>
    <t>ORD26001287</t>
  </si>
  <si>
    <t>pay_420001231</t>
  </si>
  <si>
    <t xml:space="preserve">ORD26001288  </t>
  </si>
  <si>
    <t>ORD26001288</t>
  </si>
  <si>
    <t>pay_420001259</t>
  </si>
  <si>
    <t>ORD26001316</t>
  </si>
  <si>
    <t>pay_420001307</t>
  </si>
  <si>
    <t>ORD26001369</t>
  </si>
  <si>
    <t>pay_420001312</t>
  </si>
  <si>
    <t>ORD26001375</t>
  </si>
  <si>
    <t>pay_420001320</t>
  </si>
  <si>
    <t>ORD26001382</t>
  </si>
  <si>
    <t>pay_420001360</t>
  </si>
  <si>
    <t>ORD26001428</t>
  </si>
  <si>
    <t>pay_420001371</t>
  </si>
  <si>
    <t>ORD26001439</t>
  </si>
  <si>
    <t>pay_420001384</t>
  </si>
  <si>
    <t>ORD26001453</t>
  </si>
  <si>
    <t>pay_420001393</t>
  </si>
  <si>
    <t>ORD26001463</t>
  </si>
  <si>
    <t>pay_420001394</t>
  </si>
  <si>
    <t>ORD26001464</t>
  </si>
  <si>
    <t>pay_420001409</t>
  </si>
  <si>
    <t>ORD26001479</t>
  </si>
  <si>
    <t>pay_420001488</t>
  </si>
  <si>
    <t>ORD26001554</t>
  </si>
  <si>
    <t>pay_420001499</t>
  </si>
  <si>
    <t>ORD26001564</t>
  </si>
  <si>
    <t>pay_420001520</t>
  </si>
  <si>
    <t>ORD26001587</t>
  </si>
  <si>
    <t>pay_420001534</t>
  </si>
  <si>
    <t>ORD26001601</t>
  </si>
  <si>
    <t>pay_420001571</t>
  </si>
  <si>
    <t>ORD26001642</t>
  </si>
  <si>
    <t>pay_420001591</t>
  </si>
  <si>
    <t>ORD26001665</t>
  </si>
  <si>
    <t>pay_420001628</t>
  </si>
  <si>
    <t>ORD26001704</t>
  </si>
  <si>
    <t>pay_420001629</t>
  </si>
  <si>
    <t>ORD26001705</t>
  </si>
  <si>
    <t>pay_420001646</t>
  </si>
  <si>
    <t>ord26001723</t>
  </si>
  <si>
    <t>ORD26001723</t>
  </si>
  <si>
    <t>pay_420001659</t>
  </si>
  <si>
    <t>ORD26001736</t>
  </si>
  <si>
    <t>pay_420001677</t>
  </si>
  <si>
    <t>ORD26001758</t>
  </si>
  <si>
    <t>pay_420001690</t>
  </si>
  <si>
    <t>ORD26001769</t>
  </si>
  <si>
    <t>pay_420001714</t>
  </si>
  <si>
    <t>ORD26001795</t>
  </si>
  <si>
    <t>pay_420001734</t>
  </si>
  <si>
    <t>ORD26001815</t>
  </si>
  <si>
    <t>pay_420001764</t>
  </si>
  <si>
    <t>ORD26001846</t>
  </si>
  <si>
    <t>pay_420001813</t>
  </si>
  <si>
    <t>ord26001896</t>
  </si>
  <si>
    <t>ORD26001896</t>
  </si>
  <si>
    <t>pay_420001814</t>
  </si>
  <si>
    <t>ORD26001897</t>
  </si>
  <si>
    <t>pay_420001829</t>
  </si>
  <si>
    <t>ORD26001913</t>
  </si>
  <si>
    <t>pay_420001943</t>
  </si>
  <si>
    <t>ORD26002038</t>
  </si>
  <si>
    <t>pay_420001970</t>
  </si>
  <si>
    <t>ORD26002065</t>
  </si>
  <si>
    <t>pay_420001986</t>
  </si>
  <si>
    <t>ORD26002079</t>
  </si>
  <si>
    <t>pay_420002003</t>
  </si>
  <si>
    <t>ORD26002096</t>
  </si>
  <si>
    <t>pay_420002062</t>
  </si>
  <si>
    <t xml:space="preserve">ORD26002154  </t>
  </si>
  <si>
    <t>ORD26002154</t>
  </si>
  <si>
    <t>pay_420002123</t>
  </si>
  <si>
    <t>ORD26002226</t>
  </si>
  <si>
    <t>pay_420002166</t>
  </si>
  <si>
    <t>ORD26002267</t>
  </si>
  <si>
    <t>pay_420002173</t>
  </si>
  <si>
    <t>ORD26002274</t>
  </si>
  <si>
    <t>pay_420002181</t>
  </si>
  <si>
    <t>ORD26002282</t>
  </si>
  <si>
    <t>pay_420002193</t>
  </si>
  <si>
    <t>ORD26002297</t>
  </si>
  <si>
    <t>pay_420002198</t>
  </si>
  <si>
    <t>ORD26002302</t>
  </si>
  <si>
    <t>pay_420002225</t>
  </si>
  <si>
    <t>ORD26002329</t>
  </si>
  <si>
    <t>pay_420002303</t>
  </si>
  <si>
    <t>ORD26002417</t>
  </si>
  <si>
    <t>pay_420002304</t>
  </si>
  <si>
    <t>ord26002418</t>
  </si>
  <si>
    <t>ORD26002418</t>
  </si>
  <si>
    <t>pay_420002378</t>
  </si>
  <si>
    <t>ORD26002491</t>
  </si>
  <si>
    <t>pay_420002384</t>
  </si>
  <si>
    <t>ORD26002496</t>
  </si>
  <si>
    <t>pay_420002427</t>
  </si>
  <si>
    <t>ord26002539</t>
  </si>
  <si>
    <t>ORD26002539</t>
  </si>
  <si>
    <t>pay_420002437</t>
  </si>
  <si>
    <t>ORD26002550</t>
  </si>
  <si>
    <t>pay_420002446</t>
  </si>
  <si>
    <t>ORD26002560</t>
  </si>
  <si>
    <t>pay_420002449</t>
  </si>
  <si>
    <t>ORD26002563</t>
  </si>
  <si>
    <t>pay_420002451</t>
  </si>
  <si>
    <t>ORD26002565</t>
  </si>
  <si>
    <t>pay_420002452</t>
  </si>
  <si>
    <t>ORD-26002566</t>
  </si>
  <si>
    <t>ORD26002566</t>
  </si>
  <si>
    <t>pay_420002484</t>
  </si>
  <si>
    <t>ORD26002601</t>
  </si>
  <si>
    <t>pay_420002498</t>
  </si>
  <si>
    <t>ORD26002617</t>
  </si>
  <si>
    <t>pay_420002594</t>
  </si>
  <si>
    <t>ORD26002721</t>
  </si>
  <si>
    <t>pay_420002619</t>
  </si>
  <si>
    <t>ORD26002748</t>
  </si>
  <si>
    <t>pay_420002653</t>
  </si>
  <si>
    <t>ORD26002785</t>
  </si>
  <si>
    <t>pay_420002783</t>
  </si>
  <si>
    <t>ORD26002924</t>
  </si>
  <si>
    <t>pay_420002852</t>
  </si>
  <si>
    <t>ORD26002995</t>
  </si>
  <si>
    <t>pay_420002899</t>
  </si>
  <si>
    <t>ORD-26003043</t>
  </si>
  <si>
    <t>ORD26003043</t>
  </si>
  <si>
    <t>pay_420002915</t>
  </si>
  <si>
    <t>ord26003058</t>
  </si>
  <si>
    <t>ORD26003058</t>
  </si>
  <si>
    <t>pay_420002923</t>
  </si>
  <si>
    <t>ORD26003066</t>
  </si>
  <si>
    <t>pay_420002966</t>
  </si>
  <si>
    <t>ORD26003112</t>
  </si>
  <si>
    <t>pay_420002967</t>
  </si>
  <si>
    <t>ORD26003113</t>
  </si>
  <si>
    <t>pay_420002974</t>
  </si>
  <si>
    <t>ORD26003121</t>
  </si>
  <si>
    <t>pay_420002987</t>
  </si>
  <si>
    <t>ORD26003136</t>
  </si>
  <si>
    <t>pay_420002989</t>
  </si>
  <si>
    <t>ORD26003138</t>
  </si>
  <si>
    <t>pay_420003011</t>
  </si>
  <si>
    <t>ORD26003163</t>
  </si>
  <si>
    <t>pay_420003061</t>
  </si>
  <si>
    <t>ORD26003213</t>
  </si>
  <si>
    <t>pay_420003182</t>
  </si>
  <si>
    <t>ORD26003343</t>
  </si>
  <si>
    <t>pay_420003200</t>
  </si>
  <si>
    <t>ORD26003361</t>
  </si>
  <si>
    <t>pay_420003218</t>
  </si>
  <si>
    <t>ORD26003379</t>
  </si>
  <si>
    <t>pay_420003253</t>
  </si>
  <si>
    <t>ORD26003417</t>
  </si>
  <si>
    <t>pay_420003258</t>
  </si>
  <si>
    <t>ORD26003426</t>
  </si>
  <si>
    <t>pay_420003292</t>
  </si>
  <si>
    <t>ord26003456</t>
  </si>
  <si>
    <t>ORD26003456</t>
  </si>
  <si>
    <t>pay_420003319</t>
  </si>
  <si>
    <t>ORD26003481</t>
  </si>
  <si>
    <t>pay_420003322</t>
  </si>
  <si>
    <t>ORD26003485</t>
  </si>
  <si>
    <t>pay_420003433</t>
  </si>
  <si>
    <t>ORD26003602</t>
  </si>
  <si>
    <t>pay_420003435</t>
  </si>
  <si>
    <t>ord26003604</t>
  </si>
  <si>
    <t>ORD26003604</t>
  </si>
  <si>
    <t>pay_420003452</t>
  </si>
  <si>
    <t>ORD26003620</t>
  </si>
  <si>
    <t>pay_420003495</t>
  </si>
  <si>
    <t>ORD26003662</t>
  </si>
  <si>
    <t>pay_420003521</t>
  </si>
  <si>
    <t>ORD26003692</t>
  </si>
  <si>
    <t>pay_420003529</t>
  </si>
  <si>
    <t>ORD26003700</t>
  </si>
  <si>
    <t>pay_420003537</t>
  </si>
  <si>
    <t>ord26003708</t>
  </si>
  <si>
    <t>ORD26003708</t>
  </si>
  <si>
    <t>pay_420003538</t>
  </si>
  <si>
    <t>ord26003709</t>
  </si>
  <si>
    <t>ORD26003709</t>
  </si>
  <si>
    <t>pay_420003573</t>
  </si>
  <si>
    <t>ORD-26003741</t>
  </si>
  <si>
    <t>ORD26003741</t>
  </si>
  <si>
    <t>pay_420003575</t>
  </si>
  <si>
    <t>ORD26003743</t>
  </si>
  <si>
    <t>pay_420003579</t>
  </si>
  <si>
    <t>ORD26003747</t>
  </si>
  <si>
    <t>pay_420003609</t>
  </si>
  <si>
    <t>ORD26003778</t>
  </si>
  <si>
    <t>pay_420003620</t>
  </si>
  <si>
    <t>ORD26003789</t>
  </si>
  <si>
    <t>pay_420003643</t>
  </si>
  <si>
    <t>ORD26003815</t>
  </si>
  <si>
    <t>pay_420003684</t>
  </si>
  <si>
    <t>ORD26003855</t>
  </si>
  <si>
    <t>pay_420003736</t>
  </si>
  <si>
    <t>ORD26003908</t>
  </si>
  <si>
    <t>pay_420003743</t>
  </si>
  <si>
    <t>ORD26003917</t>
  </si>
  <si>
    <t>pay_420003746</t>
  </si>
  <si>
    <t xml:space="preserve">ORD26003920  </t>
  </si>
  <si>
    <t>ORD26003920</t>
  </si>
  <si>
    <t>pay_420003751</t>
  </si>
  <si>
    <t>ORD26003926</t>
  </si>
  <si>
    <t>pay_420003802</t>
  </si>
  <si>
    <t>ORD26003980</t>
  </si>
  <si>
    <t>pay_420003894</t>
  </si>
  <si>
    <t>ORD26004076</t>
  </si>
  <si>
    <t>pay_420003903</t>
  </si>
  <si>
    <t>ORD26004085</t>
  </si>
  <si>
    <t>pay_420003929</t>
  </si>
  <si>
    <t xml:space="preserve">ORD26004113  </t>
  </si>
  <si>
    <t>ORD26004113</t>
  </si>
  <si>
    <t>pay_420003982</t>
  </si>
  <si>
    <t>ord26004170</t>
  </si>
  <si>
    <t>ORD26004170</t>
  </si>
  <si>
    <t>pay_420003990</t>
  </si>
  <si>
    <t>ORD26004177</t>
  </si>
  <si>
    <t>pay_420004002</t>
  </si>
  <si>
    <t>ORD26004189</t>
  </si>
  <si>
    <t>pay_420004021</t>
  </si>
  <si>
    <t>ORD26004211</t>
  </si>
  <si>
    <t>pay_420004117</t>
  </si>
  <si>
    <t>ORD26004310</t>
  </si>
  <si>
    <t>pay_420004122</t>
  </si>
  <si>
    <t>ord26004314</t>
  </si>
  <si>
    <t>ORD26004314</t>
  </si>
  <si>
    <t>pay_420004177</t>
  </si>
  <si>
    <t>ORD26004371</t>
  </si>
  <si>
    <t>pay_420004204</t>
  </si>
  <si>
    <t>ord26004402</t>
  </si>
  <si>
    <t>ORD26004402</t>
  </si>
  <si>
    <t>pay_420004205</t>
  </si>
  <si>
    <t>ord26004403</t>
  </si>
  <si>
    <t>ORD26004403</t>
  </si>
  <si>
    <t>pay_420004220</t>
  </si>
  <si>
    <t>ORD26004418</t>
  </si>
  <si>
    <t>pay_420004242</t>
  </si>
  <si>
    <t>ORD26004441</t>
  </si>
  <si>
    <t>pay_420004246</t>
  </si>
  <si>
    <t>ORD26004445</t>
  </si>
  <si>
    <t>pay_420004289</t>
  </si>
  <si>
    <t>ORD26004488</t>
  </si>
  <si>
    <t>pay_420004291</t>
  </si>
  <si>
    <t>ORD26004490</t>
  </si>
  <si>
    <t>pay_420004297</t>
  </si>
  <si>
    <t>ORD26004496</t>
  </si>
  <si>
    <t>pay_420004398</t>
  </si>
  <si>
    <t>ORD26004603</t>
  </si>
  <si>
    <t>pay_420004452</t>
  </si>
  <si>
    <t>ORD26004661</t>
  </si>
  <si>
    <t>pay_420004492</t>
  </si>
  <si>
    <t>ORD26004704</t>
  </si>
  <si>
    <t>pay_420004494</t>
  </si>
  <si>
    <t>ORD26004706</t>
  </si>
  <si>
    <t>pay_420004500</t>
  </si>
  <si>
    <t>ORD26004713</t>
  </si>
  <si>
    <t>pay_420004541</t>
  </si>
  <si>
    <t>ORD-26004754</t>
  </si>
  <si>
    <t>ORD26004754</t>
  </si>
  <si>
    <t>pay_420004552</t>
  </si>
  <si>
    <t>ORD26004767</t>
  </si>
  <si>
    <t>pay_420004602</t>
  </si>
  <si>
    <t>ORD26004816</t>
  </si>
  <si>
    <t>pay_420004657</t>
  </si>
  <si>
    <t xml:space="preserve">ORD26004877  </t>
  </si>
  <si>
    <t>ORD26004877</t>
  </si>
  <si>
    <t>pay_420004688</t>
  </si>
  <si>
    <t>ORD26004910</t>
  </si>
  <si>
    <t>pay_420004700</t>
  </si>
  <si>
    <t>ORD26004922</t>
  </si>
  <si>
    <t>pay_420004733</t>
  </si>
  <si>
    <t>ORD26004955</t>
  </si>
  <si>
    <t>pay_420004743</t>
  </si>
  <si>
    <t>ORD26004964</t>
  </si>
  <si>
    <t>pay_420004749</t>
  </si>
  <si>
    <t>ORD26004970</t>
  </si>
  <si>
    <t>pay_420004783</t>
  </si>
  <si>
    <t>ORD26005005</t>
  </si>
  <si>
    <t>pay_420004850</t>
  </si>
  <si>
    <t>ORD26005073</t>
  </si>
  <si>
    <t>pay_420004866</t>
  </si>
  <si>
    <t>ORD26005091</t>
  </si>
  <si>
    <t>pay_420004966</t>
  </si>
  <si>
    <t xml:space="preserve">ORD26005199  </t>
  </si>
  <si>
    <t>ORD26005199</t>
  </si>
  <si>
    <t>pay_420005013</t>
  </si>
  <si>
    <t>ORD26005249</t>
  </si>
  <si>
    <t>pay_420005024</t>
  </si>
  <si>
    <t>ORD26005260</t>
  </si>
  <si>
    <t>pay_420005077</t>
  </si>
  <si>
    <t>ORD26005318</t>
  </si>
  <si>
    <t>pay_420005127</t>
  </si>
  <si>
    <t>ORD26005364</t>
  </si>
  <si>
    <t>pay_420005214</t>
  </si>
  <si>
    <t>ord26005455</t>
  </si>
  <si>
    <t>ORD26005455</t>
  </si>
  <si>
    <t>pay_420005230</t>
  </si>
  <si>
    <t>ORD26005468</t>
  </si>
  <si>
    <t>pay_420005254</t>
  </si>
  <si>
    <t>ORD26005492</t>
  </si>
  <si>
    <t>pay_420005257</t>
  </si>
  <si>
    <t xml:space="preserve">ORD26005494  </t>
  </si>
  <si>
    <t>ORD26005494</t>
  </si>
  <si>
    <t>pay_420005259</t>
  </si>
  <si>
    <t>ORD26005496</t>
  </si>
  <si>
    <t>pay_420005260</t>
  </si>
  <si>
    <t>ORD26005497</t>
  </si>
  <si>
    <t>pay_420005358</t>
  </si>
  <si>
    <t>ord26005600</t>
  </si>
  <si>
    <t>ORD26005600</t>
  </si>
  <si>
    <t>pay_420005463</t>
  </si>
  <si>
    <t>ORD26005711</t>
  </si>
  <si>
    <t>pay_420005476</t>
  </si>
  <si>
    <t>ORD26005725</t>
  </si>
  <si>
    <t>pay_420005516</t>
  </si>
  <si>
    <t>ORD26005766</t>
  </si>
  <si>
    <t>pay_420005585</t>
  </si>
  <si>
    <t>ORD26005842</t>
  </si>
  <si>
    <t>pay_420005612</t>
  </si>
  <si>
    <t>ORD26005869</t>
  </si>
  <si>
    <t>pay_420005637</t>
  </si>
  <si>
    <t xml:space="preserve">ORD26005900  </t>
  </si>
  <si>
    <t>ORD26005900</t>
  </si>
  <si>
    <t>pay_420005678</t>
  </si>
  <si>
    <t>ORD26005943</t>
  </si>
  <si>
    <t>pay_420005699</t>
  </si>
  <si>
    <t>ORD26005966</t>
  </si>
  <si>
    <t>rfnd_1C41Q7T6GFAL</t>
  </si>
  <si>
    <t>rfnd_KJKJAE6PT0EL</t>
  </si>
  <si>
    <t>pay_420000042</t>
  </si>
  <si>
    <t>ORD26000043</t>
  </si>
  <si>
    <t>STL-20260906</t>
  </si>
  <si>
    <t>pay_420000048</t>
  </si>
  <si>
    <t>ORD26000050</t>
  </si>
  <si>
    <t>pay_420000091</t>
  </si>
  <si>
    <t>ORD-26000097</t>
  </si>
  <si>
    <t>ORD26000097</t>
  </si>
  <si>
    <t>pay_420000104</t>
  </si>
  <si>
    <t>ORD26000112</t>
  </si>
  <si>
    <t>pay_420000108</t>
  </si>
  <si>
    <t>ORD26000116</t>
  </si>
  <si>
    <t>pay_420000110</t>
  </si>
  <si>
    <t>ORD26000118</t>
  </si>
  <si>
    <t>pay_420000150</t>
  </si>
  <si>
    <t>ORD26000160</t>
  </si>
  <si>
    <t>pay_420000189</t>
  </si>
  <si>
    <t>ORD26000202</t>
  </si>
  <si>
    <t>pay_420000207</t>
  </si>
  <si>
    <t>ORD26000221</t>
  </si>
  <si>
    <t>pay_420000253</t>
  </si>
  <si>
    <t>ORD26000270</t>
  </si>
  <si>
    <t>pay_420000284</t>
  </si>
  <si>
    <t xml:space="preserve">ORD26000300  </t>
  </si>
  <si>
    <t>ORD26000300</t>
  </si>
  <si>
    <t>pay_420000304</t>
  </si>
  <si>
    <t>ORD26000320</t>
  </si>
  <si>
    <t>pay_420000324</t>
  </si>
  <si>
    <t>ORD26000339</t>
  </si>
  <si>
    <t>pay_420000333</t>
  </si>
  <si>
    <t>ORD26000350</t>
  </si>
  <si>
    <t>pay_420000372</t>
  </si>
  <si>
    <t>ORD26000390</t>
  </si>
  <si>
    <t>pay_420000445</t>
  </si>
  <si>
    <t>ORD26000466</t>
  </si>
  <si>
    <t>pay_420000472</t>
  </si>
  <si>
    <t>ORD26000495</t>
  </si>
  <si>
    <t>pay_420000508</t>
  </si>
  <si>
    <t>ORD26000530</t>
  </si>
  <si>
    <t>pay_420000593</t>
  </si>
  <si>
    <t>ORD26000615</t>
  </si>
  <si>
    <t>pay_420000639</t>
  </si>
  <si>
    <t>ORD26000666</t>
  </si>
  <si>
    <t>pay_420000668</t>
  </si>
  <si>
    <t>ord26000697</t>
  </si>
  <si>
    <t>ORD26000697</t>
  </si>
  <si>
    <t>pay_420000741</t>
  </si>
  <si>
    <t>ORD26000775</t>
  </si>
  <si>
    <t>pay_420000746</t>
  </si>
  <si>
    <t xml:space="preserve">ORD26000779  </t>
  </si>
  <si>
    <t>ORD26000779</t>
  </si>
  <si>
    <t>pay_420000747</t>
  </si>
  <si>
    <t>ORD26000780</t>
  </si>
  <si>
    <t>pay_420000761</t>
  </si>
  <si>
    <t>ORD26000793</t>
  </si>
  <si>
    <t>pay_420000776</t>
  </si>
  <si>
    <t xml:space="preserve">ORD26000808  </t>
  </si>
  <si>
    <t>ORD26000808</t>
  </si>
  <si>
    <t>pay_420000803</t>
  </si>
  <si>
    <t xml:space="preserve">ORD26000837  </t>
  </si>
  <si>
    <t>ORD26000837</t>
  </si>
  <si>
    <t>pay_420000813</t>
  </si>
  <si>
    <t>ORD26000846</t>
  </si>
  <si>
    <t>pay_420000830</t>
  </si>
  <si>
    <t>ORD26000864</t>
  </si>
  <si>
    <t>pay_420000876</t>
  </si>
  <si>
    <t>ORD26000915</t>
  </si>
  <si>
    <t>pay_420000935</t>
  </si>
  <si>
    <t>ORD26000977</t>
  </si>
  <si>
    <t>pay_420000950</t>
  </si>
  <si>
    <t>ORD26000992</t>
  </si>
  <si>
    <t>pay_420001078</t>
  </si>
  <si>
    <t>ORD26001120</t>
  </si>
  <si>
    <t>pay_420001113</t>
  </si>
  <si>
    <t>ORD26001160</t>
  </si>
  <si>
    <t>pay_420001127</t>
  </si>
  <si>
    <t>ORD26001175</t>
  </si>
  <si>
    <t>pay_420001174</t>
  </si>
  <si>
    <t>ORD-26001224</t>
  </si>
  <si>
    <t>ORD26001224</t>
  </si>
  <si>
    <t>pay_420001194</t>
  </si>
  <si>
    <t>ORD26001247</t>
  </si>
  <si>
    <t>pay_420001229</t>
  </si>
  <si>
    <t>ORD26001286</t>
  </si>
  <si>
    <t>pay_420001309</t>
  </si>
  <si>
    <t>ORD26001372</t>
  </si>
  <si>
    <t>pay_420001319</t>
  </si>
  <si>
    <t>ord26001381</t>
  </si>
  <si>
    <t>ORD26001381</t>
  </si>
  <si>
    <t>pay_420001343</t>
  </si>
  <si>
    <t>ORD26001407</t>
  </si>
  <si>
    <t>pay_420001372</t>
  </si>
  <si>
    <t>ORD26001440</t>
  </si>
  <si>
    <t>pay_420001387</t>
  </si>
  <si>
    <t>ORD26001457</t>
  </si>
  <si>
    <t>pay_420001395</t>
  </si>
  <si>
    <t>ORD26001465</t>
  </si>
  <si>
    <t>pay_420001400</t>
  </si>
  <si>
    <t>ORD26001470</t>
  </si>
  <si>
    <t>pay_420001402</t>
  </si>
  <si>
    <t>ORD26001472</t>
  </si>
  <si>
    <t>pay_420001461</t>
  </si>
  <si>
    <t>ORD26001526</t>
  </si>
  <si>
    <t>pay_420001480</t>
  </si>
  <si>
    <t>ORD26001544</t>
  </si>
  <si>
    <t>pay_420001498</t>
  </si>
  <si>
    <t>ord26001563</t>
  </si>
  <si>
    <t>ORD26001563</t>
  </si>
  <si>
    <t>pay_420001528</t>
  </si>
  <si>
    <t>ORD26001595</t>
  </si>
  <si>
    <t>pay_420001550</t>
  </si>
  <si>
    <t>ORD-26001618</t>
  </si>
  <si>
    <t>ORD26001618</t>
  </si>
  <si>
    <t>pay_420001559</t>
  </si>
  <si>
    <t>ORD26001627</t>
  </si>
  <si>
    <t>pay_420001574</t>
  </si>
  <si>
    <t>ORD26001645</t>
  </si>
  <si>
    <t>pay_420001595</t>
  </si>
  <si>
    <t>ORD26001669</t>
  </si>
  <si>
    <t>pay_420001598</t>
  </si>
  <si>
    <t>ORD26001672</t>
  </si>
  <si>
    <t>pay_420001608</t>
  </si>
  <si>
    <t>ORD26001683</t>
  </si>
  <si>
    <t>pay_420001626</t>
  </si>
  <si>
    <t>ORD26001701</t>
  </si>
  <si>
    <t>pay_420001688</t>
  </si>
  <si>
    <t>ORD26001767</t>
  </si>
  <si>
    <t>pay_420001713</t>
  </si>
  <si>
    <t>ORD26001794</t>
  </si>
  <si>
    <t>pay_420001739</t>
  </si>
  <si>
    <t>ORD26001820</t>
  </si>
  <si>
    <t>pay_420001815</t>
  </si>
  <si>
    <t>ORD26001898</t>
  </si>
  <si>
    <t>pay_420001858</t>
  </si>
  <si>
    <t>ORD26001944</t>
  </si>
  <si>
    <t>pay_420001947</t>
  </si>
  <si>
    <t xml:space="preserve">ORD26002041  </t>
  </si>
  <si>
    <t>ORD26002041</t>
  </si>
  <si>
    <t>pay_420002064</t>
  </si>
  <si>
    <t>ORD26002156</t>
  </si>
  <si>
    <t>pay_420002074</t>
  </si>
  <si>
    <t>ORD26002165</t>
  </si>
  <si>
    <t>pay_420002084</t>
  </si>
  <si>
    <t>ORD26002178</t>
  </si>
  <si>
    <t>pay_420002090</t>
  </si>
  <si>
    <t>ORD26002185</t>
  </si>
  <si>
    <t>pay_420002125</t>
  </si>
  <si>
    <t>ORD26002228</t>
  </si>
  <si>
    <t>pay_420002127</t>
  </si>
  <si>
    <t>ORD26002230</t>
  </si>
  <si>
    <t>pay_420002163</t>
  </si>
  <si>
    <t>ORD26002264</t>
  </si>
  <si>
    <t>pay_420002203</t>
  </si>
  <si>
    <t>ORD26002307</t>
  </si>
  <si>
    <t>pay_420002238</t>
  </si>
  <si>
    <t>ord26002342</t>
  </si>
  <si>
    <t>ORD26002342</t>
  </si>
  <si>
    <t>pay_420002266</t>
  </si>
  <si>
    <t>ord26002374</t>
  </si>
  <si>
    <t>ORD26002374</t>
  </si>
  <si>
    <t>pay_420002289</t>
  </si>
  <si>
    <t>ORD26002401</t>
  </si>
  <si>
    <t>pay_420002297</t>
  </si>
  <si>
    <t>ORD-26002410</t>
  </si>
  <si>
    <t>ORD26002410</t>
  </si>
  <si>
    <t>pay_420002305</t>
  </si>
  <si>
    <t>ORD26002419</t>
  </si>
  <si>
    <t>pay_420002316</t>
  </si>
  <si>
    <t>ORD26002429</t>
  </si>
  <si>
    <t>pay_420002333</t>
  </si>
  <si>
    <t xml:space="preserve">ORD26002447  </t>
  </si>
  <si>
    <t>ORD26002447</t>
  </si>
  <si>
    <t>pay_420002367</t>
  </si>
  <si>
    <t>ORD26002480</t>
  </si>
  <si>
    <t>pay_420002390</t>
  </si>
  <si>
    <t>ORD26002502</t>
  </si>
  <si>
    <t>pay_420002417</t>
  </si>
  <si>
    <t>ORD26002531</t>
  </si>
  <si>
    <t>pay_420002430</t>
  </si>
  <si>
    <t>ORD26002542</t>
  </si>
  <si>
    <t>pay_420002442</t>
  </si>
  <si>
    <t>ORD26002556</t>
  </si>
  <si>
    <t>pay_420002487</t>
  </si>
  <si>
    <t>ORD26002604</t>
  </si>
  <si>
    <t>pay_420002538</t>
  </si>
  <si>
    <t>ORD-26002662</t>
  </si>
  <si>
    <t>ORD26002662</t>
  </si>
  <si>
    <t>pay_420002586</t>
  </si>
  <si>
    <t>ORD26002713</t>
  </si>
  <si>
    <t>pay_420002647</t>
  </si>
  <si>
    <t>ORD26002777</t>
  </si>
  <si>
    <t>pay_420002654</t>
  </si>
  <si>
    <t>ORD26002786</t>
  </si>
  <si>
    <t>pay_420002662</t>
  </si>
  <si>
    <t>ORD-26002795</t>
  </si>
  <si>
    <t>ORD26002795</t>
  </si>
  <si>
    <t>pay_420002668</t>
  </si>
  <si>
    <t>ORD26002801</t>
  </si>
  <si>
    <t>pay_420002686</t>
  </si>
  <si>
    <t>ord26002818</t>
  </si>
  <si>
    <t>ORD26002818</t>
  </si>
  <si>
    <t>pay_420002692</t>
  </si>
  <si>
    <t>ORD26002824</t>
  </si>
  <si>
    <t>pay_420002729</t>
  </si>
  <si>
    <t>ORD26002867</t>
  </si>
  <si>
    <t>pay_420002744</t>
  </si>
  <si>
    <t>ORD26002881</t>
  </si>
  <si>
    <t>pay_420002746</t>
  </si>
  <si>
    <t>ORD26002883</t>
  </si>
  <si>
    <t>pay_420002802</t>
  </si>
  <si>
    <t>ORD26002944</t>
  </si>
  <si>
    <t>pay_420002931</t>
  </si>
  <si>
    <t>ORD26003075</t>
  </si>
  <si>
    <t>pay_420002960</t>
  </si>
  <si>
    <t>ORD26003106</t>
  </si>
  <si>
    <t>pay_420002961</t>
  </si>
  <si>
    <t>ORD26003107</t>
  </si>
  <si>
    <t>pay_420003036</t>
  </si>
  <si>
    <t>ORD26003187</t>
  </si>
  <si>
    <t>pay_420003041</t>
  </si>
  <si>
    <t>ORD26003193</t>
  </si>
  <si>
    <t>pay_420003063</t>
  </si>
  <si>
    <t>ORD26003216</t>
  </si>
  <si>
    <t>pay_420003118</t>
  </si>
  <si>
    <t>ORD26003278</t>
  </si>
  <si>
    <t>pay_420003142</t>
  </si>
  <si>
    <t>ORD26003303</t>
  </si>
  <si>
    <t>pay_420003162</t>
  </si>
  <si>
    <t>ORD26003323</t>
  </si>
  <si>
    <t>pay_420003187</t>
  </si>
  <si>
    <t>ORD26003348</t>
  </si>
  <si>
    <t>pay_420003293</t>
  </si>
  <si>
    <t>ORD26003457</t>
  </si>
  <si>
    <t>pay_420003324</t>
  </si>
  <si>
    <t>ORD26003487</t>
  </si>
  <si>
    <t>pay_420003355</t>
  </si>
  <si>
    <t>ORD26003519</t>
  </si>
  <si>
    <t>pay_420003367</t>
  </si>
  <si>
    <t>ORD26003533</t>
  </si>
  <si>
    <t>pay_420003384</t>
  </si>
  <si>
    <t xml:space="preserve">ORD26003551  </t>
  </si>
  <si>
    <t>ORD26003551</t>
  </si>
  <si>
    <t>pay_420003415</t>
  </si>
  <si>
    <t>ORD26003582</t>
  </si>
  <si>
    <t>pay_420003468</t>
  </si>
  <si>
    <t>ORD-26003636</t>
  </si>
  <si>
    <t>ORD26003636</t>
  </si>
  <si>
    <t>pay_420003488</t>
  </si>
  <si>
    <t>ORD26003656</t>
  </si>
  <si>
    <t>pay_420003562</t>
  </si>
  <si>
    <t>ord26003730</t>
  </si>
  <si>
    <t>ORD26003730</t>
  </si>
  <si>
    <t>pay_420003585</t>
  </si>
  <si>
    <t>ORD26003754</t>
  </si>
  <si>
    <t>pay_420003646</t>
  </si>
  <si>
    <t>ORD26003818</t>
  </si>
  <si>
    <t>pay_420003685</t>
  </si>
  <si>
    <t>ord26003856</t>
  </si>
  <si>
    <t>ORD26003856</t>
  </si>
  <si>
    <t>pay_420003722</t>
  </si>
  <si>
    <t>ORD26003895</t>
  </si>
  <si>
    <t>pay_420003735</t>
  </si>
  <si>
    <t>ORD26003907</t>
  </si>
  <si>
    <t>pay_420003748</t>
  </si>
  <si>
    <t>ORD26003923</t>
  </si>
  <si>
    <t>pay_420003763</t>
  </si>
  <si>
    <t>ord26003938</t>
  </si>
  <si>
    <t>ORD26003938</t>
  </si>
  <si>
    <t>pay_420003784</t>
  </si>
  <si>
    <t>ORD26003961</t>
  </si>
  <si>
    <t>pay_420003832</t>
  </si>
  <si>
    <t>ORD26004013</t>
  </si>
  <si>
    <t>pay_420003847</t>
  </si>
  <si>
    <t>ORD26004028</t>
  </si>
  <si>
    <t>pay_420003900</t>
  </si>
  <si>
    <t>ORD26004081</t>
  </si>
  <si>
    <t>pay_420003901</t>
  </si>
  <si>
    <t>ORD26004083</t>
  </si>
  <si>
    <t>pay_420003918</t>
  </si>
  <si>
    <t>ORD26004100</t>
  </si>
  <si>
    <t>pay_420003943</t>
  </si>
  <si>
    <t>ORD26004126</t>
  </si>
  <si>
    <t>pay_420003952</t>
  </si>
  <si>
    <t>ORD26004135</t>
  </si>
  <si>
    <t>pay_420003970</t>
  </si>
  <si>
    <t>ORD26004154</t>
  </si>
  <si>
    <t>pay_420004041</t>
  </si>
  <si>
    <t>ord26004231</t>
  </si>
  <si>
    <t>ORD26004231</t>
  </si>
  <si>
    <t>pay_420004044</t>
  </si>
  <si>
    <t>ORD26004234</t>
  </si>
  <si>
    <t>pay_420004051</t>
  </si>
  <si>
    <t>ORD26004242</t>
  </si>
  <si>
    <t>pay_420004059</t>
  </si>
  <si>
    <t xml:space="preserve">ORD26004251  </t>
  </si>
  <si>
    <t>ORD26004251</t>
  </si>
  <si>
    <t>pay_420004078</t>
  </si>
  <si>
    <t>ord26004271</t>
  </si>
  <si>
    <t>ORD26004271</t>
  </si>
  <si>
    <t>pay_420004089</t>
  </si>
  <si>
    <t>ORD26004282</t>
  </si>
  <si>
    <t>pay_420004149</t>
  </si>
  <si>
    <t>ORD26004341</t>
  </si>
  <si>
    <t>pay_420004214</t>
  </si>
  <si>
    <t>ORD26004412</t>
  </si>
  <si>
    <t>pay_420004313</t>
  </si>
  <si>
    <t>ORD26004515</t>
  </si>
  <si>
    <t>pay_420004328</t>
  </si>
  <si>
    <t>ORD26004529</t>
  </si>
  <si>
    <t>pay_420004338</t>
  </si>
  <si>
    <t>ORD26004539</t>
  </si>
  <si>
    <t>pay_420004392</t>
  </si>
  <si>
    <t>ORD26004595</t>
  </si>
  <si>
    <t>pay_420004445</t>
  </si>
  <si>
    <t>ORD26004654</t>
  </si>
  <si>
    <t>pay_420004512</t>
  </si>
  <si>
    <t>ORD26004725</t>
  </si>
  <si>
    <t>pay_420004525</t>
  </si>
  <si>
    <t>ord26004738</t>
  </si>
  <si>
    <t>ORD26004738</t>
  </si>
  <si>
    <t>pay_420004553</t>
  </si>
  <si>
    <t>ORD26004768</t>
  </si>
  <si>
    <t>pay_420004611</t>
  </si>
  <si>
    <t>ord26004824</t>
  </si>
  <si>
    <t>ORD26004824</t>
  </si>
  <si>
    <t>pay_420004641</t>
  </si>
  <si>
    <t>ORD26004858</t>
  </si>
  <si>
    <t>pay_420004647</t>
  </si>
  <si>
    <t>ORD26004867</t>
  </si>
  <si>
    <t>pay_420004682</t>
  </si>
  <si>
    <t>ORD26004903</t>
  </si>
  <si>
    <t>pay_420004758</t>
  </si>
  <si>
    <t>ORD26004979</t>
  </si>
  <si>
    <t>pay_420004759</t>
  </si>
  <si>
    <t>ORD26004980</t>
  </si>
  <si>
    <t>pay_420004794</t>
  </si>
  <si>
    <t>ORD26005016</t>
  </si>
  <si>
    <t>pay_420004852</t>
  </si>
  <si>
    <t>ORD26005075</t>
  </si>
  <si>
    <t>pay_420004856</t>
  </si>
  <si>
    <t>ORD26005079</t>
  </si>
  <si>
    <t>pay_420004864</t>
  </si>
  <si>
    <t>ORD26005087</t>
  </si>
  <si>
    <t>pay_420004886</t>
  </si>
  <si>
    <t>ORD26005113</t>
  </si>
  <si>
    <t>pay_420004888</t>
  </si>
  <si>
    <t>ORD26005116</t>
  </si>
  <si>
    <t>pay_420004889</t>
  </si>
  <si>
    <t>ORD26005117</t>
  </si>
  <si>
    <t>pay_420004891</t>
  </si>
  <si>
    <t>ORD-26005119</t>
  </si>
  <si>
    <t>ORD26005119</t>
  </si>
  <si>
    <t>pay_420004983</t>
  </si>
  <si>
    <t>ORD26005216</t>
  </si>
  <si>
    <t>pay_420004997</t>
  </si>
  <si>
    <t>ord26005233</t>
  </si>
  <si>
    <t>ORD26005233</t>
  </si>
  <si>
    <t>pay_420005008</t>
  </si>
  <si>
    <t>ORD26005244</t>
  </si>
  <si>
    <t>pay_420005009</t>
  </si>
  <si>
    <t>ORD26005245</t>
  </si>
  <si>
    <t>pay_420005023</t>
  </si>
  <si>
    <t>ORD26005259</t>
  </si>
  <si>
    <t>pay_420005058</t>
  </si>
  <si>
    <t>ORD26005296</t>
  </si>
  <si>
    <t>pay_420005063</t>
  </si>
  <si>
    <t>ORD26005302</t>
  </si>
  <si>
    <t>pay_420005079</t>
  </si>
  <si>
    <t>ORD26005320</t>
  </si>
  <si>
    <t>pay_420005104</t>
  </si>
  <si>
    <t>ORD26005343</t>
  </si>
  <si>
    <t>pay_420005125</t>
  </si>
  <si>
    <t>ORD26005362</t>
  </si>
  <si>
    <t>pay_420005129</t>
  </si>
  <si>
    <t>ORD26005367</t>
  </si>
  <si>
    <t>pay_420005209</t>
  </si>
  <si>
    <t>ord26005450</t>
  </si>
  <si>
    <t>ORD26005450</t>
  </si>
  <si>
    <t>pay_420005213</t>
  </si>
  <si>
    <t>ORD26005454</t>
  </si>
  <si>
    <t>pay_420005229</t>
  </si>
  <si>
    <t>ORD26005467</t>
  </si>
  <si>
    <t>pay_420005234</t>
  </si>
  <si>
    <t>ORD26005472</t>
  </si>
  <si>
    <t>pay_420005294</t>
  </si>
  <si>
    <t>ORD26005532</t>
  </si>
  <si>
    <t>pay_420005326</t>
  </si>
  <si>
    <t>ORD26005567</t>
  </si>
  <si>
    <t>pay_420005347</t>
  </si>
  <si>
    <t>ORD26005589</t>
  </si>
  <si>
    <t>pay_420005354</t>
  </si>
  <si>
    <t>ORD26005596</t>
  </si>
  <si>
    <t>pay_420005363</t>
  </si>
  <si>
    <t>ORD26005605</t>
  </si>
  <si>
    <t>pay_420005369</t>
  </si>
  <si>
    <t>ORD26005611</t>
  </si>
  <si>
    <t>pay_420005376</t>
  </si>
  <si>
    <t>ORD26005619</t>
  </si>
  <si>
    <t>pay_420005378</t>
  </si>
  <si>
    <t>ord26005621</t>
  </si>
  <si>
    <t>ORD26005621</t>
  </si>
  <si>
    <t>pay_420005415</t>
  </si>
  <si>
    <t>ORD26005660</t>
  </si>
  <si>
    <t>pay_420005453</t>
  </si>
  <si>
    <t>ORD26005701</t>
  </si>
  <si>
    <t>pay_420005460</t>
  </si>
  <si>
    <t>ORD26005708</t>
  </si>
  <si>
    <t>pay_420005467</t>
  </si>
  <si>
    <t>ORD26005716</t>
  </si>
  <si>
    <t>pay_420005475</t>
  </si>
  <si>
    <t>ORD-26005724</t>
  </si>
  <si>
    <t>ORD26005724</t>
  </si>
  <si>
    <t>pay_420005503</t>
  </si>
  <si>
    <t>ORD26005753</t>
  </si>
  <si>
    <t>pay_420005565</t>
  </si>
  <si>
    <t>ORD26005819</t>
  </si>
  <si>
    <t>pay_420005569</t>
  </si>
  <si>
    <t>ORD26005824</t>
  </si>
  <si>
    <t>pay_420005665</t>
  </si>
  <si>
    <t>ORD-26005930</t>
  </si>
  <si>
    <t>ORD26005930</t>
  </si>
  <si>
    <t>pay_420005675</t>
  </si>
  <si>
    <t>ORD26005940</t>
  </si>
  <si>
    <t>pay_420005728</t>
  </si>
  <si>
    <t>ORD26005995</t>
  </si>
  <si>
    <t>pay_420005731</t>
  </si>
  <si>
    <t>ORD26005998</t>
  </si>
  <si>
    <t>rfnd_1R7WDBXGYHDQ</t>
  </si>
  <si>
    <t>rfnd_GKK57QSMZQR7</t>
  </si>
  <si>
    <t>pay_420000116</t>
  </si>
  <si>
    <t>ORD26000125</t>
  </si>
  <si>
    <t>STL-20260907</t>
  </si>
  <si>
    <t>pay_420000220</t>
  </si>
  <si>
    <t>ORD26000235</t>
  </si>
  <si>
    <t>pay_420000266</t>
  </si>
  <si>
    <t>ORD26000283</t>
  </si>
  <si>
    <t>pay_420000267</t>
  </si>
  <si>
    <t xml:space="preserve">ORD26000284  </t>
  </si>
  <si>
    <t>ORD26000284</t>
  </si>
  <si>
    <t>pay_420000320</t>
  </si>
  <si>
    <t>ORD26000335</t>
  </si>
  <si>
    <t>pay_420000329</t>
  </si>
  <si>
    <t>ORD26000345</t>
  </si>
  <si>
    <t>pay_420000387</t>
  </si>
  <si>
    <t>ORD26000405</t>
  </si>
  <si>
    <t>pay_420000389</t>
  </si>
  <si>
    <t>ORD26000408</t>
  </si>
  <si>
    <t>pay_420000486</t>
  </si>
  <si>
    <t>ORD26000510</t>
  </si>
  <si>
    <t>pay_420000504</t>
  </si>
  <si>
    <t>ORD26000526</t>
  </si>
  <si>
    <t>pay_420000520</t>
  </si>
  <si>
    <t>ORD26000545</t>
  </si>
  <si>
    <t>pay_420000578</t>
  </si>
  <si>
    <t>ORD26000599</t>
  </si>
  <si>
    <t>pay_420000582</t>
  </si>
  <si>
    <t>ORD26000604</t>
  </si>
  <si>
    <t>pay_420000612</t>
  </si>
  <si>
    <t>ORD26000635</t>
  </si>
  <si>
    <t>pay_420000620</t>
  </si>
  <si>
    <t>ORD26000644</t>
  </si>
  <si>
    <t>pay_420000666</t>
  </si>
  <si>
    <t>ORD26000695</t>
  </si>
  <si>
    <t>pay_420000701</t>
  </si>
  <si>
    <t>ORD26000734</t>
  </si>
  <si>
    <t>pay_420000709</t>
  </si>
  <si>
    <t>ORD26000742</t>
  </si>
  <si>
    <t>pay_420000745</t>
  </si>
  <si>
    <t>ord26000778</t>
  </si>
  <si>
    <t>ORD26000778</t>
  </si>
  <si>
    <t>pay_420000811</t>
  </si>
  <si>
    <t>ORD26000844</t>
  </si>
  <si>
    <t>pay_420000888</t>
  </si>
  <si>
    <t>ORD26000926</t>
  </si>
  <si>
    <t>pay_420000889</t>
  </si>
  <si>
    <t>ORD26000927</t>
  </si>
  <si>
    <t>pay_420000900</t>
  </si>
  <si>
    <t>ORD-26000939</t>
  </si>
  <si>
    <t>ORD26000939</t>
  </si>
  <si>
    <t>pay_420000926</t>
  </si>
  <si>
    <t>ORD26000966</t>
  </si>
  <si>
    <t>pay_420000940</t>
  </si>
  <si>
    <t>ORD26000982</t>
  </si>
  <si>
    <t>pay_420000953</t>
  </si>
  <si>
    <t>ORD26000997</t>
  </si>
  <si>
    <t>pay_420000964</t>
  </si>
  <si>
    <t>ORD26001006</t>
  </si>
  <si>
    <t>pay_420000992</t>
  </si>
  <si>
    <t>ORD26001035</t>
  </si>
  <si>
    <t>pay_420001073</t>
  </si>
  <si>
    <t>ORD26001115</t>
  </si>
  <si>
    <t>pay_420001122</t>
  </si>
  <si>
    <t>ord26001170</t>
  </si>
  <si>
    <t>ORD26001170</t>
  </si>
  <si>
    <t>pay_420001123</t>
  </si>
  <si>
    <t>ORD26001171</t>
  </si>
  <si>
    <t>pay_420001149</t>
  </si>
  <si>
    <t>ORD26001198</t>
  </si>
  <si>
    <t>pay_420001151</t>
  </si>
  <si>
    <t>ORD26001200</t>
  </si>
  <si>
    <t>pay_420001165</t>
  </si>
  <si>
    <t>ord26001214</t>
  </si>
  <si>
    <t>ORD26001214</t>
  </si>
  <si>
    <t>pay_420001181</t>
  </si>
  <si>
    <t>ORD26001234</t>
  </si>
  <si>
    <t>pay_420001186</t>
  </si>
  <si>
    <t>ord26001239</t>
  </si>
  <si>
    <t>ORD26001239</t>
  </si>
  <si>
    <t>pay_420001189</t>
  </si>
  <si>
    <t>ord26001242</t>
  </si>
  <si>
    <t>ORD26001242</t>
  </si>
  <si>
    <t>pay_420001263</t>
  </si>
  <si>
    <t>ORD26001321</t>
  </si>
  <si>
    <t>pay_420001282</t>
  </si>
  <si>
    <t>ORD26001342</t>
  </si>
  <si>
    <t>pay_420001283</t>
  </si>
  <si>
    <t>ORD26001343</t>
  </si>
  <si>
    <t>pay_420001375</t>
  </si>
  <si>
    <t>ORD26001444</t>
  </si>
  <si>
    <t>pay_420001401</t>
  </si>
  <si>
    <t>ORD26001471</t>
  </si>
  <si>
    <t>pay_420001405</t>
  </si>
  <si>
    <t xml:space="preserve">ORD26001475  </t>
  </si>
  <si>
    <t>ORD26001475</t>
  </si>
  <si>
    <t>pay_420001427</t>
  </si>
  <si>
    <t>ORD26001495</t>
  </si>
  <si>
    <t>pay_420001433</t>
  </si>
  <si>
    <t>ORD26001500</t>
  </si>
  <si>
    <t>pay_420001439</t>
  </si>
  <si>
    <t>ORD26001506</t>
  </si>
  <si>
    <t>pay_420001474</t>
  </si>
  <si>
    <t>ord26001538</t>
  </si>
  <si>
    <t>ORD26001538</t>
  </si>
  <si>
    <t>pay_420001481</t>
  </si>
  <si>
    <t>ord26001546</t>
  </si>
  <si>
    <t>ORD26001546</t>
  </si>
  <si>
    <t>pay_420001485</t>
  </si>
  <si>
    <t>ORD-26001550</t>
  </si>
  <si>
    <t>ORD26001550</t>
  </si>
  <si>
    <t>pay_420001631</t>
  </si>
  <si>
    <t>ORD-26001707</t>
  </si>
  <si>
    <t>ORD26001707</t>
  </si>
  <si>
    <t>pay_420001643</t>
  </si>
  <si>
    <t>ORD26001720</t>
  </si>
  <si>
    <t>pay_420001644</t>
  </si>
  <si>
    <t>ORD26001721</t>
  </si>
  <si>
    <t>pay_420001678</t>
  </si>
  <si>
    <t>ORD26001759</t>
  </si>
  <si>
    <t>pay_420001703</t>
  </si>
  <si>
    <t>ORD26001783</t>
  </si>
  <si>
    <t>pay_420001770</t>
  </si>
  <si>
    <t>ORD26001852</t>
  </si>
  <si>
    <t>pay_420001818</t>
  </si>
  <si>
    <t>ORD26001901</t>
  </si>
  <si>
    <t>pay_420001856</t>
  </si>
  <si>
    <t>ORD26001941</t>
  </si>
  <si>
    <t>pay_420001878</t>
  </si>
  <si>
    <t>ORD26001967</t>
  </si>
  <si>
    <t>pay_420001903</t>
  </si>
  <si>
    <t>ORD26001992</t>
  </si>
  <si>
    <t>pay_420001936</t>
  </si>
  <si>
    <t>ORD26002029</t>
  </si>
  <si>
    <t>pay_420002012</t>
  </si>
  <si>
    <t>ORD26002103</t>
  </si>
  <si>
    <t>pay_420002014</t>
  </si>
  <si>
    <t>ORD26002105</t>
  </si>
  <si>
    <t>pay_420002170</t>
  </si>
  <si>
    <t xml:space="preserve">ORD26002271  </t>
  </si>
  <si>
    <t>ORD26002271</t>
  </si>
  <si>
    <t>pay_420002269</t>
  </si>
  <si>
    <t>ORD26002377</t>
  </si>
  <si>
    <t>pay_420002271</t>
  </si>
  <si>
    <t xml:space="preserve">ORD26002379  </t>
  </si>
  <si>
    <t>ORD26002379</t>
  </si>
  <si>
    <t>pay_420002275</t>
  </si>
  <si>
    <t>ORD26002385</t>
  </si>
  <si>
    <t>pay_420002339</t>
  </si>
  <si>
    <t>ORD26002453</t>
  </si>
  <si>
    <t>pay_420002345</t>
  </si>
  <si>
    <t>ORD26002458</t>
  </si>
  <si>
    <t>pay_420002402</t>
  </si>
  <si>
    <t>ORD26002513</t>
  </si>
  <si>
    <t>pay_420002515</t>
  </si>
  <si>
    <t xml:space="preserve">ORD26002635  </t>
  </si>
  <si>
    <t>ORD26002635</t>
  </si>
  <si>
    <t>pay_420002614</t>
  </si>
  <si>
    <t>ORD26002744</t>
  </si>
  <si>
    <t>pay_420002629</t>
  </si>
  <si>
    <t>ORD26002757</t>
  </si>
  <si>
    <t>pay_420002640</t>
  </si>
  <si>
    <t>ORD26002769</t>
  </si>
  <si>
    <t>pay_420002643</t>
  </si>
  <si>
    <t>ORD26002772</t>
  </si>
  <si>
    <t>pay_420002648</t>
  </si>
  <si>
    <t>ORD26002778</t>
  </si>
  <si>
    <t>pay_420002696</t>
  </si>
  <si>
    <t>ORD26002830</t>
  </si>
  <si>
    <t>pay_420002709</t>
  </si>
  <si>
    <t>ORD26002845</t>
  </si>
  <si>
    <t>pay_420002718</t>
  </si>
  <si>
    <t>ORD26002856</t>
  </si>
  <si>
    <t>pay_420002722</t>
  </si>
  <si>
    <t>ORD26002860</t>
  </si>
  <si>
    <t>pay_420002727</t>
  </si>
  <si>
    <t>ORD26002865</t>
  </si>
  <si>
    <t>pay_420002750</t>
  </si>
  <si>
    <t>ORD26002888</t>
  </si>
  <si>
    <t>pay_420002751</t>
  </si>
  <si>
    <t>ORD26002889</t>
  </si>
  <si>
    <t>pay_420002805</t>
  </si>
  <si>
    <t>ORD26002947</t>
  </si>
  <si>
    <t>pay_420002810</t>
  </si>
  <si>
    <t>ORD26002952</t>
  </si>
  <si>
    <t>pay_420002847</t>
  </si>
  <si>
    <t>ord26002990</t>
  </si>
  <si>
    <t>ORD26002990</t>
  </si>
  <si>
    <t>pay_420002876</t>
  </si>
  <si>
    <t>ORD26003017</t>
  </si>
  <si>
    <t>pay_420002880</t>
  </si>
  <si>
    <t>ORD26003021</t>
  </si>
  <si>
    <t>pay_420002910</t>
  </si>
  <si>
    <t>ORD26003054</t>
  </si>
  <si>
    <t>pay_420002956</t>
  </si>
  <si>
    <t>ORD26003101</t>
  </si>
  <si>
    <t>pay_420003002</t>
  </si>
  <si>
    <t>ORD26003153</t>
  </si>
  <si>
    <t>pay_420003019</t>
  </si>
  <si>
    <t>ORD26003170</t>
  </si>
  <si>
    <t>pay_420003052</t>
  </si>
  <si>
    <t>ORD26003204</t>
  </si>
  <si>
    <t>pay_420003062</t>
  </si>
  <si>
    <t>ORD26003215</t>
  </si>
  <si>
    <t>pay_420003097</t>
  </si>
  <si>
    <t>ORD26003253</t>
  </si>
  <si>
    <t>pay_420003161</t>
  </si>
  <si>
    <t>ord26003322</t>
  </si>
  <si>
    <t>ORD26003322</t>
  </si>
  <si>
    <t>pay_420003186</t>
  </si>
  <si>
    <t>ORD26003347</t>
  </si>
  <si>
    <t>pay_420003197</t>
  </si>
  <si>
    <t>ORD26003358</t>
  </si>
  <si>
    <t>pay_420003252</t>
  </si>
  <si>
    <t>ORD26003416</t>
  </si>
  <si>
    <t>pay_420003284</t>
  </si>
  <si>
    <t>ORD26003448</t>
  </si>
  <si>
    <t>pay_420003391</t>
  </si>
  <si>
    <t>ORD26003557</t>
  </si>
  <si>
    <t>pay_420003490</t>
  </si>
  <si>
    <t>ORD26003658</t>
  </si>
  <si>
    <t>pay_420003503</t>
  </si>
  <si>
    <t>ORD-26003671</t>
  </si>
  <si>
    <t>ORD26003671</t>
  </si>
  <si>
    <t>pay_420003507</t>
  </si>
  <si>
    <t>ORD26003676</t>
  </si>
  <si>
    <t>pay_420003563</t>
  </si>
  <si>
    <t>ORD26003731</t>
  </si>
  <si>
    <t>pay_420003576</t>
  </si>
  <si>
    <t>ORD26003744</t>
  </si>
  <si>
    <t>pay_420003581</t>
  </si>
  <si>
    <t>ORD26003749</t>
  </si>
  <si>
    <t>pay_420003608</t>
  </si>
  <si>
    <t>ORD26003777</t>
  </si>
  <si>
    <t>pay_420003629</t>
  </si>
  <si>
    <t>ORD26003799</t>
  </si>
  <si>
    <t>pay_420003649</t>
  </si>
  <si>
    <t>ORD26003821</t>
  </si>
  <si>
    <t>pay_420003659</t>
  </si>
  <si>
    <t>ORD26003830</t>
  </si>
  <si>
    <t>pay_420003668</t>
  </si>
  <si>
    <t>ORD26003838</t>
  </si>
  <si>
    <t>pay_420003691</t>
  </si>
  <si>
    <t>ORD26003862</t>
  </si>
  <si>
    <t>pay_420003714</t>
  </si>
  <si>
    <t>ORD26003887</t>
  </si>
  <si>
    <t>pay_420003767</t>
  </si>
  <si>
    <t>ORD26003942</t>
  </si>
  <si>
    <t>pay_420003789</t>
  </si>
  <si>
    <t xml:space="preserve">ORD26003966  </t>
  </si>
  <si>
    <t>ORD26003966</t>
  </si>
  <si>
    <t>pay_420003810</t>
  </si>
  <si>
    <t>ORD26003990</t>
  </si>
  <si>
    <t>pay_420003831</t>
  </si>
  <si>
    <t>ORD26004012</t>
  </si>
  <si>
    <t>pay_420003887</t>
  </si>
  <si>
    <t>ORD26004069</t>
  </si>
  <si>
    <t>pay_420003889</t>
  </si>
  <si>
    <t>ORD26004071</t>
  </si>
  <si>
    <t>pay_420003913</t>
  </si>
  <si>
    <t>ORD26004095</t>
  </si>
  <si>
    <t>pay_420003950</t>
  </si>
  <si>
    <t xml:space="preserve">ORD26004133  </t>
  </si>
  <si>
    <t>ORD26004133</t>
  </si>
  <si>
    <t>pay_420003958</t>
  </si>
  <si>
    <t>ord26004142</t>
  </si>
  <si>
    <t>ORD26004142</t>
  </si>
  <si>
    <t>pay_420003974</t>
  </si>
  <si>
    <t>ord26004159</t>
  </si>
  <si>
    <t>ORD26004159</t>
  </si>
  <si>
    <t>pay_420004005</t>
  </si>
  <si>
    <t>ORD26004192</t>
  </si>
  <si>
    <t>pay_420004066</t>
  </si>
  <si>
    <t>ORD26004259</t>
  </si>
  <si>
    <t>pay_420004067</t>
  </si>
  <si>
    <t>ORD26004260</t>
  </si>
  <si>
    <t>pay_420004109</t>
  </si>
  <si>
    <t>ORD26004304</t>
  </si>
  <si>
    <t>pay_420004146</t>
  </si>
  <si>
    <t>ord26004338</t>
  </si>
  <si>
    <t>ORD26004338</t>
  </si>
  <si>
    <t>pay_420004150</t>
  </si>
  <si>
    <t>ORD26004342</t>
  </si>
  <si>
    <t>pay_420004161</t>
  </si>
  <si>
    <t>ORD26004354</t>
  </si>
  <si>
    <t>pay_420004256</t>
  </si>
  <si>
    <t>ORD26004455</t>
  </si>
  <si>
    <t>pay_420004363</t>
  </si>
  <si>
    <t>ORD26004565</t>
  </si>
  <si>
    <t>pay_420004372</t>
  </si>
  <si>
    <t>ORD26004575</t>
  </si>
  <si>
    <t>pay_420004378</t>
  </si>
  <si>
    <t xml:space="preserve">ORD26004581  </t>
  </si>
  <si>
    <t>ORD26004581</t>
  </si>
  <si>
    <t>pay_420004393</t>
  </si>
  <si>
    <t>ORD26004597</t>
  </si>
  <si>
    <t>pay_420004405</t>
  </si>
  <si>
    <t>ORD26004611</t>
  </si>
  <si>
    <t>pay_420004426</t>
  </si>
  <si>
    <t>ORD26004634</t>
  </si>
  <si>
    <t>pay_420004455</t>
  </si>
  <si>
    <t>ORD26004664</t>
  </si>
  <si>
    <t>pay_420004524</t>
  </si>
  <si>
    <t>ORD26004737</t>
  </si>
  <si>
    <t>pay_420004526</t>
  </si>
  <si>
    <t>ORD26004739</t>
  </si>
  <si>
    <t>pay_420004536</t>
  </si>
  <si>
    <t>ORD26004749</t>
  </si>
  <si>
    <t>pay_420004540</t>
  </si>
  <si>
    <t>ORD26004753</t>
  </si>
  <si>
    <t>pay_420004546</t>
  </si>
  <si>
    <t>ORD26004759</t>
  </si>
  <si>
    <t>pay_420004558</t>
  </si>
  <si>
    <t>ORD26004772</t>
  </si>
  <si>
    <t>pay_420004609</t>
  </si>
  <si>
    <t>ord26004822</t>
  </si>
  <si>
    <t>ORD26004822</t>
  </si>
  <si>
    <t>pay_420004612</t>
  </si>
  <si>
    <t>ORD26004825</t>
  </si>
  <si>
    <t>pay_420004615</t>
  </si>
  <si>
    <t>ORD26004828</t>
  </si>
  <si>
    <t>pay_420004741</t>
  </si>
  <si>
    <t>ORD26004962</t>
  </si>
  <si>
    <t>pay_420004742</t>
  </si>
  <si>
    <t>ORD26004963</t>
  </si>
  <si>
    <t>pay_420004792</t>
  </si>
  <si>
    <t>ORD26005014</t>
  </si>
  <si>
    <t>pay_420004809</t>
  </si>
  <si>
    <t>ORD26005032</t>
  </si>
  <si>
    <t>pay_420004816</t>
  </si>
  <si>
    <t>ORD26005038</t>
  </si>
  <si>
    <t>pay_420004834</t>
  </si>
  <si>
    <t>ORD26005056</t>
  </si>
  <si>
    <t>pay_420004867</t>
  </si>
  <si>
    <t>ORD26005092</t>
  </si>
  <si>
    <t>pay_420004921</t>
  </si>
  <si>
    <t>ord26005153</t>
  </si>
  <si>
    <t>ORD26005153</t>
  </si>
  <si>
    <t>pay_420004933</t>
  </si>
  <si>
    <t>ORD26005164</t>
  </si>
  <si>
    <t>pay_420004968</t>
  </si>
  <si>
    <t>ORD26005201</t>
  </si>
  <si>
    <t>pay_420004995</t>
  </si>
  <si>
    <t>ORD26005230</t>
  </si>
  <si>
    <t>pay_420005075</t>
  </si>
  <si>
    <t>ORD26005316</t>
  </si>
  <si>
    <t>pay_420005106</t>
  </si>
  <si>
    <t>ORD26005344</t>
  </si>
  <si>
    <t>pay_420005237</t>
  </si>
  <si>
    <t>ORD26005475</t>
  </si>
  <si>
    <t>pay_420005267</t>
  </si>
  <si>
    <t>ord26005504</t>
  </si>
  <si>
    <t>ORD26005504</t>
  </si>
  <si>
    <t>pay_420005293</t>
  </si>
  <si>
    <t>ORD26005531</t>
  </si>
  <si>
    <t>pay_420005355</t>
  </si>
  <si>
    <t>ord26005597</t>
  </si>
  <si>
    <t>ORD26005597</t>
  </si>
  <si>
    <t>pay_420005372</t>
  </si>
  <si>
    <t>ord26005614</t>
  </si>
  <si>
    <t>ORD26005614</t>
  </si>
  <si>
    <t>pay_420005380</t>
  </si>
  <si>
    <t>ORD26005623</t>
  </si>
  <si>
    <t>pay_420005461</t>
  </si>
  <si>
    <t>ORD26005709</t>
  </si>
  <si>
    <t>pay_420005462</t>
  </si>
  <si>
    <t>ord26005710</t>
  </si>
  <si>
    <t>ORD26005710</t>
  </si>
  <si>
    <t>pay_420005466</t>
  </si>
  <si>
    <t>ORD26005715</t>
  </si>
  <si>
    <t>pay_420005474</t>
  </si>
  <si>
    <t>ORD26005723</t>
  </si>
  <si>
    <t>pay_420005488</t>
  </si>
  <si>
    <t>ORD26005737</t>
  </si>
  <si>
    <t>pay_420005511</t>
  </si>
  <si>
    <t>ORD26005761</t>
  </si>
  <si>
    <t>pay_420005518</t>
  </si>
  <si>
    <t>ORD26005770</t>
  </si>
  <si>
    <t>pay_420005547</t>
  </si>
  <si>
    <t>ord26005800</t>
  </si>
  <si>
    <t>ORD26005800</t>
  </si>
  <si>
    <t>pay_420005574</t>
  </si>
  <si>
    <t>ORD26005830</t>
  </si>
  <si>
    <t>pay_420005591</t>
  </si>
  <si>
    <t>ORD26005849</t>
  </si>
  <si>
    <t>pay_420005605</t>
  </si>
  <si>
    <t>ORD26005862</t>
  </si>
  <si>
    <t>pay_420005639</t>
  </si>
  <si>
    <t>ORD26005902</t>
  </si>
  <si>
    <t>pay_420005641</t>
  </si>
  <si>
    <t>ord26005904</t>
  </si>
  <si>
    <t>ORD26005904</t>
  </si>
  <si>
    <t>pay_420005698</t>
  </si>
  <si>
    <t>ORD26005964</t>
  </si>
  <si>
    <t>pay_420005709</t>
  </si>
  <si>
    <t>ORD26005977</t>
  </si>
  <si>
    <t>rfnd_GKEQ4YTEEKX2</t>
  </si>
  <si>
    <t>rfnd_LNGG7VFY20ET</t>
  </si>
  <si>
    <t>pay_420000021</t>
  </si>
  <si>
    <t>ord26000020</t>
  </si>
  <si>
    <t>ORD26000020</t>
  </si>
  <si>
    <t>STL-20260908</t>
  </si>
  <si>
    <t>pay_420000038</t>
  </si>
  <si>
    <t>ORD26000038</t>
  </si>
  <si>
    <t>pay_420000079</t>
  </si>
  <si>
    <t>ORD26000083</t>
  </si>
  <si>
    <t>pay_420000090</t>
  </si>
  <si>
    <t>ORD26000096</t>
  </si>
  <si>
    <t>pay_420000146</t>
  </si>
  <si>
    <t xml:space="preserve">ORD26000156  </t>
  </si>
  <si>
    <t>ORD26000156</t>
  </si>
  <si>
    <t>pay_420000180</t>
  </si>
  <si>
    <t>ORD26000194</t>
  </si>
  <si>
    <t>pay_420000203</t>
  </si>
  <si>
    <t>ORD26000218</t>
  </si>
  <si>
    <t>pay_420000216</t>
  </si>
  <si>
    <t>ord26000230</t>
  </si>
  <si>
    <t>ORD26000230</t>
  </si>
  <si>
    <t>pay_420000263</t>
  </si>
  <si>
    <t>ord26000280</t>
  </si>
  <si>
    <t>ORD26000280</t>
  </si>
  <si>
    <t>pay_420000264</t>
  </si>
  <si>
    <t>ORD26000281</t>
  </si>
  <si>
    <t>pay_420000365</t>
  </si>
  <si>
    <t>ORD26000384</t>
  </si>
  <si>
    <t>pay_420000382</t>
  </si>
  <si>
    <t>ORD26000400</t>
  </si>
  <si>
    <t>pay_420000383</t>
  </si>
  <si>
    <t>ORD26000401</t>
  </si>
  <si>
    <t>pay_420000400</t>
  </si>
  <si>
    <t>ORD26000417</t>
  </si>
  <si>
    <t>pay_420000408</t>
  </si>
  <si>
    <t>ORD26000425</t>
  </si>
  <si>
    <t>pay_420000424</t>
  </si>
  <si>
    <t>ORD26000441</t>
  </si>
  <si>
    <t>pay_420000439</t>
  </si>
  <si>
    <t>ORD26000457</t>
  </si>
  <si>
    <t>pay_420000467</t>
  </si>
  <si>
    <t>ORD26000490</t>
  </si>
  <si>
    <t>pay_420000469</t>
  </si>
  <si>
    <t>ORD26000492</t>
  </si>
  <si>
    <t>pay_420000495</t>
  </si>
  <si>
    <t>ORD26000518</t>
  </si>
  <si>
    <t>pay_420000496</t>
  </si>
  <si>
    <t>ORD26000519</t>
  </si>
  <si>
    <t>pay_420000516</t>
  </si>
  <si>
    <t>ORD26000541</t>
  </si>
  <si>
    <t>pay_420000605</t>
  </si>
  <si>
    <t>ORD-26000626</t>
  </si>
  <si>
    <t>ORD26000626</t>
  </si>
  <si>
    <t>pay_420000619</t>
  </si>
  <si>
    <t xml:space="preserve">ORD26000643  </t>
  </si>
  <si>
    <t>ORD26000643</t>
  </si>
  <si>
    <t>pay_420000622</t>
  </si>
  <si>
    <t>ORD26000646</t>
  </si>
  <si>
    <t>pay_420000629</t>
  </si>
  <si>
    <t>ORD26000656</t>
  </si>
  <si>
    <t>pay_420000682</t>
  </si>
  <si>
    <t>ORD26000712</t>
  </si>
  <si>
    <t>pay_420000687</t>
  </si>
  <si>
    <t>ORD26000717</t>
  </si>
  <si>
    <t>pay_420000748</t>
  </si>
  <si>
    <t>ORD-26000781</t>
  </si>
  <si>
    <t>ORD26000781</t>
  </si>
  <si>
    <t>pay_420000834</t>
  </si>
  <si>
    <t>ORD26000868</t>
  </si>
  <si>
    <t>pay_420000838</t>
  </si>
  <si>
    <t>ORD26000873</t>
  </si>
  <si>
    <t>pay_420000869</t>
  </si>
  <si>
    <t>ORD26000908</t>
  </si>
  <si>
    <t>pay_420000903</t>
  </si>
  <si>
    <t>ORD26000942</t>
  </si>
  <si>
    <t>pay_420000928</t>
  </si>
  <si>
    <t>ORD26000968</t>
  </si>
  <si>
    <t>pay_420000954</t>
  </si>
  <si>
    <t>ORD26000998</t>
  </si>
  <si>
    <t>pay_420000984</t>
  </si>
  <si>
    <t>ORD26001028</t>
  </si>
  <si>
    <t>pay_420000999</t>
  </si>
  <si>
    <t>ORD26001042</t>
  </si>
  <si>
    <t>pay_420001001</t>
  </si>
  <si>
    <t>ORD26001044</t>
  </si>
  <si>
    <t>pay_420001018</t>
  </si>
  <si>
    <t>ORD26001062</t>
  </si>
  <si>
    <t>pay_420001031</t>
  </si>
  <si>
    <t>ORD26001074</t>
  </si>
  <si>
    <t>pay_420001057</t>
  </si>
  <si>
    <t>ORD26001101</t>
  </si>
  <si>
    <t>pay_420001131</t>
  </si>
  <si>
    <t>ORD26001180</t>
  </si>
  <si>
    <t>pay_420001162</t>
  </si>
  <si>
    <t>ORD26001211</t>
  </si>
  <si>
    <t>pay_420001163</t>
  </si>
  <si>
    <t>ORD26001212</t>
  </si>
  <si>
    <t>pay_420001180</t>
  </si>
  <si>
    <t>ORD26001233</t>
  </si>
  <si>
    <t>pay_420001297</t>
  </si>
  <si>
    <t>ORD26001358</t>
  </si>
  <si>
    <t>pay_420001305</t>
  </si>
  <si>
    <t>ORD26001367</t>
  </si>
  <si>
    <t>pay_420001340</t>
  </si>
  <si>
    <t>ORD26001404</t>
  </si>
  <si>
    <t>pay_420001399</t>
  </si>
  <si>
    <t>ORD26001469</t>
  </si>
  <si>
    <t>pay_420001416</t>
  </si>
  <si>
    <t>ORD26001485</t>
  </si>
  <si>
    <t>pay_420001429</t>
  </si>
  <si>
    <t>ORD26001497</t>
  </si>
  <si>
    <t>pay_420001438</t>
  </si>
  <si>
    <t>ORD-26001505</t>
  </si>
  <si>
    <t>ORD26001505</t>
  </si>
  <si>
    <t>pay_420001476</t>
  </si>
  <si>
    <t>ORD26001540</t>
  </si>
  <si>
    <t>pay_420001505</t>
  </si>
  <si>
    <t>ORD26001571</t>
  </si>
  <si>
    <t>pay_420001518</t>
  </si>
  <si>
    <t>ORD26001585</t>
  </si>
  <si>
    <t>pay_420001539</t>
  </si>
  <si>
    <t>ORD26001607</t>
  </si>
  <si>
    <t>pay_420001579</t>
  </si>
  <si>
    <t>ORD26001651</t>
  </si>
  <si>
    <t>pay_420001584</t>
  </si>
  <si>
    <t>ORD26001656</t>
  </si>
  <si>
    <t>pay_420001590</t>
  </si>
  <si>
    <t>ord26001663</t>
  </si>
  <si>
    <t>ORD26001663</t>
  </si>
  <si>
    <t>pay_420001635</t>
  </si>
  <si>
    <t xml:space="preserve">ORD26001711  </t>
  </si>
  <si>
    <t>ORD26001711</t>
  </si>
  <si>
    <t>pay_420001656</t>
  </si>
  <si>
    <t>ORD26001733</t>
  </si>
  <si>
    <t>pay_420001668</t>
  </si>
  <si>
    <t>ord26001747</t>
  </si>
  <si>
    <t>ORD26001747</t>
  </si>
  <si>
    <t>pay_420001676</t>
  </si>
  <si>
    <t>ORD26001756</t>
  </si>
  <si>
    <t>pay_420001708</t>
  </si>
  <si>
    <t>ORD26001789</t>
  </si>
  <si>
    <t>pay_420001785</t>
  </si>
  <si>
    <t>ORD26001867</t>
  </si>
  <si>
    <t>pay_420001853</t>
  </si>
  <si>
    <t>ORD26001938</t>
  </si>
  <si>
    <t>pay_420001862</t>
  </si>
  <si>
    <t>ORD26001948</t>
  </si>
  <si>
    <t>pay_420001963</t>
  </si>
  <si>
    <t>ORD26002058</t>
  </si>
  <si>
    <t>pay_420001975</t>
  </si>
  <si>
    <t>ORD26002069</t>
  </si>
  <si>
    <t>pay_420002026</t>
  </si>
  <si>
    <t>ORD26002118</t>
  </si>
  <si>
    <t>pay_420002058</t>
  </si>
  <si>
    <t>ORD26002150</t>
  </si>
  <si>
    <t>pay_420002066</t>
  </si>
  <si>
    <t>ORD-26002158</t>
  </si>
  <si>
    <t>ORD26002158</t>
  </si>
  <si>
    <t>pay_420002130</t>
  </si>
  <si>
    <t>ORD26002233</t>
  </si>
  <si>
    <t>pay_420002192</t>
  </si>
  <si>
    <t>ORD26002296</t>
  </si>
  <si>
    <t>pay_420002235</t>
  </si>
  <si>
    <t>ORD26002339</t>
  </si>
  <si>
    <t>pay_420002342</t>
  </si>
  <si>
    <t>ORD26002456</t>
  </si>
  <si>
    <t>pay_420002343</t>
  </si>
  <si>
    <t>ORD26002457</t>
  </si>
  <si>
    <t>pay_420002361</t>
  </si>
  <si>
    <t>ORD-26002474</t>
  </si>
  <si>
    <t>ORD26002474</t>
  </si>
  <si>
    <t>pay_420002379</t>
  </si>
  <si>
    <t>ORD26002492</t>
  </si>
  <si>
    <t>pay_420002393</t>
  </si>
  <si>
    <t>ORD26002505</t>
  </si>
  <si>
    <t>pay_420002444</t>
  </si>
  <si>
    <t>ORD26002558</t>
  </si>
  <si>
    <t>pay_420002494</t>
  </si>
  <si>
    <t>ORD26002611</t>
  </si>
  <si>
    <t>pay_420002513</t>
  </si>
  <si>
    <t>ORD26002633</t>
  </si>
  <si>
    <t>pay_420002576</t>
  </si>
  <si>
    <t>ORD26002703</t>
  </si>
  <si>
    <t>pay_420002604</t>
  </si>
  <si>
    <t>ORD26002733</t>
  </si>
  <si>
    <t>pay_420002609</t>
  </si>
  <si>
    <t>ord26002739</t>
  </si>
  <si>
    <t>ORD26002739</t>
  </si>
  <si>
    <t>pay_420002617</t>
  </si>
  <si>
    <t>ORD26002746</t>
  </si>
  <si>
    <t>pay_420002672</t>
  </si>
  <si>
    <t>ORD26002804</t>
  </si>
  <si>
    <t>pay_420002675</t>
  </si>
  <si>
    <t>ord26002807</t>
  </si>
  <si>
    <t>ORD26002807</t>
  </si>
  <si>
    <t>pay_420002688</t>
  </si>
  <si>
    <t>ord26002820</t>
  </si>
  <si>
    <t>ORD26002820</t>
  </si>
  <si>
    <t>pay_420002699</t>
  </si>
  <si>
    <t>ORD26002832</t>
  </si>
  <si>
    <t>pay_420002754</t>
  </si>
  <si>
    <t>ORD26002892</t>
  </si>
  <si>
    <t>pay_420002780</t>
  </si>
  <si>
    <t>ORD26002920</t>
  </si>
  <si>
    <t>pay_420002781</t>
  </si>
  <si>
    <t>ORD26002921</t>
  </si>
  <si>
    <t>pay_420002799</t>
  </si>
  <si>
    <t>ORD26002941</t>
  </si>
  <si>
    <t>pay_420002813</t>
  </si>
  <si>
    <t>ORD26002955</t>
  </si>
  <si>
    <t>pay_420002815</t>
  </si>
  <si>
    <t>ORD26002957</t>
  </si>
  <si>
    <t>pay_420002844</t>
  </si>
  <si>
    <t>ORD26002987</t>
  </si>
  <si>
    <t>pay_420002882</t>
  </si>
  <si>
    <t>ORD26003023</t>
  </si>
  <si>
    <t>pay_420002892</t>
  </si>
  <si>
    <t xml:space="preserve">ORD26003034  </t>
  </si>
  <si>
    <t>ORD26003034</t>
  </si>
  <si>
    <t>pay_420002978</t>
  </si>
  <si>
    <t>ORD26003126</t>
  </si>
  <si>
    <t>pay_420002988</t>
  </si>
  <si>
    <t>ORD26003137</t>
  </si>
  <si>
    <t>pay_420003015</t>
  </si>
  <si>
    <t>ORD26003167</t>
  </si>
  <si>
    <t>pay_420003043</t>
  </si>
  <si>
    <t>ORD26003195</t>
  </si>
  <si>
    <t>pay_420003053</t>
  </si>
  <si>
    <t>ord26003205</t>
  </si>
  <si>
    <t>ORD26003205</t>
  </si>
  <si>
    <t>pay_420003068</t>
  </si>
  <si>
    <t>ORD26003222</t>
  </si>
  <si>
    <t>pay_420003079</t>
  </si>
  <si>
    <t>ORD26003233</t>
  </si>
  <si>
    <t>pay_420003081</t>
  </si>
  <si>
    <t>ORD26003235</t>
  </si>
  <si>
    <t>pay_420003130</t>
  </si>
  <si>
    <t>ORD26003290</t>
  </si>
  <si>
    <t>pay_420003160</t>
  </si>
  <si>
    <t>ORD26003321</t>
  </si>
  <si>
    <t>pay_420003181</t>
  </si>
  <si>
    <t>ORD26003342</t>
  </si>
  <si>
    <t>pay_420003199</t>
  </si>
  <si>
    <t>ORD26003360</t>
  </si>
  <si>
    <t>pay_420003209</t>
  </si>
  <si>
    <t>ORD26003370</t>
  </si>
  <si>
    <t>pay_420003217</t>
  </si>
  <si>
    <t>ORD26003378</t>
  </si>
  <si>
    <t>pay_420003246</t>
  </si>
  <si>
    <t xml:space="preserve">ORD26003409  </t>
  </si>
  <si>
    <t>ORD26003409</t>
  </si>
  <si>
    <t>pay_420003342</t>
  </si>
  <si>
    <t>ORD26003506</t>
  </si>
  <si>
    <t>pay_420003354</t>
  </si>
  <si>
    <t>ORD26003518</t>
  </si>
  <si>
    <t>pay_420003368</t>
  </si>
  <si>
    <t>ORD26003534</t>
  </si>
  <si>
    <t>pay_420003374</t>
  </si>
  <si>
    <t>ORD26003540</t>
  </si>
  <si>
    <t>pay_420003389</t>
  </si>
  <si>
    <t>ord26003555</t>
  </si>
  <si>
    <t>ORD26003555</t>
  </si>
  <si>
    <t>pay_420003408</t>
  </si>
  <si>
    <t>ORD26003575</t>
  </si>
  <si>
    <t>pay_420003412</t>
  </si>
  <si>
    <t>ORD26003579</t>
  </si>
  <si>
    <t>pay_420003414</t>
  </si>
  <si>
    <t>ORD26003581</t>
  </si>
  <si>
    <t>pay_420003497</t>
  </si>
  <si>
    <t>ORD26003665</t>
  </si>
  <si>
    <t>pay_420003504</t>
  </si>
  <si>
    <t>ORD26003673</t>
  </si>
  <si>
    <t>pay_420003742</t>
  </si>
  <si>
    <t>ORD26003916</t>
  </si>
  <si>
    <t>pay_420003762</t>
  </si>
  <si>
    <t>ORD26003937</t>
  </si>
  <si>
    <t>pay_420003816</t>
  </si>
  <si>
    <t>ORD26003996</t>
  </si>
  <si>
    <t>pay_420003825</t>
  </si>
  <si>
    <t>ORD26004006</t>
  </si>
  <si>
    <t>pay_420003864</t>
  </si>
  <si>
    <t>ORD26004048</t>
  </si>
  <si>
    <t>pay_420003902</t>
  </si>
  <si>
    <t>ORD26004084</t>
  </si>
  <si>
    <t>pay_420004011</t>
  </si>
  <si>
    <t>ORD26004199</t>
  </si>
  <si>
    <t>pay_420004081</t>
  </si>
  <si>
    <t>ORD26004274</t>
  </si>
  <si>
    <t>pay_420004099</t>
  </si>
  <si>
    <t>ORD26004294</t>
  </si>
  <si>
    <t>pay_420004108</t>
  </si>
  <si>
    <t>ORD26004303</t>
  </si>
  <si>
    <t>pay_420004223</t>
  </si>
  <si>
    <t>ORD26004421</t>
  </si>
  <si>
    <t>pay_420004253</t>
  </si>
  <si>
    <t>ORD26004452</t>
  </si>
  <si>
    <t>pay_420004259</t>
  </si>
  <si>
    <t>ORD26004458</t>
  </si>
  <si>
    <t>pay_420004300</t>
  </si>
  <si>
    <t>ord26004499</t>
  </si>
  <si>
    <t>ORD26004499</t>
  </si>
  <si>
    <t>pay_420004348</t>
  </si>
  <si>
    <t>ORD26004550</t>
  </si>
  <si>
    <t>pay_420004368</t>
  </si>
  <si>
    <t>ORD26004570</t>
  </si>
  <si>
    <t>pay_420004432</t>
  </si>
  <si>
    <t>ORD26004639</t>
  </si>
  <si>
    <t>pay_420004440</t>
  </si>
  <si>
    <t xml:space="preserve">ORD26004648  </t>
  </si>
  <si>
    <t>ORD26004648</t>
  </si>
  <si>
    <t>pay_420004447</t>
  </si>
  <si>
    <t>ORD26004656</t>
  </si>
  <si>
    <t>pay_420004456</t>
  </si>
  <si>
    <t>ORD26004665</t>
  </si>
  <si>
    <t>pay_420004464</t>
  </si>
  <si>
    <t>ORD26004674</t>
  </si>
  <si>
    <t>pay_420004483</t>
  </si>
  <si>
    <t>ORD26004694</t>
  </si>
  <si>
    <t>pay_420004488</t>
  </si>
  <si>
    <t>ORD26004700</t>
  </si>
  <si>
    <t>pay_420004635</t>
  </si>
  <si>
    <t>ORD26004850</t>
  </si>
  <si>
    <t>pay_420004669</t>
  </si>
  <si>
    <t>ORD26004890</t>
  </si>
  <si>
    <t>pay_420004713</t>
  </si>
  <si>
    <t>ORD26004933</t>
  </si>
  <si>
    <t>pay_420004716</t>
  </si>
  <si>
    <t>ORD26004937</t>
  </si>
  <si>
    <t>pay_420004720</t>
  </si>
  <si>
    <t>ORD26004941</t>
  </si>
  <si>
    <t>pay_420004746</t>
  </si>
  <si>
    <t xml:space="preserve">ORD26004967  </t>
  </si>
  <si>
    <t>ORD26004967</t>
  </si>
  <si>
    <t>pay_420004753</t>
  </si>
  <si>
    <t>ORD26004974</t>
  </si>
  <si>
    <t>pay_420004787</t>
  </si>
  <si>
    <t>ORD26005009</t>
  </si>
  <si>
    <t>pay_420004813</t>
  </si>
  <si>
    <t>ORD26005034</t>
  </si>
  <si>
    <t>pay_420004842</t>
  </si>
  <si>
    <t>ORD26005064</t>
  </si>
  <si>
    <t>pay_420004845</t>
  </si>
  <si>
    <t>ORD26005069</t>
  </si>
  <si>
    <t>pay_420004881</t>
  </si>
  <si>
    <t>ORD26005105</t>
  </si>
  <si>
    <t>pay_420004893</t>
  </si>
  <si>
    <t>ORD26005121</t>
  </si>
  <si>
    <t>pay_420004951</t>
  </si>
  <si>
    <t>ORD26005183</t>
  </si>
  <si>
    <t>pay_420004953</t>
  </si>
  <si>
    <t>ORD26005185</t>
  </si>
  <si>
    <t>pay_420004958</t>
  </si>
  <si>
    <t>ORD26005190</t>
  </si>
  <si>
    <t>pay_420004974</t>
  </si>
  <si>
    <t xml:space="preserve">ORD26005206  </t>
  </si>
  <si>
    <t>ORD26005206</t>
  </si>
  <si>
    <t>pay_420005007</t>
  </si>
  <si>
    <t>ord26005243</t>
  </si>
  <si>
    <t>ORD26005243</t>
  </si>
  <si>
    <t>pay_420005017</t>
  </si>
  <si>
    <t>ORD26005253</t>
  </si>
  <si>
    <t>pay_420005070</t>
  </si>
  <si>
    <t>ORD26005311</t>
  </si>
  <si>
    <t>pay_420005081</t>
  </si>
  <si>
    <t>ORD26005322</t>
  </si>
  <si>
    <t>pay_420005097</t>
  </si>
  <si>
    <t>ORD26005336</t>
  </si>
  <si>
    <t>pay_420005155</t>
  </si>
  <si>
    <t>ORD26005395</t>
  </si>
  <si>
    <t>pay_420005212</t>
  </si>
  <si>
    <t>ORD26005453</t>
  </si>
  <si>
    <t>pay_420005265</t>
  </si>
  <si>
    <t>ORD26005502</t>
  </si>
  <si>
    <t>pay_420005331</t>
  </si>
  <si>
    <t>ORD26005572</t>
  </si>
  <si>
    <t>pay_420005364</t>
  </si>
  <si>
    <t>ORD26005606</t>
  </si>
  <si>
    <t>pay_420005395</t>
  </si>
  <si>
    <t>ORD26005638</t>
  </si>
  <si>
    <t>pay_420005441</t>
  </si>
  <si>
    <t>ORD26005687</t>
  </si>
  <si>
    <t>pay_420005505</t>
  </si>
  <si>
    <t>ORD26005755</t>
  </si>
  <si>
    <t>pay_420005549</t>
  </si>
  <si>
    <t>ORD26005802</t>
  </si>
  <si>
    <t>pay_420005564</t>
  </si>
  <si>
    <t>ORD26005818</t>
  </si>
  <si>
    <t>pay_420005646</t>
  </si>
  <si>
    <t>ORD26005910</t>
  </si>
  <si>
    <t>pay_420005653</t>
  </si>
  <si>
    <t>ORD26005918</t>
  </si>
  <si>
    <t>pay_420005656</t>
  </si>
  <si>
    <t>ORD26005921</t>
  </si>
  <si>
    <t>pay_420005669</t>
  </si>
  <si>
    <t>ORD26005934</t>
  </si>
  <si>
    <t>pay_420005670</t>
  </si>
  <si>
    <t>ORD26005935</t>
  </si>
  <si>
    <t>pay_420005683</t>
  </si>
  <si>
    <t>ORD-26005948</t>
  </si>
  <si>
    <t>ORD26005948</t>
  </si>
  <si>
    <t>pay_420005716</t>
  </si>
  <si>
    <t xml:space="preserve">ORD26005983  </t>
  </si>
  <si>
    <t>ORD26005983</t>
  </si>
  <si>
    <t>pay_420005733</t>
  </si>
  <si>
    <t>ORD-26006000</t>
  </si>
  <si>
    <t>ORD26006000</t>
  </si>
  <si>
    <t>pay_420005739</t>
  </si>
  <si>
    <t>ORD26006504</t>
  </si>
  <si>
    <t>rfnd_7D82HBZNK9EM</t>
  </si>
  <si>
    <t>rfnd_HS8RMLB6WJAB</t>
  </si>
  <si>
    <t>rfnd_QUZMW0YB4Y1L</t>
  </si>
  <si>
    <t>pay_420000099</t>
  </si>
  <si>
    <t>ORD26000106</t>
  </si>
  <si>
    <t>STL-20260909</t>
  </si>
  <si>
    <t>pay_420000156</t>
  </si>
  <si>
    <t>ORD26000166</t>
  </si>
  <si>
    <t>pay_420000241</t>
  </si>
  <si>
    <t>ORD26000257</t>
  </si>
  <si>
    <t>pay_420000255</t>
  </si>
  <si>
    <t>ORD26000272</t>
  </si>
  <si>
    <t>pay_420000271</t>
  </si>
  <si>
    <t>ord26000289</t>
  </si>
  <si>
    <t>ORD26000289</t>
  </si>
  <si>
    <t>pay_420000295</t>
  </si>
  <si>
    <t xml:space="preserve">ORD26000311  </t>
  </si>
  <si>
    <t>ORD26000311</t>
  </si>
  <si>
    <t>pay_420000344</t>
  </si>
  <si>
    <t>ORD26000362</t>
  </si>
  <si>
    <t>pay_420000413</t>
  </si>
  <si>
    <t>ORD26000430</t>
  </si>
  <si>
    <t>pay_420000432</t>
  </si>
  <si>
    <t>ord26000449</t>
  </si>
  <si>
    <t>ORD26000449</t>
  </si>
  <si>
    <t>pay_420000440</t>
  </si>
  <si>
    <t>ORD26000460</t>
  </si>
  <si>
    <t>pay_420000479</t>
  </si>
  <si>
    <t>ORD26000503</t>
  </si>
  <si>
    <t>pay_420000503</t>
  </si>
  <si>
    <t>ORD26000525</t>
  </si>
  <si>
    <t>pay_420000530</t>
  </si>
  <si>
    <t>ORD26000555</t>
  </si>
  <si>
    <t>pay_420000542</t>
  </si>
  <si>
    <t>ORD26000567</t>
  </si>
  <si>
    <t>pay_420000559</t>
  </si>
  <si>
    <t>ORD26000582</t>
  </si>
  <si>
    <t>pay_420000660</t>
  </si>
  <si>
    <t>ORD26000688</t>
  </si>
  <si>
    <t>pay_420000699</t>
  </si>
  <si>
    <t>ORD26000730</t>
  </si>
  <si>
    <t>pay_420000730</t>
  </si>
  <si>
    <t>ORD26000765</t>
  </si>
  <si>
    <t>pay_420000733</t>
  </si>
  <si>
    <t>ORD26000768</t>
  </si>
  <si>
    <t>pay_420000754</t>
  </si>
  <si>
    <t>ORD26000786</t>
  </si>
  <si>
    <t>pay_420000787</t>
  </si>
  <si>
    <t>ORD26000820</t>
  </si>
  <si>
    <t>pay_420000814</t>
  </si>
  <si>
    <t>ORD26000847</t>
  </si>
  <si>
    <t>pay_420000835</t>
  </si>
  <si>
    <t>ORD26000870</t>
  </si>
  <si>
    <t>pay_420000839</t>
  </si>
  <si>
    <t>ORD26000874</t>
  </si>
  <si>
    <t>pay_420000858</t>
  </si>
  <si>
    <t>ORD26000894</t>
  </si>
  <si>
    <t>pay_420000918</t>
  </si>
  <si>
    <t>ORD26000958</t>
  </si>
  <si>
    <t>pay_420000978</t>
  </si>
  <si>
    <t>ORD26001020</t>
  </si>
  <si>
    <t>pay_420001037</t>
  </si>
  <si>
    <t>ORD26001080</t>
  </si>
  <si>
    <t>pay_420001042</t>
  </si>
  <si>
    <t xml:space="preserve">ORD26001085  </t>
  </si>
  <si>
    <t>ORD26001085</t>
  </si>
  <si>
    <t>pay_420001062</t>
  </si>
  <si>
    <t>ORD26001105</t>
  </si>
  <si>
    <t>pay_420001119</t>
  </si>
  <si>
    <t>ORD26001167</t>
  </si>
  <si>
    <t>pay_420001133</t>
  </si>
  <si>
    <t>ORD26001182</t>
  </si>
  <si>
    <t>pay_420001200</t>
  </si>
  <si>
    <t>ORD26001254</t>
  </si>
  <si>
    <t>pay_420001227</t>
  </si>
  <si>
    <t>ORD26001284</t>
  </si>
  <si>
    <t>pay_420001255</t>
  </si>
  <si>
    <t>ORD26001312</t>
  </si>
  <si>
    <t>pay_420001262</t>
  </si>
  <si>
    <t>ord26001319</t>
  </si>
  <si>
    <t>ORD26001319</t>
  </si>
  <si>
    <t>pay_420001267</t>
  </si>
  <si>
    <t>ord26001327</t>
  </si>
  <si>
    <t>ORD26001327</t>
  </si>
  <si>
    <t>pay_420001285</t>
  </si>
  <si>
    <t xml:space="preserve">ORD26001345  </t>
  </si>
  <si>
    <t>ORD26001345</t>
  </si>
  <si>
    <t>pay_420001299</t>
  </si>
  <si>
    <t>ORD26001360</t>
  </si>
  <si>
    <t>pay_420001304</t>
  </si>
  <si>
    <t>ORD26001366</t>
  </si>
  <si>
    <t>pay_420001374</t>
  </si>
  <si>
    <t>ORD26001442</t>
  </si>
  <si>
    <t>pay_420001391</t>
  </si>
  <si>
    <t>ord26001461</t>
  </si>
  <si>
    <t>ORD26001461</t>
  </si>
  <si>
    <t>pay_420001428</t>
  </si>
  <si>
    <t>ORD26001496</t>
  </si>
  <si>
    <t>pay_420001437</t>
  </si>
  <si>
    <t>ORD26001504</t>
  </si>
  <si>
    <t>pay_420001459</t>
  </si>
  <si>
    <t>ORD26001524</t>
  </si>
  <si>
    <t>pay_420001469</t>
  </si>
  <si>
    <t>ORD26001533</t>
  </si>
  <si>
    <t>pay_420001478</t>
  </si>
  <si>
    <t>ORD26001542</t>
  </si>
  <si>
    <t>pay_420001507</t>
  </si>
  <si>
    <t>ord26001573</t>
  </si>
  <si>
    <t>ORD26001573</t>
  </si>
  <si>
    <t>pay_420001623</t>
  </si>
  <si>
    <t>ORD26001698</t>
  </si>
  <si>
    <t>pay_420001647</t>
  </si>
  <si>
    <t>ORD26001724</t>
  </si>
  <si>
    <t>pay_420001710</t>
  </si>
  <si>
    <t xml:space="preserve">ORD26001791  </t>
  </si>
  <si>
    <t>ORD26001791</t>
  </si>
  <si>
    <t>pay_420001749</t>
  </si>
  <si>
    <t>ORD26001831</t>
  </si>
  <si>
    <t>pay_420001765</t>
  </si>
  <si>
    <t>ORD26001847</t>
  </si>
  <si>
    <t>pay_420001771</t>
  </si>
  <si>
    <t>ord26001854</t>
  </si>
  <si>
    <t>ORD26001854</t>
  </si>
  <si>
    <t>pay_420001779</t>
  </si>
  <si>
    <t>ORD26001861</t>
  </si>
  <si>
    <t>pay_420001808</t>
  </si>
  <si>
    <t>ord26001891</t>
  </si>
  <si>
    <t>ORD26001891</t>
  </si>
  <si>
    <t>pay_420001834</t>
  </si>
  <si>
    <t>ORD26001917</t>
  </si>
  <si>
    <t>pay_420001860</t>
  </si>
  <si>
    <t>ORD-26001946</t>
  </si>
  <si>
    <t>ORD26001946</t>
  </si>
  <si>
    <t>pay_420001915</t>
  </si>
  <si>
    <t>ORD26002007</t>
  </si>
  <si>
    <t>pay_420001939</t>
  </si>
  <si>
    <t>ORD26002033</t>
  </si>
  <si>
    <t>pay_420002017</t>
  </si>
  <si>
    <t>ORD26002108</t>
  </si>
  <si>
    <t>pay_420002025</t>
  </si>
  <si>
    <t>ORD26002117</t>
  </si>
  <si>
    <t>pay_420002051</t>
  </si>
  <si>
    <t xml:space="preserve">ORD26002143  </t>
  </si>
  <si>
    <t>ORD26002143</t>
  </si>
  <si>
    <t>pay_420002056</t>
  </si>
  <si>
    <t>ORD26002148</t>
  </si>
  <si>
    <t>pay_420002075</t>
  </si>
  <si>
    <t xml:space="preserve">ORD26002166  </t>
  </si>
  <si>
    <t>ORD26002166</t>
  </si>
  <si>
    <t>pay_420002186</t>
  </si>
  <si>
    <t>ORD26002288</t>
  </si>
  <si>
    <t>pay_420002245</t>
  </si>
  <si>
    <t>ORD26002350</t>
  </si>
  <si>
    <t>pay_420002259</t>
  </si>
  <si>
    <t>ord26002367</t>
  </si>
  <si>
    <t>ORD26002367</t>
  </si>
  <si>
    <t>pay_420002274</t>
  </si>
  <si>
    <t>ORD26002384</t>
  </si>
  <si>
    <t>pay_420002293</t>
  </si>
  <si>
    <t>ORD26002405</t>
  </si>
  <si>
    <t>pay_420002306</t>
  </si>
  <si>
    <t>ORD26002420</t>
  </si>
  <si>
    <t>pay_420002371</t>
  </si>
  <si>
    <t>ORD26002484</t>
  </si>
  <si>
    <t>pay_420002406</t>
  </si>
  <si>
    <t>ORD26002518</t>
  </si>
  <si>
    <t>pay_420002411</t>
  </si>
  <si>
    <t>ORD26002523</t>
  </si>
  <si>
    <t>pay_420002418</t>
  </si>
  <si>
    <t>ORD26002532</t>
  </si>
  <si>
    <t>pay_420002454</t>
  </si>
  <si>
    <t>ORD-26002569</t>
  </si>
  <si>
    <t>ORD26002569</t>
  </si>
  <si>
    <t>pay_420002473</t>
  </si>
  <si>
    <t>ORD26002588</t>
  </si>
  <si>
    <t>pay_420002526</t>
  </si>
  <si>
    <t>ORD26002649</t>
  </si>
  <si>
    <t>pay_420002571</t>
  </si>
  <si>
    <t>ORD-26002698</t>
  </si>
  <si>
    <t>ORD26002698</t>
  </si>
  <si>
    <t>pay_420002641</t>
  </si>
  <si>
    <t>ORD26002770</t>
  </si>
  <si>
    <t>pay_420002665</t>
  </si>
  <si>
    <t>ORD26002798</t>
  </si>
  <si>
    <t>pay_420002706</t>
  </si>
  <si>
    <t>ORD26002842</t>
  </si>
  <si>
    <t>pay_420002785</t>
  </si>
  <si>
    <t xml:space="preserve">ORD26002927  </t>
  </si>
  <si>
    <t>ORD26002927</t>
  </si>
  <si>
    <t>pay_420002818</t>
  </si>
  <si>
    <t>ORD26002960</t>
  </si>
  <si>
    <t>pay_420002824</t>
  </si>
  <si>
    <t>ORD26002966</t>
  </si>
  <si>
    <t>pay_420002832</t>
  </si>
  <si>
    <t>ORD26002975</t>
  </si>
  <si>
    <t>pay_420002904</t>
  </si>
  <si>
    <t>ORD26003048</t>
  </si>
  <si>
    <t>pay_420002920</t>
  </si>
  <si>
    <t>ORD26003062</t>
  </si>
  <si>
    <t>pay_420002942</t>
  </si>
  <si>
    <t>ORD26003087</t>
  </si>
  <si>
    <t>pay_420003017</t>
  </si>
  <si>
    <t>ORD26003169</t>
  </si>
  <si>
    <t>pay_420003020</t>
  </si>
  <si>
    <t>ORD26003171</t>
  </si>
  <si>
    <t>pay_420003057</t>
  </si>
  <si>
    <t>ORD26003209</t>
  </si>
  <si>
    <t>pay_420003067</t>
  </si>
  <si>
    <t>ORD26003221</t>
  </si>
  <si>
    <t>pay_420003165</t>
  </si>
  <si>
    <t>ORD26003326</t>
  </si>
  <si>
    <t>pay_420003167</t>
  </si>
  <si>
    <t>ORD26003328</t>
  </si>
  <si>
    <t>pay_420003172</t>
  </si>
  <si>
    <t xml:space="preserve">ORD26003333  </t>
  </si>
  <si>
    <t>ORD26003333</t>
  </si>
  <si>
    <t>pay_420003173</t>
  </si>
  <si>
    <t>ORD26003334</t>
  </si>
  <si>
    <t>pay_420003194</t>
  </si>
  <si>
    <t>ORD26003355</t>
  </si>
  <si>
    <t>pay_420003239</t>
  </si>
  <si>
    <t>ord26003401</t>
  </si>
  <si>
    <t>ORD26003401</t>
  </si>
  <si>
    <t>pay_420003304</t>
  </si>
  <si>
    <t>ORD26003467</t>
  </si>
  <si>
    <t>pay_420003310</t>
  </si>
  <si>
    <t>ORD26003473</t>
  </si>
  <si>
    <t>pay_420003344</t>
  </si>
  <si>
    <t>ORD26003508</t>
  </si>
  <si>
    <t>pay_420003386</t>
  </si>
  <si>
    <t>ORD26003552</t>
  </si>
  <si>
    <t>pay_420003403</t>
  </si>
  <si>
    <t>ORD26003571</t>
  </si>
  <si>
    <t>pay_420003509</t>
  </si>
  <si>
    <t>ORD26003680</t>
  </si>
  <si>
    <t>pay_420003518</t>
  </si>
  <si>
    <t>ORD26003688</t>
  </si>
  <si>
    <t>pay_420003552</t>
  </si>
  <si>
    <t>ord26003722</t>
  </si>
  <si>
    <t>ORD26003722</t>
  </si>
  <si>
    <t>pay_420003571</t>
  </si>
  <si>
    <t>ORD26003739</t>
  </si>
  <si>
    <t>pay_420003598</t>
  </si>
  <si>
    <t>ord26003767</t>
  </si>
  <si>
    <t>ORD26003767</t>
  </si>
  <si>
    <t>pay_420003653</t>
  </si>
  <si>
    <t>ORD26003825</t>
  </si>
  <si>
    <t>pay_420003662</t>
  </si>
  <si>
    <t>ORD26003832</t>
  </si>
  <si>
    <t>pay_420003676</t>
  </si>
  <si>
    <t>ORD26003846</t>
  </si>
  <si>
    <t>pay_420003688</t>
  </si>
  <si>
    <t>ORD26003859</t>
  </si>
  <si>
    <t>pay_420003769</t>
  </si>
  <si>
    <t>ORD26003944</t>
  </si>
  <si>
    <t>pay_420003870</t>
  </si>
  <si>
    <t>ORD26004055</t>
  </si>
  <si>
    <t>pay_420003874</t>
  </si>
  <si>
    <t>ORD26004059</t>
  </si>
  <si>
    <t>pay_420003914</t>
  </si>
  <si>
    <t>ORD26004096</t>
  </si>
  <si>
    <t>pay_420003920</t>
  </si>
  <si>
    <t>ORD26004104</t>
  </si>
  <si>
    <t>pay_420003959</t>
  </si>
  <si>
    <t>ORD26004143</t>
  </si>
  <si>
    <t>pay_420004028</t>
  </si>
  <si>
    <t>ORD26004219</t>
  </si>
  <si>
    <t>pay_420004181</t>
  </si>
  <si>
    <t>ord26004375</t>
  </si>
  <si>
    <t>ORD26004375</t>
  </si>
  <si>
    <t>pay_420004226</t>
  </si>
  <si>
    <t>ORD26004424</t>
  </si>
  <si>
    <t>pay_420004227</t>
  </si>
  <si>
    <t>ORD26004425</t>
  </si>
  <si>
    <t>pay_420004245</t>
  </si>
  <si>
    <t xml:space="preserve">ORD26004444  </t>
  </si>
  <si>
    <t>ORD26004444</t>
  </si>
  <si>
    <t>pay_420004319</t>
  </si>
  <si>
    <t>ORD26004522</t>
  </si>
  <si>
    <t>pay_420004409</t>
  </si>
  <si>
    <t>ORD26004616</t>
  </si>
  <si>
    <t>pay_420004412</t>
  </si>
  <si>
    <t>ORD26004619</t>
  </si>
  <si>
    <t>pay_420004414</t>
  </si>
  <si>
    <t>ORD26004621</t>
  </si>
  <si>
    <t>pay_420004442</t>
  </si>
  <si>
    <t>ord26004651</t>
  </si>
  <si>
    <t>ORD26004651</t>
  </si>
  <si>
    <t>pay_420004481</t>
  </si>
  <si>
    <t>ORD26004692</t>
  </si>
  <si>
    <t>pay_420004542</t>
  </si>
  <si>
    <t>ORD26004755</t>
  </si>
  <si>
    <t>pay_420004601</t>
  </si>
  <si>
    <t>ORD26004815</t>
  </si>
  <si>
    <t>pay_420004626</t>
  </si>
  <si>
    <t>ORD26004840</t>
  </si>
  <si>
    <t>pay_420004692</t>
  </si>
  <si>
    <t>ORD26004914</t>
  </si>
  <si>
    <t>pay_420004697</t>
  </si>
  <si>
    <t>ORD26004919</t>
  </si>
  <si>
    <t>pay_420004765</t>
  </si>
  <si>
    <t>ORD26004986</t>
  </si>
  <si>
    <t>pay_420004796</t>
  </si>
  <si>
    <t>ORD26005018</t>
  </si>
  <si>
    <t>pay_420004878</t>
  </si>
  <si>
    <t>ORD26005102</t>
  </si>
  <si>
    <t>pay_420004944</t>
  </si>
  <si>
    <t>ORD26005175</t>
  </si>
  <si>
    <t>pay_420004948</t>
  </si>
  <si>
    <t>ORD26005180</t>
  </si>
  <si>
    <t>pay_420004950</t>
  </si>
  <si>
    <t>ORD26005182</t>
  </si>
  <si>
    <t>pay_420004963</t>
  </si>
  <si>
    <t>ORD26005196</t>
  </si>
  <si>
    <t>pay_420004988</t>
  </si>
  <si>
    <t>ORD-26005221</t>
  </si>
  <si>
    <t>ORD26005221</t>
  </si>
  <si>
    <t>pay_420005016</t>
  </si>
  <si>
    <t>ORD26005252</t>
  </si>
  <si>
    <t>pay_420005040</t>
  </si>
  <si>
    <t>ORD26005278</t>
  </si>
  <si>
    <t>pay_420005050</t>
  </si>
  <si>
    <t>ORD26005289</t>
  </si>
  <si>
    <t>pay_420005054</t>
  </si>
  <si>
    <t>ORD26005293</t>
  </si>
  <si>
    <t>pay_420005101</t>
  </si>
  <si>
    <t xml:space="preserve">ORD26005340  </t>
  </si>
  <si>
    <t>ORD26005340</t>
  </si>
  <si>
    <t>pay_420005103</t>
  </si>
  <si>
    <t>ORD26005342</t>
  </si>
  <si>
    <t>pay_420005115</t>
  </si>
  <si>
    <t>ORD26005352</t>
  </si>
  <si>
    <t>pay_420005128</t>
  </si>
  <si>
    <t>ord26005365</t>
  </si>
  <si>
    <t>ORD26005365</t>
  </si>
  <si>
    <t>pay_420005130</t>
  </si>
  <si>
    <t>ORD26005368</t>
  </si>
  <si>
    <t>pay_420005132</t>
  </si>
  <si>
    <t>ORD26005370</t>
  </si>
  <si>
    <t>pay_420005151</t>
  </si>
  <si>
    <t>ORD26005391</t>
  </si>
  <si>
    <t>pay_420005153</t>
  </si>
  <si>
    <t>ORD26005393</t>
  </si>
  <si>
    <t>pay_420005219</t>
  </si>
  <si>
    <t>ord26005458</t>
  </si>
  <si>
    <t>ORD26005458</t>
  </si>
  <si>
    <t>pay_420005223</t>
  </si>
  <si>
    <t>ORD26005461</t>
  </si>
  <si>
    <t>pay_420005238</t>
  </si>
  <si>
    <t xml:space="preserve">ORD26005476  </t>
  </si>
  <si>
    <t>ORD26005476</t>
  </si>
  <si>
    <t>pay_420005250</t>
  </si>
  <si>
    <t>ORD26005487</t>
  </si>
  <si>
    <t>pay_420005263</t>
  </si>
  <si>
    <t>ORD26005500</t>
  </si>
  <si>
    <t>pay_420005270</t>
  </si>
  <si>
    <t>ORD26005507</t>
  </si>
  <si>
    <t>pay_420005282</t>
  </si>
  <si>
    <t>ORD26005519</t>
  </si>
  <si>
    <t>pay_420005283</t>
  </si>
  <si>
    <t>ORD26005520</t>
  </si>
  <si>
    <t>pay_420005292</t>
  </si>
  <si>
    <t>ord26005530</t>
  </si>
  <si>
    <t>ORD26005530</t>
  </si>
  <si>
    <t>pay_420005367</t>
  </si>
  <si>
    <t>ORD26005609</t>
  </si>
  <si>
    <t>pay_420005410</t>
  </si>
  <si>
    <t>ORD26005655</t>
  </si>
  <si>
    <t>pay_420005465</t>
  </si>
  <si>
    <t>ORD26005714</t>
  </si>
  <si>
    <t>pay_420005515</t>
  </si>
  <si>
    <t>ORD26005765</t>
  </si>
  <si>
    <t>pay_420005519</t>
  </si>
  <si>
    <t>ORD26005771</t>
  </si>
  <si>
    <t>pay_420005579</t>
  </si>
  <si>
    <t>ORD26005836</t>
  </si>
  <si>
    <t>pay_420005592</t>
  </si>
  <si>
    <t>ORD26005850</t>
  </si>
  <si>
    <t>pay_420005626</t>
  </si>
  <si>
    <t>ORD26005887</t>
  </si>
  <si>
    <t>pay_420005649</t>
  </si>
  <si>
    <t>ORD26005914</t>
  </si>
  <si>
    <t>pay_420005680</t>
  </si>
  <si>
    <t>ORD-26005945</t>
  </si>
  <si>
    <t>ORD26005945</t>
  </si>
  <si>
    <t>pay_420005689</t>
  </si>
  <si>
    <t>ORD26005954</t>
  </si>
  <si>
    <t>pay_420005717</t>
  </si>
  <si>
    <t>ORD26005984</t>
  </si>
  <si>
    <t>pay_420005738</t>
  </si>
  <si>
    <t>ORD26006503</t>
  </si>
  <si>
    <t>rfnd_594LCKF7XJKL</t>
  </si>
  <si>
    <t>rfnd_9W43EZ5AG8NS</t>
  </si>
  <si>
    <t>rfnd_CAR7S5T7533X</t>
  </si>
  <si>
    <t>rfnd_D3LD5EY4CUJF</t>
  </si>
  <si>
    <t>rfnd_GXZ3TWCBJSJ6</t>
  </si>
  <si>
    <t>rfnd_JZMCZ5PNDVTT</t>
  </si>
  <si>
    <t>rfnd_K0PZZ4161JQT</t>
  </si>
  <si>
    <t>rfnd_PB5X094KKMG4</t>
  </si>
  <si>
    <t>rfnd_WBGPPC0U3BFL</t>
  </si>
  <si>
    <t>pay_420000012</t>
  </si>
  <si>
    <t>ORD26000012</t>
  </si>
  <si>
    <t>STL-20260910</t>
  </si>
  <si>
    <t>pay_420000023</t>
  </si>
  <si>
    <t>ORD26000022</t>
  </si>
  <si>
    <t>pay_420000030</t>
  </si>
  <si>
    <t>ORD26000029</t>
  </si>
  <si>
    <t>pay_420000040</t>
  </si>
  <si>
    <t>ORD26000040</t>
  </si>
  <si>
    <t>pay_420000075</t>
  </si>
  <si>
    <t>ORD26000078</t>
  </si>
  <si>
    <t>pay_420000106</t>
  </si>
  <si>
    <t>ORD26000114</t>
  </si>
  <si>
    <t>pay_420000168</t>
  </si>
  <si>
    <t>ORD26000181</t>
  </si>
  <si>
    <t>pay_420000184</t>
  </si>
  <si>
    <t>ORD26000198</t>
  </si>
  <si>
    <t>pay_420000202</t>
  </si>
  <si>
    <t>ORD26000217</t>
  </si>
  <si>
    <t>pay_420000278</t>
  </si>
  <si>
    <t>ORD26000295</t>
  </si>
  <si>
    <t>pay_420000286</t>
  </si>
  <si>
    <t>ORD26000301</t>
  </si>
  <si>
    <t>pay_420000339</t>
  </si>
  <si>
    <t>ORD26000357</t>
  </si>
  <si>
    <t>pay_420000454</t>
  </si>
  <si>
    <t>ORD26000475</t>
  </si>
  <si>
    <t>pay_420000455</t>
  </si>
  <si>
    <t>ORD26000477</t>
  </si>
  <si>
    <t>pay_420000473</t>
  </si>
  <si>
    <t>ORD26000496</t>
  </si>
  <si>
    <t>pay_420000483</t>
  </si>
  <si>
    <t>ORD26000507</t>
  </si>
  <si>
    <t>pay_420000494</t>
  </si>
  <si>
    <t>ORD26000517</t>
  </si>
  <si>
    <t>pay_420000552</t>
  </si>
  <si>
    <t>ORD26000577</t>
  </si>
  <si>
    <t>pay_420000608</t>
  </si>
  <si>
    <t>ORD26000630</t>
  </si>
  <si>
    <t>pay_420000714</t>
  </si>
  <si>
    <t xml:space="preserve">ORD26000747  </t>
  </si>
  <si>
    <t>ORD26000747</t>
  </si>
  <si>
    <t>pay_420000718</t>
  </si>
  <si>
    <t>ORD26000751</t>
  </si>
  <si>
    <t>pay_420000723</t>
  </si>
  <si>
    <t>ord26000757</t>
  </si>
  <si>
    <t>ORD26000757</t>
  </si>
  <si>
    <t>pay_420000766</t>
  </si>
  <si>
    <t>ORD26000798</t>
  </si>
  <si>
    <t>pay_420000777</t>
  </si>
  <si>
    <t>ORD26000809</t>
  </si>
  <si>
    <t>pay_420000804</t>
  </si>
  <si>
    <t>ORD26000838</t>
  </si>
  <si>
    <t>pay_420000843</t>
  </si>
  <si>
    <t>ORD26000878</t>
  </si>
  <si>
    <t>pay_420000874</t>
  </si>
  <si>
    <t>ord26000913</t>
  </si>
  <si>
    <t>ORD26000913</t>
  </si>
  <si>
    <t>pay_420000943</t>
  </si>
  <si>
    <t>ORD26000985</t>
  </si>
  <si>
    <t>pay_420000983</t>
  </si>
  <si>
    <t>ORD26001026</t>
  </si>
  <si>
    <t>pay_420000994</t>
  </si>
  <si>
    <t>ORD26001037</t>
  </si>
  <si>
    <t>pay_420000998</t>
  </si>
  <si>
    <t>ORD26001041</t>
  </si>
  <si>
    <t>pay_420001029</t>
  </si>
  <si>
    <t>ORD26001073</t>
  </si>
  <si>
    <t>pay_420001041</t>
  </si>
  <si>
    <t>ORD26001084</t>
  </si>
  <si>
    <t>pay_420001079</t>
  </si>
  <si>
    <t xml:space="preserve">ORD26001121  </t>
  </si>
  <si>
    <t>ORD26001121</t>
  </si>
  <si>
    <t>pay_420001092</t>
  </si>
  <si>
    <t>ORD26001135</t>
  </si>
  <si>
    <t>pay_420001146</t>
  </si>
  <si>
    <t>ORD26001194</t>
  </si>
  <si>
    <t>pay_420001176</t>
  </si>
  <si>
    <t xml:space="preserve">ORD26001227  </t>
  </si>
  <si>
    <t>ORD26001227</t>
  </si>
  <si>
    <t>pay_420001246</t>
  </si>
  <si>
    <t>ORD-26001303</t>
  </si>
  <si>
    <t>ORD26001303</t>
  </si>
  <si>
    <t>pay_420001270</t>
  </si>
  <si>
    <t>ORD26001330</t>
  </si>
  <si>
    <t>pay_420001277</t>
  </si>
  <si>
    <t>ord26001337</t>
  </si>
  <si>
    <t>ORD26001337</t>
  </si>
  <si>
    <t>pay_420001280</t>
  </si>
  <si>
    <t>ORD26001340</t>
  </si>
  <si>
    <t>pay_420001313</t>
  </si>
  <si>
    <t>ORD26001376</t>
  </si>
  <si>
    <t>pay_420001353</t>
  </si>
  <si>
    <t>ORD26001417</t>
  </si>
  <si>
    <t>pay_420001357</t>
  </si>
  <si>
    <t>ORD26001422</t>
  </si>
  <si>
    <t>pay_420001380</t>
  </si>
  <si>
    <t>ORD26001449</t>
  </si>
  <si>
    <t>pay_420001424</t>
  </si>
  <si>
    <t>ORD26001493</t>
  </si>
  <si>
    <t>pay_420001495</t>
  </si>
  <si>
    <t>ORD26001561</t>
  </si>
  <si>
    <t>pay_420001508</t>
  </si>
  <si>
    <t>ORD26001574</t>
  </si>
  <si>
    <t>pay_420001529</t>
  </si>
  <si>
    <t>ORD26001596</t>
  </si>
  <si>
    <t>pay_420001594</t>
  </si>
  <si>
    <t>ORD26001668</t>
  </si>
  <si>
    <t>pay_420001597</t>
  </si>
  <si>
    <t>ord26001671</t>
  </si>
  <si>
    <t>ORD26001671</t>
  </si>
  <si>
    <t>pay_420001610</t>
  </si>
  <si>
    <t>ORD26001685</t>
  </si>
  <si>
    <t>pay_420001665</t>
  </si>
  <si>
    <t>ORD26001744</t>
  </si>
  <si>
    <t>pay_420001694</t>
  </si>
  <si>
    <t>ORD26001773</t>
  </si>
  <si>
    <t>pay_420001695</t>
  </si>
  <si>
    <t>ORD26001774</t>
  </si>
  <si>
    <t>pay_420001736</t>
  </si>
  <si>
    <t>ord26001817</t>
  </si>
  <si>
    <t>ORD26001817</t>
  </si>
  <si>
    <t>pay_420001750</t>
  </si>
  <si>
    <t>ORD26001832</t>
  </si>
  <si>
    <t>pay_420001752</t>
  </si>
  <si>
    <t>ORD26001834</t>
  </si>
  <si>
    <t>pay_420001849</t>
  </si>
  <si>
    <t>ORD26001934</t>
  </si>
  <si>
    <t>pay_420001871</t>
  </si>
  <si>
    <t>ORD26001959</t>
  </si>
  <si>
    <t>pay_420001890</t>
  </si>
  <si>
    <t>ORD26001979</t>
  </si>
  <si>
    <t>pay_420001908</t>
  </si>
  <si>
    <t>ORD26001998</t>
  </si>
  <si>
    <t>pay_420001916</t>
  </si>
  <si>
    <t>ORD26002008</t>
  </si>
  <si>
    <t>pay_420001951</t>
  </si>
  <si>
    <t>ORD26002045</t>
  </si>
  <si>
    <t>pay_420001987</t>
  </si>
  <si>
    <t>ORD26002080</t>
  </si>
  <si>
    <t>pay_420001998</t>
  </si>
  <si>
    <t>ORD26002091</t>
  </si>
  <si>
    <t>pay_420002007</t>
  </si>
  <si>
    <t>ORD26002099</t>
  </si>
  <si>
    <t>pay_420002033</t>
  </si>
  <si>
    <t>ORD26002124</t>
  </si>
  <si>
    <t>pay_420002046</t>
  </si>
  <si>
    <t>ORD26002139</t>
  </si>
  <si>
    <t>pay_420002099</t>
  </si>
  <si>
    <t>ORD-26002196</t>
  </si>
  <si>
    <t>ORD26002196</t>
  </si>
  <si>
    <t>pay_420002101</t>
  </si>
  <si>
    <t>ORD26002198</t>
  </si>
  <si>
    <t>pay_420002148</t>
  </si>
  <si>
    <t>ORD26002249</t>
  </si>
  <si>
    <t>pay_420002177</t>
  </si>
  <si>
    <t>ORD26002278</t>
  </si>
  <si>
    <t>pay_420002248</t>
  </si>
  <si>
    <t>ORD26002353</t>
  </si>
  <si>
    <t>pay_420002256</t>
  </si>
  <si>
    <t>ORD26002364</t>
  </si>
  <si>
    <t>pay_420002260</t>
  </si>
  <si>
    <t>ORD26002368</t>
  </si>
  <si>
    <t>pay_420002270</t>
  </si>
  <si>
    <t>ORD26002378</t>
  </si>
  <si>
    <t>pay_420002292</t>
  </si>
  <si>
    <t>ord26002404</t>
  </si>
  <si>
    <t>ORD26002404</t>
  </si>
  <si>
    <t>pay_420002313</t>
  </si>
  <si>
    <t>ORD26002426</t>
  </si>
  <si>
    <t>pay_420002327</t>
  </si>
  <si>
    <t xml:space="preserve">ORD26002440  </t>
  </si>
  <si>
    <t>ORD26002440</t>
  </si>
  <si>
    <t>pay_420002340</t>
  </si>
  <si>
    <t>ORD26002454</t>
  </si>
  <si>
    <t>pay_420002366</t>
  </si>
  <si>
    <t>ORD26002479</t>
  </si>
  <si>
    <t>pay_420002412</t>
  </si>
  <si>
    <t>ORD26002524</t>
  </si>
  <si>
    <t>pay_420002422</t>
  </si>
  <si>
    <t>ORD26002536</t>
  </si>
  <si>
    <t>pay_420002516</t>
  </si>
  <si>
    <t>ord26002637</t>
  </si>
  <si>
    <t>ORD26002637</t>
  </si>
  <si>
    <t>pay_420002549</t>
  </si>
  <si>
    <t>ORD26002673</t>
  </si>
  <si>
    <t>pay_420002553</t>
  </si>
  <si>
    <t>ORD26002679</t>
  </si>
  <si>
    <t>pay_420002584</t>
  </si>
  <si>
    <t>ORD26002711</t>
  </si>
  <si>
    <t>pay_420002627</t>
  </si>
  <si>
    <t>ORD26002755</t>
  </si>
  <si>
    <t>pay_420002658</t>
  </si>
  <si>
    <t>ord26002790</t>
  </si>
  <si>
    <t>ORD26002790</t>
  </si>
  <si>
    <t>pay_420002664</t>
  </si>
  <si>
    <t>ORD26002797</t>
  </si>
  <si>
    <t>pay_420002671</t>
  </si>
  <si>
    <t>ORD26002803</t>
  </si>
  <si>
    <t>pay_420002680</t>
  </si>
  <si>
    <t>ord26002812</t>
  </si>
  <si>
    <t>ORD26002812</t>
  </si>
  <si>
    <t>pay_420002694</t>
  </si>
  <si>
    <t>ORD26002826</t>
  </si>
  <si>
    <t>pay_420002758</t>
  </si>
  <si>
    <t>ORD26002896</t>
  </si>
  <si>
    <t>pay_420002772</t>
  </si>
  <si>
    <t>ORD26002910</t>
  </si>
  <si>
    <t>pay_420002795</t>
  </si>
  <si>
    <t>ord26002937</t>
  </si>
  <si>
    <t>ORD26002937</t>
  </si>
  <si>
    <t>pay_420002934</t>
  </si>
  <si>
    <t>ORD26003079</t>
  </si>
  <si>
    <t>pay_420002948</t>
  </si>
  <si>
    <t>ORD26003093</t>
  </si>
  <si>
    <t>pay_420002963</t>
  </si>
  <si>
    <t>ORD26003109</t>
  </si>
  <si>
    <t>pay_420002964</t>
  </si>
  <si>
    <t>ORD26003110</t>
  </si>
  <si>
    <t>pay_420002968</t>
  </si>
  <si>
    <t>ord26003115</t>
  </si>
  <si>
    <t>ORD26003115</t>
  </si>
  <si>
    <t>pay_420002996</t>
  </si>
  <si>
    <t>ord26003145</t>
  </si>
  <si>
    <t>ORD26003145</t>
  </si>
  <si>
    <t>pay_420003009</t>
  </si>
  <si>
    <t>ORD26003161</t>
  </si>
  <si>
    <t>pay_420003014</t>
  </si>
  <si>
    <t>ORD26003166</t>
  </si>
  <si>
    <t>pay_420003035</t>
  </si>
  <si>
    <t>ORD26003186</t>
  </si>
  <si>
    <t>pay_420003042</t>
  </si>
  <si>
    <t>ORD26003194</t>
  </si>
  <si>
    <t>pay_420003082</t>
  </si>
  <si>
    <t>ORD26003236</t>
  </si>
  <si>
    <t>pay_420003095</t>
  </si>
  <si>
    <t>ORD26003251</t>
  </si>
  <si>
    <t>pay_420003108</t>
  </si>
  <si>
    <t>ORD26003266</t>
  </si>
  <si>
    <t>pay_420003145</t>
  </si>
  <si>
    <t>ORD26003306</t>
  </si>
  <si>
    <t>pay_420003170</t>
  </si>
  <si>
    <t>ord26003331</t>
  </si>
  <si>
    <t>ORD26003331</t>
  </si>
  <si>
    <t>pay_420003196</t>
  </si>
  <si>
    <t>ORD26003357</t>
  </si>
  <si>
    <t>pay_420003198</t>
  </si>
  <si>
    <t>ORD26003359</t>
  </si>
  <si>
    <t>pay_420003224</t>
  </si>
  <si>
    <t>ORD-26003385</t>
  </si>
  <si>
    <t>ORD26003385</t>
  </si>
  <si>
    <t>pay_420003268</t>
  </si>
  <si>
    <t>ORD26003436</t>
  </si>
  <si>
    <t>pay_420003270</t>
  </si>
  <si>
    <t>ORD26003437</t>
  </si>
  <si>
    <t>pay_420003330</t>
  </si>
  <si>
    <t>ord26003494</t>
  </si>
  <si>
    <t>ORD26003494</t>
  </si>
  <si>
    <t>pay_420003420</t>
  </si>
  <si>
    <t>ord26003588</t>
  </si>
  <si>
    <t>ORD26003588</t>
  </si>
  <si>
    <t>pay_420003426</t>
  </si>
  <si>
    <t>ORD26003595</t>
  </si>
  <si>
    <t>pay_420003492</t>
  </si>
  <si>
    <t>ORD26003660</t>
  </si>
  <si>
    <t>pay_420003502</t>
  </si>
  <si>
    <t>ORD26003670</t>
  </si>
  <si>
    <t>pay_420003568</t>
  </si>
  <si>
    <t>ORD26003736</t>
  </si>
  <si>
    <t>pay_420003572</t>
  </si>
  <si>
    <t>ORD26003740</t>
  </si>
  <si>
    <t>pay_420003586</t>
  </si>
  <si>
    <t>ORD26003755</t>
  </si>
  <si>
    <t>pay_420003616</t>
  </si>
  <si>
    <t>ord26003784</t>
  </si>
  <si>
    <t>ORD26003784</t>
  </si>
  <si>
    <t>pay_420003641</t>
  </si>
  <si>
    <t>ORD26003813</t>
  </si>
  <si>
    <t>pay_420003657</t>
  </si>
  <si>
    <t>ORD26003828</t>
  </si>
  <si>
    <t>pay_420003697</t>
  </si>
  <si>
    <t>ORD26003869</t>
  </si>
  <si>
    <t>pay_420003766</t>
  </si>
  <si>
    <t>ORD26003941</t>
  </si>
  <si>
    <t>pay_420003770</t>
  </si>
  <si>
    <t>ORD26003945</t>
  </si>
  <si>
    <t>pay_420003785</t>
  </si>
  <si>
    <t>ORD-26003962</t>
  </si>
  <si>
    <t>ORD26003962</t>
  </si>
  <si>
    <t>pay_420003786</t>
  </si>
  <si>
    <t>pay_420003797</t>
  </si>
  <si>
    <t>ORD26003976</t>
  </si>
  <si>
    <t>pay_420003809</t>
  </si>
  <si>
    <t>ORD26003989</t>
  </si>
  <si>
    <t>pay_420003853</t>
  </si>
  <si>
    <t>ORD26004035</t>
  </si>
  <si>
    <t>pay_420003873</t>
  </si>
  <si>
    <t>ORD26004058</t>
  </si>
  <si>
    <t>pay_420003878</t>
  </si>
  <si>
    <t>ORD26004062</t>
  </si>
  <si>
    <t>pay_420003944</t>
  </si>
  <si>
    <t>ORD26004127</t>
  </si>
  <si>
    <t>pay_420003946</t>
  </si>
  <si>
    <t>ord26004129</t>
  </si>
  <si>
    <t>ORD26004129</t>
  </si>
  <si>
    <t>pay_420003975</t>
  </si>
  <si>
    <t>ORD26004160</t>
  </si>
  <si>
    <t>pay_420004017</t>
  </si>
  <si>
    <t>ORD26004205</t>
  </si>
  <si>
    <t>pay_420004083</t>
  </si>
  <si>
    <t>ORD26004276</t>
  </si>
  <si>
    <t>pay_420004093</t>
  </si>
  <si>
    <t>ORD26004286</t>
  </si>
  <si>
    <t>pay_420004095</t>
  </si>
  <si>
    <t>ORD26004289</t>
  </si>
  <si>
    <t>pay_420004138</t>
  </si>
  <si>
    <t>ord26004331</t>
  </si>
  <si>
    <t>ORD26004331</t>
  </si>
  <si>
    <t>pay_420004195</t>
  </si>
  <si>
    <t>ORD26004392</t>
  </si>
  <si>
    <t>pay_420004248</t>
  </si>
  <si>
    <t>ord26004447</t>
  </si>
  <si>
    <t>ORD26004447</t>
  </si>
  <si>
    <t>pay_420004304</t>
  </si>
  <si>
    <t>ORD26004504</t>
  </si>
  <si>
    <t>pay_420004315</t>
  </si>
  <si>
    <t>ORD26004517</t>
  </si>
  <si>
    <t>pay_420004324</t>
  </si>
  <si>
    <t>ORD26004526</t>
  </si>
  <si>
    <t>pay_420004327</t>
  </si>
  <si>
    <t>ORD26004528</t>
  </si>
  <si>
    <t>pay_420004344</t>
  </si>
  <si>
    <t>ORD26004546</t>
  </si>
  <si>
    <t>pay_420004367</t>
  </si>
  <si>
    <t>ORD26004569</t>
  </si>
  <si>
    <t>pay_420004370</t>
  </si>
  <si>
    <t xml:space="preserve">ORD26004573  </t>
  </si>
  <si>
    <t>ORD26004573</t>
  </si>
  <si>
    <t>pay_420004384</t>
  </si>
  <si>
    <t>ORD26004588</t>
  </si>
  <si>
    <t>pay_420004386</t>
  </si>
  <si>
    <t>ORD-26004589</t>
  </si>
  <si>
    <t>ORD26004589</t>
  </si>
  <si>
    <t>pay_420004395</t>
  </si>
  <si>
    <t>ORD26004599</t>
  </si>
  <si>
    <t>pay_420004406</t>
  </si>
  <si>
    <t>ORD-26004612</t>
  </si>
  <si>
    <t>ORD26004612</t>
  </si>
  <si>
    <t>pay_420004415</t>
  </si>
  <si>
    <t>ORD26004622</t>
  </si>
  <si>
    <t>pay_420004448</t>
  </si>
  <si>
    <t>ORD26004657</t>
  </si>
  <si>
    <t>pay_420004466</t>
  </si>
  <si>
    <t>ORD26004676</t>
  </si>
  <si>
    <t>pay_420004474</t>
  </si>
  <si>
    <t>ORD26004684</t>
  </si>
  <si>
    <t>pay_420004485</t>
  </si>
  <si>
    <t>ORD26004697</t>
  </si>
  <si>
    <t>pay_420004487</t>
  </si>
  <si>
    <t>ORD26004699</t>
  </si>
  <si>
    <t>pay_420004499</t>
  </si>
  <si>
    <t>ORD26004712</t>
  </si>
  <si>
    <t>pay_420004514</t>
  </si>
  <si>
    <t>ORD26004727</t>
  </si>
  <si>
    <t>pay_420004566</t>
  </si>
  <si>
    <t>ORD26004780</t>
  </si>
  <si>
    <t>pay_420004567</t>
  </si>
  <si>
    <t>ORD26004781</t>
  </si>
  <si>
    <t>pay_420004582</t>
  </si>
  <si>
    <t xml:space="preserve">ORD26004794  </t>
  </si>
  <si>
    <t>ORD26004794</t>
  </si>
  <si>
    <t>pay_420004585</t>
  </si>
  <si>
    <t>ORD26004798</t>
  </si>
  <si>
    <t>pay_420004622</t>
  </si>
  <si>
    <t>ORD26004835</t>
  </si>
  <si>
    <t>pay_420004703</t>
  </si>
  <si>
    <t>ORD-26004924</t>
  </si>
  <si>
    <t>ORD26004924</t>
  </si>
  <si>
    <t>pay_420004815</t>
  </si>
  <si>
    <t>ORD-26005037</t>
  </si>
  <si>
    <t>ORD26005037</t>
  </si>
  <si>
    <t>pay_420004904</t>
  </si>
  <si>
    <t>ord26005131</t>
  </si>
  <si>
    <t>ORD26005131</t>
  </si>
  <si>
    <t>pay_420004911</t>
  </si>
  <si>
    <t xml:space="preserve">ORD26005139  </t>
  </si>
  <si>
    <t>ORD26005139</t>
  </si>
  <si>
    <t>pay_420004912</t>
  </si>
  <si>
    <t>ORD26005140</t>
  </si>
  <si>
    <t>pay_420004946</t>
  </si>
  <si>
    <t>ORD26005178</t>
  </si>
  <si>
    <t>pay_420005000</t>
  </si>
  <si>
    <t>ORD26005236</t>
  </si>
  <si>
    <t>pay_420005012</t>
  </si>
  <si>
    <t>ORD26005248</t>
  </si>
  <si>
    <t>pay_420005080</t>
  </si>
  <si>
    <t>ord26005321</t>
  </si>
  <si>
    <t>ORD26005321</t>
  </si>
  <si>
    <t>pay_420005118</t>
  </si>
  <si>
    <t>ORD26005355</t>
  </si>
  <si>
    <t>pay_420005200</t>
  </si>
  <si>
    <t>ORD26005440</t>
  </si>
  <si>
    <t>pay_420005262</t>
  </si>
  <si>
    <t>ORD26005499</t>
  </si>
  <si>
    <t>pay_420005290</t>
  </si>
  <si>
    <t>ORD26005528</t>
  </si>
  <si>
    <t>pay_420005330</t>
  </si>
  <si>
    <t>ord26005571</t>
  </si>
  <si>
    <t>ORD26005571</t>
  </si>
  <si>
    <t>pay_420005333</t>
  </si>
  <si>
    <t>ord26005574</t>
  </si>
  <si>
    <t>ORD26005574</t>
  </si>
  <si>
    <t>pay_420005349</t>
  </si>
  <si>
    <t>ORD26005591</t>
  </si>
  <si>
    <t>pay_420005383</t>
  </si>
  <si>
    <t>ORD26005625</t>
  </si>
  <si>
    <t>pay_420005408</t>
  </si>
  <si>
    <t>ORD-26005653</t>
  </si>
  <si>
    <t>ORD26005653</t>
  </si>
  <si>
    <t>pay_420005455</t>
  </si>
  <si>
    <t>ORD26005703</t>
  </si>
  <si>
    <t>pay_420005483</t>
  </si>
  <si>
    <t>ORD26005732</t>
  </si>
  <si>
    <t>pay_420005514</t>
  </si>
  <si>
    <t>ORD26005764</t>
  </si>
  <si>
    <t>pay_420005525</t>
  </si>
  <si>
    <t>ORD26005776</t>
  </si>
  <si>
    <t>pay_420005542</t>
  </si>
  <si>
    <t>ORD26005795</t>
  </si>
  <si>
    <t>pay_420005558</t>
  </si>
  <si>
    <t>ord26005812</t>
  </si>
  <si>
    <t>ORD26005812</t>
  </si>
  <si>
    <t>pay_420005616</t>
  </si>
  <si>
    <t>ORD26005876</t>
  </si>
  <si>
    <t>pay_420005660</t>
  </si>
  <si>
    <t>ORD26005926</t>
  </si>
  <si>
    <t>pay_420005695</t>
  </si>
  <si>
    <t>ORD26005961</t>
  </si>
  <si>
    <t>pay_420005705</t>
  </si>
  <si>
    <t>ORD26005972</t>
  </si>
  <si>
    <t>pay_420005721</t>
  </si>
  <si>
    <t>ORD26005988</t>
  </si>
  <si>
    <t>pay_420005727</t>
  </si>
  <si>
    <t>ORD26005993</t>
  </si>
  <si>
    <t>pay_420005737</t>
  </si>
  <si>
    <t>ORD26006502</t>
  </si>
  <si>
    <t>rfnd_4CMUBQVFXUZF</t>
  </si>
  <si>
    <t>rfnd_F36UJP3BM2JW</t>
  </si>
  <si>
    <t>rfnd_G47MGYQQFQSJ</t>
  </si>
  <si>
    <t>rfnd_K6UMSRHP3BJ4</t>
  </si>
  <si>
    <t>rfnd_S34BUU715YB8</t>
  </si>
  <si>
    <t>rfnd_SE7E23HPQE1L</t>
  </si>
  <si>
    <t>rfnd_UZA2SKW6FGBE</t>
  </si>
  <si>
    <t>pay_420000004</t>
  </si>
  <si>
    <t>ORD26000004</t>
  </si>
  <si>
    <t>STL-20260911</t>
  </si>
  <si>
    <t>pay_420000016</t>
  </si>
  <si>
    <t xml:space="preserve">ORD26000016  </t>
  </si>
  <si>
    <t>ORD26000016</t>
  </si>
  <si>
    <t>pay_420000072</t>
  </si>
  <si>
    <t>ord26000074</t>
  </si>
  <si>
    <t>ORD26000074</t>
  </si>
  <si>
    <t>pay_420000087</t>
  </si>
  <si>
    <t>ORD26000092</t>
  </si>
  <si>
    <t>pay_420000089</t>
  </si>
  <si>
    <t>ORD26000094</t>
  </si>
  <si>
    <t>pay_420000113</t>
  </si>
  <si>
    <t>ORD26000122</t>
  </si>
  <si>
    <t>pay_420000120</t>
  </si>
  <si>
    <t>ORD26000129</t>
  </si>
  <si>
    <t>pay_420000128</t>
  </si>
  <si>
    <t>ORD26000137</t>
  </si>
  <si>
    <t>pay_420000185</t>
  </si>
  <si>
    <t>ORD26000199</t>
  </si>
  <si>
    <t>pay_420000192</t>
  </si>
  <si>
    <t>ORD-26000205</t>
  </si>
  <si>
    <t>ORD26000205</t>
  </si>
  <si>
    <t>pay_420000254</t>
  </si>
  <si>
    <t>ORD26000271</t>
  </si>
  <si>
    <t>pay_420000337</t>
  </si>
  <si>
    <t>ORD26000354</t>
  </si>
  <si>
    <t>pay_420000350</t>
  </si>
  <si>
    <t>ORD26000367</t>
  </si>
  <si>
    <t>pay_420000351</t>
  </si>
  <si>
    <t>ORD26000368</t>
  </si>
  <si>
    <t>pay_420000352</t>
  </si>
  <si>
    <t>ORD26000369</t>
  </si>
  <si>
    <t>pay_420000378</t>
  </si>
  <si>
    <t>ORD26000396</t>
  </si>
  <si>
    <t>pay_420000465</t>
  </si>
  <si>
    <t>ORD26000488</t>
  </si>
  <si>
    <t>pay_420000522</t>
  </si>
  <si>
    <t>ORD26000547</t>
  </si>
  <si>
    <t>pay_420000537</t>
  </si>
  <si>
    <t>ORD26000562</t>
  </si>
  <si>
    <t>pay_420000541</t>
  </si>
  <si>
    <t>ORD26000566</t>
  </si>
  <si>
    <t>pay_420000544</t>
  </si>
  <si>
    <t>ord26000569</t>
  </si>
  <si>
    <t>ORD26000569</t>
  </si>
  <si>
    <t>pay_420000564</t>
  </si>
  <si>
    <t>ORD26000587</t>
  </si>
  <si>
    <t>pay_420000645</t>
  </si>
  <si>
    <t>ORD26000672</t>
  </si>
  <si>
    <t>pay_420000649</t>
  </si>
  <si>
    <t>ORD26000677</t>
  </si>
  <si>
    <t>pay_420000693</t>
  </si>
  <si>
    <t>ORD26000723</t>
  </si>
  <si>
    <t>pay_420000705</t>
  </si>
  <si>
    <t>ord26000738</t>
  </si>
  <si>
    <t>ORD26000738</t>
  </si>
  <si>
    <t>pay_420000727</t>
  </si>
  <si>
    <t>ORD26000761</t>
  </si>
  <si>
    <t>pay_420000792</t>
  </si>
  <si>
    <t>ORD26000825</t>
  </si>
  <si>
    <t>pay_420000801</t>
  </si>
  <si>
    <t>ORD26000835</t>
  </si>
  <si>
    <t>pay_420000851</t>
  </si>
  <si>
    <t>ORD26000887</t>
  </si>
  <si>
    <t>pay_420000861</t>
  </si>
  <si>
    <t>ORD26000898</t>
  </si>
  <si>
    <t>pay_420000863</t>
  </si>
  <si>
    <t>ORD26000901</t>
  </si>
  <si>
    <t>pay_420000901</t>
  </si>
  <si>
    <t>ORD26000940</t>
  </si>
  <si>
    <t>pay_420000914</t>
  </si>
  <si>
    <t xml:space="preserve">ORD26000954  </t>
  </si>
  <si>
    <t>ORD26000954</t>
  </si>
  <si>
    <t>pay_420000919</t>
  </si>
  <si>
    <t>ORD26000959</t>
  </si>
  <si>
    <t>pay_420001004</t>
  </si>
  <si>
    <t>ORD26001047</t>
  </si>
  <si>
    <t>pay_420001033</t>
  </si>
  <si>
    <t>ORD26001076</t>
  </si>
  <si>
    <t>pay_420001039</t>
  </si>
  <si>
    <t>ORD26001082</t>
  </si>
  <si>
    <t>pay_420001040</t>
  </si>
  <si>
    <t>ORD26001083</t>
  </si>
  <si>
    <t>pay_420001080</t>
  </si>
  <si>
    <t>ORD26001122</t>
  </si>
  <si>
    <t>pay_420001234</t>
  </si>
  <si>
    <t>ORD26001291</t>
  </si>
  <si>
    <t>pay_420001306</t>
  </si>
  <si>
    <t>ORD26001368</t>
  </si>
  <si>
    <t>pay_420001323</t>
  </si>
  <si>
    <t>ORD26001385</t>
  </si>
  <si>
    <t>pay_420001334</t>
  </si>
  <si>
    <t>ORD26001397</t>
  </si>
  <si>
    <t>pay_420001335</t>
  </si>
  <si>
    <t>ORD26001399</t>
  </si>
  <si>
    <t>pay_420001337</t>
  </si>
  <si>
    <t>ORD26001401</t>
  </si>
  <si>
    <t>pay_420001466</t>
  </si>
  <si>
    <t>ORD26001531</t>
  </si>
  <si>
    <t>pay_420001492</t>
  </si>
  <si>
    <t>ORD26001558</t>
  </si>
  <si>
    <t>pay_420001521</t>
  </si>
  <si>
    <t>ORD26001588</t>
  </si>
  <si>
    <t>pay_420001540</t>
  </si>
  <si>
    <t>ORD26001608</t>
  </si>
  <si>
    <t>pay_420001551</t>
  </si>
  <si>
    <t>ORD26001619</t>
  </si>
  <si>
    <t>pay_420001609</t>
  </si>
  <si>
    <t>ORD26001684</t>
  </si>
  <si>
    <t>pay_420001619</t>
  </si>
  <si>
    <t>ORD26001694</t>
  </si>
  <si>
    <t>pay_420001630</t>
  </si>
  <si>
    <t>ORD26001706</t>
  </si>
  <si>
    <t>pay_420001649</t>
  </si>
  <si>
    <t>ORD26001726</t>
  </si>
  <si>
    <t>pay_420001660</t>
  </si>
  <si>
    <t>ORD-26001737</t>
  </si>
  <si>
    <t>ORD26001737</t>
  </si>
  <si>
    <t>pay_420001696</t>
  </si>
  <si>
    <t>ORD26001775</t>
  </si>
  <si>
    <t>pay_420001697</t>
  </si>
  <si>
    <t>ORD26001776</t>
  </si>
  <si>
    <t>pay_420001698</t>
  </si>
  <si>
    <t>ORD26001777</t>
  </si>
  <si>
    <t>pay_420001705</t>
  </si>
  <si>
    <t>ORD26001785</t>
  </si>
  <si>
    <t>pay_420001709</t>
  </si>
  <si>
    <t>ORD26001790</t>
  </si>
  <si>
    <t>pay_420001721</t>
  </si>
  <si>
    <t>ORD26001802</t>
  </si>
  <si>
    <t>pay_420001725</t>
  </si>
  <si>
    <t>ORD26001806</t>
  </si>
  <si>
    <t>pay_420001728</t>
  </si>
  <si>
    <t>ORD-26001809</t>
  </si>
  <si>
    <t>ORD26001809</t>
  </si>
  <si>
    <t>pay_420001751</t>
  </si>
  <si>
    <t>ORD26001833</t>
  </si>
  <si>
    <t>pay_420001772</t>
  </si>
  <si>
    <t>ORD26001855</t>
  </si>
  <si>
    <t>pay_420001796</t>
  </si>
  <si>
    <t>ORD26001879</t>
  </si>
  <si>
    <t>pay_420001821</t>
  </si>
  <si>
    <t>ORD26001903</t>
  </si>
  <si>
    <t>pay_420001842</t>
  </si>
  <si>
    <t>ORD26001926</t>
  </si>
  <si>
    <t>pay_420001847</t>
  </si>
  <si>
    <t xml:space="preserve">ORD26001932  </t>
  </si>
  <si>
    <t>ORD26001932</t>
  </si>
  <si>
    <t>pay_420001851</t>
  </si>
  <si>
    <t>ORD26001936</t>
  </si>
  <si>
    <t>pay_420001913</t>
  </si>
  <si>
    <t xml:space="preserve">ORD26002004  </t>
  </si>
  <si>
    <t>ORD26002004</t>
  </si>
  <si>
    <t>pay_420001940</t>
  </si>
  <si>
    <t>ORD26002034</t>
  </si>
  <si>
    <t>pay_420001954</t>
  </si>
  <si>
    <t>ORD26002048</t>
  </si>
  <si>
    <t>pay_420001959</t>
  </si>
  <si>
    <t>ORD26002054</t>
  </si>
  <si>
    <t>pay_420002032</t>
  </si>
  <si>
    <t>ORD26002123</t>
  </si>
  <si>
    <t>pay_420002093</t>
  </si>
  <si>
    <t>ORD26002190</t>
  </si>
  <si>
    <t>pay_420002095</t>
  </si>
  <si>
    <t>ORD26002192</t>
  </si>
  <si>
    <t>pay_420002139</t>
  </si>
  <si>
    <t>ORD26002241</t>
  </si>
  <si>
    <t>pay_420002165</t>
  </si>
  <si>
    <t>ORD26002266</t>
  </si>
  <si>
    <t>pay_420002197</t>
  </si>
  <si>
    <t xml:space="preserve">ORD26002301  </t>
  </si>
  <si>
    <t>ORD26002301</t>
  </si>
  <si>
    <t>pay_420002257</t>
  </si>
  <si>
    <t>ORD26002365</t>
  </si>
  <si>
    <t>pay_420002290</t>
  </si>
  <si>
    <t>ORD26002402</t>
  </si>
  <si>
    <t>pay_420002356</t>
  </si>
  <si>
    <t>ORD26002469</t>
  </si>
  <si>
    <t>pay_420002399</t>
  </si>
  <si>
    <t>ORD26002511</t>
  </si>
  <si>
    <t>pay_420002466</t>
  </si>
  <si>
    <t>ORD26002581</t>
  </si>
  <si>
    <t>pay_420002495</t>
  </si>
  <si>
    <t>ORD26002612</t>
  </si>
  <si>
    <t>pay_420002511</t>
  </si>
  <si>
    <t>ORD26002631</t>
  </si>
  <si>
    <t>pay_420002572</t>
  </si>
  <si>
    <t>ORD26002699</t>
  </si>
  <si>
    <t>pay_420002638</t>
  </si>
  <si>
    <t>ORD26002767</t>
  </si>
  <si>
    <t>pay_420002703</t>
  </si>
  <si>
    <t>ORD26002838</t>
  </si>
  <si>
    <t>pay_420002752</t>
  </si>
  <si>
    <t>ORD26002890</t>
  </si>
  <si>
    <t>pay_420002775</t>
  </si>
  <si>
    <t xml:space="preserve">ORD26002914  </t>
  </si>
  <si>
    <t>ORD26002914</t>
  </si>
  <si>
    <t>pay_420002806</t>
  </si>
  <si>
    <t>ORD26002948</t>
  </si>
  <si>
    <t>pay_420002808</t>
  </si>
  <si>
    <t>ORD26002950</t>
  </si>
  <si>
    <t>pay_420002812</t>
  </si>
  <si>
    <t xml:space="preserve">ORD26002954  </t>
  </si>
  <si>
    <t>ORD26002954</t>
  </si>
  <si>
    <t>pay_420002846</t>
  </si>
  <si>
    <t>ORD26002989</t>
  </si>
  <si>
    <t>pay_420002926</t>
  </si>
  <si>
    <t>ORD26003069</t>
  </si>
  <si>
    <t>pay_420002932</t>
  </si>
  <si>
    <t>ORD26003077</t>
  </si>
  <si>
    <t>pay_420002991</t>
  </si>
  <si>
    <t>ORD26003140</t>
  </si>
  <si>
    <t>pay_420003047</t>
  </si>
  <si>
    <t>ORD26003199</t>
  </si>
  <si>
    <t>pay_420003056</t>
  </si>
  <si>
    <t>ORD26003208</t>
  </si>
  <si>
    <t>pay_420003124</t>
  </si>
  <si>
    <t xml:space="preserve">ORD26003284  </t>
  </si>
  <si>
    <t>ORD26003284</t>
  </si>
  <si>
    <t>pay_420003127</t>
  </si>
  <si>
    <t>ORD26003287</t>
  </si>
  <si>
    <t>pay_420003137</t>
  </si>
  <si>
    <t>ORD-26003297</t>
  </si>
  <si>
    <t>ORD26003297</t>
  </si>
  <si>
    <t>pay_420003138</t>
  </si>
  <si>
    <t>ORD26003298</t>
  </si>
  <si>
    <t>pay_420003177</t>
  </si>
  <si>
    <t>ORD26003338</t>
  </si>
  <si>
    <t>pay_420003228</t>
  </si>
  <si>
    <t>ORD-26003390</t>
  </si>
  <si>
    <t>ORD26003390</t>
  </si>
  <si>
    <t>pay_420003291</t>
  </si>
  <si>
    <t>ORD26003455</t>
  </si>
  <si>
    <t>pay_420003378</t>
  </si>
  <si>
    <t>ORD26003544</t>
  </si>
  <si>
    <t>pay_420003445</t>
  </si>
  <si>
    <t>ORD-26003614</t>
  </si>
  <si>
    <t>ORD26003614</t>
  </si>
  <si>
    <t>pay_420003569</t>
  </si>
  <si>
    <t>ord26003737</t>
  </si>
  <si>
    <t>ORD26003737</t>
  </si>
  <si>
    <t>pay_420003574</t>
  </si>
  <si>
    <t>ORD26003742</t>
  </si>
  <si>
    <t>pay_420003604</t>
  </si>
  <si>
    <t>ORD26003773</t>
  </si>
  <si>
    <t>pay_420003664</t>
  </si>
  <si>
    <t>ORD26003834</t>
  </si>
  <si>
    <t>pay_420003681</t>
  </si>
  <si>
    <t>ORD26003852</t>
  </si>
  <si>
    <t>pay_420003720</t>
  </si>
  <si>
    <t>ord26003893</t>
  </si>
  <si>
    <t>ORD26003893</t>
  </si>
  <si>
    <t>pay_420003745</t>
  </si>
  <si>
    <t>ORD26003919</t>
  </si>
  <si>
    <t>pay_420003754</t>
  </si>
  <si>
    <t>ORD26003929</t>
  </si>
  <si>
    <t>pay_420003826</t>
  </si>
  <si>
    <t>ORD26004007</t>
  </si>
  <si>
    <t>pay_420003862</t>
  </si>
  <si>
    <t>ORD26004046</t>
  </si>
  <si>
    <t>pay_420003934</t>
  </si>
  <si>
    <t>ORD26004118</t>
  </si>
  <si>
    <t>pay_420003937</t>
  </si>
  <si>
    <t>ORD26004121</t>
  </si>
  <si>
    <t>pay_420004032</t>
  </si>
  <si>
    <t>ORD26004222</t>
  </si>
  <si>
    <t>pay_420004035</t>
  </si>
  <si>
    <t>ORD26004225</t>
  </si>
  <si>
    <t>pay_420004042</t>
  </si>
  <si>
    <t>ORD-26004232</t>
  </si>
  <si>
    <t>ORD26004232</t>
  </si>
  <si>
    <t>pay_420004050</t>
  </si>
  <si>
    <t>ORD26004241</t>
  </si>
  <si>
    <t>pay_420004076</t>
  </si>
  <si>
    <t>ORD26004269</t>
  </si>
  <si>
    <t>pay_420004091</t>
  </si>
  <si>
    <t>ORD26004284</t>
  </si>
  <si>
    <t>pay_420004136</t>
  </si>
  <si>
    <t>ORD26004329</t>
  </si>
  <si>
    <t>pay_420004175</t>
  </si>
  <si>
    <t>ORD26004369</t>
  </si>
  <si>
    <t>pay_420004268</t>
  </si>
  <si>
    <t>ORD26004468</t>
  </si>
  <si>
    <t>pay_420004277</t>
  </si>
  <si>
    <t>ORD26004476</t>
  </si>
  <si>
    <t>pay_420004311</t>
  </si>
  <si>
    <t>ord26004513</t>
  </si>
  <si>
    <t>ORD26004513</t>
  </si>
  <si>
    <t>pay_420004400</t>
  </si>
  <si>
    <t>ord26004605</t>
  </si>
  <si>
    <t>ORD26004605</t>
  </si>
  <si>
    <t>pay_420004457</t>
  </si>
  <si>
    <t>ORD26004666</t>
  </si>
  <si>
    <t>pay_420004498</t>
  </si>
  <si>
    <t>ORD26004710</t>
  </si>
  <si>
    <t>pay_420004561</t>
  </si>
  <si>
    <t>ORD26004775</t>
  </si>
  <si>
    <t>pay_420004618</t>
  </si>
  <si>
    <t>ord26004831</t>
  </si>
  <si>
    <t>ORD26004831</t>
  </si>
  <si>
    <t>pay_420004702</t>
  </si>
  <si>
    <t>ORD26004923</t>
  </si>
  <si>
    <t>pay_420004721</t>
  </si>
  <si>
    <t>ORD26004942</t>
  </si>
  <si>
    <t>pay_420004736</t>
  </si>
  <si>
    <t>ORD26004958</t>
  </si>
  <si>
    <t>pay_420004779</t>
  </si>
  <si>
    <t>ORD26005001</t>
  </si>
  <si>
    <t>pay_420004793</t>
  </si>
  <si>
    <t>ORD26005015</t>
  </si>
  <si>
    <t>pay_420004827</t>
  </si>
  <si>
    <t>ord26005048</t>
  </si>
  <si>
    <t>ORD26005048</t>
  </si>
  <si>
    <t>pay_420004902</t>
  </si>
  <si>
    <t>ORD26005129</t>
  </si>
  <si>
    <t>pay_420004947</t>
  </si>
  <si>
    <t>ORD26005179</t>
  </si>
  <si>
    <t>pay_420005005</t>
  </si>
  <si>
    <t>ORD26005241</t>
  </si>
  <si>
    <t>pay_420005032</t>
  </si>
  <si>
    <t>ORD26005269</t>
  </si>
  <si>
    <t>pay_420005039</t>
  </si>
  <si>
    <t>ORD26005276</t>
  </si>
  <si>
    <t>pay_420005057</t>
  </si>
  <si>
    <t>ORD26005295</t>
  </si>
  <si>
    <t>pay_420005062</t>
  </si>
  <si>
    <t>ORD26005301</t>
  </si>
  <si>
    <t>pay_420005076</t>
  </si>
  <si>
    <t>ORD26005317</t>
  </si>
  <si>
    <t>pay_420005108</t>
  </si>
  <si>
    <t>ORD-26005346</t>
  </si>
  <si>
    <t>ORD26005346</t>
  </si>
  <si>
    <t>pay_420005135</t>
  </si>
  <si>
    <t>ORD26005375</t>
  </si>
  <si>
    <t>pay_420005159</t>
  </si>
  <si>
    <t>ORD26005399</t>
  </si>
  <si>
    <t>pay_420005190</t>
  </si>
  <si>
    <t>ORD26005430</t>
  </si>
  <si>
    <t>pay_420005249</t>
  </si>
  <si>
    <t>ORD26005486</t>
  </si>
  <si>
    <t>pay_420005342</t>
  </si>
  <si>
    <t>ORD26005584</t>
  </si>
  <si>
    <t>pay_420005356</t>
  </si>
  <si>
    <t>ord26005598</t>
  </si>
  <si>
    <t>ORD26005598</t>
  </si>
  <si>
    <t>pay_420005422</t>
  </si>
  <si>
    <t>ORD26005669</t>
  </si>
  <si>
    <t>pay_420005434</t>
  </si>
  <si>
    <t>ORD26005680</t>
  </si>
  <si>
    <t>pay_420005473</t>
  </si>
  <si>
    <t>ORD26005722</t>
  </si>
  <si>
    <t>pay_420005495</t>
  </si>
  <si>
    <t>ORD26005744</t>
  </si>
  <si>
    <t>pay_420005562</t>
  </si>
  <si>
    <t>ord26005816</t>
  </si>
  <si>
    <t>ORD26005816</t>
  </si>
  <si>
    <t>pay_420005567</t>
  </si>
  <si>
    <t>ORD26005821</t>
  </si>
  <si>
    <t>pay_420005603</t>
  </si>
  <si>
    <t>ORD26005860</t>
  </si>
  <si>
    <t>pay_420005617</t>
  </si>
  <si>
    <t>ORD26005877</t>
  </si>
  <si>
    <t>pay_420005636</t>
  </si>
  <si>
    <t>ORD26005899</t>
  </si>
  <si>
    <t>pay_420005682</t>
  </si>
  <si>
    <t>ORD26005947</t>
  </si>
  <si>
    <t>pay_420005684</t>
  </si>
  <si>
    <t>ORD26005949</t>
  </si>
  <si>
    <t>pay_420005718</t>
  </si>
  <si>
    <t>ORD26005985</t>
  </si>
  <si>
    <t>rfnd_18TWEH5SAVH4</t>
  </si>
  <si>
    <t>rfnd_HUCCQUVLZ546</t>
  </si>
  <si>
    <t>rfnd_P6VJ89GFMCXL</t>
  </si>
  <si>
    <t>pay_420000026</t>
  </si>
  <si>
    <t>ORD26000026</t>
  </si>
  <si>
    <t>STL-20260912</t>
  </si>
  <si>
    <t>pay_420000050</t>
  </si>
  <si>
    <t>ORD26000052</t>
  </si>
  <si>
    <t>pay_420000112</t>
  </si>
  <si>
    <t>ORD26000121</t>
  </si>
  <si>
    <t>pay_420000149</t>
  </si>
  <si>
    <t>ORD-26000159</t>
  </si>
  <si>
    <t>ORD26000159</t>
  </si>
  <si>
    <t>pay_420000171</t>
  </si>
  <si>
    <t>ORD-26000185</t>
  </si>
  <si>
    <t>ORD26000185</t>
  </si>
  <si>
    <t>pay_420000183</t>
  </si>
  <si>
    <t>ORD26000197</t>
  </si>
  <si>
    <t>pay_420000222</t>
  </si>
  <si>
    <t>ord26000237</t>
  </si>
  <si>
    <t>ORD26000237</t>
  </si>
  <si>
    <t>pay_420000226</t>
  </si>
  <si>
    <t>ORD26000241</t>
  </si>
  <si>
    <t>pay_420000270</t>
  </si>
  <si>
    <t>ORD26000288</t>
  </si>
  <si>
    <t>pay_420000290</t>
  </si>
  <si>
    <t>ORD26000306</t>
  </si>
  <si>
    <t>pay_420000312</t>
  </si>
  <si>
    <t>ord26000326</t>
  </si>
  <si>
    <t>ORD26000326</t>
  </si>
  <si>
    <t>pay_420000342</t>
  </si>
  <si>
    <t>ORD26000360</t>
  </si>
  <si>
    <t>pay_420000363</t>
  </si>
  <si>
    <t>ORD26000382</t>
  </si>
  <si>
    <t>pay_420000403</t>
  </si>
  <si>
    <t>ORD26000420</t>
  </si>
  <si>
    <t>pay_420000414</t>
  </si>
  <si>
    <t xml:space="preserve">ORD26000431  </t>
  </si>
  <si>
    <t>ORD26000431</t>
  </si>
  <si>
    <t>pay_420000447</t>
  </si>
  <si>
    <t>ORD26000468</t>
  </si>
  <si>
    <t>pay_420000474</t>
  </si>
  <si>
    <t>ORD26000497</t>
  </si>
  <si>
    <t>pay_420000477</t>
  </si>
  <si>
    <t>ORD26000501</t>
  </si>
  <si>
    <t>pay_420000488</t>
  </si>
  <si>
    <t>ORD26000511</t>
  </si>
  <si>
    <t>pay_420000529</t>
  </si>
  <si>
    <t>ORD26000554</t>
  </si>
  <si>
    <t>pay_420000534</t>
  </si>
  <si>
    <t xml:space="preserve">ORD26000559  </t>
  </si>
  <si>
    <t>ORD26000559</t>
  </si>
  <si>
    <t>pay_420000570</t>
  </si>
  <si>
    <t>ord26000592</t>
  </si>
  <si>
    <t>ORD26000592</t>
  </si>
  <si>
    <t>pay_420000607</t>
  </si>
  <si>
    <t xml:space="preserve">ORD26000629  </t>
  </si>
  <si>
    <t>ORD26000629</t>
  </si>
  <si>
    <t>pay_420000610</t>
  </si>
  <si>
    <t>ORD26000633</t>
  </si>
  <si>
    <t>pay_420000623</t>
  </si>
  <si>
    <t>ORD26000648</t>
  </si>
  <si>
    <t>pay_420000686</t>
  </si>
  <si>
    <t>ORD26000716</t>
  </si>
  <si>
    <t>pay_420000692</t>
  </si>
  <si>
    <t>ORD26000722</t>
  </si>
  <si>
    <t>pay_420000716</t>
  </si>
  <si>
    <t>ORD26000749</t>
  </si>
  <si>
    <t>pay_420000722</t>
  </si>
  <si>
    <t>ORD26000756</t>
  </si>
  <si>
    <t>pay_420000793</t>
  </si>
  <si>
    <t>ORD26000826</t>
  </si>
  <si>
    <t>pay_420000798</t>
  </si>
  <si>
    <t>ORD26000831</t>
  </si>
  <si>
    <t>pay_420000812</t>
  </si>
  <si>
    <t>ord26000845</t>
  </si>
  <si>
    <t>ORD26000845</t>
  </si>
  <si>
    <t>pay_420000829</t>
  </si>
  <si>
    <t>ORD26000863</t>
  </si>
  <si>
    <t>pay_420000850</t>
  </si>
  <si>
    <t>ord26000885</t>
  </si>
  <si>
    <t>ORD26000885</t>
  </si>
  <si>
    <t>pay_420000877</t>
  </si>
  <si>
    <t>ORD26000916</t>
  </si>
  <si>
    <t>pay_420000909</t>
  </si>
  <si>
    <t>ORD26000948</t>
  </si>
  <si>
    <t>pay_420000949</t>
  </si>
  <si>
    <t>ORD26000991</t>
  </si>
  <si>
    <t>pay_420000974</t>
  </si>
  <si>
    <t>ORD26001016</t>
  </si>
  <si>
    <t>pay_420000987</t>
  </si>
  <si>
    <t>ord26001031</t>
  </si>
  <si>
    <t>ORD26001031</t>
  </si>
  <si>
    <t>pay_420000997</t>
  </si>
  <si>
    <t>ORD26001040</t>
  </si>
  <si>
    <t>pay_420001003</t>
  </si>
  <si>
    <t>ORD26001046</t>
  </si>
  <si>
    <t>pay_420001019</t>
  </si>
  <si>
    <t>ORD26001063</t>
  </si>
  <si>
    <t>pay_420001085</t>
  </si>
  <si>
    <t>ORD26001128</t>
  </si>
  <si>
    <t>pay_420001105</t>
  </si>
  <si>
    <t>ORD26001152</t>
  </si>
  <si>
    <t>pay_420001128</t>
  </si>
  <si>
    <t>ORD26001177</t>
  </si>
  <si>
    <t>pay_420001130</t>
  </si>
  <si>
    <t>ORD26001179</t>
  </si>
  <si>
    <t>pay_420001152</t>
  </si>
  <si>
    <t>ORD26001201</t>
  </si>
  <si>
    <t>pay_420001183</t>
  </si>
  <si>
    <t>ORD26001236</t>
  </si>
  <si>
    <t>pay_420001184</t>
  </si>
  <si>
    <t>ORD26001237</t>
  </si>
  <si>
    <t>pay_420001210</t>
  </si>
  <si>
    <t>ORD26001264</t>
  </si>
  <si>
    <t>pay_420001239</t>
  </si>
  <si>
    <t>ORD26001296</t>
  </si>
  <si>
    <t>pay_420001275</t>
  </si>
  <si>
    <t xml:space="preserve">ORD26001335  </t>
  </si>
  <si>
    <t>ORD26001335</t>
  </si>
  <si>
    <t>pay_420001314</t>
  </si>
  <si>
    <t>ORD26001377</t>
  </si>
  <si>
    <t>pay_420001420</t>
  </si>
  <si>
    <t>ORD26001488</t>
  </si>
  <si>
    <t>pay_420001445</t>
  </si>
  <si>
    <t>ORD26001511</t>
  </si>
  <si>
    <t>pay_420001455</t>
  </si>
  <si>
    <t>ORD26001521</t>
  </si>
  <si>
    <t>pay_420001510</t>
  </si>
  <si>
    <t>ORD26001576</t>
  </si>
  <si>
    <t>pay_420001606</t>
  </si>
  <si>
    <t>ORD26001681</t>
  </si>
  <si>
    <t>pay_420001618</t>
  </si>
  <si>
    <t>ORD26001693</t>
  </si>
  <si>
    <t>pay_420001671</t>
  </si>
  <si>
    <t>ORD26001750</t>
  </si>
  <si>
    <t>pay_420001743</t>
  </si>
  <si>
    <t>ORD26001825</t>
  </si>
  <si>
    <t>pay_420001762</t>
  </si>
  <si>
    <t>ORD26001844</t>
  </si>
  <si>
    <t>pay_420001773</t>
  </si>
  <si>
    <t>ORD26001856</t>
  </si>
  <si>
    <t>pay_420001825</t>
  </si>
  <si>
    <t>ORD-26001909</t>
  </si>
  <si>
    <t>ORD26001909</t>
  </si>
  <si>
    <t>pay_420001841</t>
  </si>
  <si>
    <t>ord26001924</t>
  </si>
  <si>
    <t>ORD26001924</t>
  </si>
  <si>
    <t>pay_420001920</t>
  </si>
  <si>
    <t>ord26002012</t>
  </si>
  <si>
    <t>ORD26002012</t>
  </si>
  <si>
    <t>pay_420001937</t>
  </si>
  <si>
    <t>ORD26002030</t>
  </si>
  <si>
    <t>pay_420001988</t>
  </si>
  <si>
    <t>ord26002081</t>
  </si>
  <si>
    <t>ORD26002081</t>
  </si>
  <si>
    <t>pay_420002050</t>
  </si>
  <si>
    <t>ORD26002142</t>
  </si>
  <si>
    <t>pay_420002071</t>
  </si>
  <si>
    <t>ORD26002163</t>
  </si>
  <si>
    <t>pay_420002081</t>
  </si>
  <si>
    <t>ORD26002175</t>
  </si>
  <si>
    <t>pay_420002112</t>
  </si>
  <si>
    <t>ORD26002214</t>
  </si>
  <si>
    <t>pay_420002134</t>
  </si>
  <si>
    <t>ORD26002236</t>
  </si>
  <si>
    <t>pay_420002136</t>
  </si>
  <si>
    <t>ORD26002238</t>
  </si>
  <si>
    <t>pay_420002140</t>
  </si>
  <si>
    <t>ORD26002242</t>
  </si>
  <si>
    <t>pay_420002164</t>
  </si>
  <si>
    <t>ORD26002265</t>
  </si>
  <si>
    <t>pay_420002168</t>
  </si>
  <si>
    <t>ORD26002269</t>
  </si>
  <si>
    <t>pay_420002184</t>
  </si>
  <si>
    <t>ord26002285</t>
  </si>
  <si>
    <t>ORD26002285</t>
  </si>
  <si>
    <t>pay_420002322</t>
  </si>
  <si>
    <t>ORD26002434</t>
  </si>
  <si>
    <t>pay_420002360</t>
  </si>
  <si>
    <t>ORD26002473</t>
  </si>
  <si>
    <t>pay_420002391</t>
  </si>
  <si>
    <t>ORD26002503</t>
  </si>
  <si>
    <t>pay_420002459</t>
  </si>
  <si>
    <t>ORD26002574</t>
  </si>
  <si>
    <t>pay_420002489</t>
  </si>
  <si>
    <t>ORD26002606</t>
  </si>
  <si>
    <t>pay_420002528</t>
  </si>
  <si>
    <t>ORD26002651</t>
  </si>
  <si>
    <t>pay_420002541</t>
  </si>
  <si>
    <t>ORD26002665</t>
  </si>
  <si>
    <t>pay_420002605</t>
  </si>
  <si>
    <t>ORD26002734</t>
  </si>
  <si>
    <t>pay_420002645</t>
  </si>
  <si>
    <t>ORD26002775</t>
  </si>
  <si>
    <t>pay_420002683</t>
  </si>
  <si>
    <t>ORD26002815</t>
  </si>
  <si>
    <t>pay_420002769</t>
  </si>
  <si>
    <t>ORD26002907</t>
  </si>
  <si>
    <t>pay_420002827</t>
  </si>
  <si>
    <t>ORD26002969</t>
  </si>
  <si>
    <t>pay_420002850</t>
  </si>
  <si>
    <t>ORD-26002993</t>
  </si>
  <si>
    <t>ORD26002993</t>
  </si>
  <si>
    <t>pay_420002888</t>
  </si>
  <si>
    <t>ORD26003030</t>
  </si>
  <si>
    <t>pay_420002907</t>
  </si>
  <si>
    <t>ORD26003051</t>
  </si>
  <si>
    <t>pay_420002928</t>
  </si>
  <si>
    <t>ORD26003071</t>
  </si>
  <si>
    <t>pay_420002939</t>
  </si>
  <si>
    <t>ORD26003084</t>
  </si>
  <si>
    <t>pay_420002957</t>
  </si>
  <si>
    <t>ORD26003102</t>
  </si>
  <si>
    <t>pay_420003007</t>
  </si>
  <si>
    <t>ORD26003159</t>
  </si>
  <si>
    <t>pay_420003024</t>
  </si>
  <si>
    <t>ORD26003175</t>
  </si>
  <si>
    <t>pay_420003028</t>
  </si>
  <si>
    <t>ORD26003179</t>
  </si>
  <si>
    <t>pay_420003046</t>
  </si>
  <si>
    <t>ORD26003198</t>
  </si>
  <si>
    <t>pay_420003064</t>
  </si>
  <si>
    <t>ORD26003217</t>
  </si>
  <si>
    <t>pay_420003066</t>
  </si>
  <si>
    <t>ORD26003220</t>
  </si>
  <si>
    <t>pay_420003069</t>
  </si>
  <si>
    <t>ORD26003223</t>
  </si>
  <si>
    <t>pay_420003094</t>
  </si>
  <si>
    <t>ORD26003250</t>
  </si>
  <si>
    <t>pay_420003133</t>
  </si>
  <si>
    <t>ORD26003293</t>
  </si>
  <si>
    <t>pay_420003155</t>
  </si>
  <si>
    <t>ORD26003317</t>
  </si>
  <si>
    <t>pay_420003210</t>
  </si>
  <si>
    <t>ORD26003371</t>
  </si>
  <si>
    <t>pay_420003238</t>
  </si>
  <si>
    <t>ORD26003400</t>
  </si>
  <si>
    <t>pay_420003279</t>
  </si>
  <si>
    <t>ORD26003444</t>
  </si>
  <si>
    <t>pay_420003298</t>
  </si>
  <si>
    <t>ORD26003462</t>
  </si>
  <si>
    <t>pay_420003331</t>
  </si>
  <si>
    <t>ORD26003495</t>
  </si>
  <si>
    <t>pay_420003373</t>
  </si>
  <si>
    <t>ORD26003539</t>
  </si>
  <si>
    <t>pay_420003382</t>
  </si>
  <si>
    <t>ORD26003548</t>
  </si>
  <si>
    <t>pay_420003427</t>
  </si>
  <si>
    <t>ORD26003596</t>
  </si>
  <si>
    <t>pay_420003460</t>
  </si>
  <si>
    <t>ORD-26003628</t>
  </si>
  <si>
    <t>ORD26003628</t>
  </si>
  <si>
    <t>pay_420003496</t>
  </si>
  <si>
    <t>ORD26003663</t>
  </si>
  <si>
    <t>pay_420003506</t>
  </si>
  <si>
    <t>ORD26003675</t>
  </si>
  <si>
    <t>pay_420003511</t>
  </si>
  <si>
    <t xml:space="preserve">ORD26003682  </t>
  </si>
  <si>
    <t>ORD26003682</t>
  </si>
  <si>
    <t>pay_420003627</t>
  </si>
  <si>
    <t>ORD26003797</t>
  </si>
  <si>
    <t>pay_420003648</t>
  </si>
  <si>
    <t xml:space="preserve">ORD26003820  </t>
  </si>
  <si>
    <t>ORD26003820</t>
  </si>
  <si>
    <t>pay_420003707</t>
  </si>
  <si>
    <t>ORD26003881</t>
  </si>
  <si>
    <t>pay_420003718</t>
  </si>
  <si>
    <t>ORD26003891</t>
  </si>
  <si>
    <t>pay_420003724</t>
  </si>
  <si>
    <t>ORD26003897</t>
  </si>
  <si>
    <t>pay_420003747</t>
  </si>
  <si>
    <t xml:space="preserve">ORD26003921  </t>
  </si>
  <si>
    <t>ORD26003921</t>
  </si>
  <si>
    <t>pay_420003775</t>
  </si>
  <si>
    <t>ORD26003950</t>
  </si>
  <si>
    <t>pay_420003800</t>
  </si>
  <si>
    <t>ORD26003978</t>
  </si>
  <si>
    <t>pay_420003823</t>
  </si>
  <si>
    <t>ORD26004005</t>
  </si>
  <si>
    <t>pay_420003834</t>
  </si>
  <si>
    <t>ORD26004015</t>
  </si>
  <si>
    <t>pay_420003842</t>
  </si>
  <si>
    <t>ORD26004023</t>
  </si>
  <si>
    <t>pay_420003858</t>
  </si>
  <si>
    <t>ORD26004041</t>
  </si>
  <si>
    <t>pay_420003906</t>
  </si>
  <si>
    <t>ORD26004088</t>
  </si>
  <si>
    <t>pay_420003932</t>
  </si>
  <si>
    <t>ORD26004116</t>
  </si>
  <si>
    <t>pay_420003977</t>
  </si>
  <si>
    <t>ORD26004164</t>
  </si>
  <si>
    <t>pay_420003995</t>
  </si>
  <si>
    <t>ORD26004181</t>
  </si>
  <si>
    <t>pay_420004020</t>
  </si>
  <si>
    <t>ORD26004210</t>
  </si>
  <si>
    <t>pay_420004033</t>
  </si>
  <si>
    <t>ORD26004223</t>
  </si>
  <si>
    <t>pay_420004058</t>
  </si>
  <si>
    <t>ORD26004250</t>
  </si>
  <si>
    <t>pay_420004097</t>
  </si>
  <si>
    <t>ORD26004292</t>
  </si>
  <si>
    <t>pay_420004155</t>
  </si>
  <si>
    <t>ord26004347</t>
  </si>
  <si>
    <t>ORD26004347</t>
  </si>
  <si>
    <t>pay_420004193</t>
  </si>
  <si>
    <t>ORD26004390</t>
  </si>
  <si>
    <t>pay_420004230</t>
  </si>
  <si>
    <t>ORD26004428</t>
  </si>
  <si>
    <t>pay_420004240</t>
  </si>
  <si>
    <t>ORD26004439</t>
  </si>
  <si>
    <t>pay_420004243</t>
  </si>
  <si>
    <t>ORD26004442</t>
  </si>
  <si>
    <t>pay_420004362</t>
  </si>
  <si>
    <t>ORD26004563</t>
  </si>
  <si>
    <t>pay_420004366</t>
  </si>
  <si>
    <t>ORD26004568</t>
  </si>
  <si>
    <t>pay_420004454</t>
  </si>
  <si>
    <t>ORD26004663</t>
  </si>
  <si>
    <t>pay_420004477</t>
  </si>
  <si>
    <t>ORD26004687</t>
  </si>
  <si>
    <t>pay_420004517</t>
  </si>
  <si>
    <t>ORD26004730</t>
  </si>
  <si>
    <t>pay_420004530</t>
  </si>
  <si>
    <t>ORD26004743</t>
  </si>
  <si>
    <t>pay_420004545</t>
  </si>
  <si>
    <t>ORD26004758</t>
  </si>
  <si>
    <t>pay_420004562</t>
  </si>
  <si>
    <t>ORD26004776</t>
  </si>
  <si>
    <t>pay_420004564</t>
  </si>
  <si>
    <t>ord26004778</t>
  </si>
  <si>
    <t>ORD26004778</t>
  </si>
  <si>
    <t>pay_420004580</t>
  </si>
  <si>
    <t>ORD26004793</t>
  </si>
  <si>
    <t>pay_420004627</t>
  </si>
  <si>
    <t>ORD26004841</t>
  </si>
  <si>
    <t>pay_420004638</t>
  </si>
  <si>
    <t>ord26004854</t>
  </si>
  <si>
    <t>ORD26004854</t>
  </si>
  <si>
    <t>pay_420004734</t>
  </si>
  <si>
    <t>ORD26004956</t>
  </si>
  <si>
    <t>pay_420004756</t>
  </si>
  <si>
    <t>ORD26004977</t>
  </si>
  <si>
    <t>pay_420004802</t>
  </si>
  <si>
    <t>ORD26005024</t>
  </si>
  <si>
    <t>pay_420004859</t>
  </si>
  <si>
    <t>ORD26005082</t>
  </si>
  <si>
    <t>pay_420004879</t>
  </si>
  <si>
    <t>ORD-26005103</t>
  </si>
  <si>
    <t>ORD26005103</t>
  </si>
  <si>
    <t>pay_420004885</t>
  </si>
  <si>
    <t>ORD26005112</t>
  </si>
  <si>
    <t>pay_420004943</t>
  </si>
  <si>
    <t>ORD26005174</t>
  </si>
  <si>
    <t>pay_420004985</t>
  </si>
  <si>
    <t>ORD26005218</t>
  </si>
  <si>
    <t>pay_420005140</t>
  </si>
  <si>
    <t>ORD26005380</t>
  </si>
  <si>
    <t>pay_420005189</t>
  </si>
  <si>
    <t>ORD26005428</t>
  </si>
  <si>
    <t>pay_420005236</t>
  </si>
  <si>
    <t>ORD26005474</t>
  </si>
  <si>
    <t>pay_420005243</t>
  </si>
  <si>
    <t>ORD26005481</t>
  </si>
  <si>
    <t>pay_420005353</t>
  </si>
  <si>
    <t>ORD26005595</t>
  </si>
  <si>
    <t>pay_420005379</t>
  </si>
  <si>
    <t>ORD26005622</t>
  </si>
  <si>
    <t>pay_420005386</t>
  </si>
  <si>
    <t>ORD26005628</t>
  </si>
  <si>
    <t>pay_420005390</t>
  </si>
  <si>
    <t>ORD26005632</t>
  </si>
  <si>
    <t>pay_420005400</t>
  </si>
  <si>
    <t>ord26005643</t>
  </si>
  <si>
    <t>ORD26005643</t>
  </si>
  <si>
    <t>pay_420005407</t>
  </si>
  <si>
    <t>ord26005652</t>
  </si>
  <si>
    <t>ORD26005652</t>
  </si>
  <si>
    <t>pay_420005472</t>
  </si>
  <si>
    <t>ORD26005721</t>
  </si>
  <si>
    <t>pay_420005531</t>
  </si>
  <si>
    <t>ORD26005785</t>
  </si>
  <si>
    <t>pay_420005557</t>
  </si>
  <si>
    <t>ORD26005811</t>
  </si>
  <si>
    <t>pay_420005561</t>
  </si>
  <si>
    <t>ORD26005815</t>
  </si>
  <si>
    <t>pay_420005613</t>
  </si>
  <si>
    <t>ORD26005870</t>
  </si>
  <si>
    <t>pay_420005642</t>
  </si>
  <si>
    <t>ORD26005905</t>
  </si>
  <si>
    <t>pay_420005674</t>
  </si>
  <si>
    <t>ORD26005939</t>
  </si>
  <si>
    <t>pay_420005710</t>
  </si>
  <si>
    <t>ORD26005978</t>
  </si>
  <si>
    <t>rfnd_0WSRTT24HHWU</t>
  </si>
  <si>
    <t>rfnd_1P9EJRJ3DFTU</t>
  </si>
  <si>
    <t>rfnd_4NNBGA0B3BAW</t>
  </si>
  <si>
    <t>rfnd_5X9NCFUVU49C</t>
  </si>
  <si>
    <t>rfnd_9ZZ9QY0KRR5V</t>
  </si>
  <si>
    <t>rfnd_PHZWJNPU1FDB</t>
  </si>
  <si>
    <t>rfnd_PK0N15688WXK</t>
  </si>
  <si>
    <t>rfnd_RH9UD7PELECE</t>
  </si>
  <si>
    <t>rfnd_SPRCBX4G4CXW</t>
  </si>
  <si>
    <t>rfnd_X5KPXHG044XV</t>
  </si>
  <si>
    <t>rfnd_YJKDKVE9H1NK</t>
  </si>
  <si>
    <t>pay_420000005</t>
  </si>
  <si>
    <t>ORD26000005</t>
  </si>
  <si>
    <t>STL-20260913</t>
  </si>
  <si>
    <t>pay_420000051</t>
  </si>
  <si>
    <t>ORD26000053</t>
  </si>
  <si>
    <t>pay_420000061</t>
  </si>
  <si>
    <t>ORD26000061</t>
  </si>
  <si>
    <t>pay_420000215</t>
  </si>
  <si>
    <t>ORD26000229</t>
  </si>
  <si>
    <t>pay_420000235</t>
  </si>
  <si>
    <t>ORD26000250</t>
  </si>
  <si>
    <t>pay_420000288</t>
  </si>
  <si>
    <t>ORD26000304</t>
  </si>
  <si>
    <t>pay_420000373</t>
  </si>
  <si>
    <t>ORD26000391</t>
  </si>
  <si>
    <t>pay_420000384</t>
  </si>
  <si>
    <t>ORD26000402</t>
  </si>
  <si>
    <t>pay_420000397</t>
  </si>
  <si>
    <t>ORD26000414</t>
  </si>
  <si>
    <t>pay_420000485</t>
  </si>
  <si>
    <t>ORD26000509</t>
  </si>
  <si>
    <t>pay_420000545</t>
  </si>
  <si>
    <t>ORD26000570</t>
  </si>
  <si>
    <t>pay_420000547</t>
  </si>
  <si>
    <t>ORD26000572</t>
  </si>
  <si>
    <t>pay_420000574</t>
  </si>
  <si>
    <t>ORD26000596</t>
  </si>
  <si>
    <t>pay_420000715</t>
  </si>
  <si>
    <t>ORD26000748</t>
  </si>
  <si>
    <t>pay_420000739</t>
  </si>
  <si>
    <t>ORD26000773</t>
  </si>
  <si>
    <t>pay_420000749</t>
  </si>
  <si>
    <t>ORD26000782</t>
  </si>
  <si>
    <t>pay_420000759</t>
  </si>
  <si>
    <t>ORD26000791</t>
  </si>
  <si>
    <t>pay_420000788</t>
  </si>
  <si>
    <t>ORD26000821</t>
  </si>
  <si>
    <t>pay_420000789</t>
  </si>
  <si>
    <t>ORD26000822</t>
  </si>
  <si>
    <t>pay_420000910</t>
  </si>
  <si>
    <t>ORD26000950</t>
  </si>
  <si>
    <t>pay_420000937</t>
  </si>
  <si>
    <t xml:space="preserve">ORD26000979  </t>
  </si>
  <si>
    <t>ORD26000979</t>
  </si>
  <si>
    <t>pay_420000981</t>
  </si>
  <si>
    <t>ORD26001024</t>
  </si>
  <si>
    <t>pay_420001017</t>
  </si>
  <si>
    <t>ORD26001061</t>
  </si>
  <si>
    <t>pay_420001032</t>
  </si>
  <si>
    <t>ORD26001075</t>
  </si>
  <si>
    <t>pay_420001044</t>
  </si>
  <si>
    <t>ORD26001087</t>
  </si>
  <si>
    <t>pay_420001108</t>
  </si>
  <si>
    <t>ORD26001155</t>
  </si>
  <si>
    <t>pay_420001155</t>
  </si>
  <si>
    <t>ORD26001204</t>
  </si>
  <si>
    <t>pay_420001166</t>
  </si>
  <si>
    <t>ORD26001215</t>
  </si>
  <si>
    <t>pay_420001251</t>
  </si>
  <si>
    <t>ORD26001308</t>
  </si>
  <si>
    <t>pay_420001276</t>
  </si>
  <si>
    <t>ORD26001336</t>
  </si>
  <si>
    <t>pay_420001443</t>
  </si>
  <si>
    <t>ORD26001509</t>
  </si>
  <si>
    <t>pay_420001444</t>
  </si>
  <si>
    <t>ORD-26001510</t>
  </si>
  <si>
    <t>ORD26001510</t>
  </si>
  <si>
    <t>pay_420001447</t>
  </si>
  <si>
    <t>ORD26001513</t>
  </si>
  <si>
    <t>pay_420001479</t>
  </si>
  <si>
    <t>ORD26001543</t>
  </si>
  <si>
    <t>pay_420001556</t>
  </si>
  <si>
    <t>ORD26001624</t>
  </si>
  <si>
    <t>pay_420001613</t>
  </si>
  <si>
    <t>ORD26001688</t>
  </si>
  <si>
    <t>pay_420001642</t>
  </si>
  <si>
    <t>ORD26001719</t>
  </si>
  <si>
    <t>pay_420001645</t>
  </si>
  <si>
    <t>ord26001722</t>
  </si>
  <si>
    <t>ORD26001722</t>
  </si>
  <si>
    <t>pay_420001726</t>
  </si>
  <si>
    <t>ORD26001807</t>
  </si>
  <si>
    <t>pay_420001731</t>
  </si>
  <si>
    <t>ord26001812</t>
  </si>
  <si>
    <t>ORD26001812</t>
  </si>
  <si>
    <t>pay_420001778</t>
  </si>
  <si>
    <t>ORD26001860</t>
  </si>
  <si>
    <t>pay_420001788</t>
  </si>
  <si>
    <t>ORD26001871</t>
  </si>
  <si>
    <t>pay_420001801</t>
  </si>
  <si>
    <t>ORD26001884</t>
  </si>
  <si>
    <t>pay_420001873</t>
  </si>
  <si>
    <t>ORD26001961</t>
  </si>
  <si>
    <t>pay_420001876</t>
  </si>
  <si>
    <t>ORD-26001964</t>
  </si>
  <si>
    <t>ORD26001964</t>
  </si>
  <si>
    <t>pay_420001881</t>
  </si>
  <si>
    <t>ORD26001969</t>
  </si>
  <si>
    <t>pay_420001902</t>
  </si>
  <si>
    <t>ORD26001991</t>
  </si>
  <si>
    <t>pay_420001931</t>
  </si>
  <si>
    <t>ORD26002024</t>
  </si>
  <si>
    <t>pay_420001949</t>
  </si>
  <si>
    <t>ORD26002043</t>
  </si>
  <si>
    <t>pay_420001977</t>
  </si>
  <si>
    <t>ORD26002071</t>
  </si>
  <si>
    <t>pay_420001978</t>
  </si>
  <si>
    <t>ORD26002072</t>
  </si>
  <si>
    <t>pay_420002010</t>
  </si>
  <si>
    <t>ORD26002101</t>
  </si>
  <si>
    <t>pay_420002022</t>
  </si>
  <si>
    <t>ORD26002113</t>
  </si>
  <si>
    <t>pay_420002024</t>
  </si>
  <si>
    <t>ORD26002116</t>
  </si>
  <si>
    <t>pay_420002052</t>
  </si>
  <si>
    <t>ORD26002144</t>
  </si>
  <si>
    <t>pay_420002088</t>
  </si>
  <si>
    <t>ORD26002183</t>
  </si>
  <si>
    <t>pay_420002105</t>
  </si>
  <si>
    <t>ORD26002203</t>
  </si>
  <si>
    <t>pay_420002107</t>
  </si>
  <si>
    <t>ORD26002206</t>
  </si>
  <si>
    <t>pay_420002108</t>
  </si>
  <si>
    <t>ORD26002207</t>
  </si>
  <si>
    <t>pay_420002138</t>
  </si>
  <si>
    <t>ORD26002240</t>
  </si>
  <si>
    <t>pay_420002147</t>
  </si>
  <si>
    <t>ORD26002248</t>
  </si>
  <si>
    <t>pay_420002150</t>
  </si>
  <si>
    <t>ORD26002251</t>
  </si>
  <si>
    <t>pay_420002154</t>
  </si>
  <si>
    <t>ORD26002255</t>
  </si>
  <si>
    <t>pay_420002158</t>
  </si>
  <si>
    <t>ORD26002259</t>
  </si>
  <si>
    <t>pay_420002169</t>
  </si>
  <si>
    <t>ORD26002270</t>
  </si>
  <si>
    <t>pay_420002172</t>
  </si>
  <si>
    <t>ORD26002273</t>
  </si>
  <si>
    <t>pay_420002194</t>
  </si>
  <si>
    <t>ORD-26002298</t>
  </si>
  <si>
    <t>ORD26002298</t>
  </si>
  <si>
    <t>pay_420002209</t>
  </si>
  <si>
    <t>ord26002311</t>
  </si>
  <si>
    <t>ORD26002311</t>
  </si>
  <si>
    <t>pay_420002222</t>
  </si>
  <si>
    <t>ORD26002326</t>
  </si>
  <si>
    <t>pay_420002354</t>
  </si>
  <si>
    <t>ORD26002466</t>
  </si>
  <si>
    <t>pay_420002387</t>
  </si>
  <si>
    <t>ORD26002499</t>
  </si>
  <si>
    <t>pay_420002416</t>
  </si>
  <si>
    <t>ORD26002530</t>
  </si>
  <si>
    <t>pay_420002434</t>
  </si>
  <si>
    <t>ORD26002546</t>
  </si>
  <si>
    <t>pay_420002440</t>
  </si>
  <si>
    <t>ord26002554</t>
  </si>
  <si>
    <t>ORD26002554</t>
  </si>
  <si>
    <t>pay_420002506</t>
  </si>
  <si>
    <t>ORD26002626</t>
  </si>
  <si>
    <t>pay_420002542</t>
  </si>
  <si>
    <t>ORD26002666</t>
  </si>
  <si>
    <t>pay_420002578</t>
  </si>
  <si>
    <t>ord26002705</t>
  </si>
  <si>
    <t>ORD26002705</t>
  </si>
  <si>
    <t>pay_420002585</t>
  </si>
  <si>
    <t>ord26002712</t>
  </si>
  <si>
    <t>ORD26002712</t>
  </si>
  <si>
    <t>pay_420002596</t>
  </si>
  <si>
    <t>ORD26002723</t>
  </si>
  <si>
    <t>pay_420002601</t>
  </si>
  <si>
    <t>ORD26002729</t>
  </si>
  <si>
    <t>pay_420002612</t>
  </si>
  <si>
    <t>ORD26002742</t>
  </si>
  <si>
    <t>pay_420002622</t>
  </si>
  <si>
    <t>ORD26002750</t>
  </si>
  <si>
    <t>pay_420002624</t>
  </si>
  <si>
    <t>ORD26002752</t>
  </si>
  <si>
    <t>pay_420002689</t>
  </si>
  <si>
    <t>ORD26002821</t>
  </si>
  <si>
    <t>pay_420002700</t>
  </si>
  <si>
    <t>ORD26002833</t>
  </si>
  <si>
    <t>pay_420002705</t>
  </si>
  <si>
    <t xml:space="preserve">ORD26002841  </t>
  </si>
  <si>
    <t>ORD26002841</t>
  </si>
  <si>
    <t>pay_420002731</t>
  </si>
  <si>
    <t>ORD26002869</t>
  </si>
  <si>
    <t>pay_420002764</t>
  </si>
  <si>
    <t>ORD26002902</t>
  </si>
  <si>
    <t>pay_420002774</t>
  </si>
  <si>
    <t>ORD26002913</t>
  </si>
  <si>
    <t>pay_420002821</t>
  </si>
  <si>
    <t xml:space="preserve">ORD26002963  </t>
  </si>
  <si>
    <t>ORD26002963</t>
  </si>
  <si>
    <t>pay_420002854</t>
  </si>
  <si>
    <t>ORD26002996</t>
  </si>
  <si>
    <t>pay_420002863</t>
  </si>
  <si>
    <t>ORD26003004</t>
  </si>
  <si>
    <t>pay_420002865</t>
  </si>
  <si>
    <t>ORD26003006</t>
  </si>
  <si>
    <t>pay_420002955</t>
  </si>
  <si>
    <t>ORD26003100</t>
  </si>
  <si>
    <t>pay_420002992</t>
  </si>
  <si>
    <t>ORD26003141</t>
  </si>
  <si>
    <t>pay_420003016</t>
  </si>
  <si>
    <t>ORD26003168</t>
  </si>
  <si>
    <t>pay_420003059</t>
  </si>
  <si>
    <t>ORD26003211</t>
  </si>
  <si>
    <t>pay_420003099</t>
  </si>
  <si>
    <t>ORD26003255</t>
  </si>
  <si>
    <t>pay_420003119</t>
  </si>
  <si>
    <t>ORD26003279</t>
  </si>
  <si>
    <t>pay_420003136</t>
  </si>
  <si>
    <t>ord26003296</t>
  </si>
  <si>
    <t>ORD26003296</t>
  </si>
  <si>
    <t>pay_420003141</t>
  </si>
  <si>
    <t>ORD26003302</t>
  </si>
  <si>
    <t>pay_420003143</t>
  </si>
  <si>
    <t>ORD26003304</t>
  </si>
  <si>
    <t>pay_420003183</t>
  </si>
  <si>
    <t>ORD26003344</t>
  </si>
  <si>
    <t>pay_420003257</t>
  </si>
  <si>
    <t>ORD26003425</t>
  </si>
  <si>
    <t>pay_420003289</t>
  </si>
  <si>
    <t>ORD26003453</t>
  </si>
  <si>
    <t>pay_420003337</t>
  </si>
  <si>
    <t>ORD26003501</t>
  </si>
  <si>
    <t>pay_420003393</t>
  </si>
  <si>
    <t>ORD26003559</t>
  </si>
  <si>
    <t>pay_420003430</t>
  </si>
  <si>
    <t>ORD26003600</t>
  </si>
  <si>
    <t>pay_420003440</t>
  </si>
  <si>
    <t>ORD26003609</t>
  </si>
  <si>
    <t>pay_420003486</t>
  </si>
  <si>
    <t>ORD26003654</t>
  </si>
  <si>
    <t>pay_420003519</t>
  </si>
  <si>
    <t xml:space="preserve">ORD26003689  </t>
  </si>
  <si>
    <t>ORD26003689</t>
  </si>
  <si>
    <t>pay_420003545</t>
  </si>
  <si>
    <t>ORD26003716</t>
  </si>
  <si>
    <t>pay_420003610</t>
  </si>
  <si>
    <t>ORD-26003779</t>
  </si>
  <si>
    <t>ORD26003779</t>
  </si>
  <si>
    <t>pay_420003619</t>
  </si>
  <si>
    <t>ORD26003788</t>
  </si>
  <si>
    <t>pay_420003672</t>
  </si>
  <si>
    <t>ORD26003842</t>
  </si>
  <si>
    <t>pay_420003752</t>
  </si>
  <si>
    <t>ORD26003927</t>
  </si>
  <si>
    <t>pay_420003807</t>
  </si>
  <si>
    <t>ORD26003986</t>
  </si>
  <si>
    <t>pay_420003814</t>
  </si>
  <si>
    <t>ORD26003995</t>
  </si>
  <si>
    <t>pay_420003818</t>
  </si>
  <si>
    <t>ORD26003999</t>
  </si>
  <si>
    <t>pay_420003838</t>
  </si>
  <si>
    <t>ORD26004019</t>
  </si>
  <si>
    <t>pay_420003844</t>
  </si>
  <si>
    <t>ORD26004025</t>
  </si>
  <si>
    <t>pay_420003908</t>
  </si>
  <si>
    <t>ORD26004090</t>
  </si>
  <si>
    <t>pay_420003933</t>
  </si>
  <si>
    <t>ORD26004117</t>
  </si>
  <si>
    <t>pay_420003947</t>
  </si>
  <si>
    <t>ORD26004130</t>
  </si>
  <si>
    <t>pay_420003948</t>
  </si>
  <si>
    <t>ORD26004131</t>
  </si>
  <si>
    <t>pay_420003979</t>
  </si>
  <si>
    <t>ORD26004166</t>
  </si>
  <si>
    <t>pay_420004038</t>
  </si>
  <si>
    <t>ORD26004228</t>
  </si>
  <si>
    <t>pay_420004039</t>
  </si>
  <si>
    <t>ORD26004229</t>
  </si>
  <si>
    <t>pay_420004092</t>
  </si>
  <si>
    <t>ORD26004285</t>
  </si>
  <si>
    <t>pay_420004098</t>
  </si>
  <si>
    <t>ORD26004293</t>
  </si>
  <si>
    <t>pay_420004106</t>
  </si>
  <si>
    <t>ORD26004301</t>
  </si>
  <si>
    <t>pay_420004112</t>
  </si>
  <si>
    <t>ORD26004307</t>
  </si>
  <si>
    <t>pay_420004142</t>
  </si>
  <si>
    <t>ORD26004335</t>
  </si>
  <si>
    <t>pay_420004156</t>
  </si>
  <si>
    <t>ORD26004349</t>
  </si>
  <si>
    <t>pay_420004166</t>
  </si>
  <si>
    <t>ord26004359</t>
  </si>
  <si>
    <t>ORD26004359</t>
  </si>
  <si>
    <t>pay_420004172</t>
  </si>
  <si>
    <t>ORD26004365</t>
  </si>
  <si>
    <t>pay_420004178</t>
  </si>
  <si>
    <t>ORD26004372</t>
  </si>
  <si>
    <t>pay_420004186</t>
  </si>
  <si>
    <t>ord26004381</t>
  </si>
  <si>
    <t>ORD26004381</t>
  </si>
  <si>
    <t>pay_420004234</t>
  </si>
  <si>
    <t>ORD26004432</t>
  </si>
  <si>
    <t>pay_420004235</t>
  </si>
  <si>
    <t>ord26004434</t>
  </si>
  <si>
    <t>ORD26004434</t>
  </si>
  <si>
    <t>pay_420004251</t>
  </si>
  <si>
    <t>ORD26004449</t>
  </si>
  <si>
    <t>pay_420004263</t>
  </si>
  <si>
    <t>ord26004463</t>
  </si>
  <si>
    <t>ORD26004463</t>
  </si>
  <si>
    <t>pay_420004317</t>
  </si>
  <si>
    <t xml:space="preserve">ORD26004520  </t>
  </si>
  <si>
    <t>ORD26004520</t>
  </si>
  <si>
    <t>pay_420004350</t>
  </si>
  <si>
    <t>ORD26004551</t>
  </si>
  <si>
    <t>pay_420004376</t>
  </si>
  <si>
    <t>ORD26004579</t>
  </si>
  <si>
    <t>pay_420004399</t>
  </si>
  <si>
    <t>ORD26004604</t>
  </si>
  <si>
    <t>pay_420004433</t>
  </si>
  <si>
    <t>ORD26004640</t>
  </si>
  <si>
    <t>pay_420004443</t>
  </si>
  <si>
    <t>ORD26004652</t>
  </si>
  <si>
    <t>pay_420004460</t>
  </si>
  <si>
    <t>ORD26004669</t>
  </si>
  <si>
    <t>pay_420004493</t>
  </si>
  <si>
    <t>ORD26004705</t>
  </si>
  <si>
    <t>pay_420004527</t>
  </si>
  <si>
    <t>ORD26004740</t>
  </si>
  <si>
    <t>pay_420004532</t>
  </si>
  <si>
    <t>ORD-26004745</t>
  </si>
  <si>
    <t>ORD26004745</t>
  </si>
  <si>
    <t>pay_420004534</t>
  </si>
  <si>
    <t>ORD26004747</t>
  </si>
  <si>
    <t>pay_420004544</t>
  </si>
  <si>
    <t>ORD26004757</t>
  </si>
  <si>
    <t>pay_420004560</t>
  </si>
  <si>
    <t>ORD26004774</t>
  </si>
  <si>
    <t>pay_420004575</t>
  </si>
  <si>
    <t>ORD26004788</t>
  </si>
  <si>
    <t>pay_420004623</t>
  </si>
  <si>
    <t>ord26004836</t>
  </si>
  <si>
    <t>ORD26004836</t>
  </si>
  <si>
    <t>pay_420004640</t>
  </si>
  <si>
    <t>ORD26004856</t>
  </si>
  <si>
    <t>pay_420004648</t>
  </si>
  <si>
    <t>ORD26004868</t>
  </si>
  <si>
    <t>pay_420004651</t>
  </si>
  <si>
    <t>ORD26004871</t>
  </si>
  <si>
    <t>pay_420004658</t>
  </si>
  <si>
    <t>ORD-26004878</t>
  </si>
  <si>
    <t>ORD26004878</t>
  </si>
  <si>
    <t>pay_420004667</t>
  </si>
  <si>
    <t>ORD26004888</t>
  </si>
  <si>
    <t>pay_420004681</t>
  </si>
  <si>
    <t>ORD26004902</t>
  </si>
  <si>
    <t>pay_420004694</t>
  </si>
  <si>
    <t>ORD26004916</t>
  </si>
  <si>
    <t>pay_420004695</t>
  </si>
  <si>
    <t>ORD26004917</t>
  </si>
  <si>
    <t>pay_420004704</t>
  </si>
  <si>
    <t>ORD26004925</t>
  </si>
  <si>
    <t>pay_420004708</t>
  </si>
  <si>
    <t>ORD26004929</t>
  </si>
  <si>
    <t>pay_420004724</t>
  </si>
  <si>
    <t>ORD26004945</t>
  </si>
  <si>
    <t>pay_420004804</t>
  </si>
  <si>
    <t>ORD26005026</t>
  </si>
  <si>
    <t>pay_420004818</t>
  </si>
  <si>
    <t>ORD26005040</t>
  </si>
  <si>
    <t>pay_420004829</t>
  </si>
  <si>
    <t>ORD26005050</t>
  </si>
  <si>
    <t>pay_420004844</t>
  </si>
  <si>
    <t>ORD26005066</t>
  </si>
  <si>
    <t>pay_420004855</t>
  </si>
  <si>
    <t>ORD26005078</t>
  </si>
  <si>
    <t>pay_420004892</t>
  </si>
  <si>
    <t>ORD26005120</t>
  </si>
  <si>
    <t>pay_420004917</t>
  </si>
  <si>
    <t>ord26005146</t>
  </si>
  <si>
    <t>ORD26005146</t>
  </si>
  <si>
    <t>pay_420005037</t>
  </si>
  <si>
    <t>ORD26005274</t>
  </si>
  <si>
    <t>pay_420005044</t>
  </si>
  <si>
    <t>ORD26005282</t>
  </si>
  <si>
    <t>pay_420005069</t>
  </si>
  <si>
    <t>ORD26005310</t>
  </si>
  <si>
    <t>pay_420005072</t>
  </si>
  <si>
    <t>ORD26005313</t>
  </si>
  <si>
    <t>pay_420005090</t>
  </si>
  <si>
    <t>ORD26005330</t>
  </si>
  <si>
    <t>pay_420005120</t>
  </si>
  <si>
    <t>ORD26005357</t>
  </si>
  <si>
    <t>pay_420005149</t>
  </si>
  <si>
    <t>ORD26005389</t>
  </si>
  <si>
    <t>pay_420005186</t>
  </si>
  <si>
    <t>ORD26005425</t>
  </si>
  <si>
    <t>pay_420005211</t>
  </si>
  <si>
    <t>ORD26005452</t>
  </si>
  <si>
    <t>pay_420005275</t>
  </si>
  <si>
    <t>ORD26005512</t>
  </si>
  <si>
    <t>pay_420005277</t>
  </si>
  <si>
    <t>ORD26005514</t>
  </si>
  <si>
    <t>pay_420005278</t>
  </si>
  <si>
    <t>ORD26005515</t>
  </si>
  <si>
    <t>pay_420005315</t>
  </si>
  <si>
    <t>ord26005555</t>
  </si>
  <si>
    <t>ORD26005555</t>
  </si>
  <si>
    <t>pay_420005329</t>
  </si>
  <si>
    <t xml:space="preserve">ORD26005570  </t>
  </si>
  <si>
    <t>ORD26005570</t>
  </si>
  <si>
    <t>pay_420005345</t>
  </si>
  <si>
    <t>ORD26005587</t>
  </si>
  <si>
    <t>pay_420005425</t>
  </si>
  <si>
    <t xml:space="preserve">ORD26005672  </t>
  </si>
  <si>
    <t>ORD26005672</t>
  </si>
  <si>
    <t>pay_420005435</t>
  </si>
  <si>
    <t xml:space="preserve">ORD26005681  </t>
  </si>
  <si>
    <t>ORD26005681</t>
  </si>
  <si>
    <t>pay_420005449</t>
  </si>
  <si>
    <t>ORD26005696</t>
  </si>
  <si>
    <t>pay_420005494</t>
  </si>
  <si>
    <t>ord26005743</t>
  </si>
  <si>
    <t>ORD26005743</t>
  </si>
  <si>
    <t>pay_420005508</t>
  </si>
  <si>
    <t>ORD26005758</t>
  </si>
  <si>
    <t>pay_420005528</t>
  </si>
  <si>
    <t>ORD26005781</t>
  </si>
  <si>
    <t>pay_420005536</t>
  </si>
  <si>
    <t>ORD26005790</t>
  </si>
  <si>
    <t>pay_420005588</t>
  </si>
  <si>
    <t>ORD26005846</t>
  </si>
  <si>
    <t>pay_420005619</t>
  </si>
  <si>
    <t>ORD26005879</t>
  </si>
  <si>
    <t>pay_420005631</t>
  </si>
  <si>
    <t>ord26005894</t>
  </si>
  <si>
    <t>ORD26005894</t>
  </si>
  <si>
    <t>pay_420005634</t>
  </si>
  <si>
    <t>ORD26005897</t>
  </si>
  <si>
    <t>pay_420005691</t>
  </si>
  <si>
    <t>ORD26005957</t>
  </si>
  <si>
    <t>pay_420005692</t>
  </si>
  <si>
    <t>ORD26005958</t>
  </si>
  <si>
    <t>pay_420005700</t>
  </si>
  <si>
    <t xml:space="preserve">ORD26005967  </t>
  </si>
  <si>
    <t>ORD26005967</t>
  </si>
  <si>
    <t>pay_420005729</t>
  </si>
  <si>
    <t>ORD26005996</t>
  </si>
  <si>
    <t>rfnd_1E45M61VZAKQ</t>
  </si>
  <si>
    <t>rfnd_4S8GC1FUNUBD</t>
  </si>
  <si>
    <t>rfnd_612ZWKB4G8ZU</t>
  </si>
  <si>
    <t>rfnd_7X7NPSVGYZ6X</t>
  </si>
  <si>
    <t>rfnd_ANGTFDCLEV6P</t>
  </si>
  <si>
    <t>rfnd_ATU0ZTGHM0GM</t>
  </si>
  <si>
    <t>rfnd_CMQUQBNQNCJS</t>
  </si>
  <si>
    <t>rfnd_DZJY53EH7MGC</t>
  </si>
  <si>
    <t>rfnd_MEC74FBMBA22</t>
  </si>
  <si>
    <t>rfnd_N2035Q9U72LT</t>
  </si>
  <si>
    <t>rfnd_NATMV987YTU7</t>
  </si>
  <si>
    <t>rfnd_RCAG53V7U3XL</t>
  </si>
  <si>
    <t>pay_420000063</t>
  </si>
  <si>
    <t>ORD26000063</t>
  </si>
  <si>
    <t>STL-20260914</t>
  </si>
  <si>
    <t>pay_420000088</t>
  </si>
  <si>
    <t>ord26000093</t>
  </si>
  <si>
    <t>ORD26000093</t>
  </si>
  <si>
    <t>pay_420000094</t>
  </si>
  <si>
    <t>ORD26000100</t>
  </si>
  <si>
    <t>pay_420000102</t>
  </si>
  <si>
    <t>ORD26000110</t>
  </si>
  <si>
    <t>pay_420000145</t>
  </si>
  <si>
    <t>ORD26000155</t>
  </si>
  <si>
    <t>pay_420000195</t>
  </si>
  <si>
    <t>ORD26000209</t>
  </si>
  <si>
    <t>pay_420000223</t>
  </si>
  <si>
    <t>ORD26000238</t>
  </si>
  <si>
    <t>pay_420000247</t>
  </si>
  <si>
    <t>ORD26000264</t>
  </si>
  <si>
    <t>pay_420000341</t>
  </si>
  <si>
    <t>ORD-26000359</t>
  </si>
  <si>
    <t>ORD26000359</t>
  </si>
  <si>
    <t>pay_420000349</t>
  </si>
  <si>
    <t>ORD26000366</t>
  </si>
  <si>
    <t>pay_420000406</t>
  </si>
  <si>
    <t>ORD26000423</t>
  </si>
  <si>
    <t>pay_420000421</t>
  </si>
  <si>
    <t xml:space="preserve">ORD26000438  </t>
  </si>
  <si>
    <t>ORD26000438</t>
  </si>
  <si>
    <t>pay_420000429</t>
  </si>
  <si>
    <t>ORD26000446</t>
  </si>
  <si>
    <t>pay_420000442</t>
  </si>
  <si>
    <t>ORD26000463</t>
  </si>
  <si>
    <t>pay_420000458</t>
  </si>
  <si>
    <t>ORD26000480</t>
  </si>
  <si>
    <t>pay_420000468</t>
  </si>
  <si>
    <t>ORD26000491</t>
  </si>
  <si>
    <t>pay_420000481</t>
  </si>
  <si>
    <t>ORD26000505</t>
  </si>
  <si>
    <t>pay_420000509</t>
  </si>
  <si>
    <t>ORD26000531</t>
  </si>
  <si>
    <t>pay_420000554</t>
  </si>
  <si>
    <t>ord26000578</t>
  </si>
  <si>
    <t>ORD26000578</t>
  </si>
  <si>
    <t>pay_420000573</t>
  </si>
  <si>
    <t>ord26000595</t>
  </si>
  <si>
    <t>ORD26000595</t>
  </si>
  <si>
    <t>pay_420000606</t>
  </si>
  <si>
    <t>ORD26000628</t>
  </si>
  <si>
    <t>pay_420000613</t>
  </si>
  <si>
    <t>ORD26000636</t>
  </si>
  <si>
    <t>pay_420000654</t>
  </si>
  <si>
    <t>ORD26000682</t>
  </si>
  <si>
    <t>pay_420000676</t>
  </si>
  <si>
    <t>ORD26000706</t>
  </si>
  <si>
    <t>pay_420000690</t>
  </si>
  <si>
    <t>ORD26000720</t>
  </si>
  <si>
    <t>pay_420000756</t>
  </si>
  <si>
    <t>ORD26000788</t>
  </si>
  <si>
    <t>pay_420000773</t>
  </si>
  <si>
    <t>ORD26000805</t>
  </si>
  <si>
    <t>pay_420000891</t>
  </si>
  <si>
    <t>ORD26000929</t>
  </si>
  <si>
    <t>pay_420000927</t>
  </si>
  <si>
    <t>ORD26000967</t>
  </si>
  <si>
    <t>pay_420000945</t>
  </si>
  <si>
    <t>ORD26000987</t>
  </si>
  <si>
    <t>pay_420000972</t>
  </si>
  <si>
    <t>ORD26001014</t>
  </si>
  <si>
    <t>pay_420000993</t>
  </si>
  <si>
    <t>ORD26001036</t>
  </si>
  <si>
    <t>pay_420001089</t>
  </si>
  <si>
    <t>ORD26001132</t>
  </si>
  <si>
    <t>pay_420001115</t>
  </si>
  <si>
    <t>ORD26001164</t>
  </si>
  <si>
    <t>pay_420001153</t>
  </si>
  <si>
    <t xml:space="preserve">ORD26001202  </t>
  </si>
  <si>
    <t>ORD26001202</t>
  </si>
  <si>
    <t>pay_420001179</t>
  </si>
  <si>
    <t>ORD26001231</t>
  </si>
  <si>
    <t>pay_420001208</t>
  </si>
  <si>
    <t>ORD26001262</t>
  </si>
  <si>
    <t>pay_420001241</t>
  </si>
  <si>
    <t>ORD26001298</t>
  </si>
  <si>
    <t>pay_420001366</t>
  </si>
  <si>
    <t>ORD26001434</t>
  </si>
  <si>
    <t>pay_420001421</t>
  </si>
  <si>
    <t>ORD26001490</t>
  </si>
  <si>
    <t>pay_420001446</t>
  </si>
  <si>
    <t>ORD26001512</t>
  </si>
  <si>
    <t>pay_420001453</t>
  </si>
  <si>
    <t>ORD26001519</t>
  </si>
  <si>
    <t>pay_420001483</t>
  </si>
  <si>
    <t>ORD26001548</t>
  </si>
  <si>
    <t>pay_420001545</t>
  </si>
  <si>
    <t xml:space="preserve">ORD26001613  </t>
  </si>
  <si>
    <t>ORD26001613</t>
  </si>
  <si>
    <t>pay_420001553</t>
  </si>
  <si>
    <t>ORD26001621</t>
  </si>
  <si>
    <t>pay_420001730</t>
  </si>
  <si>
    <t xml:space="preserve">ORD26001811  </t>
  </si>
  <si>
    <t>ORD26001811</t>
  </si>
  <si>
    <t>pay_420001792</t>
  </si>
  <si>
    <t>ORD26001875</t>
  </si>
  <si>
    <t>pay_420001806</t>
  </si>
  <si>
    <t>ord26001890</t>
  </si>
  <si>
    <t>ORD26001890</t>
  </si>
  <si>
    <t>pay_420001822</t>
  </si>
  <si>
    <t>ord26001905</t>
  </si>
  <si>
    <t>ORD26001905</t>
  </si>
  <si>
    <t>pay_420001826</t>
  </si>
  <si>
    <t>ord26001910</t>
  </si>
  <si>
    <t>ORD26001910</t>
  </si>
  <si>
    <t>pay_420001966</t>
  </si>
  <si>
    <t>ORD26002061</t>
  </si>
  <si>
    <t>pay_420001993</t>
  </si>
  <si>
    <t>ORD26002085</t>
  </si>
  <si>
    <t>pay_420002019</t>
  </si>
  <si>
    <t>ORD26002110</t>
  </si>
  <si>
    <t>pay_420002036</t>
  </si>
  <si>
    <t>ORD26002127</t>
  </si>
  <si>
    <t>pay_420002055</t>
  </si>
  <si>
    <t>ord26002147</t>
  </si>
  <si>
    <t>ORD26002147</t>
  </si>
  <si>
    <t>pay_420002116</t>
  </si>
  <si>
    <t>ORD26002218</t>
  </si>
  <si>
    <t>pay_420002153</t>
  </si>
  <si>
    <t>ORD26002254</t>
  </si>
  <si>
    <t>pay_420002162</t>
  </si>
  <si>
    <t>ord26002263</t>
  </si>
  <si>
    <t>ORD26002263</t>
  </si>
  <si>
    <t>pay_420002295</t>
  </si>
  <si>
    <t>ORD26002408</t>
  </si>
  <si>
    <t>pay_420002302</t>
  </si>
  <si>
    <t>ORD26002416</t>
  </si>
  <si>
    <t>pay_420002320</t>
  </si>
  <si>
    <t>ORD26002433</t>
  </si>
  <si>
    <t>pay_420002461</t>
  </si>
  <si>
    <t xml:space="preserve">ORD26002576  </t>
  </si>
  <si>
    <t>ORD26002576</t>
  </si>
  <si>
    <t>pay_420002568</t>
  </si>
  <si>
    <t>ORD26002694</t>
  </si>
  <si>
    <t>pay_420002569</t>
  </si>
  <si>
    <t>ORD26002695</t>
  </si>
  <si>
    <t>pay_420002573</t>
  </si>
  <si>
    <t>ORD26002700</t>
  </si>
  <si>
    <t>pay_420002660</t>
  </si>
  <si>
    <t>ORD26002793</t>
  </si>
  <si>
    <t>pay_420002674</t>
  </si>
  <si>
    <t>ORD26002806</t>
  </si>
  <si>
    <t>pay_420002747</t>
  </si>
  <si>
    <t>ORD26002884</t>
  </si>
  <si>
    <t>pay_420002755</t>
  </si>
  <si>
    <t>ORD26002893</t>
  </si>
  <si>
    <t>pay_420002835</t>
  </si>
  <si>
    <t>ORD26002978</t>
  </si>
  <si>
    <t>pay_420002845</t>
  </si>
  <si>
    <t>ORD26002988</t>
  </si>
  <si>
    <t>pay_420002875</t>
  </si>
  <si>
    <t>ORD26003016</t>
  </si>
  <si>
    <t>pay_420002893</t>
  </si>
  <si>
    <t>ORD26003035</t>
  </si>
  <si>
    <t>pay_420002914</t>
  </si>
  <si>
    <t>ORD26003057</t>
  </si>
  <si>
    <t>pay_420002952</t>
  </si>
  <si>
    <t>ORD26003097</t>
  </si>
  <si>
    <t>pay_420002959</t>
  </si>
  <si>
    <t>ORD26003105</t>
  </si>
  <si>
    <t>pay_420002979</t>
  </si>
  <si>
    <t>ORD26003127</t>
  </si>
  <si>
    <t>pay_420003030</t>
  </si>
  <si>
    <t>ORD26003181</t>
  </si>
  <si>
    <t>pay_420003109</t>
  </si>
  <si>
    <t>ORD26003267</t>
  </si>
  <si>
    <t>pay_420003125</t>
  </si>
  <si>
    <t>ORD26003285</t>
  </si>
  <si>
    <t>pay_420003153</t>
  </si>
  <si>
    <t>ORD26003314</t>
  </si>
  <si>
    <t>pay_420003184</t>
  </si>
  <si>
    <t>ORD26003345</t>
  </si>
  <si>
    <t>pay_420003265</t>
  </si>
  <si>
    <t>ORD26003433</t>
  </si>
  <si>
    <t>pay_420003280</t>
  </si>
  <si>
    <t>ORD26003445</t>
  </si>
  <si>
    <t>pay_420003312</t>
  </si>
  <si>
    <t>ORD26003475</t>
  </si>
  <si>
    <t>pay_420003369</t>
  </si>
  <si>
    <t>ORD26003535</t>
  </si>
  <si>
    <t>pay_420003372</t>
  </si>
  <si>
    <t>ORD26003538</t>
  </si>
  <si>
    <t>pay_420003381</t>
  </si>
  <si>
    <t>ORD26003547</t>
  </si>
  <si>
    <t>pay_420003392</t>
  </si>
  <si>
    <t>ORD26003558</t>
  </si>
  <si>
    <t>pay_420003404</t>
  </si>
  <si>
    <t>ord26003572</t>
  </si>
  <si>
    <t>ORD26003572</t>
  </si>
  <si>
    <t>pay_420003437</t>
  </si>
  <si>
    <t>ORD26003606</t>
  </si>
  <si>
    <t>pay_420003450</t>
  </si>
  <si>
    <t>ORD26003618</t>
  </si>
  <si>
    <t>pay_420003453</t>
  </si>
  <si>
    <t>ord26003621</t>
  </si>
  <si>
    <t>ORD26003621</t>
  </si>
  <si>
    <t>pay_420003500</t>
  </si>
  <si>
    <t>ORD26003668</t>
  </si>
  <si>
    <t>pay_420003661</t>
  </si>
  <si>
    <t>ord26003831</t>
  </si>
  <si>
    <t>ORD26003831</t>
  </si>
  <si>
    <t>pay_420003677</t>
  </si>
  <si>
    <t>ORD26003847</t>
  </si>
  <si>
    <t>pay_420003703</t>
  </si>
  <si>
    <t>ORD-26003875</t>
  </si>
  <si>
    <t>ORD26003875</t>
  </si>
  <si>
    <t>pay_420003765</t>
  </si>
  <si>
    <t>ORD26003940</t>
  </si>
  <si>
    <t>pay_420003772</t>
  </si>
  <si>
    <t>ORD26003947</t>
  </si>
  <si>
    <t>pay_420003773</t>
  </si>
  <si>
    <t xml:space="preserve">ORD26003948  </t>
  </si>
  <si>
    <t>ORD26003948</t>
  </si>
  <si>
    <t>pay_420003854</t>
  </si>
  <si>
    <t>ORD26004036</t>
  </si>
  <si>
    <t>pay_420003886</t>
  </si>
  <si>
    <t>ORD26004068</t>
  </si>
  <si>
    <t>pay_420003891</t>
  </si>
  <si>
    <t>ORD26004073</t>
  </si>
  <si>
    <t>pay_420003892</t>
  </si>
  <si>
    <t>ord26004074</t>
  </si>
  <si>
    <t>ORD26004074</t>
  </si>
  <si>
    <t>pay_420003942</t>
  </si>
  <si>
    <t>ord26004125</t>
  </si>
  <si>
    <t>ORD26004125</t>
  </si>
  <si>
    <t>pay_420003945</t>
  </si>
  <si>
    <t>ORD26004128</t>
  </si>
  <si>
    <t>pay_420003953</t>
  </si>
  <si>
    <t>ORD26004136</t>
  </si>
  <si>
    <t>pay_420003960</t>
  </si>
  <si>
    <t xml:space="preserve">ORD26004144  </t>
  </si>
  <si>
    <t>ORD26004144</t>
  </si>
  <si>
    <t>pay_420003972</t>
  </si>
  <si>
    <t>ord26004156</t>
  </si>
  <si>
    <t>ORD26004156</t>
  </si>
  <si>
    <t>pay_420004016</t>
  </si>
  <si>
    <t>ORD26004204</t>
  </si>
  <si>
    <t>pay_420004037</t>
  </si>
  <si>
    <t>ORD26004227</t>
  </si>
  <si>
    <t>pay_420004071</t>
  </si>
  <si>
    <t>ORD26004264</t>
  </si>
  <si>
    <t>pay_420004125</t>
  </si>
  <si>
    <t>ORD26004317</t>
  </si>
  <si>
    <t>pay_420004137</t>
  </si>
  <si>
    <t>ORD26004330</t>
  </si>
  <si>
    <t>pay_420004164</t>
  </si>
  <si>
    <t>ORD26004357</t>
  </si>
  <si>
    <t>pay_420004171</t>
  </si>
  <si>
    <t>ORD26004364</t>
  </si>
  <si>
    <t>pay_420004222</t>
  </si>
  <si>
    <t>ORD26004420</t>
  </si>
  <si>
    <t>pay_420004269</t>
  </si>
  <si>
    <t>ORD26004469</t>
  </si>
  <si>
    <t>pay_420004286</t>
  </si>
  <si>
    <t>ORD26004486</t>
  </si>
  <si>
    <t>pay_420004323</t>
  </si>
  <si>
    <t>ORD26004525</t>
  </si>
  <si>
    <t>pay_420004325</t>
  </si>
  <si>
    <t>ORD26004527</t>
  </si>
  <si>
    <t>pay_420004330</t>
  </si>
  <si>
    <t>ORD26004531</t>
  </si>
  <si>
    <t>pay_420004419</t>
  </si>
  <si>
    <t>ORD26004626</t>
  </si>
  <si>
    <t>pay_420004424</t>
  </si>
  <si>
    <t>ORD26004632</t>
  </si>
  <si>
    <t>pay_420004439</t>
  </si>
  <si>
    <t>ORD26004647</t>
  </si>
  <si>
    <t>pay_420004465</t>
  </si>
  <si>
    <t>ORD26004675</t>
  </si>
  <si>
    <t>pay_420004482</t>
  </si>
  <si>
    <t>ORD26004693</t>
  </si>
  <si>
    <t>pay_420004495</t>
  </si>
  <si>
    <t>ORD26004707</t>
  </si>
  <si>
    <t>pay_420004513</t>
  </si>
  <si>
    <t xml:space="preserve">ORD26004726  </t>
  </si>
  <si>
    <t>ORD26004726</t>
  </si>
  <si>
    <t>pay_420004522</t>
  </si>
  <si>
    <t>ORD26004735</t>
  </si>
  <si>
    <t>pay_420004538</t>
  </si>
  <si>
    <t>ORD26004751</t>
  </si>
  <si>
    <t>pay_420004583</t>
  </si>
  <si>
    <t>ORD26004795</t>
  </si>
  <si>
    <t>pay_420004596</t>
  </si>
  <si>
    <t>ORD26004809</t>
  </si>
  <si>
    <t>pay_420004619</t>
  </si>
  <si>
    <t>ord26004832</t>
  </si>
  <si>
    <t>ORD26004832</t>
  </si>
  <si>
    <t>pay_420004634</t>
  </si>
  <si>
    <t>ord26004849</t>
  </si>
  <si>
    <t>ORD26004849</t>
  </si>
  <si>
    <t>pay_420004699</t>
  </si>
  <si>
    <t>ORD26004921</t>
  </si>
  <si>
    <t>pay_420004706</t>
  </si>
  <si>
    <t>ORD-26004927</t>
  </si>
  <si>
    <t>ORD26004927</t>
  </si>
  <si>
    <t>pay_420004730</t>
  </si>
  <si>
    <t>ORD26004952</t>
  </si>
  <si>
    <t>pay_420004748</t>
  </si>
  <si>
    <t>ORD26004969</t>
  </si>
  <si>
    <t>pay_420004762</t>
  </si>
  <si>
    <t>ORD26004983</t>
  </si>
  <si>
    <t>pay_420004768</t>
  </si>
  <si>
    <t>ORD26004990</t>
  </si>
  <si>
    <t>pay_420004780</t>
  </si>
  <si>
    <t>ORD26005002</t>
  </si>
  <si>
    <t>pay_420004817</t>
  </si>
  <si>
    <t>ORD26005039</t>
  </si>
  <si>
    <t>pay_420004832</t>
  </si>
  <si>
    <t>ORD26005053</t>
  </si>
  <si>
    <t>pay_420004841</t>
  </si>
  <si>
    <t>ORD26005062</t>
  </si>
  <si>
    <t>pay_420004849</t>
  </si>
  <si>
    <t>ord26005072</t>
  </si>
  <si>
    <t>ORD26005072</t>
  </si>
  <si>
    <t>pay_420004873</t>
  </si>
  <si>
    <t>ORD26005097</t>
  </si>
  <si>
    <t>pay_420004923</t>
  </si>
  <si>
    <t>ORD26005155</t>
  </si>
  <si>
    <t>pay_420004927</t>
  </si>
  <si>
    <t>ORD26005159</t>
  </si>
  <si>
    <t>pay_420004941</t>
  </si>
  <si>
    <t>ORD26005172</t>
  </si>
  <si>
    <t>pay_420005025</t>
  </si>
  <si>
    <t>ORD26005262</t>
  </si>
  <si>
    <t>pay_420005067</t>
  </si>
  <si>
    <t>ORD26005307</t>
  </si>
  <si>
    <t>pay_420005119</t>
  </si>
  <si>
    <t>ORD26005356</t>
  </si>
  <si>
    <t>pay_420005148</t>
  </si>
  <si>
    <t>ORD26005388</t>
  </si>
  <si>
    <t>pay_420005156</t>
  </si>
  <si>
    <t xml:space="preserve">ORD26005396  </t>
  </si>
  <si>
    <t>ORD26005396</t>
  </si>
  <si>
    <t>pay_420005181</t>
  </si>
  <si>
    <t xml:space="preserve">ORD26005421  </t>
  </si>
  <si>
    <t>ORD26005421</t>
  </si>
  <si>
    <t>pay_420005193</t>
  </si>
  <si>
    <t>ORD26005433</t>
  </si>
  <si>
    <t>pay_420005201</t>
  </si>
  <si>
    <t>ord26005441</t>
  </si>
  <si>
    <t>ORD26005441</t>
  </si>
  <si>
    <t>pay_420005216</t>
  </si>
  <si>
    <t>ORD26005456</t>
  </si>
  <si>
    <t>pay_420005228</t>
  </si>
  <si>
    <t>ORD26005466</t>
  </si>
  <si>
    <t>pay_420005273</t>
  </si>
  <si>
    <t>ORD26005510</t>
  </si>
  <si>
    <t>pay_420005289</t>
  </si>
  <si>
    <t>ORD26005527</t>
  </si>
  <si>
    <t>pay_420005336</t>
  </si>
  <si>
    <t>ORD26005577</t>
  </si>
  <si>
    <t>pay_420005339</t>
  </si>
  <si>
    <t>ORD26005581</t>
  </si>
  <si>
    <t>pay_420005370</t>
  </si>
  <si>
    <t>ORD26005612</t>
  </si>
  <si>
    <t>pay_420005428</t>
  </si>
  <si>
    <t>ORD26005674</t>
  </si>
  <si>
    <t>pay_420005440</t>
  </si>
  <si>
    <t>ORD26005686</t>
  </si>
  <si>
    <t>pay_420005468</t>
  </si>
  <si>
    <t>ORD26005717</t>
  </si>
  <si>
    <t>pay_420005498</t>
  </si>
  <si>
    <t>ord26005747</t>
  </si>
  <si>
    <t>ORD26005747</t>
  </si>
  <si>
    <t>pay_420005504</t>
  </si>
  <si>
    <t>ORD26005754</t>
  </si>
  <si>
    <t>pay_420005546</t>
  </si>
  <si>
    <t>ord26005799</t>
  </si>
  <si>
    <t>ORD26005799</t>
  </si>
  <si>
    <t>pay_420005573</t>
  </si>
  <si>
    <t>ORD-26005829</t>
  </si>
  <si>
    <t>ORD26005829</t>
  </si>
  <si>
    <t>pay_420005681</t>
  </si>
  <si>
    <t>ORD26005946</t>
  </si>
  <si>
    <t>pay_420005741</t>
  </si>
  <si>
    <t>ORD26006506</t>
  </si>
  <si>
    <t>rfnd_4HJT64PHJ8ZQ</t>
  </si>
  <si>
    <t>rfnd_72W6R71QLZ8J</t>
  </si>
  <si>
    <t>rfnd_783F0V5VTNMH</t>
  </si>
  <si>
    <t>rfnd_CFT7LUV73PE2</t>
  </si>
  <si>
    <t>rfnd_DBHWCCJBHGBC</t>
  </si>
  <si>
    <t>rfnd_M3GSKRD2CULY</t>
  </si>
  <si>
    <t>rfnd_P53UA9LGNWRY</t>
  </si>
  <si>
    <t>rfnd_S2A3QAF9NJY7</t>
  </si>
  <si>
    <t>rfnd_U98TWK4GSUC2</t>
  </si>
  <si>
    <t>pay_420000006</t>
  </si>
  <si>
    <t>ORD-26000006</t>
  </si>
  <si>
    <t>ORD26000006</t>
  </si>
  <si>
    <t>STL-20260915</t>
  </si>
  <si>
    <t>pay_420000013</t>
  </si>
  <si>
    <t>ORD26000013</t>
  </si>
  <si>
    <t>pay_420000044</t>
  </si>
  <si>
    <t xml:space="preserve">ORD26000045  </t>
  </si>
  <si>
    <t>ORD26000045</t>
  </si>
  <si>
    <t>pay_420000055</t>
  </si>
  <si>
    <t>ord26000056</t>
  </si>
  <si>
    <t>ORD26000056</t>
  </si>
  <si>
    <t>pay_420000103</t>
  </si>
  <si>
    <t>ORD26000111</t>
  </si>
  <si>
    <t>pay_420000136</t>
  </si>
  <si>
    <t>ORD26000146</t>
  </si>
  <si>
    <t>pay_420000137</t>
  </si>
  <si>
    <t>ORD26000147</t>
  </si>
  <si>
    <t>pay_420000164</t>
  </si>
  <si>
    <t xml:space="preserve">ORD26000175  </t>
  </si>
  <si>
    <t>ORD26000175</t>
  </si>
  <si>
    <t>pay_420000190</t>
  </si>
  <si>
    <t>ORD26000203</t>
  </si>
  <si>
    <t>pay_420000242</t>
  </si>
  <si>
    <t>ORD26000258</t>
  </si>
  <si>
    <t>pay_420000346</t>
  </si>
  <si>
    <t>ORD26000364</t>
  </si>
  <si>
    <t>pay_420000359</t>
  </si>
  <si>
    <t>ORD26000378</t>
  </si>
  <si>
    <t>pay_420000404</t>
  </si>
  <si>
    <t>ORD26000421</t>
  </si>
  <si>
    <t>pay_420000428</t>
  </si>
  <si>
    <t>ORD26000445</t>
  </si>
  <si>
    <t>pay_420000523</t>
  </si>
  <si>
    <t>ORD26000548</t>
  </si>
  <si>
    <t>pay_420000532</t>
  </si>
  <si>
    <t>ORD26000557</t>
  </si>
  <si>
    <t>pay_420000614</t>
  </si>
  <si>
    <t>ord26000637</t>
  </si>
  <si>
    <t>ORD26000637</t>
  </si>
  <si>
    <t>pay_420000630</t>
  </si>
  <si>
    <t>ORD26000657</t>
  </si>
  <si>
    <t>pay_420000637</t>
  </si>
  <si>
    <t>ORD26000664</t>
  </si>
  <si>
    <t>pay_420000658</t>
  </si>
  <si>
    <t>ORD26000686</t>
  </si>
  <si>
    <t>pay_420000711</t>
  </si>
  <si>
    <t>ORD26000744</t>
  </si>
  <si>
    <t>pay_420000795</t>
  </si>
  <si>
    <t>ORD26000828</t>
  </si>
  <si>
    <t>pay_420000819</t>
  </si>
  <si>
    <t xml:space="preserve">ORD26000854  </t>
  </si>
  <si>
    <t>ORD26000854</t>
  </si>
  <si>
    <t>pay_420000824</t>
  </si>
  <si>
    <t>ORD26000858</t>
  </si>
  <si>
    <t>pay_420000883</t>
  </si>
  <si>
    <t>ORD26000921</t>
  </si>
  <si>
    <t>pay_420000908</t>
  </si>
  <si>
    <t>ORD26000947</t>
  </si>
  <si>
    <t>pay_420000920</t>
  </si>
  <si>
    <t>ORD26000960</t>
  </si>
  <si>
    <t>pay_420000971</t>
  </si>
  <si>
    <t>ORD26001013</t>
  </si>
  <si>
    <t>pay_420000980</t>
  </si>
  <si>
    <t>ORD26001022</t>
  </si>
  <si>
    <t>pay_420000996</t>
  </si>
  <si>
    <t>ORD26001039</t>
  </si>
  <si>
    <t>pay_420001036</t>
  </si>
  <si>
    <t>ORD26001078</t>
  </si>
  <si>
    <t>pay_420001051</t>
  </si>
  <si>
    <t>ORD26001095</t>
  </si>
  <si>
    <t>pay_420001071</t>
  </si>
  <si>
    <t>ORD26001113</t>
  </si>
  <si>
    <t>pay_420001076</t>
  </si>
  <si>
    <t>ORD26001118</t>
  </si>
  <si>
    <t>pay_420001172</t>
  </si>
  <si>
    <t>ORD26001221</t>
  </si>
  <si>
    <t>pay_420001201</t>
  </si>
  <si>
    <t>ORD26001255</t>
  </si>
  <si>
    <t>pay_420001215</t>
  </si>
  <si>
    <t>ord26001270</t>
  </si>
  <si>
    <t>ORD26001270</t>
  </si>
  <si>
    <t>pay_420001288</t>
  </si>
  <si>
    <t>ORD26001348</t>
  </si>
  <si>
    <t>pay_420001289</t>
  </si>
  <si>
    <t>ORD26001350</t>
  </si>
  <si>
    <t>pay_420001300</t>
  </si>
  <si>
    <t>ORD26001361</t>
  </si>
  <si>
    <t>pay_420001347</t>
  </si>
  <si>
    <t>ORD26001411</t>
  </si>
  <si>
    <t>pay_420001361</t>
  </si>
  <si>
    <t>ORD26001429</t>
  </si>
  <si>
    <t>pay_420001377</t>
  </si>
  <si>
    <t>ORD26001446</t>
  </si>
  <si>
    <t>pay_420001379</t>
  </si>
  <si>
    <t>ORD26001448</t>
  </si>
  <si>
    <t>pay_420001383</t>
  </si>
  <si>
    <t>ORD26001452</t>
  </si>
  <si>
    <t>pay_420001397</t>
  </si>
  <si>
    <t>ORD26001467</t>
  </si>
  <si>
    <t>pay_420001407</t>
  </si>
  <si>
    <t>ORD26001477</t>
  </si>
  <si>
    <t>pay_420001413</t>
  </si>
  <si>
    <t>ORD26001482</t>
  </si>
  <si>
    <t>pay_420001422</t>
  </si>
  <si>
    <t>ORD26001491</t>
  </si>
  <si>
    <t>pay_420001490</t>
  </si>
  <si>
    <t>ORD26001556</t>
  </si>
  <si>
    <t>pay_420001491</t>
  </si>
  <si>
    <t>ord26001557</t>
  </si>
  <si>
    <t>ORD26001557</t>
  </si>
  <si>
    <t>pay_420001511</t>
  </si>
  <si>
    <t>ORD26001578</t>
  </si>
  <si>
    <t>pay_420001527</t>
  </si>
  <si>
    <t xml:space="preserve">ORD26001594  </t>
  </si>
  <si>
    <t>ORD26001594</t>
  </si>
  <si>
    <t>pay_420001562</t>
  </si>
  <si>
    <t>ord26001630</t>
  </si>
  <si>
    <t>ORD26001630</t>
  </si>
  <si>
    <t>pay_420001657</t>
  </si>
  <si>
    <t>ORD26001734</t>
  </si>
  <si>
    <t>pay_420001700</t>
  </si>
  <si>
    <t>ORD26001781</t>
  </si>
  <si>
    <t>pay_420001735</t>
  </si>
  <si>
    <t>ord26001816</t>
  </si>
  <si>
    <t>ORD26001816</t>
  </si>
  <si>
    <t>pay_420001746</t>
  </si>
  <si>
    <t>ORD26001828</t>
  </si>
  <si>
    <t>pay_420001846</t>
  </si>
  <si>
    <t>ORD26001931</t>
  </si>
  <si>
    <t>pay_420001866</t>
  </si>
  <si>
    <t>ord26001951</t>
  </si>
  <si>
    <t>ORD26001951</t>
  </si>
  <si>
    <t>pay_420001948</t>
  </si>
  <si>
    <t>ORD26002042</t>
  </si>
  <si>
    <t>pay_420001990</t>
  </si>
  <si>
    <t>ORD26002082</t>
  </si>
  <si>
    <t>pay_420002067</t>
  </si>
  <si>
    <t>ORD26002159</t>
  </si>
  <si>
    <t>pay_420002087</t>
  </si>
  <si>
    <t>ORD26002182</t>
  </si>
  <si>
    <t>pay_420002098</t>
  </si>
  <si>
    <t>ORD26002195</t>
  </si>
  <si>
    <t>pay_420002100</t>
  </si>
  <si>
    <t>ORD26002197</t>
  </si>
  <si>
    <t>pay_420002128</t>
  </si>
  <si>
    <t>ORD26002231</t>
  </si>
  <si>
    <t>pay_420002145</t>
  </si>
  <si>
    <t>ORD26002246</t>
  </si>
  <si>
    <t>pay_420002175</t>
  </si>
  <si>
    <t>ORD26002276</t>
  </si>
  <si>
    <t>pay_420002183</t>
  </si>
  <si>
    <t>ORD-26002284</t>
  </si>
  <si>
    <t>ORD26002284</t>
  </si>
  <si>
    <t>pay_420002239</t>
  </si>
  <si>
    <t>ORD26002343</t>
  </si>
  <si>
    <t>pay_420002243</t>
  </si>
  <si>
    <t>ORD26002347</t>
  </si>
  <si>
    <t>pay_420002252</t>
  </si>
  <si>
    <t>ORD26002358</t>
  </si>
  <si>
    <t>pay_420002261</t>
  </si>
  <si>
    <t>ORD26002369</t>
  </si>
  <si>
    <t>pay_420002280</t>
  </si>
  <si>
    <t>ORD26002389</t>
  </si>
  <si>
    <t>pay_420002294</t>
  </si>
  <si>
    <t>ORD26002406</t>
  </si>
  <si>
    <t>pay_420002298</t>
  </si>
  <si>
    <t>ORD26002411</t>
  </si>
  <si>
    <t>pay_420002300</t>
  </si>
  <si>
    <t>ORD26002413</t>
  </si>
  <si>
    <t>pay_420002307</t>
  </si>
  <si>
    <t>ord26002421</t>
  </si>
  <si>
    <t>ORD26002421</t>
  </si>
  <si>
    <t>pay_420002357</t>
  </si>
  <si>
    <t>ORD26002470</t>
  </si>
  <si>
    <t>pay_420002436</t>
  </si>
  <si>
    <t>ORD26002549</t>
  </si>
  <si>
    <t>pay_420002441</t>
  </si>
  <si>
    <t xml:space="preserve">ORD26002555  </t>
  </si>
  <si>
    <t>ORD26002555</t>
  </si>
  <si>
    <t>pay_420002474</t>
  </si>
  <si>
    <t>ORD26002589</t>
  </si>
  <si>
    <t>pay_420002540</t>
  </si>
  <si>
    <t>ORD26002664</t>
  </si>
  <si>
    <t>pay_420002577</t>
  </si>
  <si>
    <t>ORD26002704</t>
  </si>
  <si>
    <t>pay_420002580</t>
  </si>
  <si>
    <t>ORD26002707</t>
  </si>
  <si>
    <t>pay_420002599</t>
  </si>
  <si>
    <t>ORD26002727</t>
  </si>
  <si>
    <t>pay_420002613</t>
  </si>
  <si>
    <t>ORD26002743</t>
  </si>
  <si>
    <t>pay_420002633</t>
  </si>
  <si>
    <t>ORD26002762</t>
  </si>
  <si>
    <t>pay_420002676</t>
  </si>
  <si>
    <t>ORD-26002808</t>
  </si>
  <si>
    <t>ORD26002808</t>
  </si>
  <si>
    <t>pay_420002716</t>
  </si>
  <si>
    <t>ORD26002854</t>
  </si>
  <si>
    <t>pay_420002725</t>
  </si>
  <si>
    <t xml:space="preserve">ORD26002863  </t>
  </si>
  <si>
    <t>ORD26002863</t>
  </si>
  <si>
    <t>pay_420002788</t>
  </si>
  <si>
    <t>ORD26002930</t>
  </si>
  <si>
    <t>pay_420002804</t>
  </si>
  <si>
    <t>ORD26002946</t>
  </si>
  <si>
    <t>pay_420002816</t>
  </si>
  <si>
    <t>ord26002958</t>
  </si>
  <si>
    <t>ORD26002958</t>
  </si>
  <si>
    <t>pay_420002828</t>
  </si>
  <si>
    <t>ord26002970</t>
  </si>
  <si>
    <t>ORD26002970</t>
  </si>
  <si>
    <t>pay_420002833</t>
  </si>
  <si>
    <t>ORD26002976</t>
  </si>
  <si>
    <t>pay_420002839</t>
  </si>
  <si>
    <t>ORD26002982</t>
  </si>
  <si>
    <t>pay_420002842</t>
  </si>
  <si>
    <t>ORD26002984</t>
  </si>
  <si>
    <t>pay_420002870</t>
  </si>
  <si>
    <t>ORD26003011</t>
  </si>
  <si>
    <t>pay_420002895</t>
  </si>
  <si>
    <t xml:space="preserve">ORD26003038  </t>
  </si>
  <si>
    <t>ORD26003038</t>
  </si>
  <si>
    <t>pay_420002921</t>
  </si>
  <si>
    <t>ORD26003063</t>
  </si>
  <si>
    <t>pay_420002951</t>
  </si>
  <si>
    <t>ORD26003096</t>
  </si>
  <si>
    <t>pay_420002982</t>
  </si>
  <si>
    <t>ORD26003130</t>
  </si>
  <si>
    <t>pay_420003022</t>
  </si>
  <si>
    <t>ORD26003173</t>
  </si>
  <si>
    <t>pay_420003034</t>
  </si>
  <si>
    <t>ORD26003185</t>
  </si>
  <si>
    <t>pay_420003058</t>
  </si>
  <si>
    <t>ORD26003210</t>
  </si>
  <si>
    <t>pay_420003076</t>
  </si>
  <si>
    <t>ORD26003230</t>
  </si>
  <si>
    <t>pay_420003131</t>
  </si>
  <si>
    <t>ORD26003291</t>
  </si>
  <si>
    <t>pay_420003135</t>
  </si>
  <si>
    <t>ORD26003295</t>
  </si>
  <si>
    <t>pay_420003176</t>
  </si>
  <si>
    <t>ORD26003337</t>
  </si>
  <si>
    <t>pay_420003178</t>
  </si>
  <si>
    <t>ord26003339</t>
  </si>
  <si>
    <t>ORD26003339</t>
  </si>
  <si>
    <t>pay_420003223</t>
  </si>
  <si>
    <t>ORD26003384</t>
  </si>
  <si>
    <t>pay_420003226</t>
  </si>
  <si>
    <t>ORD26003387</t>
  </si>
  <si>
    <t>pay_420003229</t>
  </si>
  <si>
    <t xml:space="preserve">ORD26003391  </t>
  </si>
  <si>
    <t>ORD26003391</t>
  </si>
  <si>
    <t>pay_420003237</t>
  </si>
  <si>
    <t>ORD26003399</t>
  </si>
  <si>
    <t>pay_420003267</t>
  </si>
  <si>
    <t>ORD26003435</t>
  </si>
  <si>
    <t>pay_420003286</t>
  </si>
  <si>
    <t>ORD26003450</t>
  </si>
  <si>
    <t>pay_420003317</t>
  </si>
  <si>
    <t>ORD26003479</t>
  </si>
  <si>
    <t>pay_420003320</t>
  </si>
  <si>
    <t>ORD26003482</t>
  </si>
  <si>
    <t>pay_420003339</t>
  </si>
  <si>
    <t>ORD26003503</t>
  </si>
  <si>
    <t>pay_420003340</t>
  </si>
  <si>
    <t>ORD26003504</t>
  </si>
  <si>
    <t>pay_420003394</t>
  </si>
  <si>
    <t>ORD26003560</t>
  </si>
  <si>
    <t>pay_420003413</t>
  </si>
  <si>
    <t>ORD26003580</t>
  </si>
  <si>
    <t>pay_420003417</t>
  </si>
  <si>
    <t>ORD26003584</t>
  </si>
  <si>
    <t>pay_420003418</t>
  </si>
  <si>
    <t>ORD26003586</t>
  </si>
  <si>
    <t>pay_420003428</t>
  </si>
  <si>
    <t>ORD-26003597</t>
  </si>
  <si>
    <t>ORD26003597</t>
  </si>
  <si>
    <t>pay_420003499</t>
  </si>
  <si>
    <t>ORD-26003667</t>
  </si>
  <si>
    <t>ORD26003667</t>
  </si>
  <si>
    <t>pay_420003523</t>
  </si>
  <si>
    <t>ORD26003694</t>
  </si>
  <si>
    <t>pay_420003541</t>
  </si>
  <si>
    <t>ORD26003711</t>
  </si>
  <si>
    <t>pay_420003565</t>
  </si>
  <si>
    <t>ORD26003734</t>
  </si>
  <si>
    <t>pay_420003584</t>
  </si>
  <si>
    <t>ORD26003753</t>
  </si>
  <si>
    <t>pay_420003589</t>
  </si>
  <si>
    <t>ORD26003758</t>
  </si>
  <si>
    <t>pay_420003642</t>
  </si>
  <si>
    <t>ord26003814</t>
  </si>
  <si>
    <t>ORD26003814</t>
  </si>
  <si>
    <t>pay_420003645</t>
  </si>
  <si>
    <t>ORD26003817</t>
  </si>
  <si>
    <t>pay_420003647</t>
  </si>
  <si>
    <t>ORD26003819</t>
  </si>
  <si>
    <t>pay_420003690</t>
  </si>
  <si>
    <t>ORD26003861</t>
  </si>
  <si>
    <t>pay_420003699</t>
  </si>
  <si>
    <t>ORD26003871</t>
  </si>
  <si>
    <t>pay_420003723</t>
  </si>
  <si>
    <t>ORD26003896</t>
  </si>
  <si>
    <t>pay_420003726</t>
  </si>
  <si>
    <t>ORD26003898</t>
  </si>
  <si>
    <t>pay_420003738</t>
  </si>
  <si>
    <t>ORD26003910</t>
  </si>
  <si>
    <t>pay_420003774</t>
  </si>
  <si>
    <t>ORD26003949</t>
  </si>
  <si>
    <t>pay_420003776</t>
  </si>
  <si>
    <t>ORD26003951</t>
  </si>
  <si>
    <t>pay_420003796</t>
  </si>
  <si>
    <t>ORD26003974</t>
  </si>
  <si>
    <t>pay_420003821</t>
  </si>
  <si>
    <t>ORD26004002</t>
  </si>
  <si>
    <t>pay_420003861</t>
  </si>
  <si>
    <t>ORD26004045</t>
  </si>
  <si>
    <t>pay_420003865</t>
  </si>
  <si>
    <t>ord26004049</t>
  </si>
  <si>
    <t>ORD26004049</t>
  </si>
  <si>
    <t>pay_420003875</t>
  </si>
  <si>
    <t>ORD26004060</t>
  </si>
  <si>
    <t>pay_420003909</t>
  </si>
  <si>
    <t>ORD26004091</t>
  </si>
  <si>
    <t>pay_420003919</t>
  </si>
  <si>
    <t>ORD-26004103</t>
  </si>
  <si>
    <t>ORD26004103</t>
  </si>
  <si>
    <t>pay_420003922</t>
  </si>
  <si>
    <t>ORD26004106</t>
  </si>
  <si>
    <t>pay_420003926</t>
  </si>
  <si>
    <t>ORD26004109</t>
  </si>
  <si>
    <t>pay_420003963</t>
  </si>
  <si>
    <t>ORD26004147</t>
  </si>
  <si>
    <t>pay_420003971</t>
  </si>
  <si>
    <t>ORD26004155</t>
  </si>
  <si>
    <t>pay_420004022</t>
  </si>
  <si>
    <t>ORD26004212</t>
  </si>
  <si>
    <t>pay_420004060</t>
  </si>
  <si>
    <t>ORD26004252</t>
  </si>
  <si>
    <t>pay_420004100</t>
  </si>
  <si>
    <t>ORD-26004295</t>
  </si>
  <si>
    <t>ORD26004295</t>
  </si>
  <si>
    <t>pay_420004104</t>
  </si>
  <si>
    <t>ORD26004299</t>
  </si>
  <si>
    <t>pay_420004180</t>
  </si>
  <si>
    <t xml:space="preserve">ORD26004374  </t>
  </si>
  <si>
    <t>ORD26004374</t>
  </si>
  <si>
    <t>pay_420004198</t>
  </si>
  <si>
    <t>ORD26004395</t>
  </si>
  <si>
    <t>pay_420004219</t>
  </si>
  <si>
    <t>ORD26004417</t>
  </si>
  <si>
    <t>pay_420004244</t>
  </si>
  <si>
    <t>ord26004443</t>
  </si>
  <si>
    <t>ORD26004443</t>
  </si>
  <si>
    <t>pay_420004281</t>
  </si>
  <si>
    <t>ORD26004480</t>
  </si>
  <si>
    <t>pay_420004332</t>
  </si>
  <si>
    <t xml:space="preserve">ORD26004533  </t>
  </si>
  <si>
    <t>ORD26004533</t>
  </si>
  <si>
    <t>pay_420004355</t>
  </si>
  <si>
    <t>ORD26004557</t>
  </si>
  <si>
    <t>pay_420004382</t>
  </si>
  <si>
    <t>ORD26004586</t>
  </si>
  <si>
    <t>pay_420004417</t>
  </si>
  <si>
    <t>ORD26004624</t>
  </si>
  <si>
    <t>pay_420004479</t>
  </si>
  <si>
    <t>ORD26004690</t>
  </si>
  <si>
    <t>pay_420004507</t>
  </si>
  <si>
    <t>ORD26004720</t>
  </si>
  <si>
    <t>pay_420004510</t>
  </si>
  <si>
    <t>ORD26004723</t>
  </si>
  <si>
    <t>pay_420004518</t>
  </si>
  <si>
    <t>ORD26004731</t>
  </si>
  <si>
    <t>pay_420004539</t>
  </si>
  <si>
    <t>ord26004752</t>
  </si>
  <si>
    <t>ORD26004752</t>
  </si>
  <si>
    <t>pay_420004568</t>
  </si>
  <si>
    <t>ORD26004782</t>
  </si>
  <si>
    <t>pay_420004572</t>
  </si>
  <si>
    <t>ORD26004786</t>
  </si>
  <si>
    <t>pay_420004593</t>
  </si>
  <si>
    <t>ORD26004806</t>
  </si>
  <si>
    <t>pay_420004598</t>
  </si>
  <si>
    <t>ORD26004811</t>
  </si>
  <si>
    <t>pay_420004631</t>
  </si>
  <si>
    <t>ORD26004846</t>
  </si>
  <si>
    <t>pay_420004646</t>
  </si>
  <si>
    <t>ORD26004865</t>
  </si>
  <si>
    <t>pay_420004690</t>
  </si>
  <si>
    <t>ORD26004912</t>
  </si>
  <si>
    <t>pay_420004718</t>
  </si>
  <si>
    <t>ORD26004939</t>
  </si>
  <si>
    <t>pay_420004739</t>
  </si>
  <si>
    <t>ORD26004961</t>
  </si>
  <si>
    <t>pay_420004754</t>
  </si>
  <si>
    <t>ORD26004975</t>
  </si>
  <si>
    <t>pay_420004821</t>
  </si>
  <si>
    <t>ord26005043</t>
  </si>
  <si>
    <t>ORD26005043</t>
  </si>
  <si>
    <t>pay_420004868</t>
  </si>
  <si>
    <t>ORD26005093</t>
  </si>
  <si>
    <t>pay_420004872</t>
  </si>
  <si>
    <t>ORD26005096</t>
  </si>
  <si>
    <t>pay_420004883</t>
  </si>
  <si>
    <t>ORD26005110</t>
  </si>
  <si>
    <t>pay_420005031</t>
  </si>
  <si>
    <t>ord26005268</t>
  </si>
  <si>
    <t>ORD26005268</t>
  </si>
  <si>
    <t>pay_420005047</t>
  </si>
  <si>
    <t>ORD26005284</t>
  </si>
  <si>
    <t>pay_420005052</t>
  </si>
  <si>
    <t>ORD26005291</t>
  </si>
  <si>
    <t>pay_420005087</t>
  </si>
  <si>
    <t>ORD26005327</t>
  </si>
  <si>
    <t>pay_420005116</t>
  </si>
  <si>
    <t>ORD26005353</t>
  </si>
  <si>
    <t>pay_420005142</t>
  </si>
  <si>
    <t>ORD26005382</t>
  </si>
  <si>
    <t>pay_420005164</t>
  </si>
  <si>
    <t>ORD26005404</t>
  </si>
  <si>
    <t>pay_420005185</t>
  </si>
  <si>
    <t xml:space="preserve">ORD26005424  </t>
  </si>
  <si>
    <t>ORD26005424</t>
  </si>
  <si>
    <t>pay_420005261</t>
  </si>
  <si>
    <t>ORD26005498</t>
  </si>
  <si>
    <t>pay_420005276</t>
  </si>
  <si>
    <t>ORD26005513</t>
  </si>
  <si>
    <t>pay_420005316</t>
  </si>
  <si>
    <t>ORD26005556</t>
  </si>
  <si>
    <t>pay_420005374</t>
  </si>
  <si>
    <t>ORD26005616</t>
  </si>
  <si>
    <t>pay_420005406</t>
  </si>
  <si>
    <t>ORD26005651</t>
  </si>
  <si>
    <t>pay_420005438</t>
  </si>
  <si>
    <t>ORD26005684</t>
  </si>
  <si>
    <t>pay_420005481</t>
  </si>
  <si>
    <t>ORD26005730</t>
  </si>
  <si>
    <t>pay_420005482</t>
  </si>
  <si>
    <t>pay_420005577</t>
  </si>
  <si>
    <t xml:space="preserve">ORD26005834  </t>
  </si>
  <si>
    <t>ORD26005834</t>
  </si>
  <si>
    <t>pay_420005583</t>
  </si>
  <si>
    <t>ORD26005840</t>
  </si>
  <si>
    <t>pay_420005621</t>
  </si>
  <si>
    <t>ORD26005882</t>
  </si>
  <si>
    <t>pay_420005632</t>
  </si>
  <si>
    <t>ORD26005895</t>
  </si>
  <si>
    <t>pay_420005672</t>
  </si>
  <si>
    <t>ORD26005937</t>
  </si>
  <si>
    <t>pay_420005688</t>
  </si>
  <si>
    <t>ORD26005953</t>
  </si>
  <si>
    <t>pay_420005703</t>
  </si>
  <si>
    <t>ORD26005970</t>
  </si>
  <si>
    <t>pay_420005707</t>
  </si>
  <si>
    <t>ORD26005975</t>
  </si>
  <si>
    <t>pay_420005724</t>
  </si>
  <si>
    <t>ORD26005991</t>
  </si>
  <si>
    <t>pay_420005726</t>
  </si>
  <si>
    <t>ORD26005992</t>
  </si>
  <si>
    <t>rfnd_AWZ3GU97NFEF</t>
  </si>
  <si>
    <t>rfnd_B6TYZEBJK0WJ</t>
  </si>
  <si>
    <t>rfnd_BTQDFUSAP1SL</t>
  </si>
  <si>
    <t>rfnd_GG6DY8ME8DNU</t>
  </si>
  <si>
    <t>rfnd_HN38TSPNM3C2</t>
  </si>
  <si>
    <t>rfnd_J6518LRY2N5E</t>
  </si>
  <si>
    <t>rfnd_R5Q8NA35D18W</t>
  </si>
  <si>
    <t>rfnd_R6D8PLDQERE7</t>
  </si>
  <si>
    <t>rfnd_RPT2YW6GMY9L</t>
  </si>
  <si>
    <t>rfnd_WVL7R3FFZL2Y</t>
  </si>
  <si>
    <t>rfnd_Z7JY8EX5U8ET</t>
  </si>
  <si>
    <t>pay_420000033</t>
  </si>
  <si>
    <t>ORD26000033</t>
  </si>
  <si>
    <t>STL-20260916</t>
  </si>
  <si>
    <t>pay_420000080</t>
  </si>
  <si>
    <t>ORD26000084</t>
  </si>
  <si>
    <t>pay_420000130</t>
  </si>
  <si>
    <t>ord26000139</t>
  </si>
  <si>
    <t>ORD26000139</t>
  </si>
  <si>
    <t>pay_420000143</t>
  </si>
  <si>
    <t>ORD26000153</t>
  </si>
  <si>
    <t>pay_420000179</t>
  </si>
  <si>
    <t>ORD26000193</t>
  </si>
  <si>
    <t>pay_420000199</t>
  </si>
  <si>
    <t>ord26000214</t>
  </si>
  <si>
    <t>ORD26000214</t>
  </si>
  <si>
    <t>pay_420000224</t>
  </si>
  <si>
    <t xml:space="preserve">ORD26000239  </t>
  </si>
  <si>
    <t>ORD26000239</t>
  </si>
  <si>
    <t>pay_420000245</t>
  </si>
  <si>
    <t>ORD26000262</t>
  </si>
  <si>
    <t>pay_420000261</t>
  </si>
  <si>
    <t>ORD26000278</t>
  </si>
  <si>
    <t>pay_420000272</t>
  </si>
  <si>
    <t>ORD-26000290</t>
  </si>
  <si>
    <t>ORD26000290</t>
  </si>
  <si>
    <t>pay_420000274</t>
  </si>
  <si>
    <t>ord26000292</t>
  </si>
  <si>
    <t>ORD26000292</t>
  </si>
  <si>
    <t>pay_420000379</t>
  </si>
  <si>
    <t>ord26000397</t>
  </si>
  <si>
    <t>ORD26000397</t>
  </si>
  <si>
    <t>pay_420000462</t>
  </si>
  <si>
    <t>ORD26000485</t>
  </si>
  <si>
    <t>pay_420000463</t>
  </si>
  <si>
    <t>ORD26000486</t>
  </si>
  <si>
    <t>pay_420000506</t>
  </si>
  <si>
    <t>ORD26000528</t>
  </si>
  <si>
    <t>pay_420000507</t>
  </si>
  <si>
    <t>ORD26000529</t>
  </si>
  <si>
    <t>pay_420000557</t>
  </si>
  <si>
    <t>ORD26000581</t>
  </si>
  <si>
    <t>pay_420000571</t>
  </si>
  <si>
    <t>ORD26000593</t>
  </si>
  <si>
    <t>pay_420000638</t>
  </si>
  <si>
    <t>ORD26000665</t>
  </si>
  <si>
    <t>pay_420000651</t>
  </si>
  <si>
    <t>ORD26000679</t>
  </si>
  <si>
    <t>pay_420000661</t>
  </si>
  <si>
    <t>ORD26000689</t>
  </si>
  <si>
    <t>pay_420000673</t>
  </si>
  <si>
    <t>ORD26000703</t>
  </si>
  <si>
    <t>pay_420000677</t>
  </si>
  <si>
    <t>ORD26000707</t>
  </si>
  <si>
    <t>pay_420000683</t>
  </si>
  <si>
    <t>ord26000713</t>
  </si>
  <si>
    <t>ORD26000713</t>
  </si>
  <si>
    <t>pay_420000719</t>
  </si>
  <si>
    <t>ORD26000753</t>
  </si>
  <si>
    <t>pay_420000726</t>
  </si>
  <si>
    <t>ORD26000760</t>
  </si>
  <si>
    <t>pay_420000738</t>
  </si>
  <si>
    <t>ORD26000772</t>
  </si>
  <si>
    <t>pay_420000784</t>
  </si>
  <si>
    <t>ORD26000817</t>
  </si>
  <si>
    <t>pay_420000885</t>
  </si>
  <si>
    <t>ORD26000923</t>
  </si>
  <si>
    <t>pay_420000897</t>
  </si>
  <si>
    <t>ORD26000936</t>
  </si>
  <si>
    <t>pay_420000913</t>
  </si>
  <si>
    <t>ORD26000953</t>
  </si>
  <si>
    <t>pay_420000925</t>
  </si>
  <si>
    <t>ORD26000965</t>
  </si>
  <si>
    <t>pay_420001063</t>
  </si>
  <si>
    <t>ORD26001106</t>
  </si>
  <si>
    <t>pay_420001099</t>
  </si>
  <si>
    <t>ORD26001145</t>
  </si>
  <si>
    <t>pay_420001109</t>
  </si>
  <si>
    <t>ORD26001156</t>
  </si>
  <si>
    <t>pay_420001129</t>
  </si>
  <si>
    <t>ord26001178</t>
  </si>
  <si>
    <t>ORD26001178</t>
  </si>
  <si>
    <t>pay_420001134</t>
  </si>
  <si>
    <t>ORD26001183</t>
  </si>
  <si>
    <t>pay_420001154</t>
  </si>
  <si>
    <t>ord26001203</t>
  </si>
  <si>
    <t>ORD26001203</t>
  </si>
  <si>
    <t>pay_420001161</t>
  </si>
  <si>
    <t>ORD26001210</t>
  </si>
  <si>
    <t>pay_420001169</t>
  </si>
  <si>
    <t>ORD26001217</t>
  </si>
  <si>
    <t>pay_420001196</t>
  </si>
  <si>
    <t>ORD26001249</t>
  </si>
  <si>
    <t>pay_420001228</t>
  </si>
  <si>
    <t>ORD26001285</t>
  </si>
  <si>
    <t>pay_420001245</t>
  </si>
  <si>
    <t>ORD26001302</t>
  </si>
  <si>
    <t>pay_420001247</t>
  </si>
  <si>
    <t>ORD26001305</t>
  </si>
  <si>
    <t>pay_420001322</t>
  </si>
  <si>
    <t>ORD26001384</t>
  </si>
  <si>
    <t>pay_420001464</t>
  </si>
  <si>
    <t>ORD26001530</t>
  </si>
  <si>
    <t>pay_420001475</t>
  </si>
  <si>
    <t>ORD26001539</t>
  </si>
  <si>
    <t>pay_420001501</t>
  </si>
  <si>
    <t>ORD26001566</t>
  </si>
  <si>
    <t>pay_420001504</t>
  </si>
  <si>
    <t>ORD26001570</t>
  </si>
  <si>
    <t>pay_420001537</t>
  </si>
  <si>
    <t>ORD26001605</t>
  </si>
  <si>
    <t>pay_420001573</t>
  </si>
  <si>
    <t>ORD26001644</t>
  </si>
  <si>
    <t>pay_420001604</t>
  </si>
  <si>
    <t>ORD26001679</t>
  </si>
  <si>
    <t>pay_420001614</t>
  </si>
  <si>
    <t>ord26001689</t>
  </si>
  <si>
    <t>ORD26001689</t>
  </si>
  <si>
    <t>pay_420001653</t>
  </si>
  <si>
    <t>ORD26001730</t>
  </si>
  <si>
    <t>pay_420001685</t>
  </si>
  <si>
    <t>ORD26001765</t>
  </si>
  <si>
    <t>pay_420001715</t>
  </si>
  <si>
    <t>ORD26001796</t>
  </si>
  <si>
    <t>pay_420001754</t>
  </si>
  <si>
    <t>ORD26001836</t>
  </si>
  <si>
    <t>pay_420001757</t>
  </si>
  <si>
    <t xml:space="preserve">ORD26001839  </t>
  </si>
  <si>
    <t>ORD26001839</t>
  </si>
  <si>
    <t>pay_420001761</t>
  </si>
  <si>
    <t>ORD26001843</t>
  </si>
  <si>
    <t>pay_420001782</t>
  </si>
  <si>
    <t>ORD26001864</t>
  </si>
  <si>
    <t>pay_420001787</t>
  </si>
  <si>
    <t>ORD26001869</t>
  </si>
  <si>
    <t>pay_420001810</t>
  </si>
  <si>
    <t>ORD26001893</t>
  </si>
  <si>
    <t>pay_420001820</t>
  </si>
  <si>
    <t>ord26001902</t>
  </si>
  <si>
    <t>ORD26001902</t>
  </si>
  <si>
    <t>pay_420001831</t>
  </si>
  <si>
    <t>ORD26001915</t>
  </si>
  <si>
    <t>pay_420001833</t>
  </si>
  <si>
    <t xml:space="preserve">ORD26001916  </t>
  </si>
  <si>
    <t>ORD26001916</t>
  </si>
  <si>
    <t>pay_420001837</t>
  </si>
  <si>
    <t>ORD26001921</t>
  </si>
  <si>
    <t>pay_420001850</t>
  </si>
  <si>
    <t>ORD26001935</t>
  </si>
  <si>
    <t>pay_420001859</t>
  </si>
  <si>
    <t>ORD26001945</t>
  </si>
  <si>
    <t>pay_420001863</t>
  </si>
  <si>
    <t>ORD26001949</t>
  </si>
  <si>
    <t>pay_420001872</t>
  </si>
  <si>
    <t>ord26001960</t>
  </si>
  <si>
    <t>ORD26001960</t>
  </si>
  <si>
    <t>pay_420001965</t>
  </si>
  <si>
    <t>ORD26002060</t>
  </si>
  <si>
    <t>pay_420001969</t>
  </si>
  <si>
    <t>ord26002064</t>
  </si>
  <si>
    <t>ORD26002064</t>
  </si>
  <si>
    <t>pay_420002004</t>
  </si>
  <si>
    <t>ORD26002097</t>
  </si>
  <si>
    <t>pay_420002102</t>
  </si>
  <si>
    <t>ORD26002199</t>
  </si>
  <si>
    <t>pay_420002117</t>
  </si>
  <si>
    <t>ORD26002219</t>
  </si>
  <si>
    <t>pay_420002121</t>
  </si>
  <si>
    <t>ORD26002223</t>
  </si>
  <si>
    <t>pay_420002152</t>
  </si>
  <si>
    <t>ORD26002253</t>
  </si>
  <si>
    <t>pay_420002226</t>
  </si>
  <si>
    <t>ORD26002330</t>
  </si>
  <si>
    <t>pay_420002282</t>
  </si>
  <si>
    <t>ORD26002392</t>
  </si>
  <si>
    <t>pay_420002299</t>
  </si>
  <si>
    <t>ORD-26002412</t>
  </si>
  <si>
    <t>ORD26002412</t>
  </si>
  <si>
    <t>pay_420002324</t>
  </si>
  <si>
    <t>ord26002436</t>
  </si>
  <si>
    <t>ORD26002436</t>
  </si>
  <si>
    <t>pay_420002398</t>
  </si>
  <si>
    <t>ORD26002510</t>
  </si>
  <si>
    <t>pay_420002405</t>
  </si>
  <si>
    <t>ORD26002517</t>
  </si>
  <si>
    <t>pay_420002431</t>
  </si>
  <si>
    <t>ord26002543</t>
  </si>
  <si>
    <t>ORD26002543</t>
  </si>
  <si>
    <t>pay_420002447</t>
  </si>
  <si>
    <t>ORD26002561</t>
  </si>
  <si>
    <t>pay_420002470</t>
  </si>
  <si>
    <t>ord26002585</t>
  </si>
  <si>
    <t>ORD26002585</t>
  </si>
  <si>
    <t>pay_420002475</t>
  </si>
  <si>
    <t>ORD26002591</t>
  </si>
  <si>
    <t>pay_420002525</t>
  </si>
  <si>
    <t>ORD26002648</t>
  </si>
  <si>
    <t>pay_420002551</t>
  </si>
  <si>
    <t>ORD26002677</t>
  </si>
  <si>
    <t>pay_420002789</t>
  </si>
  <si>
    <t>ORD26002931</t>
  </si>
  <si>
    <t>pay_420002825</t>
  </si>
  <si>
    <t>ORD26002967</t>
  </si>
  <si>
    <t>pay_420002858</t>
  </si>
  <si>
    <t>ORD26002999</t>
  </si>
  <si>
    <t>pay_420002900</t>
  </si>
  <si>
    <t>ORD26003044</t>
  </si>
  <si>
    <t>pay_420002916</t>
  </si>
  <si>
    <t>ORD26003059</t>
  </si>
  <si>
    <t>pay_420002929</t>
  </si>
  <si>
    <t>ORD26003072</t>
  </si>
  <si>
    <t>pay_420002935</t>
  </si>
  <si>
    <t>ORD26003080</t>
  </si>
  <si>
    <t>pay_420002940</t>
  </si>
  <si>
    <t>ORD26003085</t>
  </si>
  <si>
    <t>pay_420002981</t>
  </si>
  <si>
    <t>ORD26003129</t>
  </si>
  <si>
    <t>pay_420002985</t>
  </si>
  <si>
    <t>ORD26003134</t>
  </si>
  <si>
    <t>pay_420003001</t>
  </si>
  <si>
    <t>ORD26003152</t>
  </si>
  <si>
    <t>pay_420003005</t>
  </si>
  <si>
    <t>ORD26003156</t>
  </si>
  <si>
    <t>pay_420003074</t>
  </si>
  <si>
    <t>ORD26003228</t>
  </si>
  <si>
    <t>pay_420003091</t>
  </si>
  <si>
    <t>ORD26003246</t>
  </si>
  <si>
    <t>pay_420003102</t>
  </si>
  <si>
    <t>ORD26003259</t>
  </si>
  <si>
    <t>pay_420003207</t>
  </si>
  <si>
    <t>ORD26003368</t>
  </si>
  <si>
    <t>pay_420003236</t>
  </si>
  <si>
    <t>ORD26003398</t>
  </si>
  <si>
    <t>pay_420003272</t>
  </si>
  <si>
    <t>ORD26003439</t>
  </si>
  <si>
    <t>pay_420003276</t>
  </si>
  <si>
    <t>ORD26003441</t>
  </si>
  <si>
    <t>pay_420003318</t>
  </si>
  <si>
    <t>ORD26003480</t>
  </si>
  <si>
    <t>pay_420003350</t>
  </si>
  <si>
    <t>ORD26003514</t>
  </si>
  <si>
    <t>pay_420003356</t>
  </si>
  <si>
    <t>ORD26003520</t>
  </si>
  <si>
    <t>pay_420003422</t>
  </si>
  <si>
    <t>ORD26003591</t>
  </si>
  <si>
    <t>pay_420003425</t>
  </si>
  <si>
    <t>ORD26003594</t>
  </si>
  <si>
    <t>pay_420003438</t>
  </si>
  <si>
    <t>ORD26003607</t>
  </si>
  <si>
    <t>pay_420003439</t>
  </si>
  <si>
    <t>ORD26003608</t>
  </si>
  <si>
    <t>pay_420003461</t>
  </si>
  <si>
    <t>ORD26003629</t>
  </si>
  <si>
    <t>pay_420003465</t>
  </si>
  <si>
    <t>ORD26003633</t>
  </si>
  <si>
    <t>pay_420003522</t>
  </si>
  <si>
    <t>ord26003693</t>
  </si>
  <si>
    <t>ORD26003693</t>
  </si>
  <si>
    <t>pay_420003526</t>
  </si>
  <si>
    <t>ORD26003697</t>
  </si>
  <si>
    <t>pay_420003560</t>
  </si>
  <si>
    <t>ORD26003728</t>
  </si>
  <si>
    <t>pay_420003566</t>
  </si>
  <si>
    <t>ORD26003735</t>
  </si>
  <si>
    <t>pay_420003625</t>
  </si>
  <si>
    <t>ORD26003794</t>
  </si>
  <si>
    <t>pay_420003730</t>
  </si>
  <si>
    <t>ORD26003901</t>
  </si>
  <si>
    <t>pay_420003731</t>
  </si>
  <si>
    <t>ORD26003902</t>
  </si>
  <si>
    <t>pay_420003733</t>
  </si>
  <si>
    <t>ord26003905</t>
  </si>
  <si>
    <t>ORD26003905</t>
  </si>
  <si>
    <t>pay_420003781</t>
  </si>
  <si>
    <t>ORD26003958</t>
  </si>
  <si>
    <t>pay_420003790</t>
  </si>
  <si>
    <t>ORD26003967</t>
  </si>
  <si>
    <t>pay_420003791</t>
  </si>
  <si>
    <t>ORD26003968</t>
  </si>
  <si>
    <t>pay_420003812</t>
  </si>
  <si>
    <t>ORD26003993</t>
  </si>
  <si>
    <t>pay_420003866</t>
  </si>
  <si>
    <t>ORD26004050</t>
  </si>
  <si>
    <t>pay_420003897</t>
  </si>
  <si>
    <t>ORD26004079</t>
  </si>
  <si>
    <t>pay_420003924</t>
  </si>
  <si>
    <t>ORD26004107</t>
  </si>
  <si>
    <t>pay_420003949</t>
  </si>
  <si>
    <t>ORD26004132</t>
  </si>
  <si>
    <t>pay_420003969</t>
  </si>
  <si>
    <t>ORD26004153</t>
  </si>
  <si>
    <t>pay_420003976</t>
  </si>
  <si>
    <t>ORD26004162</t>
  </si>
  <si>
    <t>pay_420003998</t>
  </si>
  <si>
    <t xml:space="preserve">ORD26004185  </t>
  </si>
  <si>
    <t>ORD26004185</t>
  </si>
  <si>
    <t>pay_420004026</t>
  </si>
  <si>
    <t>ORD26004216</t>
  </si>
  <si>
    <t>pay_420004048</t>
  </si>
  <si>
    <t>ORD26004239</t>
  </si>
  <si>
    <t>pay_420004121</t>
  </si>
  <si>
    <t>ORD26004313</t>
  </si>
  <si>
    <t>pay_420004159</t>
  </si>
  <si>
    <t>ORD26004352</t>
  </si>
  <si>
    <t>pay_420004162</t>
  </si>
  <si>
    <t>ORD26004355</t>
  </si>
  <si>
    <t>pay_420004187</t>
  </si>
  <si>
    <t>ord26004382</t>
  </si>
  <si>
    <t>ORD26004382</t>
  </si>
  <si>
    <t>pay_420004215</t>
  </si>
  <si>
    <t>ORD26004413</t>
  </si>
  <si>
    <t>pay_420004264</t>
  </si>
  <si>
    <t>ord26004464</t>
  </si>
  <si>
    <t>ORD26004464</t>
  </si>
  <si>
    <t>pay_420004301</t>
  </si>
  <si>
    <t>ORD26004500</t>
  </si>
  <si>
    <t>pay_420004303</t>
  </si>
  <si>
    <t>ORD26004503</t>
  </si>
  <si>
    <t>pay_420004429</t>
  </si>
  <si>
    <t xml:space="preserve">ORD26004636  </t>
  </si>
  <si>
    <t>ORD26004636</t>
  </si>
  <si>
    <t>pay_420004438</t>
  </si>
  <si>
    <t>ORD26004646</t>
  </si>
  <si>
    <t>pay_420004519</t>
  </si>
  <si>
    <t>ORD26004732</t>
  </si>
  <si>
    <t>pay_420004557</t>
  </si>
  <si>
    <t>ORD26004771</t>
  </si>
  <si>
    <t>pay_420004698</t>
  </si>
  <si>
    <t>ORD26004920</t>
  </si>
  <si>
    <t>pay_420004732</t>
  </si>
  <si>
    <t>ORD26004954</t>
  </si>
  <si>
    <t>pay_420004767</t>
  </si>
  <si>
    <t>ORD26004988</t>
  </si>
  <si>
    <t>pay_420004786</t>
  </si>
  <si>
    <t>ORD26005007</t>
  </si>
  <si>
    <t>pay_420004807</t>
  </si>
  <si>
    <t>ORD26005029</t>
  </si>
  <si>
    <t>pay_420004828</t>
  </si>
  <si>
    <t>ORD26005049</t>
  </si>
  <si>
    <t>pay_420004854</t>
  </si>
  <si>
    <t>ORD26005077</t>
  </si>
  <si>
    <t>pay_420004861</t>
  </si>
  <si>
    <t>ORD26005084</t>
  </si>
  <si>
    <t>pay_420004898</t>
  </si>
  <si>
    <t>ORD26005125</t>
  </si>
  <si>
    <t>pay_420004907</t>
  </si>
  <si>
    <t>ORD26005135</t>
  </si>
  <si>
    <t>pay_420004939</t>
  </si>
  <si>
    <t>ORD26005170</t>
  </si>
  <si>
    <t>pay_420004969</t>
  </si>
  <si>
    <t>ORD26005202</t>
  </si>
  <si>
    <t>pay_420004970</t>
  </si>
  <si>
    <t>ORD26005203</t>
  </si>
  <si>
    <t>pay_420004990</t>
  </si>
  <si>
    <t>ORD26005223</t>
  </si>
  <si>
    <t>pay_420004999</t>
  </si>
  <si>
    <t>ORD26005235</t>
  </si>
  <si>
    <t>pay_420005026</t>
  </si>
  <si>
    <t xml:space="preserve">ORD26005263  </t>
  </si>
  <si>
    <t>ORD26005263</t>
  </si>
  <si>
    <t>pay_420005064</t>
  </si>
  <si>
    <t>ORD26005303</t>
  </si>
  <si>
    <t>pay_420005085</t>
  </si>
  <si>
    <t>ORD26005326</t>
  </si>
  <si>
    <t>pay_420005099</t>
  </si>
  <si>
    <t>ORD26005338</t>
  </si>
  <si>
    <t>pay_420005122</t>
  </si>
  <si>
    <t>ORD26005358</t>
  </si>
  <si>
    <t>pay_420005160</t>
  </si>
  <si>
    <t>ORD26005400</t>
  </si>
  <si>
    <t>pay_420005208</t>
  </si>
  <si>
    <t>ORD26005449</t>
  </si>
  <si>
    <t>pay_420005252</t>
  </si>
  <si>
    <t>ORD26005490</t>
  </si>
  <si>
    <t>pay_420005279</t>
  </si>
  <si>
    <t>ORD26005516</t>
  </si>
  <si>
    <t>pay_420005291</t>
  </si>
  <si>
    <t xml:space="preserve">ORD26005529  </t>
  </si>
  <si>
    <t>ORD26005529</t>
  </si>
  <si>
    <t>pay_420005320</t>
  </si>
  <si>
    <t>ORD26005561</t>
  </si>
  <si>
    <t>pay_420005327</t>
  </si>
  <si>
    <t>ORD26005568</t>
  </si>
  <si>
    <t>pay_420005362</t>
  </si>
  <si>
    <t>ORD26005604</t>
  </si>
  <si>
    <t>pay_420005371</t>
  </si>
  <si>
    <t>ORD26005613</t>
  </si>
  <si>
    <t>pay_420005419</t>
  </si>
  <si>
    <t>ORD26005666</t>
  </si>
  <si>
    <t>pay_420005423</t>
  </si>
  <si>
    <t>ORD26005670</t>
  </si>
  <si>
    <t>pay_420005451</t>
  </si>
  <si>
    <t>ORD26005699</t>
  </si>
  <si>
    <t>pay_420005459</t>
  </si>
  <si>
    <t>ORD26005707</t>
  </si>
  <si>
    <t>pay_420005530</t>
  </si>
  <si>
    <t>ORD26005783</t>
  </si>
  <si>
    <t>pay_420005534</t>
  </si>
  <si>
    <t xml:space="preserve">ORD26005788  </t>
  </si>
  <si>
    <t>ORD26005788</t>
  </si>
  <si>
    <t>pay_420005541</t>
  </si>
  <si>
    <t>ORD26005794</t>
  </si>
  <si>
    <t>pay_420005563</t>
  </si>
  <si>
    <t>ord26005817</t>
  </si>
  <si>
    <t>ORD26005817</t>
  </si>
  <si>
    <t>pay_420005590</t>
  </si>
  <si>
    <t>ORD26005848</t>
  </si>
  <si>
    <t>pay_420005628</t>
  </si>
  <si>
    <t>ORD26005890</t>
  </si>
  <si>
    <t>pay_420005661</t>
  </si>
  <si>
    <t>ORD26005927</t>
  </si>
  <si>
    <t>pay_420005687</t>
  </si>
  <si>
    <t>ORD26005952</t>
  </si>
  <si>
    <t>pay_420005693</t>
  </si>
  <si>
    <t>ord26005959</t>
  </si>
  <si>
    <t>ORD26005959</t>
  </si>
  <si>
    <t>pay_420005708</t>
  </si>
  <si>
    <t>ORD26005976</t>
  </si>
  <si>
    <t>pay_420005722</t>
  </si>
  <si>
    <t>ORD26005989</t>
  </si>
  <si>
    <t>rfnd_2HXLGS6S6SD8</t>
  </si>
  <si>
    <t>rfnd_31FFVPWC0J3E</t>
  </si>
  <si>
    <t>rfnd_J8JZA3G6ZQDA</t>
  </si>
  <si>
    <t>rfnd_SF03K65LSR7E</t>
  </si>
  <si>
    <t>rfnd_T98X3H4M0SFN</t>
  </si>
  <si>
    <t>rfnd_VENLW78VDUL2</t>
  </si>
  <si>
    <t>rfnd_WTGENESU57QB</t>
  </si>
  <si>
    <t>rfnd_ZFEPNHMXKMMK</t>
  </si>
  <si>
    <t>rfnd_ZV0YMYZQ4RXJ</t>
  </si>
  <si>
    <t>pay_420000010</t>
  </si>
  <si>
    <t>ORD26000010</t>
  </si>
  <si>
    <t>STL-20260917</t>
  </si>
  <si>
    <t>pay_420000029</t>
  </si>
  <si>
    <t>ORD26000028</t>
  </si>
  <si>
    <t>pay_420000039</t>
  </si>
  <si>
    <t>ORD26000039</t>
  </si>
  <si>
    <t>pay_420000045</t>
  </si>
  <si>
    <t>ORD26000046</t>
  </si>
  <si>
    <t>pay_420000069</t>
  </si>
  <si>
    <t>ORD26000071</t>
  </si>
  <si>
    <t>pay_420000114</t>
  </si>
  <si>
    <t>ord26000123</t>
  </si>
  <si>
    <t>ORD26000123</t>
  </si>
  <si>
    <t>pay_420000118</t>
  </si>
  <si>
    <t>ORD26000127</t>
  </si>
  <si>
    <t>pay_420000125</t>
  </si>
  <si>
    <t>ORD26000134</t>
  </si>
  <si>
    <t>pay_420000172</t>
  </si>
  <si>
    <t xml:space="preserve">ORD26000186  </t>
  </si>
  <si>
    <t>ORD26000186</t>
  </si>
  <si>
    <t>pay_420000177</t>
  </si>
  <si>
    <t>ORD26000191</t>
  </si>
  <si>
    <t>pay_420000198</t>
  </si>
  <si>
    <t>ORD26000212</t>
  </si>
  <si>
    <t>pay_420000262</t>
  </si>
  <si>
    <t>ORD26000279</t>
  </si>
  <si>
    <t>pay_420000273</t>
  </si>
  <si>
    <t>ORD26000291</t>
  </si>
  <si>
    <t>pay_420000282</t>
  </si>
  <si>
    <t>ORD26000299</t>
  </si>
  <si>
    <t>pay_420000309</t>
  </si>
  <si>
    <t>ord26000324</t>
  </si>
  <si>
    <t>ORD26000324</t>
  </si>
  <si>
    <t>pay_420000313</t>
  </si>
  <si>
    <t>ORD-26000327</t>
  </si>
  <si>
    <t>ORD26000327</t>
  </si>
  <si>
    <t>pay_420000318</t>
  </si>
  <si>
    <t>ORD26000333</t>
  </si>
  <si>
    <t>pay_420000322</t>
  </si>
  <si>
    <t>ORD26000337</t>
  </si>
  <si>
    <t>pay_420000325</t>
  </si>
  <si>
    <t>ORD26000340</t>
  </si>
  <si>
    <t>pay_420000347</t>
  </si>
  <si>
    <t>ORD26000365</t>
  </si>
  <si>
    <t>pay_420000386</t>
  </si>
  <si>
    <t>ORD26000404</t>
  </si>
  <si>
    <t>pay_420000431</t>
  </si>
  <si>
    <t>ORD26000448</t>
  </si>
  <si>
    <t>pay_420000448</t>
  </si>
  <si>
    <t>ORD26000469</t>
  </si>
  <si>
    <t>pay_420000579</t>
  </si>
  <si>
    <t>ord26000600</t>
  </si>
  <si>
    <t>ORD26000600</t>
  </si>
  <si>
    <t>pay_420000646</t>
  </si>
  <si>
    <t>ORD26000673</t>
  </si>
  <si>
    <t>pay_420000665</t>
  </si>
  <si>
    <t>ORD26000694</t>
  </si>
  <si>
    <t>pay_420000734</t>
  </si>
  <si>
    <t>ORD26000769</t>
  </si>
  <si>
    <t>pay_420000743</t>
  </si>
  <si>
    <t>ORD26000776</t>
  </si>
  <si>
    <t>pay_420000836</t>
  </si>
  <si>
    <t>ORD26000871</t>
  </si>
  <si>
    <t>pay_420000855</t>
  </si>
  <si>
    <t>ord26000890</t>
  </si>
  <si>
    <t>ORD26000890</t>
  </si>
  <si>
    <t>pay_420000955</t>
  </si>
  <si>
    <t>ORD26000999</t>
  </si>
  <si>
    <t>pay_420000966</t>
  </si>
  <si>
    <t>ORD26001008</t>
  </si>
  <si>
    <t>pay_420000976</t>
  </si>
  <si>
    <t>ORD26001018</t>
  </si>
  <si>
    <t>pay_420000982</t>
  </si>
  <si>
    <t>ORD26001025</t>
  </si>
  <si>
    <t>pay_420001009</t>
  </si>
  <si>
    <t>ORD26001052</t>
  </si>
  <si>
    <t>pay_420001028</t>
  </si>
  <si>
    <t>ORD26001072</t>
  </si>
  <si>
    <t>pay_420001112</t>
  </si>
  <si>
    <t>ORD26001159</t>
  </si>
  <si>
    <t>pay_420001116</t>
  </si>
  <si>
    <t>ORD-26001165</t>
  </si>
  <si>
    <t>ORD26001165</t>
  </si>
  <si>
    <t>pay_420001124</t>
  </si>
  <si>
    <t>ORD26001172</t>
  </si>
  <si>
    <t>pay_420001126</t>
  </si>
  <si>
    <t>ORD26001174</t>
  </si>
  <si>
    <t>pay_420001135</t>
  </si>
  <si>
    <t>ORD26001184</t>
  </si>
  <si>
    <t>pay_420001225</t>
  </si>
  <si>
    <t>ORD26001282</t>
  </si>
  <si>
    <t>pay_420001253</t>
  </si>
  <si>
    <t>ORD26001310</t>
  </si>
  <si>
    <t>pay_420001264</t>
  </si>
  <si>
    <t>ORD26001322</t>
  </si>
  <si>
    <t>pay_420001273</t>
  </si>
  <si>
    <t>ORD26001333</t>
  </si>
  <si>
    <t>pay_420001278</t>
  </si>
  <si>
    <t>ORD26001338</t>
  </si>
  <si>
    <t>pay_420001303</t>
  </si>
  <si>
    <t>ORD26001365</t>
  </si>
  <si>
    <t>pay_420001327</t>
  </si>
  <si>
    <t>ORD26001389</t>
  </si>
  <si>
    <t>pay_420001373</t>
  </si>
  <si>
    <t>ORD26001441</t>
  </si>
  <si>
    <t>pay_420001434</t>
  </si>
  <si>
    <t>ORD26001501</t>
  </si>
  <si>
    <t>pay_420001470</t>
  </si>
  <si>
    <t>ORD26001534</t>
  </si>
  <si>
    <t>pay_420001489</t>
  </si>
  <si>
    <t>ORD26001555</t>
  </si>
  <si>
    <t>pay_420001494</t>
  </si>
  <si>
    <t>ORD26001560</t>
  </si>
  <si>
    <t>pay_420001516</t>
  </si>
  <si>
    <t>ORD26001583</t>
  </si>
  <si>
    <t>pay_420001523</t>
  </si>
  <si>
    <t>ORD26001590</t>
  </si>
  <si>
    <t>pay_420001575</t>
  </si>
  <si>
    <t>ord26001646</t>
  </si>
  <si>
    <t>ORD26001646</t>
  </si>
  <si>
    <t>pay_420001637</t>
  </si>
  <si>
    <t>ORD26001714</t>
  </si>
  <si>
    <t>pay_420001641</t>
  </si>
  <si>
    <t>ORD26001718</t>
  </si>
  <si>
    <t>pay_420001670</t>
  </si>
  <si>
    <t>ORD26001749</t>
  </si>
  <si>
    <t>pay_420001683</t>
  </si>
  <si>
    <t>ORD26001764</t>
  </si>
  <si>
    <t>pay_420001691</t>
  </si>
  <si>
    <t>ORD26001770</t>
  </si>
  <si>
    <t>pay_420001869</t>
  </si>
  <si>
    <t>ORD26001957</t>
  </si>
  <si>
    <t>pay_420001870</t>
  </si>
  <si>
    <t>ord26001958</t>
  </si>
  <si>
    <t>ORD26001958</t>
  </si>
  <si>
    <t>pay_420001885</t>
  </si>
  <si>
    <t>ORD26001973</t>
  </si>
  <si>
    <t>pay_420001889</t>
  </si>
  <si>
    <t>ORD26001977</t>
  </si>
  <si>
    <t>pay_420001899</t>
  </si>
  <si>
    <t>ORD26001988</t>
  </si>
  <si>
    <t>pay_420001950</t>
  </si>
  <si>
    <t>ORD26002044</t>
  </si>
  <si>
    <t>pay_420001957</t>
  </si>
  <si>
    <t>ORD26002053</t>
  </si>
  <si>
    <t>pay_420001972</t>
  </si>
  <si>
    <t>ORD26002066</t>
  </si>
  <si>
    <t>pay_420001982</t>
  </si>
  <si>
    <t>ORD26002076</t>
  </si>
  <si>
    <t>pay_420002000</t>
  </si>
  <si>
    <t>ORD26002093</t>
  </si>
  <si>
    <t>pay_420002040</t>
  </si>
  <si>
    <t>ORD26002131</t>
  </si>
  <si>
    <t>pay_420002061</t>
  </si>
  <si>
    <t>ORD26002153</t>
  </si>
  <si>
    <t>pay_420002159</t>
  </si>
  <si>
    <t>ORD26002260</t>
  </si>
  <si>
    <t>pay_420002264</t>
  </si>
  <si>
    <t>ORD26002372</t>
  </si>
  <si>
    <t>pay_420002323</t>
  </si>
  <si>
    <t>ORD26002435</t>
  </si>
  <si>
    <t>pay_420002353</t>
  </si>
  <si>
    <t>ord26002465</t>
  </si>
  <si>
    <t>ORD26002465</t>
  </si>
  <si>
    <t>pay_420002376</t>
  </si>
  <si>
    <t>ORD26002489</t>
  </si>
  <si>
    <t>pay_420002404</t>
  </si>
  <si>
    <t>ORD26002516</t>
  </si>
  <si>
    <t>pay_420002424</t>
  </si>
  <si>
    <t>ORD26002537</t>
  </si>
  <si>
    <t>pay_420002472</t>
  </si>
  <si>
    <t xml:space="preserve">ORD26002587  </t>
  </si>
  <si>
    <t>ORD26002587</t>
  </si>
  <si>
    <t>pay_420002485</t>
  </si>
  <si>
    <t>ORD26002602</t>
  </si>
  <si>
    <t>pay_420002500</t>
  </si>
  <si>
    <t>ORD26002620</t>
  </si>
  <si>
    <t>pay_420002502</t>
  </si>
  <si>
    <t>ord26002622</t>
  </si>
  <si>
    <t>ORD26002622</t>
  </si>
  <si>
    <t>pay_420002531</t>
  </si>
  <si>
    <t>ORD26002654</t>
  </si>
  <si>
    <t>pay_420002543</t>
  </si>
  <si>
    <t>ORD26002667</t>
  </si>
  <si>
    <t>pay_420002563</t>
  </si>
  <si>
    <t>ORD26002689</t>
  </si>
  <si>
    <t>pay_420002595</t>
  </si>
  <si>
    <t>ORD26002722</t>
  </si>
  <si>
    <t>pay_420002642</t>
  </si>
  <si>
    <t>ORD26002771</t>
  </si>
  <si>
    <t>pay_420002646</t>
  </si>
  <si>
    <t>ORD26002776</t>
  </si>
  <si>
    <t>pay_420002656</t>
  </si>
  <si>
    <t>ORD26002788</t>
  </si>
  <si>
    <t>pay_420002738</t>
  </si>
  <si>
    <t>ORD26002875</t>
  </si>
  <si>
    <t>pay_420002739</t>
  </si>
  <si>
    <t>ORD26002876</t>
  </si>
  <si>
    <t>pay_420002793</t>
  </si>
  <si>
    <t>ORD26002935</t>
  </si>
  <si>
    <t>pay_420002831</t>
  </si>
  <si>
    <t>ORD26002973</t>
  </si>
  <si>
    <t>pay_420002874</t>
  </si>
  <si>
    <t>ORD26003015</t>
  </si>
  <si>
    <t>pay_420002975</t>
  </si>
  <si>
    <t>ORD26003122</t>
  </si>
  <si>
    <t>pay_420003104</t>
  </si>
  <si>
    <t>ORD26003262</t>
  </si>
  <si>
    <t>pay_420003121</t>
  </si>
  <si>
    <t>ORD26003281</t>
  </si>
  <si>
    <t>pay_420003123</t>
  </si>
  <si>
    <t>ORD26003283</t>
  </si>
  <si>
    <t>pay_420003134</t>
  </si>
  <si>
    <t>ORD26003294</t>
  </si>
  <si>
    <t>pay_420003156</t>
  </si>
  <si>
    <t>ORD26003318</t>
  </si>
  <si>
    <t>pay_420003240</t>
  </si>
  <si>
    <t>ORD26003402</t>
  </si>
  <si>
    <t>pay_420003243</t>
  </si>
  <si>
    <t>ORD26003406</t>
  </si>
  <si>
    <t>pay_420003250</t>
  </si>
  <si>
    <t>ORD26003414</t>
  </si>
  <si>
    <t>pay_420003262</t>
  </si>
  <si>
    <t>ord26003430</t>
  </si>
  <si>
    <t>ORD26003430</t>
  </si>
  <si>
    <t>pay_420003263</t>
  </si>
  <si>
    <t>ORD-26003431</t>
  </si>
  <si>
    <t>ORD26003431</t>
  </si>
  <si>
    <t>pay_420003288</t>
  </si>
  <si>
    <t>ORD26003452</t>
  </si>
  <si>
    <t>pay_420003307</t>
  </si>
  <si>
    <t>ord26003470</t>
  </si>
  <si>
    <t>ORD26003470</t>
  </si>
  <si>
    <t>pay_420003332</t>
  </si>
  <si>
    <t>ORD26003496</t>
  </si>
  <si>
    <t>pay_420003333</t>
  </si>
  <si>
    <t>ORD26003497</t>
  </si>
  <si>
    <t>pay_420003341</t>
  </si>
  <si>
    <t>ORD26003505</t>
  </si>
  <si>
    <t>pay_420003421</t>
  </si>
  <si>
    <t>ORD26003590</t>
  </si>
  <si>
    <t>pay_420003454</t>
  </si>
  <si>
    <t>ord26003622</t>
  </si>
  <si>
    <t>ORD26003622</t>
  </si>
  <si>
    <t>pay_420003469</t>
  </si>
  <si>
    <t>ORD26003637</t>
  </si>
  <si>
    <t>pay_420003474</t>
  </si>
  <si>
    <t>ORD26003642</t>
  </si>
  <si>
    <t>pay_420003475</t>
  </si>
  <si>
    <t>ORD26003643</t>
  </si>
  <si>
    <t>pay_420003477</t>
  </si>
  <si>
    <t>ORD26003646</t>
  </si>
  <si>
    <t>pay_420003485</t>
  </si>
  <si>
    <t xml:space="preserve">ORD26003653  </t>
  </si>
  <si>
    <t>ORD26003653</t>
  </si>
  <si>
    <t>pay_420003590</t>
  </si>
  <si>
    <t>ORD26003759</t>
  </si>
  <si>
    <t>pay_420003599</t>
  </si>
  <si>
    <t>ord26003768</t>
  </si>
  <si>
    <t>ORD26003768</t>
  </si>
  <si>
    <t>pay_420003675</t>
  </si>
  <si>
    <t>ORD26003845</t>
  </si>
  <si>
    <t>pay_420003689</t>
  </si>
  <si>
    <t>ORD26003860</t>
  </si>
  <si>
    <t>pay_420003701</t>
  </si>
  <si>
    <t>ORD26003873</t>
  </si>
  <si>
    <t>pay_420003768</t>
  </si>
  <si>
    <t>ORD26003943</t>
  </si>
  <si>
    <t>pay_420003777</t>
  </si>
  <si>
    <t>ORD26003952</t>
  </si>
  <si>
    <t>pay_420003783</t>
  </si>
  <si>
    <t>ORD26003960</t>
  </si>
  <si>
    <t>pay_420003836</t>
  </si>
  <si>
    <t>ORD26004017</t>
  </si>
  <si>
    <t>pay_420003987</t>
  </si>
  <si>
    <t>ORD26004175</t>
  </si>
  <si>
    <t>pay_420004000</t>
  </si>
  <si>
    <t>ORD26004187</t>
  </si>
  <si>
    <t>pay_420004009</t>
  </si>
  <si>
    <t>ORD26004197</t>
  </si>
  <si>
    <t>pay_420004034</t>
  </si>
  <si>
    <t>ORD26004224</t>
  </si>
  <si>
    <t>pay_420004132</t>
  </si>
  <si>
    <t>ORD26004325</t>
  </si>
  <si>
    <t>pay_420004192</t>
  </si>
  <si>
    <t>ORD26004388</t>
  </si>
  <si>
    <t>pay_420004197</t>
  </si>
  <si>
    <t>ORD26004394</t>
  </si>
  <si>
    <t>pay_420004203</t>
  </si>
  <si>
    <t>ORD26004401</t>
  </si>
  <si>
    <t>pay_420004236</t>
  </si>
  <si>
    <t>ORD26004435</t>
  </si>
  <si>
    <t>pay_420004278</t>
  </si>
  <si>
    <t>ORD26004477</t>
  </si>
  <si>
    <t>pay_420004292</t>
  </si>
  <si>
    <t>ORD26004491</t>
  </si>
  <si>
    <t>pay_420004334</t>
  </si>
  <si>
    <t>ORD26004535</t>
  </si>
  <si>
    <t>pay_420004339</t>
  </si>
  <si>
    <t xml:space="preserve">ORD26004540  </t>
  </si>
  <si>
    <t>ORD26004540</t>
  </si>
  <si>
    <t>pay_420004340</t>
  </si>
  <si>
    <t>ORD26004541</t>
  </si>
  <si>
    <t>pay_420004343</t>
  </si>
  <si>
    <t>ORD26004545</t>
  </si>
  <si>
    <t>pay_420004381</t>
  </si>
  <si>
    <t>ORD26004584</t>
  </si>
  <si>
    <t>pay_420004396</t>
  </si>
  <si>
    <t>ord26004600</t>
  </si>
  <si>
    <t>ORD26004600</t>
  </si>
  <si>
    <t>pay_420004473</t>
  </si>
  <si>
    <t>ORD26004683</t>
  </si>
  <si>
    <t>pay_420004475</t>
  </si>
  <si>
    <t>ORD26004685</t>
  </si>
  <si>
    <t>pay_420004478</t>
  </si>
  <si>
    <t>ORD26004688</t>
  </si>
  <si>
    <t>pay_420004480</t>
  </si>
  <si>
    <t>ORD26004691</t>
  </si>
  <si>
    <t>pay_420004502</t>
  </si>
  <si>
    <t>ORD26004715</t>
  </si>
  <si>
    <t>pay_420004556</t>
  </si>
  <si>
    <t>ORD26004770</t>
  </si>
  <si>
    <t>pay_420004570</t>
  </si>
  <si>
    <t>ORD26004784</t>
  </si>
  <si>
    <t>pay_420004591</t>
  </si>
  <si>
    <t xml:space="preserve">ORD26004804  </t>
  </si>
  <si>
    <t>ORD26004804</t>
  </si>
  <si>
    <t>pay_420004642</t>
  </si>
  <si>
    <t xml:space="preserve">ORD26004859  </t>
  </si>
  <si>
    <t>ORD26004859</t>
  </si>
  <si>
    <t>pay_420004643</t>
  </si>
  <si>
    <t>ORD-26004860</t>
  </si>
  <si>
    <t>ORD26004860</t>
  </si>
  <si>
    <t>pay_420004714</t>
  </si>
  <si>
    <t>ORD-26004935</t>
  </si>
  <si>
    <t>ORD26004935</t>
  </si>
  <si>
    <t>pay_420004723</t>
  </si>
  <si>
    <t>ORD26004944</t>
  </si>
  <si>
    <t>pay_420004761</t>
  </si>
  <si>
    <t>ORD26004982</t>
  </si>
  <si>
    <t>pay_420004766</t>
  </si>
  <si>
    <t>ORD26004987</t>
  </si>
  <si>
    <t>pay_420004782</t>
  </si>
  <si>
    <t>ORD26005004</t>
  </si>
  <si>
    <t>pay_420004795</t>
  </si>
  <si>
    <t>ORD26005017</t>
  </si>
  <si>
    <t>pay_420004833</t>
  </si>
  <si>
    <t>ORD26005055</t>
  </si>
  <si>
    <t>pay_420004894</t>
  </si>
  <si>
    <t>ORD26005122</t>
  </si>
  <si>
    <t>pay_420004909</t>
  </si>
  <si>
    <t>ORD26005137</t>
  </si>
  <si>
    <t>pay_420004910</t>
  </si>
  <si>
    <t>ORD26005138</t>
  </si>
  <si>
    <t>pay_420004913</t>
  </si>
  <si>
    <t>ORD26005142</t>
  </si>
  <si>
    <t>pay_420004952</t>
  </si>
  <si>
    <t>ORD26005184</t>
  </si>
  <si>
    <t>pay_420004959</t>
  </si>
  <si>
    <t>ORD26005191</t>
  </si>
  <si>
    <t>pay_420004971</t>
  </si>
  <si>
    <t>ORD-26005204</t>
  </si>
  <si>
    <t>ORD26005204</t>
  </si>
  <si>
    <t>pay_420005138</t>
  </si>
  <si>
    <t>ORD26005378</t>
  </si>
  <si>
    <t>pay_420005143</t>
  </si>
  <si>
    <t>ORD26005383</t>
  </si>
  <si>
    <t>pay_420005158</t>
  </si>
  <si>
    <t>ORD26005398</t>
  </si>
  <si>
    <t>pay_420005168</t>
  </si>
  <si>
    <t>ORD26005408</t>
  </si>
  <si>
    <t>pay_420005240</t>
  </si>
  <si>
    <t>ORD26005478</t>
  </si>
  <si>
    <t>pay_420005241</t>
  </si>
  <si>
    <t>ORD26005479</t>
  </si>
  <si>
    <t>pay_420005264</t>
  </si>
  <si>
    <t>ORD26005501</t>
  </si>
  <si>
    <t>pay_420005312</t>
  </si>
  <si>
    <t>ORD26005552</t>
  </si>
  <si>
    <t>pay_420005375</t>
  </si>
  <si>
    <t>ORD26005617</t>
  </si>
  <si>
    <t>pay_420005445</t>
  </si>
  <si>
    <t>ORD26005692</t>
  </si>
  <si>
    <t>pay_420005450</t>
  </si>
  <si>
    <t>ORD26005698</t>
  </si>
  <si>
    <t>pay_420005454</t>
  </si>
  <si>
    <t>ORD26005702</t>
  </si>
  <si>
    <t>pay_420005491</t>
  </si>
  <si>
    <t>ORD26005740</t>
  </si>
  <si>
    <t>pay_420005496</t>
  </si>
  <si>
    <t xml:space="preserve">ORD26005745  </t>
  </si>
  <si>
    <t>ORD26005745</t>
  </si>
  <si>
    <t>pay_420005497</t>
  </si>
  <si>
    <t>ORD26005746</t>
  </si>
  <si>
    <t>pay_420005538</t>
  </si>
  <si>
    <t>ORD26005792</t>
  </si>
  <si>
    <t>pay_420005629</t>
  </si>
  <si>
    <t>ord26005891</t>
  </si>
  <si>
    <t>ORD26005891</t>
  </si>
  <si>
    <t>pay_420005644</t>
  </si>
  <si>
    <t>ORD26005907</t>
  </si>
  <si>
    <t>pay_420005686</t>
  </si>
  <si>
    <t>ORD26005951</t>
  </si>
  <si>
    <t>pay_420005696</t>
  </si>
  <si>
    <t>ORD26005962</t>
  </si>
  <si>
    <t>pay_420005706</t>
  </si>
  <si>
    <t>ORD26005974</t>
  </si>
  <si>
    <t>rfnd_0FQ8DP5Y8WXH</t>
  </si>
  <si>
    <t>rfnd_8EEQ9L6NMKGE</t>
  </si>
  <si>
    <t>rfnd_BR8NXJ8J1QMM</t>
  </si>
  <si>
    <t>rfnd_C3XXHQEYF3EU</t>
  </si>
  <si>
    <t>rfnd_DNKW7XC797EA</t>
  </si>
  <si>
    <t>rfnd_G2XCBQZ15VQ1</t>
  </si>
  <si>
    <t>rfnd_NCWXH6N00P85</t>
  </si>
  <si>
    <t>rfnd_NECKA5F98YPV</t>
  </si>
  <si>
    <t>rfnd_NHDBE7T8TKKR</t>
  </si>
  <si>
    <t>rfnd_SEC45LMN7WT7</t>
  </si>
  <si>
    <t>rfnd_XYZ6H2CJWLSH</t>
  </si>
  <si>
    <t>rfnd_YH6SF76HZ9Z5</t>
  </si>
  <si>
    <t>rfnd_YQ834YQD8GCS</t>
  </si>
  <si>
    <t>pay_420000074</t>
  </si>
  <si>
    <t xml:space="preserve">ORD26000076  </t>
  </si>
  <si>
    <t>ORD26000076</t>
  </si>
  <si>
    <t>STL-20260918</t>
  </si>
  <si>
    <t>pay_420000163</t>
  </si>
  <si>
    <t>ORD26000174</t>
  </si>
  <si>
    <t>pay_420000174</t>
  </si>
  <si>
    <t>ORD26000188</t>
  </si>
  <si>
    <t>pay_420000277</t>
  </si>
  <si>
    <t>ord26000294</t>
  </si>
  <si>
    <t>ORD26000294</t>
  </si>
  <si>
    <t>pay_420000388</t>
  </si>
  <si>
    <t>ORD26000406</t>
  </si>
  <si>
    <t>pay_420000436</t>
  </si>
  <si>
    <t>ORD26000453</t>
  </si>
  <si>
    <t>pay_420000466</t>
  </si>
  <si>
    <t>ORD26000489</t>
  </si>
  <si>
    <t>pay_420000502</t>
  </si>
  <si>
    <t xml:space="preserve">ORD26000524  </t>
  </si>
  <si>
    <t>ORD26000524</t>
  </si>
  <si>
    <t>pay_420000510</t>
  </si>
  <si>
    <t>ORD26000532</t>
  </si>
  <si>
    <t>pay_420000511</t>
  </si>
  <si>
    <t>ORD26000533</t>
  </si>
  <si>
    <t>pay_420000572</t>
  </si>
  <si>
    <t>ORD26000594</t>
  </si>
  <si>
    <t>pay_420000633</t>
  </si>
  <si>
    <t>ORD26000661</t>
  </si>
  <si>
    <t>pay_420000641</t>
  </si>
  <si>
    <t>ORD26000668</t>
  </si>
  <si>
    <t>pay_420000655</t>
  </si>
  <si>
    <t>ORD26000683</t>
  </si>
  <si>
    <t>pay_420000706</t>
  </si>
  <si>
    <t>ORD26000739</t>
  </si>
  <si>
    <t>pay_420000707</t>
  </si>
  <si>
    <t>ORD26000740</t>
  </si>
  <si>
    <t>pay_420000750</t>
  </si>
  <si>
    <t>ORD26000783</t>
  </si>
  <si>
    <t>pay_420000831</t>
  </si>
  <si>
    <t>ORD26000865</t>
  </si>
  <si>
    <t>pay_420000868</t>
  </si>
  <si>
    <t>ORD26000906</t>
  </si>
  <si>
    <t>pay_420000878</t>
  </si>
  <si>
    <t>ORD26000917</t>
  </si>
  <si>
    <t>pay_420000911</t>
  </si>
  <si>
    <t>ORD26000951</t>
  </si>
  <si>
    <t>pay_420000933</t>
  </si>
  <si>
    <t>ORD26000975</t>
  </si>
  <si>
    <t>pay_420000948</t>
  </si>
  <si>
    <t>ORD26000990</t>
  </si>
  <si>
    <t>pay_420000962</t>
  </si>
  <si>
    <t>ORD26001004</t>
  </si>
  <si>
    <t>pay_420000963</t>
  </si>
  <si>
    <t>ORD26001005</t>
  </si>
  <si>
    <t>pay_420001007</t>
  </si>
  <si>
    <t>ORD26001050</t>
  </si>
  <si>
    <t>pay_420001054</t>
  </si>
  <si>
    <t>ORD26001098</t>
  </si>
  <si>
    <t>pay_420001065</t>
  </si>
  <si>
    <t>ORD26001108</t>
  </si>
  <si>
    <t>pay_420001072</t>
  </si>
  <si>
    <t>ORD26001114</t>
  </si>
  <si>
    <t>pay_420001082</t>
  </si>
  <si>
    <t>ORD26001124</t>
  </si>
  <si>
    <t>pay_420001101</t>
  </si>
  <si>
    <t>ORD26001147</t>
  </si>
  <si>
    <t>pay_420001117</t>
  </si>
  <si>
    <t>ORD26001166</t>
  </si>
  <si>
    <t>pay_420001142</t>
  </si>
  <si>
    <t>ORD26001190</t>
  </si>
  <si>
    <t>pay_420001145</t>
  </si>
  <si>
    <t>ORD26001193</t>
  </si>
  <si>
    <t>pay_420001202</t>
  </si>
  <si>
    <t>ORD26001256</t>
  </si>
  <si>
    <t>pay_420001216</t>
  </si>
  <si>
    <t>ORD26001271</t>
  </si>
  <si>
    <t>pay_420001218</t>
  </si>
  <si>
    <t>ORD26001273</t>
  </si>
  <si>
    <t>pay_420001238</t>
  </si>
  <si>
    <t>ORD26001295</t>
  </si>
  <si>
    <t>pay_420001261</t>
  </si>
  <si>
    <t>ORD26001318</t>
  </si>
  <si>
    <t>pay_420001274</t>
  </si>
  <si>
    <t>ORD26001334</t>
  </si>
  <si>
    <t>pay_420001292</t>
  </si>
  <si>
    <t>ord26001353</t>
  </si>
  <si>
    <t>ORD26001353</t>
  </si>
  <si>
    <t>pay_420001328</t>
  </si>
  <si>
    <t>ORD26001391</t>
  </si>
  <si>
    <t>pay_420001389</t>
  </si>
  <si>
    <t>ORD26001459</t>
  </si>
  <si>
    <t>pay_420001454</t>
  </si>
  <si>
    <t>ORD26001520</t>
  </si>
  <si>
    <t>pay_420001456</t>
  </si>
  <si>
    <t>ORD26001522</t>
  </si>
  <si>
    <t>pay_420001536</t>
  </si>
  <si>
    <t>ORD26001604</t>
  </si>
  <si>
    <t>pay_420001603</t>
  </si>
  <si>
    <t>ORD26001678</t>
  </si>
  <si>
    <t>pay_420001605</t>
  </si>
  <si>
    <t>ORD-26001680</t>
  </si>
  <si>
    <t>ORD26001680</t>
  </si>
  <si>
    <t>pay_420001658</t>
  </si>
  <si>
    <t>ORD26001735</t>
  </si>
  <si>
    <t>pay_420001723</t>
  </si>
  <si>
    <t>ORD26001804</t>
  </si>
  <si>
    <t>pay_420001745</t>
  </si>
  <si>
    <t>ORD26001827</t>
  </si>
  <si>
    <t>pay_420001783</t>
  </si>
  <si>
    <t>ORD26001865</t>
  </si>
  <si>
    <t>pay_420001812</t>
  </si>
  <si>
    <t>ORD26001895</t>
  </si>
  <si>
    <t>pay_420001854</t>
  </si>
  <si>
    <t>ORD26001939</t>
  </si>
  <si>
    <t>pay_420001893</t>
  </si>
  <si>
    <t>ORD26001982</t>
  </si>
  <si>
    <t>pay_420001906</t>
  </si>
  <si>
    <t>ORD26001995</t>
  </si>
  <si>
    <t>pay_420001928</t>
  </si>
  <si>
    <t>ORD26002021</t>
  </si>
  <si>
    <t>pay_420001942</t>
  </si>
  <si>
    <t>ORD26002037</t>
  </si>
  <si>
    <t>pay_420001973</t>
  </si>
  <si>
    <t>ORD26002067</t>
  </si>
  <si>
    <t>pay_420001974</t>
  </si>
  <si>
    <t>ord26002068</t>
  </si>
  <si>
    <t>ORD26002068</t>
  </si>
  <si>
    <t>pay_420002111</t>
  </si>
  <si>
    <t>ORD26002211</t>
  </si>
  <si>
    <t>pay_420002151</t>
  </si>
  <si>
    <t>ORD26002252</t>
  </si>
  <si>
    <t>pay_420002178</t>
  </si>
  <si>
    <t>ORD26002279</t>
  </si>
  <si>
    <t>pay_420002185</t>
  </si>
  <si>
    <t>ORD26002287</t>
  </si>
  <si>
    <t>pay_420002236</t>
  </si>
  <si>
    <t>ORD26002340</t>
  </si>
  <si>
    <t>pay_420002241</t>
  </si>
  <si>
    <t>ord26002345</t>
  </si>
  <si>
    <t>ORD26002345</t>
  </si>
  <si>
    <t>pay_420002253</t>
  </si>
  <si>
    <t>ORD26002360</t>
  </si>
  <si>
    <t>pay_420002301</t>
  </si>
  <si>
    <t>ORD26002414</t>
  </si>
  <si>
    <t>pay_420002348</t>
  </si>
  <si>
    <t>ORD26002460</t>
  </si>
  <si>
    <t>pay_420002362</t>
  </si>
  <si>
    <t>ORD26002475</t>
  </si>
  <si>
    <t>pay_420002372</t>
  </si>
  <si>
    <t>ORD26002485</t>
  </si>
  <si>
    <t>pay_420002407</t>
  </si>
  <si>
    <t>ORD26002519</t>
  </si>
  <si>
    <t>pay_420002420</t>
  </si>
  <si>
    <t>ORD26002534</t>
  </si>
  <si>
    <t>pay_420002455</t>
  </si>
  <si>
    <t>ORD26002570</t>
  </si>
  <si>
    <t>pay_420002493</t>
  </si>
  <si>
    <t>ORD26002610</t>
  </si>
  <si>
    <t>pay_420002587</t>
  </si>
  <si>
    <t>ORD26002714</t>
  </si>
  <si>
    <t>pay_420002608</t>
  </si>
  <si>
    <t>ORD26002738</t>
  </si>
  <si>
    <t>pay_420002652</t>
  </si>
  <si>
    <t>ORD26002782</t>
  </si>
  <si>
    <t>pay_420002666</t>
  </si>
  <si>
    <t>ORD26002799</t>
  </si>
  <si>
    <t>pay_420002679</t>
  </si>
  <si>
    <t>ORD26002811</t>
  </si>
  <si>
    <t>pay_420002713</t>
  </si>
  <si>
    <t>ORD26002849</t>
  </si>
  <si>
    <t>pay_420002753</t>
  </si>
  <si>
    <t>ORD26002891</t>
  </si>
  <si>
    <t>pay_420002760</t>
  </si>
  <si>
    <t>ORD26002898</t>
  </si>
  <si>
    <t>pay_420002761</t>
  </si>
  <si>
    <t>ORD26002899</t>
  </si>
  <si>
    <t>pay_420002796</t>
  </si>
  <si>
    <t>ord26002938</t>
  </si>
  <si>
    <t>ORD26002938</t>
  </si>
  <si>
    <t>pay_420002803</t>
  </si>
  <si>
    <t>ORD26002945</t>
  </si>
  <si>
    <t>pay_420002809</t>
  </si>
  <si>
    <t>ORD26002951</t>
  </si>
  <si>
    <t>pay_420002864</t>
  </si>
  <si>
    <t>ORD26003005</t>
  </si>
  <si>
    <t>pay_420002872</t>
  </si>
  <si>
    <t>ORD26003013</t>
  </si>
  <si>
    <t>pay_420002925</t>
  </si>
  <si>
    <t>ord26003068</t>
  </si>
  <si>
    <t>ORD26003068</t>
  </si>
  <si>
    <t>pay_420002969</t>
  </si>
  <si>
    <t>ORD26003116</t>
  </si>
  <si>
    <t>pay_420002999</t>
  </si>
  <si>
    <t>ORD26003148</t>
  </si>
  <si>
    <t>pay_420003021</t>
  </si>
  <si>
    <t>ORD26003172</t>
  </si>
  <si>
    <t>pay_420003051</t>
  </si>
  <si>
    <t xml:space="preserve">ORD26003203  </t>
  </si>
  <si>
    <t>ORD26003203</t>
  </si>
  <si>
    <t>pay_420003071</t>
  </si>
  <si>
    <t>ORD26003225</t>
  </si>
  <si>
    <t>pay_420003185</t>
  </si>
  <si>
    <t>ORD26003346</t>
  </si>
  <si>
    <t>pay_420003195</t>
  </si>
  <si>
    <t>ORD26003356</t>
  </si>
  <si>
    <t>pay_420003248</t>
  </si>
  <si>
    <t>ORD26003412</t>
  </si>
  <si>
    <t>pay_420003305</t>
  </si>
  <si>
    <t>ORD26003468</t>
  </si>
  <si>
    <t>pay_420003329</t>
  </si>
  <si>
    <t>ORD26003492</t>
  </si>
  <si>
    <t>pay_420003348</t>
  </si>
  <si>
    <t>ORD26003512</t>
  </si>
  <si>
    <t>pay_420003353</t>
  </si>
  <si>
    <t>ORD26003517</t>
  </si>
  <si>
    <t>pay_420003388</t>
  </si>
  <si>
    <t>ORD26003554</t>
  </si>
  <si>
    <t>pay_420003405</t>
  </si>
  <si>
    <t>ORD26003573</t>
  </si>
  <si>
    <t>pay_420003423</t>
  </si>
  <si>
    <t>ORD26003592</t>
  </si>
  <si>
    <t>pay_420003432</t>
  </si>
  <si>
    <t>ORD26003601</t>
  </si>
  <si>
    <t>pay_420003455</t>
  </si>
  <si>
    <t>ORD26003623</t>
  </si>
  <si>
    <t>pay_420003483</t>
  </si>
  <si>
    <t>ORD26003651</t>
  </si>
  <si>
    <t>pay_420003540</t>
  </si>
  <si>
    <t>ORD26003710</t>
  </si>
  <si>
    <t>pay_420003778</t>
  </si>
  <si>
    <t>ORD26003955</t>
  </si>
  <si>
    <t>pay_420003787</t>
  </si>
  <si>
    <t>ORD26003963</t>
  </si>
  <si>
    <t>pay_420003857</t>
  </si>
  <si>
    <t>ORD26004040</t>
  </si>
  <si>
    <t>pay_420003867</t>
  </si>
  <si>
    <t>ORD26004051</t>
  </si>
  <si>
    <t>pay_420003869</t>
  </si>
  <si>
    <t>ORD26004054</t>
  </si>
  <si>
    <t>pay_420003888</t>
  </si>
  <si>
    <t>ORD26004070</t>
  </si>
  <si>
    <t>pay_420004015</t>
  </si>
  <si>
    <t>ORD26004203</t>
  </si>
  <si>
    <t>pay_420004027</t>
  </si>
  <si>
    <t>ORD26004217</t>
  </si>
  <si>
    <t>pay_420004046</t>
  </si>
  <si>
    <t>ORD26004237</t>
  </si>
  <si>
    <t>pay_420004064</t>
  </si>
  <si>
    <t xml:space="preserve">ORD26004256  </t>
  </si>
  <si>
    <t>ORD26004256</t>
  </si>
  <si>
    <t>pay_420004087</t>
  </si>
  <si>
    <t>ORD26004280</t>
  </si>
  <si>
    <t>pay_420004144</t>
  </si>
  <si>
    <t>ORD26004337</t>
  </si>
  <si>
    <t>pay_420004183</t>
  </si>
  <si>
    <t>ORD26004378</t>
  </si>
  <si>
    <t>pay_420004199</t>
  </si>
  <si>
    <t>ORD26004396</t>
  </si>
  <si>
    <t>pay_420004261</t>
  </si>
  <si>
    <t>ORD26004460</t>
  </si>
  <si>
    <t>pay_420004279</t>
  </si>
  <si>
    <t>ORD26004478</t>
  </si>
  <si>
    <t>pay_420004310</t>
  </si>
  <si>
    <t>ORD26004511</t>
  </si>
  <si>
    <t>pay_420004320</t>
  </si>
  <si>
    <t>ORD26004523</t>
  </si>
  <si>
    <t>pay_420004335</t>
  </si>
  <si>
    <t>ORD26004536</t>
  </si>
  <si>
    <t>pay_420004341</t>
  </si>
  <si>
    <t>ORD26004542</t>
  </si>
  <si>
    <t>pay_420004437</t>
  </si>
  <si>
    <t>ORD26004645</t>
  </si>
  <si>
    <t>pay_420004469</t>
  </si>
  <si>
    <t>ORD26004679</t>
  </si>
  <si>
    <t>pay_420004592</t>
  </si>
  <si>
    <t>ord26004805</t>
  </si>
  <si>
    <t>ORD26004805</t>
  </si>
  <si>
    <t>pay_420004605</t>
  </si>
  <si>
    <t>ORD26004819</t>
  </si>
  <si>
    <t>pay_420004656</t>
  </si>
  <si>
    <t>ord26004876</t>
  </si>
  <si>
    <t>ORD26004876</t>
  </si>
  <si>
    <t>pay_420004664</t>
  </si>
  <si>
    <t>ORD26004885</t>
  </si>
  <si>
    <t>pay_420004689</t>
  </si>
  <si>
    <t>ORD26004911</t>
  </si>
  <si>
    <t>pay_420004729</t>
  </si>
  <si>
    <t>ORD26004951</t>
  </si>
  <si>
    <t>pay_420004808</t>
  </si>
  <si>
    <t>ord26005031</t>
  </si>
  <si>
    <t>ORD26005031</t>
  </si>
  <si>
    <t>pay_420004831</t>
  </si>
  <si>
    <t>ORD26005052</t>
  </si>
  <si>
    <t>pay_420004987</t>
  </si>
  <si>
    <t>ORD26005220</t>
  </si>
  <si>
    <t>pay_420005019</t>
  </si>
  <si>
    <t>ord26005255</t>
  </si>
  <si>
    <t>ORD26005255</t>
  </si>
  <si>
    <t>pay_420005041</t>
  </si>
  <si>
    <t>ORD26005279</t>
  </si>
  <si>
    <t>pay_420005048</t>
  </si>
  <si>
    <t xml:space="preserve">ORD26005286  </t>
  </si>
  <si>
    <t>ORD26005286</t>
  </si>
  <si>
    <t>pay_420005091</t>
  </si>
  <si>
    <t>ORD26005331</t>
  </si>
  <si>
    <t>pay_420005126</t>
  </si>
  <si>
    <t>ORD26005363</t>
  </si>
  <si>
    <t>pay_420005134</t>
  </si>
  <si>
    <t>ORD26005373</t>
  </si>
  <si>
    <t>pay_420005157</t>
  </si>
  <si>
    <t>ORD26005397</t>
  </si>
  <si>
    <t>pay_420005161</t>
  </si>
  <si>
    <t>ORD26005401</t>
  </si>
  <si>
    <t>pay_420005179</t>
  </si>
  <si>
    <t>ORD26005417</t>
  </si>
  <si>
    <t>pay_420005239</t>
  </si>
  <si>
    <t>ord26005477</t>
  </si>
  <si>
    <t>ORD26005477</t>
  </si>
  <si>
    <t>pay_420005271</t>
  </si>
  <si>
    <t>ORD26005508</t>
  </si>
  <si>
    <t>pay_420005281</t>
  </si>
  <si>
    <t>ORD26005518</t>
  </si>
  <si>
    <t>pay_420005302</t>
  </si>
  <si>
    <t>ORD26005540</t>
  </si>
  <si>
    <t>pay_420005361</t>
  </si>
  <si>
    <t>ord26005603</t>
  </si>
  <si>
    <t>ORD26005603</t>
  </si>
  <si>
    <t>pay_420005399</t>
  </si>
  <si>
    <t>ORD26005642</t>
  </si>
  <si>
    <t>pay_420005432</t>
  </si>
  <si>
    <t>ORD26005678</t>
  </si>
  <si>
    <t>pay_420005458</t>
  </si>
  <si>
    <t>ORD26005706</t>
  </si>
  <si>
    <t>pay_420005486</t>
  </si>
  <si>
    <t>ORD26005735</t>
  </si>
  <si>
    <t>pay_420005499</t>
  </si>
  <si>
    <t>ORD26005748</t>
  </si>
  <si>
    <t>pay_420005502</t>
  </si>
  <si>
    <t>ORD26005751</t>
  </si>
  <si>
    <t>pay_420005539</t>
  </si>
  <si>
    <t>ORD26005793</t>
  </si>
  <si>
    <t>pay_420005606</t>
  </si>
  <si>
    <t>ord26005863</t>
  </si>
  <si>
    <t>ORD26005863</t>
  </si>
  <si>
    <t>pay_420005611</t>
  </si>
  <si>
    <t>ORD26005868</t>
  </si>
  <si>
    <t>pay_420005635</t>
  </si>
  <si>
    <t>ORD26005898</t>
  </si>
  <si>
    <t>pay_420005638</t>
  </si>
  <si>
    <t xml:space="preserve">ORD26005901  </t>
  </si>
  <si>
    <t>ORD26005901</t>
  </si>
  <si>
    <t>pay_420005704</t>
  </si>
  <si>
    <t>ORD26005971</t>
  </si>
  <si>
    <t>rfnd_4LQTDDZSDGBH</t>
  </si>
  <si>
    <t>rfnd_KCCRQX71E0X2</t>
  </si>
  <si>
    <t>rfnd_L123ZW0GTVB4</t>
  </si>
  <si>
    <t>rfnd_SU12KTWM2008</t>
  </si>
  <si>
    <t>pay_420000022</t>
  </si>
  <si>
    <t>ORD26000021</t>
  </si>
  <si>
    <t>STL-20260919</t>
  </si>
  <si>
    <t>pay_420000070</t>
  </si>
  <si>
    <t>ord26000072</t>
  </si>
  <si>
    <t>ORD26000072</t>
  </si>
  <si>
    <t>pay_420000083</t>
  </si>
  <si>
    <t>ORD26000088</t>
  </si>
  <si>
    <t>pay_420000124</t>
  </si>
  <si>
    <t>ORD26000132</t>
  </si>
  <si>
    <t>pay_420000133</t>
  </si>
  <si>
    <t>ORD26000142</t>
  </si>
  <si>
    <t>pay_420000141</t>
  </si>
  <si>
    <t>ORD26000150</t>
  </si>
  <si>
    <t>pay_420000157</t>
  </si>
  <si>
    <t>ord26000167</t>
  </si>
  <si>
    <t>ORD26000167</t>
  </si>
  <si>
    <t>pay_420000194</t>
  </si>
  <si>
    <t>ORD26000207</t>
  </si>
  <si>
    <t>pay_420000206</t>
  </si>
  <si>
    <t>ORD26000220</t>
  </si>
  <si>
    <t>pay_420000211</t>
  </si>
  <si>
    <t>ORD26000225</t>
  </si>
  <si>
    <t>pay_420000217</t>
  </si>
  <si>
    <t>ORD26000232</t>
  </si>
  <si>
    <t>pay_420000265</t>
  </si>
  <si>
    <t>ORD26000282</t>
  </si>
  <si>
    <t>pay_420000335</t>
  </si>
  <si>
    <t>ORD26000352</t>
  </si>
  <si>
    <t>pay_420000353</t>
  </si>
  <si>
    <t>ORD26000371</t>
  </si>
  <si>
    <t>pay_420000412</t>
  </si>
  <si>
    <t xml:space="preserve">ORD26000429  </t>
  </si>
  <si>
    <t>ORD26000429</t>
  </si>
  <si>
    <t>pay_420000426</t>
  </si>
  <si>
    <t>ORD26000443</t>
  </si>
  <si>
    <t>pay_420000478</t>
  </si>
  <si>
    <t>ORD26000502</t>
  </si>
  <si>
    <t>pay_420000519</t>
  </si>
  <si>
    <t>ORD26000544</t>
  </si>
  <si>
    <t>pay_420000546</t>
  </si>
  <si>
    <t>ORD26000571</t>
  </si>
  <si>
    <t>pay_420000561</t>
  </si>
  <si>
    <t>ORD26000584</t>
  </si>
  <si>
    <t>pay_420000566</t>
  </si>
  <si>
    <t>ORD26000588</t>
  </si>
  <si>
    <t>pay_420000587</t>
  </si>
  <si>
    <t>ORD26000609</t>
  </si>
  <si>
    <t>pay_420000598</t>
  </si>
  <si>
    <t>ORD26000620</t>
  </si>
  <si>
    <t>pay_420000621</t>
  </si>
  <si>
    <t>ORD26000645</t>
  </si>
  <si>
    <t>pay_420000681</t>
  </si>
  <si>
    <t>ORD26000711</t>
  </si>
  <si>
    <t>pay_420000702</t>
  </si>
  <si>
    <t>ORD26000735</t>
  </si>
  <si>
    <t>pay_420000907</t>
  </si>
  <si>
    <t>ORD26000946</t>
  </si>
  <si>
    <t>pay_420000970</t>
  </si>
  <si>
    <t>ORD26001012</t>
  </si>
  <si>
    <t>pay_420001008</t>
  </si>
  <si>
    <t>ORD26001051</t>
  </si>
  <si>
    <t>pay_420001014</t>
  </si>
  <si>
    <t>ORD26001058</t>
  </si>
  <si>
    <t>pay_420001141</t>
  </si>
  <si>
    <t>ORD26001189</t>
  </si>
  <si>
    <t>pay_420001220</t>
  </si>
  <si>
    <t>ORD26001275</t>
  </si>
  <si>
    <t>pay_420001236</t>
  </si>
  <si>
    <t>ORD26001293</t>
  </si>
  <si>
    <t>pay_420001242</t>
  </si>
  <si>
    <t>ORD26001299</t>
  </si>
  <si>
    <t>pay_420001260</t>
  </si>
  <si>
    <t>ORD26001317</t>
  </si>
  <si>
    <t>pay_420001279</t>
  </si>
  <si>
    <t>ORD26001339</t>
  </si>
  <si>
    <t>pay_420001281</t>
  </si>
  <si>
    <t>ORD26001341</t>
  </si>
  <si>
    <t>pay_420001295</t>
  </si>
  <si>
    <t>ORD26001356</t>
  </si>
  <si>
    <t>pay_420001296</t>
  </si>
  <si>
    <t>ORD26001357</t>
  </si>
  <si>
    <t>pay_420001324</t>
  </si>
  <si>
    <t>ORD26001386</t>
  </si>
  <si>
    <t>pay_420001365</t>
  </si>
  <si>
    <t>ORD26001433</t>
  </si>
  <si>
    <t>pay_420001417</t>
  </si>
  <si>
    <t>ORD26001486</t>
  </si>
  <si>
    <t>pay_420001423</t>
  </si>
  <si>
    <t>ORD26001492</t>
  </si>
  <si>
    <t>pay_420001431</t>
  </si>
  <si>
    <t>ORD26001498</t>
  </si>
  <si>
    <t>pay_420001471</t>
  </si>
  <si>
    <t>ORD26001535</t>
  </si>
  <si>
    <t>pay_420001472</t>
  </si>
  <si>
    <t>ORD26001536</t>
  </si>
  <si>
    <t>pay_420001493</t>
  </si>
  <si>
    <t>ORD26001559</t>
  </si>
  <si>
    <t>pay_420001566</t>
  </si>
  <si>
    <t>ORD26001636</t>
  </si>
  <si>
    <t>pay_420001600</t>
  </si>
  <si>
    <t>ORD26001675</t>
  </si>
  <si>
    <t>pay_420001607</t>
  </si>
  <si>
    <t>ORD26001682</t>
  </si>
  <si>
    <t>pay_420001612</t>
  </si>
  <si>
    <t>ORD26001687</t>
  </si>
  <si>
    <t>pay_420001622</t>
  </si>
  <si>
    <t>ORD26001697</t>
  </si>
  <si>
    <t>pay_420001627</t>
  </si>
  <si>
    <t>ord26001703</t>
  </si>
  <si>
    <t>ORD26001703</t>
  </si>
  <si>
    <t>pay_420001651</t>
  </si>
  <si>
    <t xml:space="preserve">ORD26001728  </t>
  </si>
  <si>
    <t>ORD26001728</t>
  </si>
  <si>
    <t>pay_420001727</t>
  </si>
  <si>
    <t>ORD26001808</t>
  </si>
  <si>
    <t>pay_420001737</t>
  </si>
  <si>
    <t>ORD26001818</t>
  </si>
  <si>
    <t>pay_420001747</t>
  </si>
  <si>
    <t>ORD26001829</t>
  </si>
  <si>
    <t>pay_420001753</t>
  </si>
  <si>
    <t>ord26001835</t>
  </si>
  <si>
    <t>ORD26001835</t>
  </si>
  <si>
    <t>pay_420001768</t>
  </si>
  <si>
    <t xml:space="preserve">ORD26001850  </t>
  </si>
  <si>
    <t>ORD26001850</t>
  </si>
  <si>
    <t>pay_420001790</t>
  </si>
  <si>
    <t>ORD26001873</t>
  </si>
  <si>
    <t>pay_420001809</t>
  </si>
  <si>
    <t>ORD26001892</t>
  </si>
  <si>
    <t>pay_420001830</t>
  </si>
  <si>
    <t>ORD26001914</t>
  </si>
  <si>
    <t>pay_420001857</t>
  </si>
  <si>
    <t>ORD26001943</t>
  </si>
  <si>
    <t>pay_420001868</t>
  </si>
  <si>
    <t>ORD26001954</t>
  </si>
  <si>
    <t>pay_420001907</t>
  </si>
  <si>
    <t>ORD26001996</t>
  </si>
  <si>
    <t>pay_420001910</t>
  </si>
  <si>
    <t>ORD26002001</t>
  </si>
  <si>
    <t>pay_420001914</t>
  </si>
  <si>
    <t>ORD26002005</t>
  </si>
  <si>
    <t>pay_420001919</t>
  </si>
  <si>
    <t>ORD26002011</t>
  </si>
  <si>
    <t>pay_420001923</t>
  </si>
  <si>
    <t>ORD26002016</t>
  </si>
  <si>
    <t>pay_420001926</t>
  </si>
  <si>
    <t>ORD26002019</t>
  </si>
  <si>
    <t>pay_420002001</t>
  </si>
  <si>
    <t>ORD26002094</t>
  </si>
  <si>
    <t>pay_420002005</t>
  </si>
  <si>
    <t>ORD26002098</t>
  </si>
  <si>
    <t>pay_420002089</t>
  </si>
  <si>
    <t>ORD26002184</t>
  </si>
  <si>
    <t>pay_420002149</t>
  </si>
  <si>
    <t>ORD26002250</t>
  </si>
  <si>
    <t>pay_420002179</t>
  </si>
  <si>
    <t>ORD26002280</t>
  </si>
  <si>
    <t>pay_420002180</t>
  </si>
  <si>
    <t>ord26002281</t>
  </si>
  <si>
    <t>ORD26002281</t>
  </si>
  <si>
    <t>pay_420002213</t>
  </si>
  <si>
    <t>ORD26002315</t>
  </si>
  <si>
    <t>pay_420002247</t>
  </si>
  <si>
    <t>ord26002352</t>
  </si>
  <si>
    <t>ORD26002352</t>
  </si>
  <si>
    <t>pay_420002277</t>
  </si>
  <si>
    <t>ORD26002387</t>
  </si>
  <si>
    <t>pay_420002291</t>
  </si>
  <si>
    <t>ORD26002403</t>
  </si>
  <si>
    <t>pay_420002336</t>
  </si>
  <si>
    <t>ORD26002450</t>
  </si>
  <si>
    <t>pay_420002349</t>
  </si>
  <si>
    <t>ORD26002461</t>
  </si>
  <si>
    <t>pay_420002352</t>
  </si>
  <si>
    <t>ORD26002464</t>
  </si>
  <si>
    <t>pay_420002368</t>
  </si>
  <si>
    <t>ORD26002481</t>
  </si>
  <si>
    <t>pay_420002443</t>
  </si>
  <si>
    <t>ord26002557</t>
  </si>
  <si>
    <t>ORD26002557</t>
  </si>
  <si>
    <t>pay_420002481</t>
  </si>
  <si>
    <t>ORD26002598</t>
  </si>
  <si>
    <t>pay_420002497</t>
  </si>
  <si>
    <t>ORD26002615</t>
  </si>
  <si>
    <t>pay_420002583</t>
  </si>
  <si>
    <t>ORD26002710</t>
  </si>
  <si>
    <t>pay_420002590</t>
  </si>
  <si>
    <t>ORD26002717</t>
  </si>
  <si>
    <t>pay_420002628</t>
  </si>
  <si>
    <t xml:space="preserve">ORD26002756  </t>
  </si>
  <si>
    <t>ORD26002756</t>
  </si>
  <si>
    <t>pay_420002684</t>
  </si>
  <si>
    <t>ORD-26002816</t>
  </si>
  <si>
    <t>ORD26002816</t>
  </si>
  <si>
    <t>pay_420002735</t>
  </si>
  <si>
    <t>ord26002872</t>
  </si>
  <si>
    <t>ORD26002872</t>
  </si>
  <si>
    <t>pay_420002768</t>
  </si>
  <si>
    <t xml:space="preserve">ORD26002906  </t>
  </si>
  <si>
    <t>ORD26002906</t>
  </si>
  <si>
    <t>pay_420002879</t>
  </si>
  <si>
    <t xml:space="preserve">ORD26003020  </t>
  </si>
  <si>
    <t>ORD26003020</t>
  </si>
  <si>
    <t>pay_420002897</t>
  </si>
  <si>
    <t>ORD26003040</t>
  </si>
  <si>
    <t>pay_420002949</t>
  </si>
  <si>
    <t>ORD26003094</t>
  </si>
  <si>
    <t>pay_420002984</t>
  </si>
  <si>
    <t>ORD26003133</t>
  </si>
  <si>
    <t>pay_420003037</t>
  </si>
  <si>
    <t xml:space="preserve">ORD26003188  </t>
  </si>
  <si>
    <t>ORD26003188</t>
  </si>
  <si>
    <t>pay_420003114</t>
  </si>
  <si>
    <t>ORD26003273</t>
  </si>
  <si>
    <t>pay_420003174</t>
  </si>
  <si>
    <t>ORD26003335</t>
  </si>
  <si>
    <t>pay_420003190</t>
  </si>
  <si>
    <t>ORD26003351</t>
  </si>
  <si>
    <t>pay_420003234</t>
  </si>
  <si>
    <t>ORD26003396</t>
  </si>
  <si>
    <t>pay_420003249</t>
  </si>
  <si>
    <t>ORD26003413</t>
  </si>
  <si>
    <t>pay_420003256</t>
  </si>
  <si>
    <t>ORD26003422</t>
  </si>
  <si>
    <t>pay_420003281</t>
  </si>
  <si>
    <t>ORD26003446</t>
  </si>
  <si>
    <t>pay_420003290</t>
  </si>
  <si>
    <t>ORD26003454</t>
  </si>
  <si>
    <t>pay_420003328</t>
  </si>
  <si>
    <t>ORD26003491</t>
  </si>
  <si>
    <t>pay_420003402</t>
  </si>
  <si>
    <t>ORD26003570</t>
  </si>
  <si>
    <t>pay_420003451</t>
  </si>
  <si>
    <t>ORD26003619</t>
  </si>
  <si>
    <t>pay_420003458</t>
  </si>
  <si>
    <t>ORD26003626</t>
  </si>
  <si>
    <t>pay_420003481</t>
  </si>
  <si>
    <t>ORD26003650</t>
  </si>
  <si>
    <t>pay_420003510</t>
  </si>
  <si>
    <t>ord26003681</t>
  </si>
  <si>
    <t>ORD26003681</t>
  </si>
  <si>
    <t>pay_420003542</t>
  </si>
  <si>
    <t>ORD26003712</t>
  </si>
  <si>
    <t>pay_420003548</t>
  </si>
  <si>
    <t>ORD26003719</t>
  </si>
  <si>
    <t>pay_420003564</t>
  </si>
  <si>
    <t>ORD26003732</t>
  </si>
  <si>
    <t>pay_420003622</t>
  </si>
  <si>
    <t>ord26003791</t>
  </si>
  <si>
    <t>ORD26003791</t>
  </si>
  <si>
    <t>pay_420003651</t>
  </si>
  <si>
    <t>ORD26003823</t>
  </si>
  <si>
    <t>pay_420003667</t>
  </si>
  <si>
    <t>ORD26003837</t>
  </si>
  <si>
    <t>pay_420003669</t>
  </si>
  <si>
    <t>ORD26003839</t>
  </si>
  <si>
    <t>pay_420003686</t>
  </si>
  <si>
    <t>ORD26003857</t>
  </si>
  <si>
    <t>pay_420003711</t>
  </si>
  <si>
    <t>ORD26003884</t>
  </si>
  <si>
    <t>pay_420003734</t>
  </si>
  <si>
    <t>ORD26003906</t>
  </si>
  <si>
    <t>pay_420003859</t>
  </si>
  <si>
    <t>ORD26004042</t>
  </si>
  <si>
    <t>pay_420003988</t>
  </si>
  <si>
    <t>ORD26004176</t>
  </si>
  <si>
    <t>pay_420004001</t>
  </si>
  <si>
    <t>ORD26004188</t>
  </si>
  <si>
    <t>pay_420004094</t>
  </si>
  <si>
    <t>ORD26004287</t>
  </si>
  <si>
    <t>pay_420004147</t>
  </si>
  <si>
    <t>ORD26004339</t>
  </si>
  <si>
    <t>pay_420004231</t>
  </si>
  <si>
    <t>ORD26004429</t>
  </si>
  <si>
    <t>pay_420004258</t>
  </si>
  <si>
    <t>ORD26004457</t>
  </si>
  <si>
    <t>pay_420004283</t>
  </si>
  <si>
    <t>ord26004483</t>
  </si>
  <si>
    <t>ORD26004483</t>
  </si>
  <si>
    <t>pay_420004284</t>
  </si>
  <si>
    <t>ORD26004484</t>
  </si>
  <si>
    <t>pay_420004299</t>
  </si>
  <si>
    <t>ORD26004498</t>
  </si>
  <si>
    <t>pay_420004316</t>
  </si>
  <si>
    <t>ORD26004518</t>
  </si>
  <si>
    <t>pay_420004351</t>
  </si>
  <si>
    <t>ORD26004552</t>
  </si>
  <si>
    <t>pay_420004408</t>
  </si>
  <si>
    <t>ORD26004614</t>
  </si>
  <si>
    <t>pay_420004423</t>
  </si>
  <si>
    <t xml:space="preserve">ORD26004631  </t>
  </si>
  <si>
    <t>ORD26004631</t>
  </si>
  <si>
    <t>pay_420004458</t>
  </si>
  <si>
    <t>ORD26004668</t>
  </si>
  <si>
    <t>pay_420004497</t>
  </si>
  <si>
    <t>ORD26004709</t>
  </si>
  <si>
    <t>pay_420004531</t>
  </si>
  <si>
    <t>ord26004744</t>
  </si>
  <si>
    <t>ORD26004744</t>
  </si>
  <si>
    <t>pay_420004533</t>
  </si>
  <si>
    <t>ord26004746</t>
  </si>
  <si>
    <t>ORD26004746</t>
  </si>
  <si>
    <t>pay_420004650</t>
  </si>
  <si>
    <t>ORD26004870</t>
  </si>
  <si>
    <t>pay_420004686</t>
  </si>
  <si>
    <t>ORD26004907</t>
  </si>
  <si>
    <t>pay_420004764</t>
  </si>
  <si>
    <t>ORD26004985</t>
  </si>
  <si>
    <t>pay_420004803</t>
  </si>
  <si>
    <t>ORD26005025</t>
  </si>
  <si>
    <t>pay_420004840</t>
  </si>
  <si>
    <t>ord26005061</t>
  </si>
  <si>
    <t>ORD26005061</t>
  </si>
  <si>
    <t>pay_420004925</t>
  </si>
  <si>
    <t>ORD26005157</t>
  </si>
  <si>
    <t>pay_420004938</t>
  </si>
  <si>
    <t>ORD26005169</t>
  </si>
  <si>
    <t>pay_420004964</t>
  </si>
  <si>
    <t>ORD26005197</t>
  </si>
  <si>
    <t>pay_420004991</t>
  </si>
  <si>
    <t>ORD26005225</t>
  </si>
  <si>
    <t>pay_420005065</t>
  </si>
  <si>
    <t>ORD26005304</t>
  </si>
  <si>
    <t>pay_420005066</t>
  </si>
  <si>
    <t>ORD26005305</t>
  </si>
  <si>
    <t>pay_420005114</t>
  </si>
  <si>
    <t>ord26005351</t>
  </si>
  <si>
    <t>ORD26005351</t>
  </si>
  <si>
    <t>pay_420005133</t>
  </si>
  <si>
    <t>ORD26005371</t>
  </si>
  <si>
    <t>pay_420005137</t>
  </si>
  <si>
    <t>ORD26005377</t>
  </si>
  <si>
    <t>pay_420005147</t>
  </si>
  <si>
    <t>ORD26005387</t>
  </si>
  <si>
    <t>pay_420005150</t>
  </si>
  <si>
    <t>ORD26005390</t>
  </si>
  <si>
    <t>pay_420005171</t>
  </si>
  <si>
    <t>ORD26005410</t>
  </si>
  <si>
    <t>pay_420005198</t>
  </si>
  <si>
    <t>ORD26005438</t>
  </si>
  <si>
    <t>pay_420005221</t>
  </si>
  <si>
    <t>ORD26005459</t>
  </si>
  <si>
    <t>pay_420005299</t>
  </si>
  <si>
    <t>ORD26005536</t>
  </si>
  <si>
    <t>pay_420005332</t>
  </si>
  <si>
    <t>ORD26005573</t>
  </si>
  <si>
    <t>pay_420005335</t>
  </si>
  <si>
    <t>ORD26005576</t>
  </si>
  <si>
    <t>pay_420005430</t>
  </si>
  <si>
    <t>ORD26005675</t>
  </si>
  <si>
    <t>pay_420005442</t>
  </si>
  <si>
    <t>ORD26005688</t>
  </si>
  <si>
    <t>pay_420005520</t>
  </si>
  <si>
    <t>ORD26005772</t>
  </si>
  <si>
    <t>pay_420005582</t>
  </si>
  <si>
    <t>ORD26005839</t>
  </si>
  <si>
    <t>pay_420005657</t>
  </si>
  <si>
    <t xml:space="preserve">ORD26005922  </t>
  </si>
  <si>
    <t>ORD26005922</t>
  </si>
  <si>
    <t>rfnd_4WAWAYR8LKLM</t>
  </si>
  <si>
    <t>rfnd_8WPNVL912W6Y</t>
  </si>
  <si>
    <t>rfnd_93C1GTBJ2M88</t>
  </si>
  <si>
    <t>rfnd_9BH0FMF71JTZ</t>
  </si>
  <si>
    <t>rfnd_CQA2RMLA9Z1V</t>
  </si>
  <si>
    <t>rfnd_GYGX2QZUXUY9</t>
  </si>
  <si>
    <t>rfnd_RCTH98ZVT1JT</t>
  </si>
  <si>
    <t>rfnd_VVVJ55P56WHP</t>
  </si>
  <si>
    <t>rfnd_XE96RJ1VYAKM</t>
  </si>
  <si>
    <t>pay_420000003</t>
  </si>
  <si>
    <t>ORD26000003</t>
  </si>
  <si>
    <t>STL-20260920</t>
  </si>
  <si>
    <t>pay_420000007</t>
  </si>
  <si>
    <t>ORD26000007</t>
  </si>
  <si>
    <t>pay_420000015</t>
  </si>
  <si>
    <t>ORD26000015</t>
  </si>
  <si>
    <t>pay_420000100</t>
  </si>
  <si>
    <t>ORD26000108</t>
  </si>
  <si>
    <t>pay_420000119</t>
  </si>
  <si>
    <t xml:space="preserve">ORD26000128  </t>
  </si>
  <si>
    <t>ORD26000128</t>
  </si>
  <si>
    <t>pay_420000127</t>
  </si>
  <si>
    <t>ORD26000136</t>
  </si>
  <si>
    <t>pay_420000139</t>
  </si>
  <si>
    <t>ord26000148</t>
  </si>
  <si>
    <t>ORD26000148</t>
  </si>
  <si>
    <t>pay_420000169</t>
  </si>
  <si>
    <t>ORD26000183</t>
  </si>
  <si>
    <t>pay_420000196</t>
  </si>
  <si>
    <t>ORD26000210</t>
  </si>
  <si>
    <t>pay_420000201</t>
  </si>
  <si>
    <t>ORD26000216</t>
  </si>
  <si>
    <t>pay_420000210</t>
  </si>
  <si>
    <t>ORD26000224</t>
  </si>
  <si>
    <t>pay_420000214</t>
  </si>
  <si>
    <t>ORD26000228</t>
  </si>
  <si>
    <t>pay_420000375</t>
  </si>
  <si>
    <t>ORD26000393</t>
  </si>
  <si>
    <t>pay_420000410</t>
  </si>
  <si>
    <t>ORD26000427</t>
  </si>
  <si>
    <t>pay_420000415</t>
  </si>
  <si>
    <t>ORD26000432</t>
  </si>
  <si>
    <t>pay_420000435</t>
  </si>
  <si>
    <t>ORD26000452</t>
  </si>
  <si>
    <t>pay_420000444</t>
  </si>
  <si>
    <t>ORD26000465</t>
  </si>
  <si>
    <t>pay_420000540</t>
  </si>
  <si>
    <t>ORD26000565</t>
  </si>
  <si>
    <t>pay_420000569</t>
  </si>
  <si>
    <t>ORD26000591</t>
  </si>
  <si>
    <t>pay_420000591</t>
  </si>
  <si>
    <t>ORD26000613</t>
  </si>
  <si>
    <t>pay_420000631</t>
  </si>
  <si>
    <t>ORD26000658</t>
  </si>
  <si>
    <t>pay_420000671</t>
  </si>
  <si>
    <t>ORD26000700</t>
  </si>
  <si>
    <t>pay_420000675</t>
  </si>
  <si>
    <t xml:space="preserve">ORD26000705  </t>
  </si>
  <si>
    <t>ORD26000705</t>
  </si>
  <si>
    <t>pay_420000696</t>
  </si>
  <si>
    <t>ORD26000726</t>
  </si>
  <si>
    <t>pay_420000721</t>
  </si>
  <si>
    <t>ORD26000755</t>
  </si>
  <si>
    <t>pay_420000794</t>
  </si>
  <si>
    <t>ORD26000827</t>
  </si>
  <si>
    <t>pay_420000802</t>
  </si>
  <si>
    <t>ORD26000836</t>
  </si>
  <si>
    <t>pay_420000806</t>
  </si>
  <si>
    <t>ORD26000839</t>
  </si>
  <si>
    <t>pay_420000808</t>
  </si>
  <si>
    <t>ORD26000842</t>
  </si>
  <si>
    <t>pay_420000817</t>
  </si>
  <si>
    <t>ORD26000852</t>
  </si>
  <si>
    <t>pay_420000846</t>
  </si>
  <si>
    <t>ORD26000881</t>
  </si>
  <si>
    <t>pay_420000862</t>
  </si>
  <si>
    <t>ORD26000900</t>
  </si>
  <si>
    <t>pay_420000872</t>
  </si>
  <si>
    <t>ORD26000911</t>
  </si>
  <si>
    <t>pay_420000886</t>
  </si>
  <si>
    <t>ORD26000924</t>
  </si>
  <si>
    <t>pay_420000995</t>
  </si>
  <si>
    <t>ORD26001038</t>
  </si>
  <si>
    <t>pay_420001025</t>
  </si>
  <si>
    <t>ord26001069</t>
  </si>
  <si>
    <t>ORD26001069</t>
  </si>
  <si>
    <t>pay_420001068</t>
  </si>
  <si>
    <t>ORD26001110</t>
  </si>
  <si>
    <t>pay_420001084</t>
  </si>
  <si>
    <t>ORD26001127</t>
  </si>
  <si>
    <t>pay_420001120</t>
  </si>
  <si>
    <t>ORD26001168</t>
  </si>
  <si>
    <t>pay_420001205</t>
  </si>
  <si>
    <t>ORD26001259</t>
  </si>
  <si>
    <t>pay_420001213</t>
  </si>
  <si>
    <t>ORD26001268</t>
  </si>
  <si>
    <t>pay_420001233</t>
  </si>
  <si>
    <t>ORD26001290</t>
  </si>
  <si>
    <t>pay_420001286</t>
  </si>
  <si>
    <t>ORD26001346</t>
  </si>
  <si>
    <t>pay_420001316</t>
  </si>
  <si>
    <t>ORD26001379</t>
  </si>
  <si>
    <t>pay_420001321</t>
  </si>
  <si>
    <t>ORD26001383</t>
  </si>
  <si>
    <t>pay_420001326</t>
  </si>
  <si>
    <t>ORD26001388</t>
  </si>
  <si>
    <t>pay_420001346</t>
  </si>
  <si>
    <t>ORD26001410</t>
  </si>
  <si>
    <t>pay_420001370</t>
  </si>
  <si>
    <t>ord26001438</t>
  </si>
  <si>
    <t>ORD26001438</t>
  </si>
  <si>
    <t>pay_420001390</t>
  </si>
  <si>
    <t>ord26001460</t>
  </si>
  <si>
    <t>ORD26001460</t>
  </si>
  <si>
    <t>pay_420001392</t>
  </si>
  <si>
    <t>ORD26001462</t>
  </si>
  <si>
    <t>pay_420001458</t>
  </si>
  <si>
    <t>ORD26001523</t>
  </si>
  <si>
    <t>pay_420001547</t>
  </si>
  <si>
    <t>ORD26001615</t>
  </si>
  <si>
    <t>pay_420001673</t>
  </si>
  <si>
    <t>ORD26001753</t>
  </si>
  <si>
    <t>pay_420001767</t>
  </si>
  <si>
    <t>ORD26001849</t>
  </si>
  <si>
    <t>pay_420001784</t>
  </si>
  <si>
    <t>ORD-26001866</t>
  </si>
  <si>
    <t>ORD26001866</t>
  </si>
  <si>
    <t>pay_420001804</t>
  </si>
  <si>
    <t xml:space="preserve">ORD26001888  </t>
  </si>
  <si>
    <t>ORD26001888</t>
  </si>
  <si>
    <t>pay_420001874</t>
  </si>
  <si>
    <t>ORD26001962</t>
  </si>
  <si>
    <t>pay_420001882</t>
  </si>
  <si>
    <t>ORD26001970</t>
  </si>
  <si>
    <t>pay_420001886</t>
  </si>
  <si>
    <t>ord26001974</t>
  </si>
  <si>
    <t>ORD26001974</t>
  </si>
  <si>
    <t>pay_420001901</t>
  </si>
  <si>
    <t>ORD26001990</t>
  </si>
  <si>
    <t>pay_420002038</t>
  </si>
  <si>
    <t>ORD-26002129</t>
  </si>
  <si>
    <t>ORD26002129</t>
  </si>
  <si>
    <t>pay_420002053</t>
  </si>
  <si>
    <t>ORD26002145</t>
  </si>
  <si>
    <t>pay_420002070</t>
  </si>
  <si>
    <t>ORD26002162</t>
  </si>
  <si>
    <t>pay_420002094</t>
  </si>
  <si>
    <t>ORD26002191</t>
  </si>
  <si>
    <t>pay_420002155</t>
  </si>
  <si>
    <t>ORD26002256</t>
  </si>
  <si>
    <t>pay_420002167</t>
  </si>
  <si>
    <t>ORD26002268</t>
  </si>
  <si>
    <t>pay_420002202</t>
  </si>
  <si>
    <t>ORD26002306</t>
  </si>
  <si>
    <t>pay_420002255</t>
  </si>
  <si>
    <t>ORD26002362</t>
  </si>
  <si>
    <t>pay_420002262</t>
  </si>
  <si>
    <t>ORD26002370</t>
  </si>
  <si>
    <t>pay_420002287</t>
  </si>
  <si>
    <t>ORD26002398</t>
  </si>
  <si>
    <t>pay_420002314</t>
  </si>
  <si>
    <t>ORD26002427</t>
  </si>
  <si>
    <t>pay_420002318</t>
  </si>
  <si>
    <t>ORD26002431</t>
  </si>
  <si>
    <t>pay_420002413</t>
  </si>
  <si>
    <t>ord26002525</t>
  </si>
  <si>
    <t>ORD26002525</t>
  </si>
  <si>
    <t>pay_420002428</t>
  </si>
  <si>
    <t>ORD26002540</t>
  </si>
  <si>
    <t>pay_420002448</t>
  </si>
  <si>
    <t>ORD26002562</t>
  </si>
  <si>
    <t>pay_420002477</t>
  </si>
  <si>
    <t>ord26002593</t>
  </si>
  <si>
    <t>ORD26002593</t>
  </si>
  <si>
    <t>pay_420002537</t>
  </si>
  <si>
    <t>ORD26002661</t>
  </si>
  <si>
    <t>pay_420002548</t>
  </si>
  <si>
    <t>ORD26002672</t>
  </si>
  <si>
    <t>pay_420002558</t>
  </si>
  <si>
    <t>ORD26002683</t>
  </si>
  <si>
    <t>pay_420002562</t>
  </si>
  <si>
    <t>ORD26002688</t>
  </si>
  <si>
    <t>pay_420002575</t>
  </si>
  <si>
    <t>ord26002702</t>
  </si>
  <si>
    <t>ORD26002702</t>
  </si>
  <si>
    <t>pay_420002579</t>
  </si>
  <si>
    <t>ORD26002706</t>
  </si>
  <si>
    <t>pay_420002697</t>
  </si>
  <si>
    <t>ORD26002831</t>
  </si>
  <si>
    <t>pay_420002721</t>
  </si>
  <si>
    <t>ord26002859</t>
  </si>
  <si>
    <t>ORD26002859</t>
  </si>
  <si>
    <t>pay_420002724</t>
  </si>
  <si>
    <t>ORD-26002862</t>
  </si>
  <si>
    <t>ORD26002862</t>
  </si>
  <si>
    <t>pay_420002767</t>
  </si>
  <si>
    <t>ORD26002905</t>
  </si>
  <si>
    <t>pay_420002776</t>
  </si>
  <si>
    <t>ORD26002915</t>
  </si>
  <si>
    <t>pay_420002869</t>
  </si>
  <si>
    <t>ORD-26003010</t>
  </si>
  <si>
    <t>ORD26003010</t>
  </si>
  <si>
    <t>pay_420002881</t>
  </si>
  <si>
    <t>ORD26003022</t>
  </si>
  <si>
    <t>pay_420003006</t>
  </si>
  <si>
    <t>ORD26003157</t>
  </si>
  <si>
    <t>pay_420003010</t>
  </si>
  <si>
    <t>ORD26003162</t>
  </si>
  <si>
    <t>pay_420003025</t>
  </si>
  <si>
    <t>ORD26003176</t>
  </si>
  <si>
    <t>pay_420003122</t>
  </si>
  <si>
    <t>ORD26003282</t>
  </si>
  <si>
    <t>pay_420003129</t>
  </si>
  <si>
    <t>ORD26003289</t>
  </si>
  <si>
    <t>pay_420003139</t>
  </si>
  <si>
    <t>ORD26003300</t>
  </si>
  <si>
    <t>pay_420003148</t>
  </si>
  <si>
    <t xml:space="preserve">ORD26003309  </t>
  </si>
  <si>
    <t>ORD26003309</t>
  </si>
  <si>
    <t>pay_420003232</t>
  </si>
  <si>
    <t>ORD26003394</t>
  </si>
  <si>
    <t>pay_420003251</t>
  </si>
  <si>
    <t>ORD26003415</t>
  </si>
  <si>
    <t>pay_420003336</t>
  </si>
  <si>
    <t>ORD26003500</t>
  </si>
  <si>
    <t>pay_420003436</t>
  </si>
  <si>
    <t>ORD-26003605</t>
  </si>
  <si>
    <t>ORD26003605</t>
  </si>
  <si>
    <t>pay_420003449</t>
  </si>
  <si>
    <t>ORD26003617</t>
  </si>
  <si>
    <t>pay_420003635</t>
  </si>
  <si>
    <t>ORD26003807</t>
  </si>
  <si>
    <t>pay_420003637</t>
  </si>
  <si>
    <t>ORD26003809</t>
  </si>
  <si>
    <t>pay_420003654</t>
  </si>
  <si>
    <t>ORD26003826</t>
  </si>
  <si>
    <t>pay_420003663</t>
  </si>
  <si>
    <t>ORD26003833</t>
  </si>
  <si>
    <t>pay_420003750</t>
  </si>
  <si>
    <t>ORD26003925</t>
  </si>
  <si>
    <t>pay_420003764</t>
  </si>
  <si>
    <t>ORD26003939</t>
  </si>
  <si>
    <t>pay_420003806</t>
  </si>
  <si>
    <t>ORD26003985</t>
  </si>
  <si>
    <t>pay_420003830</t>
  </si>
  <si>
    <t>ORD26004011</t>
  </si>
  <si>
    <t>pay_420003840</t>
  </si>
  <si>
    <t>ORD26004021</t>
  </si>
  <si>
    <t>pay_420003871</t>
  </si>
  <si>
    <t>ORD26004056</t>
  </si>
  <si>
    <t>pay_420003964</t>
  </si>
  <si>
    <t>ORD26004148</t>
  </si>
  <si>
    <t>pay_420003973</t>
  </si>
  <si>
    <t>ORD26004158</t>
  </si>
  <si>
    <t>pay_420004012</t>
  </si>
  <si>
    <t>ORD26004200</t>
  </si>
  <si>
    <t>pay_420004043</t>
  </si>
  <si>
    <t>ORD26004233</t>
  </si>
  <si>
    <t>pay_420004055</t>
  </si>
  <si>
    <t>ORD26004246</t>
  </si>
  <si>
    <t>pay_420004077</t>
  </si>
  <si>
    <t>ORD26004270</t>
  </si>
  <si>
    <t>pay_420004080</t>
  </si>
  <si>
    <t>ORD26004273</t>
  </si>
  <si>
    <t>pay_420004096</t>
  </si>
  <si>
    <t>ORD26004290</t>
  </si>
  <si>
    <t>pay_420004113</t>
  </si>
  <si>
    <t>ORD26004308</t>
  </si>
  <si>
    <t>pay_420004133</t>
  </si>
  <si>
    <t>ORD26004326</t>
  </si>
  <si>
    <t>pay_420004191</t>
  </si>
  <si>
    <t>ORD26004386</t>
  </si>
  <si>
    <t>pay_420004208</t>
  </si>
  <si>
    <t>ORD26004406</t>
  </si>
  <si>
    <t>pay_420004216</t>
  </si>
  <si>
    <t>ORD26004414</t>
  </si>
  <si>
    <t>pay_420004225</t>
  </si>
  <si>
    <t>ORD26004423</t>
  </si>
  <si>
    <t>pay_420004229</t>
  </si>
  <si>
    <t>ORD26004427</t>
  </si>
  <si>
    <t>pay_420004260</t>
  </si>
  <si>
    <t>ORD26004459</t>
  </si>
  <si>
    <t>pay_420004276</t>
  </si>
  <si>
    <t>ORD26004475</t>
  </si>
  <si>
    <t>pay_420004394</t>
  </si>
  <si>
    <t>ord26004598</t>
  </si>
  <si>
    <t>ORD26004598</t>
  </si>
  <si>
    <t>pay_420004425</t>
  </si>
  <si>
    <t>ORD26004633</t>
  </si>
  <si>
    <t>pay_420004434</t>
  </si>
  <si>
    <t>ORD26004641</t>
  </si>
  <si>
    <t>pay_420004435</t>
  </si>
  <si>
    <t>ORD26004642</t>
  </si>
  <si>
    <t>pay_420004471</t>
  </si>
  <si>
    <t>ORD26004682</t>
  </si>
  <si>
    <t>pay_420004516</t>
  </si>
  <si>
    <t>ORD26004729</t>
  </si>
  <si>
    <t>pay_420004528</t>
  </si>
  <si>
    <t>ORD26004741</t>
  </si>
  <si>
    <t>pay_420004603</t>
  </si>
  <si>
    <t xml:space="preserve">ORD26004817  </t>
  </si>
  <si>
    <t>ORD26004817</t>
  </si>
  <si>
    <t>pay_420004620</t>
  </si>
  <si>
    <t>ord26004834</t>
  </si>
  <si>
    <t>ORD26004834</t>
  </si>
  <si>
    <t>pay_420004625</t>
  </si>
  <si>
    <t>ORD26004838</t>
  </si>
  <si>
    <t>pay_420004660</t>
  </si>
  <si>
    <t>ORD26004880</t>
  </si>
  <si>
    <t>pay_420004731</t>
  </si>
  <si>
    <t>ORD26004953</t>
  </si>
  <si>
    <t>pay_420004738</t>
  </si>
  <si>
    <t>ord26004960</t>
  </si>
  <si>
    <t>ORD26004960</t>
  </si>
  <si>
    <t>pay_420004797</t>
  </si>
  <si>
    <t>ord26005019</t>
  </si>
  <si>
    <t>ORD26005019</t>
  </si>
  <si>
    <t>pay_420004826</t>
  </si>
  <si>
    <t>ORD26005047</t>
  </si>
  <si>
    <t>pay_420004858</t>
  </si>
  <si>
    <t>ORD26005081</t>
  </si>
  <si>
    <t>pay_420004890</t>
  </si>
  <si>
    <t>ORD26005118</t>
  </si>
  <si>
    <t>pay_420004916</t>
  </si>
  <si>
    <t>ORD26005145</t>
  </si>
  <si>
    <t>pay_420004931</t>
  </si>
  <si>
    <t>ORD26005162</t>
  </si>
  <si>
    <t>pay_420004955</t>
  </si>
  <si>
    <t>ORD26005187</t>
  </si>
  <si>
    <t>pay_420004977</t>
  </si>
  <si>
    <t>ORD26005209</t>
  </si>
  <si>
    <t>pay_420004998</t>
  </si>
  <si>
    <t>ORD26005234</t>
  </si>
  <si>
    <t>pay_420005003</t>
  </si>
  <si>
    <t>ORD26005239</t>
  </si>
  <si>
    <t>pay_420005020</t>
  </si>
  <si>
    <t>ORD26005256</t>
  </si>
  <si>
    <t>pay_420005042</t>
  </si>
  <si>
    <t>ORD26005281</t>
  </si>
  <si>
    <t>pay_420005051</t>
  </si>
  <si>
    <t>ORD26005290</t>
  </si>
  <si>
    <t>pay_420005074</t>
  </si>
  <si>
    <t>ORD26005315</t>
  </si>
  <si>
    <t>pay_420005102</t>
  </si>
  <si>
    <t>ORD26005341</t>
  </si>
  <si>
    <t>pay_420005107</t>
  </si>
  <si>
    <t>ORD26005345</t>
  </si>
  <si>
    <t>pay_420005173</t>
  </si>
  <si>
    <t>ORD26005412</t>
  </si>
  <si>
    <t>pay_420005199</t>
  </si>
  <si>
    <t>ORD26005439</t>
  </si>
  <si>
    <t>pay_420005224</t>
  </si>
  <si>
    <t>ORD26005462</t>
  </si>
  <si>
    <t>pay_420005232</t>
  </si>
  <si>
    <t>ORD26005470</t>
  </si>
  <si>
    <t>pay_420005233</t>
  </si>
  <si>
    <t>ORD26005471</t>
  </si>
  <si>
    <t>pay_420005366</t>
  </si>
  <si>
    <t>ORD26005608</t>
  </si>
  <si>
    <t>pay_420005401</t>
  </si>
  <si>
    <t>ORD26005645</t>
  </si>
  <si>
    <t>pay_420005446</t>
  </si>
  <si>
    <t>ORD26005693</t>
  </si>
  <si>
    <t>pay_420005470</t>
  </si>
  <si>
    <t>ord26005719</t>
  </si>
  <si>
    <t>ORD26005719</t>
  </si>
  <si>
    <t>pay_420005485</t>
  </si>
  <si>
    <t>ORD26005734</t>
  </si>
  <si>
    <t>pay_420005685</t>
  </si>
  <si>
    <t>ORD26005950</t>
  </si>
  <si>
    <t>pay_420005697</t>
  </si>
  <si>
    <t>ORD-26005963</t>
  </si>
  <si>
    <t>ORD26005963</t>
  </si>
  <si>
    <t>pay_420005702</t>
  </si>
  <si>
    <t>ORD26005969</t>
  </si>
  <si>
    <t>pay_420005720</t>
  </si>
  <si>
    <t>ORD26005987</t>
  </si>
  <si>
    <t>rfnd_4EYATDLTL6L2</t>
  </si>
  <si>
    <t>rfnd_4N3Y78X5MSUN</t>
  </si>
  <si>
    <t>rfnd_5LDVPW4M34U0</t>
  </si>
  <si>
    <t>rfnd_79B8T3WMEENG</t>
  </si>
  <si>
    <t>rfnd_PLZTAUDQ3MX1</t>
  </si>
  <si>
    <t>rfnd_PT5YN5W0FJWQ</t>
  </si>
  <si>
    <t>rfnd_TBFGZHMULLRX</t>
  </si>
  <si>
    <t>rfnd_ZRAWWLW4KXMP</t>
  </si>
  <si>
    <t>rfnd_ZS89YXAWZ44J</t>
  </si>
  <si>
    <t>pay_420000035</t>
  </si>
  <si>
    <t>ORD26000035</t>
  </si>
  <si>
    <t>STL-20260921</t>
  </si>
  <si>
    <t>pay_420000043</t>
  </si>
  <si>
    <t>ORD-26000044</t>
  </si>
  <si>
    <t>ORD26000044</t>
  </si>
  <si>
    <t>pay_420000067</t>
  </si>
  <si>
    <t>ORD26000069</t>
  </si>
  <si>
    <t>pay_420000252</t>
  </si>
  <si>
    <t>ORD26000269</t>
  </si>
  <si>
    <t>pay_420000291</t>
  </si>
  <si>
    <t>ORD26000307</t>
  </si>
  <si>
    <t>pay_420000305</t>
  </si>
  <si>
    <t>ORD26000321</t>
  </si>
  <si>
    <t>pay_420000317</t>
  </si>
  <si>
    <t>ORD26000332</t>
  </si>
  <si>
    <t>pay_420000327</t>
  </si>
  <si>
    <t>ORD26000342</t>
  </si>
  <si>
    <t>pay_420000340</t>
  </si>
  <si>
    <t>ord26000358</t>
  </si>
  <si>
    <t>ORD26000358</t>
  </si>
  <si>
    <t>pay_420000407</t>
  </si>
  <si>
    <t>ORD26000424</t>
  </si>
  <si>
    <t>pay_420000409</t>
  </si>
  <si>
    <t>ORD26000426</t>
  </si>
  <si>
    <t>pay_420000422</t>
  </si>
  <si>
    <t>ORD26000439</t>
  </si>
  <si>
    <t>pay_420000425</t>
  </si>
  <si>
    <t>ORD26000442</t>
  </si>
  <si>
    <t>pay_420000443</t>
  </si>
  <si>
    <t>ORD26000464</t>
  </si>
  <si>
    <t>pay_420000456</t>
  </si>
  <si>
    <t>ORD26000478</t>
  </si>
  <si>
    <t>pay_420000484</t>
  </si>
  <si>
    <t>ORD26000508</t>
  </si>
  <si>
    <t>pay_420000491</t>
  </si>
  <si>
    <t>ORD26000514</t>
  </si>
  <si>
    <t>pay_420000521</t>
  </si>
  <si>
    <t>ORD26000546</t>
  </si>
  <si>
    <t>pay_420000657</t>
  </si>
  <si>
    <t>ORD26000685</t>
  </si>
  <si>
    <t>pay_420000662</t>
  </si>
  <si>
    <t>ORD26000690</t>
  </si>
  <si>
    <t>pay_420000663</t>
  </si>
  <si>
    <t>ORD26000691</t>
  </si>
  <si>
    <t>pay_420000664</t>
  </si>
  <si>
    <t>ORD26000693</t>
  </si>
  <si>
    <t>pay_420000678</t>
  </si>
  <si>
    <t xml:space="preserve">ORD26000708  </t>
  </si>
  <si>
    <t>ORD26000708</t>
  </si>
  <si>
    <t>pay_420000704</t>
  </si>
  <si>
    <t>ORD26000737</t>
  </si>
  <si>
    <t>pay_420000710</t>
  </si>
  <si>
    <t>ORD26000743</t>
  </si>
  <si>
    <t>pay_420000725</t>
  </si>
  <si>
    <t>ORD26000759</t>
  </si>
  <si>
    <t>pay_420000771</t>
  </si>
  <si>
    <t>ORD26000803</t>
  </si>
  <si>
    <t>pay_420000785</t>
  </si>
  <si>
    <t>ORD26000818</t>
  </si>
  <si>
    <t>pay_420000828</t>
  </si>
  <si>
    <t>ORD26000862</t>
  </si>
  <si>
    <t>pay_420000880</t>
  </si>
  <si>
    <t>ORD26000919</t>
  </si>
  <si>
    <t>pay_420000892</t>
  </si>
  <si>
    <t>ORD26000931</t>
  </si>
  <si>
    <t>pay_420000924</t>
  </si>
  <si>
    <t>ord26000964</t>
  </si>
  <si>
    <t>ORD26000964</t>
  </si>
  <si>
    <t>pay_420000938</t>
  </si>
  <si>
    <t>ORD26000980</t>
  </si>
  <si>
    <t>pay_420000969</t>
  </si>
  <si>
    <t>ORD26001011</t>
  </si>
  <si>
    <t>pay_420000985</t>
  </si>
  <si>
    <t>ORD26001029</t>
  </si>
  <si>
    <t>pay_420001013</t>
  </si>
  <si>
    <t>ORD26001056</t>
  </si>
  <si>
    <t>pay_420001021</t>
  </si>
  <si>
    <t>ORD26001065</t>
  </si>
  <si>
    <t>pay_420001024</t>
  </si>
  <si>
    <t>ORD26001068</t>
  </si>
  <si>
    <t>pay_420001047</t>
  </si>
  <si>
    <t>ORD26001091</t>
  </si>
  <si>
    <t>pay_420001055</t>
  </si>
  <si>
    <t>ORD26001099</t>
  </si>
  <si>
    <t>pay_420001061</t>
  </si>
  <si>
    <t>ORD26001104</t>
  </si>
  <si>
    <t>pay_420001081</t>
  </si>
  <si>
    <t>ORD26001123</t>
  </si>
  <si>
    <t>pay_420001132</t>
  </si>
  <si>
    <t>ORD26001181</t>
  </si>
  <si>
    <t>pay_420001192</t>
  </si>
  <si>
    <t>ORD26001245</t>
  </si>
  <si>
    <t>pay_420001203</t>
  </si>
  <si>
    <t>ORD26001257</t>
  </si>
  <si>
    <t>pay_420001204</t>
  </si>
  <si>
    <t>ORD26001258</t>
  </si>
  <si>
    <t>pay_420001221</t>
  </si>
  <si>
    <t>ORD26001276</t>
  </si>
  <si>
    <t>pay_420001237</t>
  </si>
  <si>
    <t>ORD26001294</t>
  </si>
  <si>
    <t>pay_420001382</t>
  </si>
  <si>
    <t>ORD26001451</t>
  </si>
  <si>
    <t>pay_420001404</t>
  </si>
  <si>
    <t>ORD26001474</t>
  </si>
  <si>
    <t>pay_420001512</t>
  </si>
  <si>
    <t>ORD26001580</t>
  </si>
  <si>
    <t>pay_420001581</t>
  </si>
  <si>
    <t>ORD26001654</t>
  </si>
  <si>
    <t>pay_420001588</t>
  </si>
  <si>
    <t>ORD26001660</t>
  </si>
  <si>
    <t>pay_420001625</t>
  </si>
  <si>
    <t>ORD26001700</t>
  </si>
  <si>
    <t>pay_420001632</t>
  </si>
  <si>
    <t>ORD26001708</t>
  </si>
  <si>
    <t>pay_420001652</t>
  </si>
  <si>
    <t>ORD26001729</t>
  </si>
  <si>
    <t>pay_420001666</t>
  </si>
  <si>
    <t>ORD26001745</t>
  </si>
  <si>
    <t>pay_420001706</t>
  </si>
  <si>
    <t>ORD26001786</t>
  </si>
  <si>
    <t>pay_420001719</t>
  </si>
  <si>
    <t xml:space="preserve">ORD26001800  </t>
  </si>
  <si>
    <t>ORD26001800</t>
  </si>
  <si>
    <t>pay_420001795</t>
  </si>
  <si>
    <t>ord26001878</t>
  </si>
  <si>
    <t>ORD26001878</t>
  </si>
  <si>
    <t>pay_420001824</t>
  </si>
  <si>
    <t>ORD26001908</t>
  </si>
  <si>
    <t>pay_420001835</t>
  </si>
  <si>
    <t>ORD26001918</t>
  </si>
  <si>
    <t>pay_420001865</t>
  </si>
  <si>
    <t>ORD26001950</t>
  </si>
  <si>
    <t>pay_420002016</t>
  </si>
  <si>
    <t>ORD26002107</t>
  </si>
  <si>
    <t>pay_420002028</t>
  </si>
  <si>
    <t>ORD26002121</t>
  </si>
  <si>
    <t>pay_420002030</t>
  </si>
  <si>
    <t>ORD26002122</t>
  </si>
  <si>
    <t>pay_420002034</t>
  </si>
  <si>
    <t>ORD26002125</t>
  </si>
  <si>
    <t>pay_420002057</t>
  </si>
  <si>
    <t>ORD26002149</t>
  </si>
  <si>
    <t>pay_420002092</t>
  </si>
  <si>
    <t>ORD26002188</t>
  </si>
  <si>
    <t>pay_420002103</t>
  </si>
  <si>
    <t>ORD26002201</t>
  </si>
  <si>
    <t>pay_420002131</t>
  </si>
  <si>
    <t>ORD26002234</t>
  </si>
  <si>
    <t>pay_420002146</t>
  </si>
  <si>
    <t>ORD26002247</t>
  </si>
  <si>
    <t>pay_420002157</t>
  </si>
  <si>
    <t>ORD26002258</t>
  </si>
  <si>
    <t>pay_420002205</t>
  </si>
  <si>
    <t>ORD26002309</t>
  </si>
  <si>
    <t>pay_420002215</t>
  </si>
  <si>
    <t>ORD26002318</t>
  </si>
  <si>
    <t>pay_420002221</t>
  </si>
  <si>
    <t>ORD26002325</t>
  </si>
  <si>
    <t>pay_420002229</t>
  </si>
  <si>
    <t>ORD26002332</t>
  </si>
  <si>
    <t>pay_420002331</t>
  </si>
  <si>
    <t>ord26002445</t>
  </si>
  <si>
    <t>ORD26002445</t>
  </si>
  <si>
    <t>pay_420002375</t>
  </si>
  <si>
    <t>ord26002488</t>
  </si>
  <si>
    <t>ORD26002488</t>
  </si>
  <si>
    <t>pay_420002445</t>
  </si>
  <si>
    <t>ORD26002559</t>
  </si>
  <si>
    <t>pay_420002482</t>
  </si>
  <si>
    <t>ORD26002599</t>
  </si>
  <si>
    <t>pay_420002512</t>
  </si>
  <si>
    <t>ORD26002632</t>
  </si>
  <si>
    <t>pay_420002514</t>
  </si>
  <si>
    <t>ORD26002634</t>
  </si>
  <si>
    <t>pay_420002518</t>
  </si>
  <si>
    <t>ORD26002641</t>
  </si>
  <si>
    <t>pay_420002556</t>
  </si>
  <si>
    <t>ORD26002681</t>
  </si>
  <si>
    <t>pay_420002557</t>
  </si>
  <si>
    <t>ORD26002682</t>
  </si>
  <si>
    <t>pay_420002559</t>
  </si>
  <si>
    <t>ORD26002684</t>
  </si>
  <si>
    <t>pay_420002602</t>
  </si>
  <si>
    <t>ord26002730</t>
  </si>
  <si>
    <t>ORD26002730</t>
  </si>
  <si>
    <t>pay_420002639</t>
  </si>
  <si>
    <t>ORD26002768</t>
  </si>
  <si>
    <t>pay_420002681</t>
  </si>
  <si>
    <t>ORD26002813</t>
  </si>
  <si>
    <t>pay_420002687</t>
  </si>
  <si>
    <t>ORD26002819</t>
  </si>
  <si>
    <t>pay_420002733</t>
  </si>
  <si>
    <t>ORD26002870</t>
  </si>
  <si>
    <t>pay_420002794</t>
  </si>
  <si>
    <t>ORD26002936</t>
  </si>
  <si>
    <t>pay_420002798</t>
  </si>
  <si>
    <t>ORD26002940</t>
  </si>
  <si>
    <t>pay_420002801</t>
  </si>
  <si>
    <t>ORD26002942</t>
  </si>
  <si>
    <t>pay_420002817</t>
  </si>
  <si>
    <t>ORD26002959</t>
  </si>
  <si>
    <t>pay_420002861</t>
  </si>
  <si>
    <t>ORD26003002</t>
  </si>
  <si>
    <t>pay_420002902</t>
  </si>
  <si>
    <t>ORD26003046</t>
  </si>
  <si>
    <t>pay_420002911</t>
  </si>
  <si>
    <t>ORD26003055</t>
  </si>
  <si>
    <t>pay_420002973</t>
  </si>
  <si>
    <t>ORD26003120</t>
  </si>
  <si>
    <t>pay_420002980</t>
  </si>
  <si>
    <t>ORD26003128</t>
  </si>
  <si>
    <t>pay_420002993</t>
  </si>
  <si>
    <t>ORD26003142</t>
  </si>
  <si>
    <t>pay_420002994</t>
  </si>
  <si>
    <t>ORD26003143</t>
  </si>
  <si>
    <t>pay_420003004</t>
  </si>
  <si>
    <t>ORD26003155</t>
  </si>
  <si>
    <t>pay_420003098</t>
  </si>
  <si>
    <t>ORD26003254</t>
  </si>
  <si>
    <t>pay_420003168</t>
  </si>
  <si>
    <t>ORD26003329</t>
  </si>
  <si>
    <t>pay_420003188</t>
  </si>
  <si>
    <t>ORD26003349</t>
  </si>
  <si>
    <t>pay_420003203</t>
  </si>
  <si>
    <t>ORD26003364</t>
  </si>
  <si>
    <t>pay_420003206</t>
  </si>
  <si>
    <t>ORD26003367</t>
  </si>
  <si>
    <t>pay_420003225</t>
  </si>
  <si>
    <t>ORD26003386</t>
  </si>
  <si>
    <t>pay_420003235</t>
  </si>
  <si>
    <t>ORD26003397</t>
  </si>
  <si>
    <t>pay_420003244</t>
  </si>
  <si>
    <t>ORD26003407</t>
  </si>
  <si>
    <t>pay_420003245</t>
  </si>
  <si>
    <t>ORD26003408</t>
  </si>
  <si>
    <t>pay_420003299</t>
  </si>
  <si>
    <t>ord26003463</t>
  </si>
  <si>
    <t>ORD26003463</t>
  </si>
  <si>
    <t>pay_420003346</t>
  </si>
  <si>
    <t>ORD-26003510</t>
  </si>
  <si>
    <t>ORD26003510</t>
  </si>
  <si>
    <t>pay_420003358</t>
  </si>
  <si>
    <t>ORD26003522</t>
  </si>
  <si>
    <t>pay_420003371</t>
  </si>
  <si>
    <t>ORD26003537</t>
  </si>
  <si>
    <t>pay_420003377</t>
  </si>
  <si>
    <t>ORD26003543</t>
  </si>
  <si>
    <t>pay_420003390</t>
  </si>
  <si>
    <t>ORD26003556</t>
  </si>
  <si>
    <t>pay_420003416</t>
  </si>
  <si>
    <t>ORD26003583</t>
  </si>
  <si>
    <t>pay_420003443</t>
  </si>
  <si>
    <t>ORD26003612</t>
  </si>
  <si>
    <t>pay_420003508</t>
  </si>
  <si>
    <t xml:space="preserve">ORD26003677  </t>
  </si>
  <si>
    <t>ORD26003677</t>
  </si>
  <si>
    <t>pay_420003593</t>
  </si>
  <si>
    <t>ORD26003762</t>
  </si>
  <si>
    <t>pay_420003597</t>
  </si>
  <si>
    <t>ORD26003766</t>
  </si>
  <si>
    <t>pay_420003612</t>
  </si>
  <si>
    <t>ORD26003780</t>
  </si>
  <si>
    <t>pay_420003615</t>
  </si>
  <si>
    <t>ord26003783</t>
  </si>
  <si>
    <t>ORD26003783</t>
  </si>
  <si>
    <t>pay_420003630</t>
  </si>
  <si>
    <t>ORD26003800</t>
  </si>
  <si>
    <t>pay_420003638</t>
  </si>
  <si>
    <t>ORD26003810</t>
  </si>
  <si>
    <t>pay_420003673</t>
  </si>
  <si>
    <t>ord26003843</t>
  </si>
  <si>
    <t>ORD26003843</t>
  </si>
  <si>
    <t>pay_420003678</t>
  </si>
  <si>
    <t>ORD26003848</t>
  </si>
  <si>
    <t>pay_420003687</t>
  </si>
  <si>
    <t>ORD26003858</t>
  </si>
  <si>
    <t>pay_420003705</t>
  </si>
  <si>
    <t>ORD26003879</t>
  </si>
  <si>
    <t>pay_420003780</t>
  </si>
  <si>
    <t>ORD-26003957</t>
  </si>
  <si>
    <t>ORD26003957</t>
  </si>
  <si>
    <t>pay_420003782</t>
  </si>
  <si>
    <t>ORD26003959</t>
  </si>
  <si>
    <t>pay_420003820</t>
  </si>
  <si>
    <t>ORD26004001</t>
  </si>
  <si>
    <t>pay_420003833</t>
  </si>
  <si>
    <t>ORD26004014</t>
  </si>
  <si>
    <t>pay_420003860</t>
  </si>
  <si>
    <t>ORD26004044</t>
  </si>
  <si>
    <t>pay_420003896</t>
  </si>
  <si>
    <t>ORD26004078</t>
  </si>
  <si>
    <t>pay_420003931</t>
  </si>
  <si>
    <t>ORD26004115</t>
  </si>
  <si>
    <t>pay_420003962</t>
  </si>
  <si>
    <t>ORD26004146</t>
  </si>
  <si>
    <t>pay_420003983</t>
  </si>
  <si>
    <t>ORD26004171</t>
  </si>
  <si>
    <t>pay_420004008</t>
  </si>
  <si>
    <t>ORD26004196</t>
  </si>
  <si>
    <t>pay_420004073</t>
  </si>
  <si>
    <t>ORD26004266</t>
  </si>
  <si>
    <t>pay_420004102</t>
  </si>
  <si>
    <t>ORD26004297</t>
  </si>
  <si>
    <t>pay_420004167</t>
  </si>
  <si>
    <t>ORD26004360</t>
  </si>
  <si>
    <t>pay_420004168</t>
  </si>
  <si>
    <t>ORD26004361</t>
  </si>
  <si>
    <t>pay_420004213</t>
  </si>
  <si>
    <t>ORD26004411</t>
  </si>
  <si>
    <t>pay_420004224</t>
  </si>
  <si>
    <t>ORD26004422</t>
  </si>
  <si>
    <t>pay_420004237</t>
  </si>
  <si>
    <t>ORD26004436</t>
  </si>
  <si>
    <t>pay_420004282</t>
  </si>
  <si>
    <t>ORD26004481</t>
  </si>
  <si>
    <t>pay_420004298</t>
  </si>
  <si>
    <t>ORD26004497</t>
  </si>
  <si>
    <t>pay_420004306</t>
  </si>
  <si>
    <t>ORD26004507</t>
  </si>
  <si>
    <t>pay_420004380</t>
  </si>
  <si>
    <t>ord26004583</t>
  </si>
  <si>
    <t>ORD26004583</t>
  </si>
  <si>
    <t>pay_420004388</t>
  </si>
  <si>
    <t>ORD26004591</t>
  </si>
  <si>
    <t>pay_420004411</t>
  </si>
  <si>
    <t>ORD26004618</t>
  </si>
  <si>
    <t>pay_420004418</t>
  </si>
  <si>
    <t>ORD26004625</t>
  </si>
  <si>
    <t>pay_420004449</t>
  </si>
  <si>
    <t>ord26004658</t>
  </si>
  <si>
    <t>ORD26004658</t>
  </si>
  <si>
    <t>pay_420004506</t>
  </si>
  <si>
    <t>ord26004719</t>
  </si>
  <si>
    <t>ORD26004719</t>
  </si>
  <si>
    <t>pay_420004590</t>
  </si>
  <si>
    <t>ORD26004803</t>
  </si>
  <si>
    <t>pay_420004614</t>
  </si>
  <si>
    <t>ORD26004827</t>
  </si>
  <si>
    <t>pay_420004659</t>
  </si>
  <si>
    <t>ORD26004879</t>
  </si>
  <si>
    <t>pay_420004668</t>
  </si>
  <si>
    <t>ORD26004889</t>
  </si>
  <si>
    <t>pay_420004726</t>
  </si>
  <si>
    <t>ORD26004948</t>
  </si>
  <si>
    <t>pay_420004727</t>
  </si>
  <si>
    <t>ORD26004949</t>
  </si>
  <si>
    <t>pay_420004769</t>
  </si>
  <si>
    <t>ORD26004991</t>
  </si>
  <si>
    <t>pay_420004819</t>
  </si>
  <si>
    <t>ORD-26005041</t>
  </si>
  <si>
    <t>ORD26005041</t>
  </si>
  <si>
    <t>pay_420004820</t>
  </si>
  <si>
    <t>ORD26005042</t>
  </si>
  <si>
    <t>pay_420004930</t>
  </si>
  <si>
    <t>ORD26005161</t>
  </si>
  <si>
    <t>pay_420004942</t>
  </si>
  <si>
    <t>ORD26005173</t>
  </si>
  <si>
    <t>pay_420004992</t>
  </si>
  <si>
    <t>ORD26005227</t>
  </si>
  <si>
    <t>pay_420005111</t>
  </si>
  <si>
    <t>ORD26005348</t>
  </si>
  <si>
    <t>pay_420005196</t>
  </si>
  <si>
    <t>ORD26005436</t>
  </si>
  <si>
    <t>pay_420005225</t>
  </si>
  <si>
    <t>ORD26005463</t>
  </si>
  <si>
    <t>pay_420005227</t>
  </si>
  <si>
    <t>ORD26005465</t>
  </si>
  <si>
    <t>pay_420005231</t>
  </si>
  <si>
    <t>ORD26005469</t>
  </si>
  <si>
    <t>pay_420005268</t>
  </si>
  <si>
    <t>ORD26005505</t>
  </si>
  <si>
    <t>pay_420005310</t>
  </si>
  <si>
    <t>ORD26005549</t>
  </si>
  <si>
    <t>pay_420005359</t>
  </si>
  <si>
    <t>ORD26005601</t>
  </si>
  <si>
    <t>pay_420005365</t>
  </si>
  <si>
    <t>ORD26005607</t>
  </si>
  <si>
    <t>pay_420005393</t>
  </si>
  <si>
    <t>ord26005635</t>
  </si>
  <si>
    <t>ORD26005635</t>
  </si>
  <si>
    <t>pay_420005431</t>
  </si>
  <si>
    <t>ORD26005676</t>
  </si>
  <si>
    <t>pay_420005433</t>
  </si>
  <si>
    <t>ORD26005679</t>
  </si>
  <si>
    <t>pay_420005437</t>
  </si>
  <si>
    <t>ORD26005683</t>
  </si>
  <si>
    <t>pay_420005477</t>
  </si>
  <si>
    <t>ORD26005726</t>
  </si>
  <si>
    <t>pay_420005552</t>
  </si>
  <si>
    <t>ORD26005806</t>
  </si>
  <si>
    <t>pay_420005597</t>
  </si>
  <si>
    <t>ORD26005855</t>
  </si>
  <si>
    <t>pay_420005640</t>
  </si>
  <si>
    <t>ORD26005903</t>
  </si>
  <si>
    <t>pay_420005664</t>
  </si>
  <si>
    <t>ORD26005929</t>
  </si>
  <si>
    <t>pay_420005730</t>
  </si>
  <si>
    <t>ORD26005997</t>
  </si>
  <si>
    <t>rfnd_6447JZ5P9597</t>
  </si>
  <si>
    <t>rfnd_7KWLXCN07V6S</t>
  </si>
  <si>
    <t>rfnd_97K2NM3FS5CE</t>
  </si>
  <si>
    <t>rfnd_AK76EGFM7NS6</t>
  </si>
  <si>
    <t>rfnd_H6F7KZFFQS4U</t>
  </si>
  <si>
    <t>rfnd_MRPGVPYJKLKR</t>
  </si>
  <si>
    <t>rfnd_QFXF6ZYEFEN5</t>
  </si>
  <si>
    <t>rfnd_RVM0MFA09U9D</t>
  </si>
  <si>
    <t>rfnd_SG8QNTT912QJ</t>
  </si>
  <si>
    <t>rfnd_U1GDUJRQQ0RC</t>
  </si>
  <si>
    <t>rfnd_XL0AYGE41HB0</t>
  </si>
  <si>
    <t>pay_420000011</t>
  </si>
  <si>
    <t>ORD26000011</t>
  </si>
  <si>
    <t>STL-20260922</t>
  </si>
  <si>
    <t>pay_420000068</t>
  </si>
  <si>
    <t>ORD26000070</t>
  </si>
  <si>
    <t>pay_420000097</t>
  </si>
  <si>
    <t>ORD26000103</t>
  </si>
  <si>
    <t>pay_420000155</t>
  </si>
  <si>
    <t>ORD26000165</t>
  </si>
  <si>
    <t>pay_420000191</t>
  </si>
  <si>
    <t>ORD26000204</t>
  </si>
  <si>
    <t>pay_420000212</t>
  </si>
  <si>
    <t>ORD26000226</t>
  </si>
  <si>
    <t>pay_420000231</t>
  </si>
  <si>
    <t>ORD26000246</t>
  </si>
  <si>
    <t>pay_420000251</t>
  </si>
  <si>
    <t>ORD26000268</t>
  </si>
  <si>
    <t>pay_420000297</t>
  </si>
  <si>
    <t>ORD26000313</t>
  </si>
  <si>
    <t>pay_420000368</t>
  </si>
  <si>
    <t>ORD26000387</t>
  </si>
  <si>
    <t>pay_420000376</t>
  </si>
  <si>
    <t>ORD26000394</t>
  </si>
  <si>
    <t>pay_420000380</t>
  </si>
  <si>
    <t>ORD26000398</t>
  </si>
  <si>
    <t>pay_420000385</t>
  </si>
  <si>
    <t>ORD26000403</t>
  </si>
  <si>
    <t>pay_420000390</t>
  </si>
  <si>
    <t xml:space="preserve">ORD26000409  </t>
  </si>
  <si>
    <t>ORD26000409</t>
  </si>
  <si>
    <t>pay_420000420</t>
  </si>
  <si>
    <t>ORD26000437</t>
  </si>
  <si>
    <t>pay_420000594</t>
  </si>
  <si>
    <t>ORD26000616</t>
  </si>
  <si>
    <t>pay_420000596</t>
  </si>
  <si>
    <t>ORD26000618</t>
  </si>
  <si>
    <t>pay_420000632</t>
  </si>
  <si>
    <t>ORD26000660</t>
  </si>
  <si>
    <t>pay_420000642</t>
  </si>
  <si>
    <t>ORD26000669</t>
  </si>
  <si>
    <t>pay_420000674</t>
  </si>
  <si>
    <t>ORD26000704</t>
  </si>
  <si>
    <t>pay_420000679</t>
  </si>
  <si>
    <t>ORD26000709</t>
  </si>
  <si>
    <t>pay_420000757</t>
  </si>
  <si>
    <t>ORD26000789</t>
  </si>
  <si>
    <t>pay_420000762</t>
  </si>
  <si>
    <t>ord26000794</t>
  </si>
  <si>
    <t>ORD26000794</t>
  </si>
  <si>
    <t>pay_420000790</t>
  </si>
  <si>
    <t>ORD26000823</t>
  </si>
  <si>
    <t>pay_420000822</t>
  </si>
  <si>
    <t>ORD26000856</t>
  </si>
  <si>
    <t>pay_420000832</t>
  </si>
  <si>
    <t>ORD26000866</t>
  </si>
  <si>
    <t>pay_420000841</t>
  </si>
  <si>
    <t>ORD26000876</t>
  </si>
  <si>
    <t>pay_420000871</t>
  </si>
  <si>
    <t>ORD26000910</t>
  </si>
  <si>
    <t>pay_420000921</t>
  </si>
  <si>
    <t>ORD26000961</t>
  </si>
  <si>
    <t>pay_420000944</t>
  </si>
  <si>
    <t>ORD26000986</t>
  </si>
  <si>
    <t>pay_420001023</t>
  </si>
  <si>
    <t xml:space="preserve">ORD26001067  </t>
  </si>
  <si>
    <t>ORD26001067</t>
  </si>
  <si>
    <t>pay_420001049</t>
  </si>
  <si>
    <t>ORD26001093</t>
  </si>
  <si>
    <t>pay_420001075</t>
  </si>
  <si>
    <t>ORD26001117</t>
  </si>
  <si>
    <t>pay_420001125</t>
  </si>
  <si>
    <t>ORD26001173</t>
  </si>
  <si>
    <t>pay_420001187</t>
  </si>
  <si>
    <t>ORD26001240</t>
  </si>
  <si>
    <t>pay_420001212</t>
  </si>
  <si>
    <t>ORD26001267</t>
  </si>
  <si>
    <t>pay_420001284</t>
  </si>
  <si>
    <t>ord26001344</t>
  </si>
  <si>
    <t>ORD26001344</t>
  </si>
  <si>
    <t>pay_420001348</t>
  </si>
  <si>
    <t>ORD26001412</t>
  </si>
  <si>
    <t>pay_420001355</t>
  </si>
  <si>
    <t>ORD26001419</t>
  </si>
  <si>
    <t>pay_420001376</t>
  </si>
  <si>
    <t>ORD26001445</t>
  </si>
  <si>
    <t>pay_420001441</t>
  </si>
  <si>
    <t>ORD26001507</t>
  </si>
  <si>
    <t>pay_420001484</t>
  </si>
  <si>
    <t>ORD26001549</t>
  </si>
  <si>
    <t>pay_420001522</t>
  </si>
  <si>
    <t>ORD26001589</t>
  </si>
  <si>
    <t>pay_420001525</t>
  </si>
  <si>
    <t>ORD26001592</t>
  </si>
  <si>
    <t>pay_420001538</t>
  </si>
  <si>
    <t>ORD26001606</t>
  </si>
  <si>
    <t>pay_420001569</t>
  </si>
  <si>
    <t>ORD26001639</t>
  </si>
  <si>
    <t>pay_420001570</t>
  </si>
  <si>
    <t xml:space="preserve">ORD26001640  </t>
  </si>
  <si>
    <t>ORD26001640</t>
  </si>
  <si>
    <t>pay_420001576</t>
  </si>
  <si>
    <t>ORD26001647</t>
  </si>
  <si>
    <t>pay_420001580</t>
  </si>
  <si>
    <t>ORD26001653</t>
  </si>
  <si>
    <t>pay_420001634</t>
  </si>
  <si>
    <t>ORD26001710</t>
  </si>
  <si>
    <t>pay_420001654</t>
  </si>
  <si>
    <t>ORD-26001731</t>
  </si>
  <si>
    <t>ORD26001731</t>
  </si>
  <si>
    <t>pay_420001661</t>
  </si>
  <si>
    <t>ORD-26001738</t>
  </si>
  <si>
    <t>ORD26001738</t>
  </si>
  <si>
    <t>pay_420001663</t>
  </si>
  <si>
    <t>ORD26001742</t>
  </si>
  <si>
    <t>pay_420001674</t>
  </si>
  <si>
    <t xml:space="preserve">ORD26001754  </t>
  </si>
  <si>
    <t>ORD26001754</t>
  </si>
  <si>
    <t>pay_420001724</t>
  </si>
  <si>
    <t>ORD26001805</t>
  </si>
  <si>
    <t>pay_420001756</t>
  </si>
  <si>
    <t>ORD26001838</t>
  </si>
  <si>
    <t>pay_420001763</t>
  </si>
  <si>
    <t>ORD26001845</t>
  </si>
  <si>
    <t>pay_420001789</t>
  </si>
  <si>
    <t>ORD26001872</t>
  </si>
  <si>
    <t>pay_420001848</t>
  </si>
  <si>
    <t>ORD26001933</t>
  </si>
  <si>
    <t>pay_420001855</t>
  </si>
  <si>
    <t>ORD26001940</t>
  </si>
  <si>
    <t>pay_420001877</t>
  </si>
  <si>
    <t>ORD26001965</t>
  </si>
  <si>
    <t>pay_420001887</t>
  </si>
  <si>
    <t>ORD26001975</t>
  </si>
  <si>
    <t>pay_420001932</t>
  </si>
  <si>
    <t>ORD26002025</t>
  </si>
  <si>
    <t>pay_420002076</t>
  </si>
  <si>
    <t>ORD26002169</t>
  </si>
  <si>
    <t>pay_420002104</t>
  </si>
  <si>
    <t>ord26002202</t>
  </si>
  <si>
    <t>ORD26002202</t>
  </si>
  <si>
    <t>pay_420002129</t>
  </si>
  <si>
    <t>ORD26002232</t>
  </si>
  <si>
    <t>pay_420002211</t>
  </si>
  <si>
    <t>ORD26002313</t>
  </si>
  <si>
    <t>pay_420002230</t>
  </si>
  <si>
    <t>ORD26002334</t>
  </si>
  <si>
    <t>pay_420002251</t>
  </si>
  <si>
    <t>ORD26002357</t>
  </si>
  <si>
    <t>pay_420002254</t>
  </si>
  <si>
    <t>ORD26002361</t>
  </si>
  <si>
    <t>pay_420002278</t>
  </si>
  <si>
    <t>ORD26002388</t>
  </si>
  <si>
    <t>pay_420002279</t>
  </si>
  <si>
    <t>pay_420002312</t>
  </si>
  <si>
    <t>ORD26002425</t>
  </si>
  <si>
    <t>pay_420002381</t>
  </si>
  <si>
    <t>ORD26002493</t>
  </si>
  <si>
    <t>pay_420002386</t>
  </si>
  <si>
    <t>ORD26002498</t>
  </si>
  <si>
    <t>pay_420002397</t>
  </si>
  <si>
    <t>ORD26002509</t>
  </si>
  <si>
    <t>pay_420002463</t>
  </si>
  <si>
    <t>ORD26002578</t>
  </si>
  <si>
    <t>pay_420002603</t>
  </si>
  <si>
    <t>ORD26002731</t>
  </si>
  <si>
    <t>pay_420002607</t>
  </si>
  <si>
    <t>ORD26002736</t>
  </si>
  <si>
    <t>pay_420002649</t>
  </si>
  <si>
    <t>ORD26002779</t>
  </si>
  <si>
    <t>pay_420002701</t>
  </si>
  <si>
    <t>ORD26002834</t>
  </si>
  <si>
    <t>pay_420002784</t>
  </si>
  <si>
    <t>ORD26002926</t>
  </si>
  <si>
    <t>pay_420002807</t>
  </si>
  <si>
    <t>ord26002949</t>
  </si>
  <si>
    <t>ORD26002949</t>
  </si>
  <si>
    <t>pay_420002891</t>
  </si>
  <si>
    <t>ORD26003032</t>
  </si>
  <si>
    <t>pay_420002924</t>
  </si>
  <si>
    <t>ORD26003067</t>
  </si>
  <si>
    <t>pay_420003023</t>
  </si>
  <si>
    <t>ORD26003174</t>
  </si>
  <si>
    <t>pay_420003039</t>
  </si>
  <si>
    <t>ORD26003191</t>
  </si>
  <si>
    <t>pay_420003054</t>
  </si>
  <si>
    <t>ORD26003206</t>
  </si>
  <si>
    <t>pay_420003072</t>
  </si>
  <si>
    <t>ord26003226</t>
  </si>
  <si>
    <t>ORD26003226</t>
  </si>
  <si>
    <t>pay_420003113</t>
  </si>
  <si>
    <t>ORD26003272</t>
  </si>
  <si>
    <t>pay_420003147</t>
  </si>
  <si>
    <t>ORD26003308</t>
  </si>
  <si>
    <t>pay_420003180</t>
  </si>
  <si>
    <t>ORD26003341</t>
  </si>
  <si>
    <t>pay_420003214</t>
  </si>
  <si>
    <t>ORD26003375</t>
  </si>
  <si>
    <t>pay_420003227</t>
  </si>
  <si>
    <t xml:space="preserve">ORD26003389  </t>
  </si>
  <si>
    <t>ORD26003389</t>
  </si>
  <si>
    <t>pay_420003254</t>
  </si>
  <si>
    <t>ORD-26003419</t>
  </si>
  <si>
    <t>ORD26003419</t>
  </si>
  <si>
    <t>pay_420003285</t>
  </si>
  <si>
    <t>ORD26003449</t>
  </si>
  <si>
    <t>pay_420003294</t>
  </si>
  <si>
    <t>ORD26003458</t>
  </si>
  <si>
    <t>pay_420003357</t>
  </si>
  <si>
    <t>ORD26003521</t>
  </si>
  <si>
    <t>pay_420003398</t>
  </si>
  <si>
    <t xml:space="preserve">ORD26003565  </t>
  </si>
  <si>
    <t>ORD26003565</t>
  </si>
  <si>
    <t>pay_420003479</t>
  </si>
  <si>
    <t>ORD26003648</t>
  </si>
  <si>
    <t>pay_420003491</t>
  </si>
  <si>
    <t>ORD26003659</t>
  </si>
  <si>
    <t>pay_420003498</t>
  </si>
  <si>
    <t>ORD26003666</t>
  </si>
  <si>
    <t>pay_420003520</t>
  </si>
  <si>
    <t>ORD26003690</t>
  </si>
  <si>
    <t>pay_420003547</t>
  </si>
  <si>
    <t>ORD26003718</t>
  </si>
  <si>
    <t>pay_420003602</t>
  </si>
  <si>
    <t>ORD26003771</t>
  </si>
  <si>
    <t>pay_420003606</t>
  </si>
  <si>
    <t>ORD26003775</t>
  </si>
  <si>
    <t>pay_420003650</t>
  </si>
  <si>
    <t>ORD26003822</t>
  </si>
  <si>
    <t>pay_420003655</t>
  </si>
  <si>
    <t>ORD26003827</t>
  </si>
  <si>
    <t>pay_420003679</t>
  </si>
  <si>
    <t>ORD26003849</t>
  </si>
  <si>
    <t>pay_420003695</t>
  </si>
  <si>
    <t>ORD26003867</t>
  </si>
  <si>
    <t>pay_420003712</t>
  </si>
  <si>
    <t>ORD26003885</t>
  </si>
  <si>
    <t>pay_420003717</t>
  </si>
  <si>
    <t>ORD26003890</t>
  </si>
  <si>
    <t>pay_420003794</t>
  </si>
  <si>
    <t>ORD26003972</t>
  </si>
  <si>
    <t>pay_420003805</t>
  </si>
  <si>
    <t xml:space="preserve">ORD26003984  </t>
  </si>
  <si>
    <t>ORD26003984</t>
  </si>
  <si>
    <t>pay_420003813</t>
  </si>
  <si>
    <t>ORD26003994</t>
  </si>
  <si>
    <t>pay_420003817</t>
  </si>
  <si>
    <t>ORD26003998</t>
  </si>
  <si>
    <t>pay_420003850</t>
  </si>
  <si>
    <t>ORD26004031</t>
  </si>
  <si>
    <t>pay_420003851</t>
  </si>
  <si>
    <t>ORD26004032</t>
  </si>
  <si>
    <t>pay_420003856</t>
  </si>
  <si>
    <t>ORD26004039</t>
  </si>
  <si>
    <t>pay_420003876</t>
  </si>
  <si>
    <t>ORD26004061</t>
  </si>
  <si>
    <t>pay_420003898</t>
  </si>
  <si>
    <t>ORD26004080</t>
  </si>
  <si>
    <t>pay_420003911</t>
  </si>
  <si>
    <t>ORD26004093</t>
  </si>
  <si>
    <t>pay_420003928</t>
  </si>
  <si>
    <t>ORD26004111</t>
  </si>
  <si>
    <t>pay_420003968</t>
  </si>
  <si>
    <t>ORD26004152</t>
  </si>
  <si>
    <t>pay_420003986</t>
  </si>
  <si>
    <t xml:space="preserve">ORD26004174  </t>
  </si>
  <si>
    <t>ORD26004174</t>
  </si>
  <si>
    <t>pay_420004004</t>
  </si>
  <si>
    <t>ord26004191</t>
  </si>
  <si>
    <t>ORD26004191</t>
  </si>
  <si>
    <t>pay_420004061</t>
  </si>
  <si>
    <t>ORD26004253</t>
  </si>
  <si>
    <t>pay_420004115</t>
  </si>
  <si>
    <t>ORD26004309</t>
  </si>
  <si>
    <t>pay_420004143</t>
  </si>
  <si>
    <t>ORD26004336</t>
  </si>
  <si>
    <t>pay_420004153</t>
  </si>
  <si>
    <t>ORD26004345</t>
  </si>
  <si>
    <t>pay_420004154</t>
  </si>
  <si>
    <t>ORD26004346</t>
  </si>
  <si>
    <t>pay_420004200</t>
  </si>
  <si>
    <t>ORD26004398</t>
  </si>
  <si>
    <t>pay_420004247</t>
  </si>
  <si>
    <t>ORD26004446</t>
  </si>
  <si>
    <t>pay_420004314</t>
  </si>
  <si>
    <t>ORD26004516</t>
  </si>
  <si>
    <t>pay_420004321</t>
  </si>
  <si>
    <t>ORD26004524</t>
  </si>
  <si>
    <t>pay_420004347</t>
  </si>
  <si>
    <t>ORD26004549</t>
  </si>
  <si>
    <t>pay_420004375</t>
  </si>
  <si>
    <t>ORD26004578</t>
  </si>
  <si>
    <t>pay_420004420</t>
  </si>
  <si>
    <t>ORD26004627</t>
  </si>
  <si>
    <t>pay_420004430</t>
  </si>
  <si>
    <t>ORD26004637</t>
  </si>
  <si>
    <t>pay_420004463</t>
  </si>
  <si>
    <t>ORD26004673</t>
  </si>
  <si>
    <t>pay_420004470</t>
  </si>
  <si>
    <t>ORD26004681</t>
  </si>
  <si>
    <t>pay_420004476</t>
  </si>
  <si>
    <t>ORD26004686</t>
  </si>
  <si>
    <t>pay_420004496</t>
  </si>
  <si>
    <t>ORD26004708</t>
  </si>
  <si>
    <t>pay_420004505</t>
  </si>
  <si>
    <t>ORD26004718</t>
  </si>
  <si>
    <t>pay_420004515</t>
  </si>
  <si>
    <t xml:space="preserve">ORD26004728  </t>
  </si>
  <si>
    <t>ORD26004728</t>
  </si>
  <si>
    <t>pay_420004571</t>
  </si>
  <si>
    <t>ORD26004785</t>
  </si>
  <si>
    <t>pay_420004594</t>
  </si>
  <si>
    <t>ORD26004807</t>
  </si>
  <si>
    <t>pay_420004613</t>
  </si>
  <si>
    <t>ord26004826</t>
  </si>
  <si>
    <t>ORD26004826</t>
  </si>
  <si>
    <t>pay_420004671</t>
  </si>
  <si>
    <t>ORD26004893</t>
  </si>
  <si>
    <t>pay_420004674</t>
  </si>
  <si>
    <t>ORD-26004895</t>
  </si>
  <si>
    <t>ORD26004895</t>
  </si>
  <si>
    <t>pay_420004680</t>
  </si>
  <si>
    <t>ORD26004901</t>
  </si>
  <si>
    <t>pay_420004752</t>
  </si>
  <si>
    <t>ORD26004973</t>
  </si>
  <si>
    <t>pay_420004763</t>
  </si>
  <si>
    <t>ORD26004984</t>
  </si>
  <si>
    <t>pay_420004773</t>
  </si>
  <si>
    <t>ORD26004995</t>
  </si>
  <si>
    <t>pay_420004781</t>
  </si>
  <si>
    <t>ORD26005003</t>
  </si>
  <si>
    <t>pay_420004789</t>
  </si>
  <si>
    <t>ord26005010</t>
  </si>
  <si>
    <t>ORD26005010</t>
  </si>
  <si>
    <t>pay_420004798</t>
  </si>
  <si>
    <t>ORD26005020</t>
  </si>
  <si>
    <t>pay_420004822</t>
  </si>
  <si>
    <t>ORD26005044</t>
  </si>
  <si>
    <t>pay_420004838</t>
  </si>
  <si>
    <t>ORD26005059</t>
  </si>
  <si>
    <t>pay_420004848</t>
  </si>
  <si>
    <t>ORD26005071</t>
  </si>
  <si>
    <t>pay_420004857</t>
  </si>
  <si>
    <t>ORD-26005080</t>
  </si>
  <si>
    <t>ORD26005080</t>
  </si>
  <si>
    <t>pay_420004901</t>
  </si>
  <si>
    <t>ORD26005128</t>
  </si>
  <si>
    <t>pay_420004962</t>
  </si>
  <si>
    <t>ORD26005195</t>
  </si>
  <si>
    <t>pay_420004965</t>
  </si>
  <si>
    <t>ORD26005198</t>
  </si>
  <si>
    <t>pay_420004976</t>
  </si>
  <si>
    <t>ORD26005208</t>
  </si>
  <si>
    <t>pay_420004994</t>
  </si>
  <si>
    <t>ORD26005229</t>
  </si>
  <si>
    <t>pay_420005010</t>
  </si>
  <si>
    <t>ORD26005246</t>
  </si>
  <si>
    <t>pay_420005027</t>
  </si>
  <si>
    <t>ORD26005264</t>
  </si>
  <si>
    <t>pay_420005035</t>
  </si>
  <si>
    <t>ORD26005272</t>
  </si>
  <si>
    <t>pay_420005046</t>
  </si>
  <si>
    <t xml:space="preserve">ORD26005283  </t>
  </si>
  <si>
    <t>ORD26005283</t>
  </si>
  <si>
    <t>pay_420005083</t>
  </si>
  <si>
    <t>ORD26005324</t>
  </si>
  <si>
    <t>pay_420005113</t>
  </si>
  <si>
    <t xml:space="preserve">ORD26005350  </t>
  </si>
  <si>
    <t>ORD26005350</t>
  </si>
  <si>
    <t>pay_420005123</t>
  </si>
  <si>
    <t>ORD-26005359</t>
  </si>
  <si>
    <t>ORD26005359</t>
  </si>
  <si>
    <t>pay_420005146</t>
  </si>
  <si>
    <t>ORD26005386</t>
  </si>
  <si>
    <t>pay_420005183</t>
  </si>
  <si>
    <t>ord26005422</t>
  </si>
  <si>
    <t>ORD26005422</t>
  </si>
  <si>
    <t>pay_420005266</t>
  </si>
  <si>
    <t>ORD26005503</t>
  </si>
  <si>
    <t>pay_420005272</t>
  </si>
  <si>
    <t>ORD26005509</t>
  </si>
  <si>
    <t>pay_420005314</t>
  </si>
  <si>
    <t>ord26005554</t>
  </si>
  <si>
    <t>ORD26005554</t>
  </si>
  <si>
    <t>pay_420005324</t>
  </si>
  <si>
    <t>ORD26005565</t>
  </si>
  <si>
    <t>pay_420005325</t>
  </si>
  <si>
    <t>ORD-26005566</t>
  </si>
  <si>
    <t>ORD26005566</t>
  </si>
  <si>
    <t>pay_420005346</t>
  </si>
  <si>
    <t>ORD26005588</t>
  </si>
  <si>
    <t>pay_420005348</t>
  </si>
  <si>
    <t>ORD26005590</t>
  </si>
  <si>
    <t>pay_420005396</t>
  </si>
  <si>
    <t>ord26005639</t>
  </si>
  <si>
    <t>ORD26005639</t>
  </si>
  <si>
    <t>pay_420005397</t>
  </si>
  <si>
    <t>ORD26005640</t>
  </si>
  <si>
    <t>pay_420005405</t>
  </si>
  <si>
    <t>ORD26005650</t>
  </si>
  <si>
    <t>pay_420005456</t>
  </si>
  <si>
    <t>ORD26005704</t>
  </si>
  <si>
    <t>pay_420005506</t>
  </si>
  <si>
    <t>ORD26005756</t>
  </si>
  <si>
    <t>pay_420005594</t>
  </si>
  <si>
    <t>ORD26005852</t>
  </si>
  <si>
    <t>pay_420005601</t>
  </si>
  <si>
    <t>ORD26005858</t>
  </si>
  <si>
    <t>pay_420005608</t>
  </si>
  <si>
    <t>ORD26005865</t>
  </si>
  <si>
    <t>pay_420005618</t>
  </si>
  <si>
    <t>ORD26005878</t>
  </si>
  <si>
    <t>pay_420005676</t>
  </si>
  <si>
    <t>ORD26005941</t>
  </si>
  <si>
    <t>pay_420005690</t>
  </si>
  <si>
    <t>ORD26005956</t>
  </si>
  <si>
    <t>rfnd_38BLG666PDTT</t>
  </si>
  <si>
    <t>rfnd_7H6AS93MDQFB</t>
  </si>
  <si>
    <t>rfnd_BXSRPYHJ0FUA</t>
  </si>
  <si>
    <t>rfnd_CVM17N05VLYP</t>
  </si>
  <si>
    <t>rfnd_CZ9HL549HH5D</t>
  </si>
  <si>
    <t>rfnd_FUJ52DTZCC4W</t>
  </si>
  <si>
    <t>rfnd_NCDXK3GYJZGV</t>
  </si>
  <si>
    <t>rfnd_WF2QUF0XN0E8</t>
  </si>
  <si>
    <t>rfnd_WR7CYHBHNSMD</t>
  </si>
  <si>
    <t>pay_420000001</t>
  </si>
  <si>
    <t>ORD26000001</t>
  </si>
  <si>
    <t>STL-20260923</t>
  </si>
  <si>
    <t>pay_420000014</t>
  </si>
  <si>
    <t>ORD26000014</t>
  </si>
  <si>
    <t>pay_420000017</t>
  </si>
  <si>
    <t>ORD26000017</t>
  </si>
  <si>
    <t>pay_420000018</t>
  </si>
  <si>
    <t>ORD26000018</t>
  </si>
  <si>
    <t>pay_420000024</t>
  </si>
  <si>
    <t>ord26000023</t>
  </si>
  <si>
    <t>ORD26000023</t>
  </si>
  <si>
    <t>pay_420000122</t>
  </si>
  <si>
    <t xml:space="preserve">ORD26000131  </t>
  </si>
  <si>
    <t>ORD26000131</t>
  </si>
  <si>
    <t>pay_420000129</t>
  </si>
  <si>
    <t>ORD26000138</t>
  </si>
  <si>
    <t>pay_420000154</t>
  </si>
  <si>
    <t>ORD26000164</t>
  </si>
  <si>
    <t>pay_420000167</t>
  </si>
  <si>
    <t>ORD26000180</t>
  </si>
  <si>
    <t>pay_420000176</t>
  </si>
  <si>
    <t>ORD26000190</t>
  </si>
  <si>
    <t>pay_420000204</t>
  </si>
  <si>
    <t>ORD26000219</t>
  </si>
  <si>
    <t>pay_420000208</t>
  </si>
  <si>
    <t>ord26000222</t>
  </si>
  <si>
    <t>ORD26000222</t>
  </si>
  <si>
    <t>pay_420000225</t>
  </si>
  <si>
    <t>ORD26000240</t>
  </si>
  <si>
    <t>pay_420000248</t>
  </si>
  <si>
    <t>ord26000265</t>
  </si>
  <si>
    <t>ORD26000265</t>
  </si>
  <si>
    <t>pay_420000260</t>
  </si>
  <si>
    <t>ORD26000277</t>
  </si>
  <si>
    <t>pay_420000269</t>
  </si>
  <si>
    <t>ORD26000286</t>
  </si>
  <si>
    <t>pay_420000306</t>
  </si>
  <si>
    <t>ORD26000322</t>
  </si>
  <si>
    <t>pay_420000336</t>
  </si>
  <si>
    <t>ord26000353</t>
  </si>
  <si>
    <t>ORD26000353</t>
  </si>
  <si>
    <t>pay_420000358</t>
  </si>
  <si>
    <t>ORD26000377</t>
  </si>
  <si>
    <t>pay_420000362</t>
  </si>
  <si>
    <t>ORD26000380</t>
  </si>
  <si>
    <t>pay_420000401</t>
  </si>
  <si>
    <t>ORD26000418</t>
  </si>
  <si>
    <t>pay_420000405</t>
  </si>
  <si>
    <t>ORD26000422</t>
  </si>
  <si>
    <t>pay_420000438</t>
  </si>
  <si>
    <t>ORD26000456</t>
  </si>
  <si>
    <t>pay_420000499</t>
  </si>
  <si>
    <t>ORD26000521</t>
  </si>
  <si>
    <t>pay_420000535</t>
  </si>
  <si>
    <t>ORD26000560</t>
  </si>
  <si>
    <t>pay_420000555</t>
  </si>
  <si>
    <t>ORD26000579</t>
  </si>
  <si>
    <t>pay_420000560</t>
  </si>
  <si>
    <t>ORD26000583</t>
  </si>
  <si>
    <t>pay_420000568</t>
  </si>
  <si>
    <t>ORD26000590</t>
  </si>
  <si>
    <t>pay_420000576</t>
  </si>
  <si>
    <t>ORD26000598</t>
  </si>
  <si>
    <t>pay_420000635</t>
  </si>
  <si>
    <t>ORD26000662</t>
  </si>
  <si>
    <t>pay_420000695</t>
  </si>
  <si>
    <t>ORD26000725</t>
  </si>
  <si>
    <t>pay_420000717</t>
  </si>
  <si>
    <t>ORD26000750</t>
  </si>
  <si>
    <t>pay_420000772</t>
  </si>
  <si>
    <t>ORD26000804</t>
  </si>
  <si>
    <t>pay_420000842</t>
  </si>
  <si>
    <t>ORD26000877</t>
  </si>
  <si>
    <t>pay_420000853</t>
  </si>
  <si>
    <t>ORD26000888</t>
  </si>
  <si>
    <t>pay_420000866</t>
  </si>
  <si>
    <t>ORD26000904</t>
  </si>
  <si>
    <t>pay_420000873</t>
  </si>
  <si>
    <t>ORD26000912</t>
  </si>
  <si>
    <t>pay_420000915</t>
  </si>
  <si>
    <t>ORD26000955</t>
  </si>
  <si>
    <t>pay_420000917</t>
  </si>
  <si>
    <t>ORD26000957</t>
  </si>
  <si>
    <t>pay_420000946</t>
  </si>
  <si>
    <t>ORD26000988</t>
  </si>
  <si>
    <t>pay_420000979</t>
  </si>
  <si>
    <t>ord26001021</t>
  </si>
  <si>
    <t>ORD26001021</t>
  </si>
  <si>
    <t>pay_420001074</t>
  </si>
  <si>
    <t>ORD26001116</t>
  </si>
  <si>
    <t>pay_420001086</t>
  </si>
  <si>
    <t>ORD26001129</t>
  </si>
  <si>
    <t>pay_420001098</t>
  </si>
  <si>
    <t>ORD26001144</t>
  </si>
  <si>
    <t>pay_420001137</t>
  </si>
  <si>
    <t>ORD26001185</t>
  </si>
  <si>
    <t>pay_420001160</t>
  </si>
  <si>
    <t>ORD26001209</t>
  </si>
  <si>
    <t>pay_420001191</t>
  </si>
  <si>
    <t xml:space="preserve">ORD26001244  </t>
  </si>
  <si>
    <t>ORD26001244</t>
  </si>
  <si>
    <t>pay_420001199</t>
  </si>
  <si>
    <t>ORD26001252</t>
  </si>
  <si>
    <t>pay_420001211</t>
  </si>
  <si>
    <t>ORD26001265</t>
  </si>
  <si>
    <t>pay_420001293</t>
  </si>
  <si>
    <t>ORD26001354</t>
  </si>
  <si>
    <t>pay_420001310</t>
  </si>
  <si>
    <t>ORD26001373</t>
  </si>
  <si>
    <t>pay_420001342</t>
  </si>
  <si>
    <t>ORD26001406</t>
  </si>
  <si>
    <t>pay_420001368</t>
  </si>
  <si>
    <t>ORD26001435</t>
  </si>
  <si>
    <t>pay_420001386</t>
  </si>
  <si>
    <t xml:space="preserve">ORD26001456  </t>
  </si>
  <si>
    <t>ORD26001456</t>
  </si>
  <si>
    <t>pay_420001408</t>
  </si>
  <si>
    <t>ORD26001478</t>
  </si>
  <si>
    <t>pay_420001448</t>
  </si>
  <si>
    <t xml:space="preserve">ORD26001514  </t>
  </si>
  <si>
    <t>ORD26001514</t>
  </si>
  <si>
    <t>pay_420001451</t>
  </si>
  <si>
    <t>ORD26001517</t>
  </si>
  <si>
    <t>pay_420001506</t>
  </si>
  <si>
    <t>ORD26001572</t>
  </si>
  <si>
    <t>pay_420001531</t>
  </si>
  <si>
    <t>ORD26001598</t>
  </si>
  <si>
    <t>pay_420001558</t>
  </si>
  <si>
    <t>ORD26001625</t>
  </si>
  <si>
    <t>pay_420001561</t>
  </si>
  <si>
    <t>ord26001629</t>
  </si>
  <si>
    <t>ORD26001629</t>
  </si>
  <si>
    <t>pay_420001564</t>
  </si>
  <si>
    <t>ORD26001633</t>
  </si>
  <si>
    <t>pay_420001577</t>
  </si>
  <si>
    <t>ORD26001649</t>
  </si>
  <si>
    <t>pay_420001585</t>
  </si>
  <si>
    <t>ord26001657</t>
  </si>
  <si>
    <t>ORD26001657</t>
  </si>
  <si>
    <t>pay_420001611</t>
  </si>
  <si>
    <t>ORD26001686</t>
  </si>
  <si>
    <t>pay_420001650</t>
  </si>
  <si>
    <t>ORD26001727</t>
  </si>
  <si>
    <t>pay_420001664</t>
  </si>
  <si>
    <t>ORD26001743</t>
  </si>
  <si>
    <t>pay_420001675</t>
  </si>
  <si>
    <t>ORD26001755</t>
  </si>
  <si>
    <t>pay_420001689</t>
  </si>
  <si>
    <t>ORD26001768</t>
  </si>
  <si>
    <t>pay_420001759</t>
  </si>
  <si>
    <t>ORD26001841</t>
  </si>
  <si>
    <t>pay_420001769</t>
  </si>
  <si>
    <t>ORD26001851</t>
  </si>
  <si>
    <t>pay_420001793</t>
  </si>
  <si>
    <t>ORD26001876</t>
  </si>
  <si>
    <t>pay_420001797</t>
  </si>
  <si>
    <t xml:space="preserve">ORD26001880  </t>
  </si>
  <si>
    <t>ORD26001880</t>
  </si>
  <si>
    <t>pay_420001828</t>
  </si>
  <si>
    <t>ORD26001912</t>
  </si>
  <si>
    <t>pay_420001861</t>
  </si>
  <si>
    <t>ORD26001947</t>
  </si>
  <si>
    <t>pay_420001904</t>
  </si>
  <si>
    <t>ORD-26001993</t>
  </si>
  <si>
    <t>ORD26001993</t>
  </si>
  <si>
    <t>pay_420001967</t>
  </si>
  <si>
    <t>ORD26002062</t>
  </si>
  <si>
    <t>pay_420001979</t>
  </si>
  <si>
    <t>ORD26002073</t>
  </si>
  <si>
    <t>pay_420001996</t>
  </si>
  <si>
    <t>ORD26002089</t>
  </si>
  <si>
    <t>pay_420002023</t>
  </si>
  <si>
    <t>ORD26002115</t>
  </si>
  <si>
    <t>pay_420002068</t>
  </si>
  <si>
    <t>ORD26002160</t>
  </si>
  <si>
    <t>pay_420002079</t>
  </si>
  <si>
    <t>ORD26002172</t>
  </si>
  <si>
    <t>pay_420002114</t>
  </si>
  <si>
    <t>ORD-26002215</t>
  </si>
  <si>
    <t>ORD26002215</t>
  </si>
  <si>
    <t>pay_420002237</t>
  </si>
  <si>
    <t>ORD26002341</t>
  </si>
  <si>
    <t>pay_420002250</t>
  </si>
  <si>
    <t xml:space="preserve">ORD26002356  </t>
  </si>
  <si>
    <t>ORD26002356</t>
  </si>
  <si>
    <t>pay_420002284</t>
  </si>
  <si>
    <t>ORD26002394</t>
  </si>
  <si>
    <t>pay_420002432</t>
  </si>
  <si>
    <t>ORD26002544</t>
  </si>
  <si>
    <t>pay_420002478</t>
  </si>
  <si>
    <t>ORD26002594</t>
  </si>
  <si>
    <t>pay_420002492</t>
  </si>
  <si>
    <t>ORD26002609</t>
  </si>
  <si>
    <t>pay_420002509</t>
  </si>
  <si>
    <t>ORD26002629</t>
  </si>
  <si>
    <t>pay_420002517</t>
  </si>
  <si>
    <t>ORD26002640</t>
  </si>
  <si>
    <t>pay_420002600</t>
  </si>
  <si>
    <t>ORD26002728</t>
  </si>
  <si>
    <t>pay_420002611</t>
  </si>
  <si>
    <t>ORD26002741</t>
  </si>
  <si>
    <t>pay_420002620</t>
  </si>
  <si>
    <t>ORD-26002749</t>
  </si>
  <si>
    <t>ORD26002749</t>
  </si>
  <si>
    <t>pay_420002631</t>
  </si>
  <si>
    <t>ORD26002760</t>
  </si>
  <si>
    <t>pay_420002678</t>
  </si>
  <si>
    <t>ORD26002810</t>
  </si>
  <si>
    <t>pay_420002693</t>
  </si>
  <si>
    <t>ORD26002825</t>
  </si>
  <si>
    <t>pay_420002868</t>
  </si>
  <si>
    <t>ORD26003009</t>
  </si>
  <si>
    <t>pay_420002887</t>
  </si>
  <si>
    <t>ORD26003029</t>
  </si>
  <si>
    <t>pay_420002896</t>
  </si>
  <si>
    <t>ORD-26003039</t>
  </si>
  <si>
    <t>ORD26003039</t>
  </si>
  <si>
    <t>pay_420002953</t>
  </si>
  <si>
    <t>ORD26003098</t>
  </si>
  <si>
    <t>pay_420002976</t>
  </si>
  <si>
    <t>ORD26003123</t>
  </si>
  <si>
    <t>pay_420002986</t>
  </si>
  <si>
    <t>ORD26003135</t>
  </si>
  <si>
    <t>pay_420003000</t>
  </si>
  <si>
    <t>ORD26003150</t>
  </si>
  <si>
    <t>pay_420003065</t>
  </si>
  <si>
    <t>ORD26003219</t>
  </si>
  <si>
    <t>pay_420003093</t>
  </si>
  <si>
    <t>ORD26003249</t>
  </si>
  <si>
    <t>pay_420003101</t>
  </si>
  <si>
    <t>ORD26003258</t>
  </si>
  <si>
    <t>pay_420003128</t>
  </si>
  <si>
    <t>ORD26003288</t>
  </si>
  <si>
    <t>pay_420003189</t>
  </si>
  <si>
    <t>ORD26003350</t>
  </si>
  <si>
    <t>pay_420003204</t>
  </si>
  <si>
    <t>ORD26003365</t>
  </si>
  <si>
    <t>pay_420003205</t>
  </si>
  <si>
    <t>ORD26003366</t>
  </si>
  <si>
    <t>pay_420003313</t>
  </si>
  <si>
    <t>ORD26003476</t>
  </si>
  <si>
    <t>pay_420003321</t>
  </si>
  <si>
    <t>ORD26003484</t>
  </si>
  <si>
    <t>pay_420003407</t>
  </si>
  <si>
    <t>ORD26003574</t>
  </si>
  <si>
    <t>pay_420003457</t>
  </si>
  <si>
    <t>ORD26003625</t>
  </si>
  <si>
    <t>pay_420003478</t>
  </si>
  <si>
    <t xml:space="preserve">ORD26003647  </t>
  </si>
  <si>
    <t>ORD26003647</t>
  </si>
  <si>
    <t>pay_420003484</t>
  </si>
  <si>
    <t>ORD-26003652</t>
  </si>
  <si>
    <t>ORD26003652</t>
  </si>
  <si>
    <t>pay_420003493</t>
  </si>
  <si>
    <t>ORD26003661</t>
  </si>
  <si>
    <t>pay_420003524</t>
  </si>
  <si>
    <t xml:space="preserve">ORD26003695  </t>
  </si>
  <si>
    <t>ORD26003695</t>
  </si>
  <si>
    <t>pay_420003596</t>
  </si>
  <si>
    <t>ORD26003765</t>
  </si>
  <si>
    <t>pay_420003692</t>
  </si>
  <si>
    <t>ord26003864</t>
  </si>
  <si>
    <t>ORD26003864</t>
  </si>
  <si>
    <t>pay_420003693</t>
  </si>
  <si>
    <t xml:space="preserve">ORD26003865  </t>
  </si>
  <si>
    <t>ORD26003865</t>
  </si>
  <si>
    <t>pay_420003704</t>
  </si>
  <si>
    <t>ORD26003877</t>
  </si>
  <si>
    <t>pay_420003706</t>
  </si>
  <si>
    <t>ORD26003880</t>
  </si>
  <si>
    <t>pay_420003715</t>
  </si>
  <si>
    <t>ORD26003888</t>
  </si>
  <si>
    <t>pay_420003753</t>
  </si>
  <si>
    <t>ORD26003928</t>
  </si>
  <si>
    <t>pay_420003803</t>
  </si>
  <si>
    <t>ORD26003981</t>
  </si>
  <si>
    <t>pay_420003828</t>
  </si>
  <si>
    <t>ORD26004009</t>
  </si>
  <si>
    <t>pay_420003835</t>
  </si>
  <si>
    <t xml:space="preserve">ORD26004016  </t>
  </si>
  <si>
    <t>ORD26004016</t>
  </si>
  <si>
    <t>pay_420003846</t>
  </si>
  <si>
    <t>ORD26004027</t>
  </si>
  <si>
    <t>pay_420003855</t>
  </si>
  <si>
    <t>ORD26004038</t>
  </si>
  <si>
    <t>pay_420004014</t>
  </si>
  <si>
    <t>ORD26004202</t>
  </si>
  <si>
    <t>pay_420004025</t>
  </si>
  <si>
    <t>ORD-26004215</t>
  </si>
  <si>
    <t>ORD26004215</t>
  </si>
  <si>
    <t>pay_420004057</t>
  </si>
  <si>
    <t xml:space="preserve">ORD26004249  </t>
  </si>
  <si>
    <t>ORD26004249</t>
  </si>
  <si>
    <t>pay_420004120</t>
  </si>
  <si>
    <t>ORD26004312</t>
  </si>
  <si>
    <t>pay_420004158</t>
  </si>
  <si>
    <t>ORD26004351</t>
  </si>
  <si>
    <t>pay_420004250</t>
  </si>
  <si>
    <t>ORD26004448</t>
  </si>
  <si>
    <t>pay_420004293</t>
  </si>
  <si>
    <t>ORD26004492</t>
  </si>
  <si>
    <t>pay_420004371</t>
  </si>
  <si>
    <t>ORD26004574</t>
  </si>
  <si>
    <t>pay_420004543</t>
  </si>
  <si>
    <t>ORD26004756</t>
  </si>
  <si>
    <t>pay_420004607</t>
  </si>
  <si>
    <t>ORD26004821</t>
  </si>
  <si>
    <t>pay_420004632</t>
  </si>
  <si>
    <t>ORD26004847</t>
  </si>
  <si>
    <t>pay_420004717</t>
  </si>
  <si>
    <t>ORD26004938</t>
  </si>
  <si>
    <t>pay_420004737</t>
  </si>
  <si>
    <t>ORD26004959</t>
  </si>
  <si>
    <t>pay_420004755</t>
  </si>
  <si>
    <t>ORD26004976</t>
  </si>
  <si>
    <t>pay_420004843</t>
  </si>
  <si>
    <t>ORD26005065</t>
  </si>
  <si>
    <t>pay_420004895</t>
  </si>
  <si>
    <t>ORD26005123</t>
  </si>
  <si>
    <t>pay_420004918</t>
  </si>
  <si>
    <t>ORD26005147</t>
  </si>
  <si>
    <t>pay_420004932</t>
  </si>
  <si>
    <t xml:space="preserve">ORD26005163  </t>
  </si>
  <si>
    <t>ORD26005163</t>
  </si>
  <si>
    <t>pay_420004957</t>
  </si>
  <si>
    <t>ORD26005189</t>
  </si>
  <si>
    <t>pay_420004982</t>
  </si>
  <si>
    <t>ORD26005215</t>
  </si>
  <si>
    <t>pay_420005011</t>
  </si>
  <si>
    <t>ord26005247</t>
  </si>
  <si>
    <t>ORD26005247</t>
  </si>
  <si>
    <t>pay_420005073</t>
  </si>
  <si>
    <t>ord26005314</t>
  </si>
  <si>
    <t>ORD26005314</t>
  </si>
  <si>
    <t>pay_420005141</t>
  </si>
  <si>
    <t>ORD26005381</t>
  </si>
  <si>
    <t>pay_420005180</t>
  </si>
  <si>
    <t>ORD26005418</t>
  </si>
  <si>
    <t>pay_420005204</t>
  </si>
  <si>
    <t>ORD26005444</t>
  </si>
  <si>
    <t>pay_420005255</t>
  </si>
  <si>
    <t>ORD26005493</t>
  </si>
  <si>
    <t>pay_420005322</t>
  </si>
  <si>
    <t>ORD26005563</t>
  </si>
  <si>
    <t>pay_420005323</t>
  </si>
  <si>
    <t>ORD26005564</t>
  </si>
  <si>
    <t>pay_420005368</t>
  </si>
  <si>
    <t>ORD26005610</t>
  </si>
  <si>
    <t>pay_420005457</t>
  </si>
  <si>
    <t>ORD26005705</t>
  </si>
  <si>
    <t>pay_420005469</t>
  </si>
  <si>
    <t>ORD26005718</t>
  </si>
  <si>
    <t>pay_420005522</t>
  </si>
  <si>
    <t>ORD26005773</t>
  </si>
  <si>
    <t>pay_420005527</t>
  </si>
  <si>
    <t>ORD26005780</t>
  </si>
  <si>
    <t>pay_420005537</t>
  </si>
  <si>
    <t>ORD26005791</t>
  </si>
  <si>
    <t>pay_420005543</t>
  </si>
  <si>
    <t>ORD26005796</t>
  </si>
  <si>
    <t>pay_420005570</t>
  </si>
  <si>
    <t>ORD26005825</t>
  </si>
  <si>
    <t>pay_420005615</t>
  </si>
  <si>
    <t>ORD-26005874</t>
  </si>
  <si>
    <t>ORD26005874</t>
  </si>
  <si>
    <t>pay_420005620</t>
  </si>
  <si>
    <t>ORD26005881</t>
  </si>
  <si>
    <t>pay_420005647</t>
  </si>
  <si>
    <t>ORD26005912</t>
  </si>
  <si>
    <t>pay_420005651</t>
  </si>
  <si>
    <t>ORD26005916</t>
  </si>
  <si>
    <t>pay_420005662</t>
  </si>
  <si>
    <t>ord26005928</t>
  </si>
  <si>
    <t>ORD26005928</t>
  </si>
  <si>
    <t>pay_420005712</t>
  </si>
  <si>
    <t>ORD26005980</t>
  </si>
  <si>
    <t>rfnd_2V9M2216JP6U</t>
  </si>
  <si>
    <t>rfnd_4SQCG41G4THE</t>
  </si>
  <si>
    <t>rfnd_5UHQSMT5J17R</t>
  </si>
  <si>
    <t>rfnd_BPPP7G28P61Y</t>
  </si>
  <si>
    <t>rfnd_CXKD8WWM1PTS</t>
  </si>
  <si>
    <t>rfnd_HAFDB2XX3Q6V</t>
  </si>
  <si>
    <t>rfnd_K9EDEUS395DP</t>
  </si>
  <si>
    <t>rfnd_NW5EFHZPHKH1</t>
  </si>
  <si>
    <t>rfnd_RZL0CYMB8HE7</t>
  </si>
  <si>
    <t>rfnd_SVZ3E9KQNV6F</t>
  </si>
  <si>
    <t>rfnd_X5X1Y15M6MUD</t>
  </si>
  <si>
    <t>pay_420000071</t>
  </si>
  <si>
    <t>ORD26000073</t>
  </si>
  <si>
    <t>STL-20260924</t>
  </si>
  <si>
    <t>pay_420000135</t>
  </si>
  <si>
    <t>ORD26000144</t>
  </si>
  <si>
    <t>pay_420000153</t>
  </si>
  <si>
    <t>ORD26000163</t>
  </si>
  <si>
    <t>pay_420000165</t>
  </si>
  <si>
    <t>ORD26000176</t>
  </si>
  <si>
    <t>pay_420000182</t>
  </si>
  <si>
    <t>ORD26000196</t>
  </si>
  <si>
    <t>pay_420000213</t>
  </si>
  <si>
    <t>ord26000227</t>
  </si>
  <si>
    <t>ORD26000227</t>
  </si>
  <si>
    <t>pay_420000246</t>
  </si>
  <si>
    <t>ORD26000263</t>
  </si>
  <si>
    <t>pay_420000319</t>
  </si>
  <si>
    <t>ord26000334</t>
  </si>
  <si>
    <t>ORD26000334</t>
  </si>
  <si>
    <t>pay_420000326</t>
  </si>
  <si>
    <t>ORD26000341</t>
  </si>
  <si>
    <t>pay_420000331</t>
  </si>
  <si>
    <t>ORD26000347</t>
  </si>
  <si>
    <t>pay_420000361</t>
  </si>
  <si>
    <t>ord26000379</t>
  </si>
  <si>
    <t>ORD26000379</t>
  </si>
  <si>
    <t>pay_420000364</t>
  </si>
  <si>
    <t>ORD26000383</t>
  </si>
  <si>
    <t>pay_420000366</t>
  </si>
  <si>
    <t>ORD26000385</t>
  </si>
  <si>
    <t>pay_420000517</t>
  </si>
  <si>
    <t>ORD26000542</t>
  </si>
  <si>
    <t>pay_420000543</t>
  </si>
  <si>
    <t>ord26000568</t>
  </si>
  <si>
    <t>ORD26000568</t>
  </si>
  <si>
    <t>pay_420000588</t>
  </si>
  <si>
    <t>ORD26000610</t>
  </si>
  <si>
    <t>pay_420000602</t>
  </si>
  <si>
    <t>ORD26000624</t>
  </si>
  <si>
    <t>pay_420000694</t>
  </si>
  <si>
    <t>ORD26000724</t>
  </si>
  <si>
    <t>pay_420000697</t>
  </si>
  <si>
    <t>ORD26000727</t>
  </si>
  <si>
    <t>pay_420000791</t>
  </si>
  <si>
    <t>ORD26000824</t>
  </si>
  <si>
    <t>pay_420000797</t>
  </si>
  <si>
    <t>ORD26000830</t>
  </si>
  <si>
    <t>pay_420000899</t>
  </si>
  <si>
    <t>ORD26000938</t>
  </si>
  <si>
    <t>pay_420000902</t>
  </si>
  <si>
    <t>ord26000941</t>
  </si>
  <si>
    <t>ORD26000941</t>
  </si>
  <si>
    <t>pay_420000906</t>
  </si>
  <si>
    <t>ORD26000945</t>
  </si>
  <si>
    <t>pay_420000912</t>
  </si>
  <si>
    <t>ORD26000952</t>
  </si>
  <si>
    <t>pay_420000986</t>
  </si>
  <si>
    <t>ORD26001030</t>
  </si>
  <si>
    <t>pay_420000989</t>
  </si>
  <si>
    <t>ORD26001033</t>
  </si>
  <si>
    <t>pay_420001035</t>
  </si>
  <si>
    <t>ORD26001077</t>
  </si>
  <si>
    <t>pay_420001052</t>
  </si>
  <si>
    <t>ORD26001096</t>
  </si>
  <si>
    <t>pay_420001064</t>
  </si>
  <si>
    <t>ORD26001107</t>
  </si>
  <si>
    <t>pay_420001077</t>
  </si>
  <si>
    <t>ORD26001119</t>
  </si>
  <si>
    <t>pay_420001094</t>
  </si>
  <si>
    <t>ORD26001137</t>
  </si>
  <si>
    <t>pay_420001104</t>
  </si>
  <si>
    <t>ORD26001151</t>
  </si>
  <si>
    <t>pay_420001171</t>
  </si>
  <si>
    <t>ORD26001219</t>
  </si>
  <si>
    <t>pay_420001217</t>
  </si>
  <si>
    <t>ORD26001272</t>
  </si>
  <si>
    <t>pay_420001298</t>
  </si>
  <si>
    <t>ORD26001359</t>
  </si>
  <si>
    <t>pay_420001308</t>
  </si>
  <si>
    <t xml:space="preserve">ORD26001371  </t>
  </si>
  <si>
    <t>ORD26001371</t>
  </si>
  <si>
    <t>pay_420001350</t>
  </si>
  <si>
    <t>ORD26001415</t>
  </si>
  <si>
    <t>pay_420001358</t>
  </si>
  <si>
    <t>ORD26001424</t>
  </si>
  <si>
    <t>pay_420001398</t>
  </si>
  <si>
    <t>ORD26001468</t>
  </si>
  <si>
    <t>pay_420001473</t>
  </si>
  <si>
    <t>ord26001537</t>
  </si>
  <si>
    <t>ORD26001537</t>
  </si>
  <si>
    <t>pay_420001482</t>
  </si>
  <si>
    <t>ORD26001547</t>
  </si>
  <si>
    <t>pay_420001513</t>
  </si>
  <si>
    <t>ord26001581</t>
  </si>
  <si>
    <t>ORD26001581</t>
  </si>
  <si>
    <t>pay_420001568</t>
  </si>
  <si>
    <t>ORD26001638</t>
  </si>
  <si>
    <t>pay_420001601</t>
  </si>
  <si>
    <t>ORD26001676</t>
  </si>
  <si>
    <t>pay_420001679</t>
  </si>
  <si>
    <t>ORD26001760</t>
  </si>
  <si>
    <t>pay_420001758</t>
  </si>
  <si>
    <t>ORD26001840</t>
  </si>
  <si>
    <t>pay_420001798</t>
  </si>
  <si>
    <t>ORD26001881</t>
  </si>
  <si>
    <t>pay_420001875</t>
  </si>
  <si>
    <t xml:space="preserve">ORD26001963  </t>
  </si>
  <si>
    <t>ORD26001963</t>
  </si>
  <si>
    <t>pay_420001896</t>
  </si>
  <si>
    <t>ORD26001985</t>
  </si>
  <si>
    <t>pay_420001983</t>
  </si>
  <si>
    <t>ORD26002077</t>
  </si>
  <si>
    <t>pay_420002002</t>
  </si>
  <si>
    <t>ORD-26002095</t>
  </si>
  <si>
    <t>ORD26002095</t>
  </si>
  <si>
    <t>pay_420002042</t>
  </si>
  <si>
    <t>ORD26002135</t>
  </si>
  <si>
    <t>pay_420002080</t>
  </si>
  <si>
    <t>ORD26002173</t>
  </si>
  <si>
    <t>pay_420002109</t>
  </si>
  <si>
    <t>ORD26002209</t>
  </si>
  <si>
    <t>pay_420002118</t>
  </si>
  <si>
    <t>ORD26002220</t>
  </si>
  <si>
    <t>pay_420002171</t>
  </si>
  <si>
    <t>ORD26002272</t>
  </si>
  <si>
    <t>pay_420002207</t>
  </si>
  <si>
    <t>ORD26002310</t>
  </si>
  <si>
    <t>pay_420002216</t>
  </si>
  <si>
    <t>ord26002319</t>
  </si>
  <si>
    <t>ORD26002319</t>
  </si>
  <si>
    <t>pay_420002240</t>
  </si>
  <si>
    <t>ORD26002344</t>
  </si>
  <si>
    <t>pay_420002273</t>
  </si>
  <si>
    <t>ORD26002383</t>
  </si>
  <si>
    <t>pay_420002311</t>
  </si>
  <si>
    <t>ORD26002424</t>
  </si>
  <si>
    <t>pay_420002330</t>
  </si>
  <si>
    <t>ORD26002444</t>
  </si>
  <si>
    <t>pay_420002334</t>
  </si>
  <si>
    <t>ORD26002448</t>
  </si>
  <si>
    <t>pay_420002377</t>
  </si>
  <si>
    <t>ORD26002490</t>
  </si>
  <si>
    <t>pay_420002429</t>
  </si>
  <si>
    <t>ORD26002541</t>
  </si>
  <si>
    <t>pay_420002439</t>
  </si>
  <si>
    <t>ORD26002553</t>
  </si>
  <si>
    <t>pay_420002468</t>
  </si>
  <si>
    <t>ORD26002583</t>
  </si>
  <si>
    <t>pay_420002483</t>
  </si>
  <si>
    <t>ORD26002600</t>
  </si>
  <si>
    <t>pay_420002547</t>
  </si>
  <si>
    <t>ORD-26002671</t>
  </si>
  <si>
    <t>ORD26002671</t>
  </si>
  <si>
    <t>pay_420002657</t>
  </si>
  <si>
    <t>ORD26002789</t>
  </si>
  <si>
    <t>pay_420002777</t>
  </si>
  <si>
    <t>ord26002916</t>
  </si>
  <si>
    <t>ORD26002916</t>
  </si>
  <si>
    <t>pay_420002857</t>
  </si>
  <si>
    <t>ORD26002998</t>
  </si>
  <si>
    <t>pay_420002866</t>
  </si>
  <si>
    <t>ORD26003007</t>
  </si>
  <si>
    <t>pay_420002878</t>
  </si>
  <si>
    <t>ord26003019</t>
  </si>
  <si>
    <t>ORD26003019</t>
  </si>
  <si>
    <t>pay_420002908</t>
  </si>
  <si>
    <t>ORD26003052</t>
  </si>
  <si>
    <t>pay_420002927</t>
  </si>
  <si>
    <t>ord26003070</t>
  </si>
  <si>
    <t>ORD26003070</t>
  </si>
  <si>
    <t>pay_420002970</t>
  </si>
  <si>
    <t>ORD26003117</t>
  </si>
  <si>
    <t>pay_420003013</t>
  </si>
  <si>
    <t>ORD26003165</t>
  </si>
  <si>
    <t>pay_420003029</t>
  </si>
  <si>
    <t>ORD26003180</t>
  </si>
  <si>
    <t>pay_420003050</t>
  </si>
  <si>
    <t>ord26003202</t>
  </si>
  <si>
    <t>ORD26003202</t>
  </si>
  <si>
    <t>pay_420003086</t>
  </si>
  <si>
    <t>ORD26003240</t>
  </si>
  <si>
    <t>pay_420003092</t>
  </si>
  <si>
    <t>ORD26003247</t>
  </si>
  <si>
    <t>pay_420003115</t>
  </si>
  <si>
    <t xml:space="preserve">ORD26003274  </t>
  </si>
  <si>
    <t>ORD26003274</t>
  </si>
  <si>
    <t>pay_420003163</t>
  </si>
  <si>
    <t xml:space="preserve">ORD26003324  </t>
  </si>
  <si>
    <t>ORD26003324</t>
  </si>
  <si>
    <t>pay_420003287</t>
  </si>
  <si>
    <t>ord26003451</t>
  </si>
  <si>
    <t>ORD26003451</t>
  </si>
  <si>
    <t>pay_420003361</t>
  </si>
  <si>
    <t>ORD-26003525</t>
  </si>
  <si>
    <t>ORD26003525</t>
  </si>
  <si>
    <t>pay_420003363</t>
  </si>
  <si>
    <t>ORD26003528</t>
  </si>
  <si>
    <t>pay_420003487</t>
  </si>
  <si>
    <t>ORD26003655</t>
  </si>
  <si>
    <t>pay_420003525</t>
  </si>
  <si>
    <t>ORD26003696</t>
  </si>
  <si>
    <t>pay_420003549</t>
  </si>
  <si>
    <t>ORD26003720</t>
  </si>
  <si>
    <t>pay_420003558</t>
  </si>
  <si>
    <t>ORD26003726</t>
  </si>
  <si>
    <t>pay_420003583</t>
  </si>
  <si>
    <t>ORD26003751</t>
  </si>
  <si>
    <t>pay_420003640</t>
  </si>
  <si>
    <t>ORD26003812</t>
  </si>
  <si>
    <t>pay_420003713</t>
  </si>
  <si>
    <t>ORD26003886</t>
  </si>
  <si>
    <t>pay_420003732</t>
  </si>
  <si>
    <t>ORD26003904</t>
  </si>
  <si>
    <t>pay_420003771</t>
  </si>
  <si>
    <t>ORD26003946</t>
  </si>
  <si>
    <t>pay_420003793</t>
  </si>
  <si>
    <t>ORD26003971</t>
  </si>
  <si>
    <t>pay_420003795</t>
  </si>
  <si>
    <t>ORD26003973</t>
  </si>
  <si>
    <t>pay_420003863</t>
  </si>
  <si>
    <t>ORD26004047</t>
  </si>
  <si>
    <t>pay_420003884</t>
  </si>
  <si>
    <t>ORD-26004067</t>
  </si>
  <si>
    <t>ORD26004067</t>
  </si>
  <si>
    <t>pay_420003966</t>
  </si>
  <si>
    <t>ORD26004150</t>
  </si>
  <si>
    <t>pay_420003996</t>
  </si>
  <si>
    <t>ORD26004182</t>
  </si>
  <si>
    <t>pay_420004003</t>
  </si>
  <si>
    <t>ORD26004190</t>
  </si>
  <si>
    <t>pay_420004024</t>
  </si>
  <si>
    <t>ORD26004214</t>
  </si>
  <si>
    <t>pay_420004082</t>
  </si>
  <si>
    <t>ORD26004275</t>
  </si>
  <si>
    <t>pay_420004084</t>
  </si>
  <si>
    <t>ORD26004277</t>
  </si>
  <si>
    <t>pay_420004152</t>
  </si>
  <si>
    <t>ORD26004344</t>
  </si>
  <si>
    <t>pay_420004179</t>
  </si>
  <si>
    <t>ORD26004373</t>
  </si>
  <si>
    <t>pay_420004210</t>
  </si>
  <si>
    <t>ORD26004408</t>
  </si>
  <si>
    <t>pay_420004270</t>
  </si>
  <si>
    <t>ORD26004470</t>
  </si>
  <si>
    <t>pay_420004280</t>
  </si>
  <si>
    <t>ORD26004479</t>
  </si>
  <si>
    <t>pay_420004329</t>
  </si>
  <si>
    <t>ORD26004530</t>
  </si>
  <si>
    <t>pay_420004352</t>
  </si>
  <si>
    <t>ORD26004553</t>
  </si>
  <si>
    <t>pay_420004379</t>
  </si>
  <si>
    <t>ORD26004582</t>
  </si>
  <si>
    <t>pay_420004397</t>
  </si>
  <si>
    <t>ORD26004602</t>
  </si>
  <si>
    <t>pay_420004422</t>
  </si>
  <si>
    <t>ORD26004630</t>
  </si>
  <si>
    <t>pay_420004436</t>
  </si>
  <si>
    <t>ORD26004643</t>
  </si>
  <si>
    <t>pay_420004501</t>
  </si>
  <si>
    <t>ORD26004714</t>
  </si>
  <si>
    <t>pay_420004549</t>
  </si>
  <si>
    <t>ORD26004763</t>
  </si>
  <si>
    <t>pay_420004589</t>
  </si>
  <si>
    <t>ORD26004802</t>
  </si>
  <si>
    <t>pay_420004597</t>
  </si>
  <si>
    <t>ORD26004810</t>
  </si>
  <si>
    <t>pay_420004606</t>
  </si>
  <si>
    <t>ORD26004820</t>
  </si>
  <si>
    <t>pay_420004616</t>
  </si>
  <si>
    <t>ORD26004829</t>
  </si>
  <si>
    <t>pay_420004654</t>
  </si>
  <si>
    <t>ORD26004874</t>
  </si>
  <si>
    <t>pay_420004655</t>
  </si>
  <si>
    <t>ORD26004875</t>
  </si>
  <si>
    <t>pay_420004670</t>
  </si>
  <si>
    <t>ORD-26004892</t>
  </si>
  <si>
    <t>ORD26004892</t>
  </si>
  <si>
    <t>pay_420004691</t>
  </si>
  <si>
    <t>ORD26004913</t>
  </si>
  <si>
    <t>pay_420004744</t>
  </si>
  <si>
    <t>ORD26004965</t>
  </si>
  <si>
    <t>pay_420004776</t>
  </si>
  <si>
    <t>ORD26004998</t>
  </si>
  <si>
    <t>pay_420004791</t>
  </si>
  <si>
    <t>ORD-26005013</t>
  </si>
  <si>
    <t>ORD26005013</t>
  </si>
  <si>
    <t>pay_420004836</t>
  </si>
  <si>
    <t xml:space="preserve">ORD26005058  </t>
  </si>
  <si>
    <t>ORD26005058</t>
  </si>
  <si>
    <t>pay_420004874</t>
  </si>
  <si>
    <t>ord26005098</t>
  </si>
  <si>
    <t>ORD26005098</t>
  </si>
  <si>
    <t>pay_420004877</t>
  </si>
  <si>
    <t>ORD26005101</t>
  </si>
  <si>
    <t>pay_420004986</t>
  </si>
  <si>
    <t>ORD26005219</t>
  </si>
  <si>
    <t>pay_420004989</t>
  </si>
  <si>
    <t>ORD26005222</t>
  </si>
  <si>
    <t>pay_420005001</t>
  </si>
  <si>
    <t>ORD26005237</t>
  </si>
  <si>
    <t>pay_420005018</t>
  </si>
  <si>
    <t>ORD26005254</t>
  </si>
  <si>
    <t>pay_420005084</t>
  </si>
  <si>
    <t>ORD26005325</t>
  </si>
  <si>
    <t>pay_420005131</t>
  </si>
  <si>
    <t>ORD26005369</t>
  </si>
  <si>
    <t>pay_420005136</t>
  </si>
  <si>
    <t>ord26005376</t>
  </si>
  <si>
    <t>ORD26005376</t>
  </si>
  <si>
    <t>pay_420005162</t>
  </si>
  <si>
    <t>ORD26005402</t>
  </si>
  <si>
    <t>pay_420005178</t>
  </si>
  <si>
    <t>ORD26005416</t>
  </si>
  <si>
    <t>pay_420005184</t>
  </si>
  <si>
    <t xml:space="preserve">ORD26005423  </t>
  </si>
  <si>
    <t>ORD26005423</t>
  </si>
  <si>
    <t>pay_420005203</t>
  </si>
  <si>
    <t>ORD26005443</t>
  </si>
  <si>
    <t>pay_420005251</t>
  </si>
  <si>
    <t>ord26005488</t>
  </si>
  <si>
    <t>ORD26005488</t>
  </si>
  <si>
    <t>pay_420005307</t>
  </si>
  <si>
    <t>ORD26005546</t>
  </si>
  <si>
    <t>pay_420005313</t>
  </si>
  <si>
    <t>ORD-26005553</t>
  </si>
  <si>
    <t>ORD26005553</t>
  </si>
  <si>
    <t>pay_420005328</t>
  </si>
  <si>
    <t>ORD26005569</t>
  </si>
  <si>
    <t>pay_420005360</t>
  </si>
  <si>
    <t>ORD26005602</t>
  </si>
  <si>
    <t>pay_420005392</t>
  </si>
  <si>
    <t>ORD26005634</t>
  </si>
  <si>
    <t>pay_420005421</t>
  </si>
  <si>
    <t>ORD26005668</t>
  </si>
  <si>
    <t>pay_420005517</t>
  </si>
  <si>
    <t>ORD26005769</t>
  </si>
  <si>
    <t>pay_420005532</t>
  </si>
  <si>
    <t>ORD26005786</t>
  </si>
  <si>
    <t>pay_420005535</t>
  </si>
  <si>
    <t>ORD26005789</t>
  </si>
  <si>
    <t>pay_420005610</t>
  </si>
  <si>
    <t>ord26005867</t>
  </si>
  <si>
    <t>ORD26005867</t>
  </si>
  <si>
    <t>pay_420005666</t>
  </si>
  <si>
    <t>ORD26005931</t>
  </si>
  <si>
    <t>pay_420005668</t>
  </si>
  <si>
    <t>ORD26005933</t>
  </si>
  <si>
    <t>pay_420005673</t>
  </si>
  <si>
    <t>ORD26005938</t>
  </si>
  <si>
    <t>rfnd_375PVAQTZENM</t>
  </si>
  <si>
    <t>rfnd_59LQLBWTATM5</t>
  </si>
  <si>
    <t>rfnd_5XVSTMWQXK0D</t>
  </si>
  <si>
    <t>rfnd_ABCR96V803JD</t>
  </si>
  <si>
    <t>rfnd_CGDKAKDYPRZ8</t>
  </si>
  <si>
    <t>rfnd_DGBXF8U1QESJ</t>
  </si>
  <si>
    <t>rfnd_DUXLK248W0U1</t>
  </si>
  <si>
    <t>rfnd_EQPEBWZT3LE3</t>
  </si>
  <si>
    <t>rfnd_XR105CRY61WP</t>
  </si>
  <si>
    <t>pay_420000002</t>
  </si>
  <si>
    <t>ORD26000002</t>
  </si>
  <si>
    <t>STL-20260925</t>
  </si>
  <si>
    <t>pay_420000020</t>
  </si>
  <si>
    <t>ORD26000019</t>
  </si>
  <si>
    <t>pay_420000027</t>
  </si>
  <si>
    <t>ORD26000027</t>
  </si>
  <si>
    <t>pay_420000053</t>
  </si>
  <si>
    <t>ORD26000054</t>
  </si>
  <si>
    <t>pay_420000085</t>
  </si>
  <si>
    <t>ORD26000090</t>
  </si>
  <si>
    <t>pay_420000092</t>
  </si>
  <si>
    <t>ORD26000098</t>
  </si>
  <si>
    <t>pay_420000093</t>
  </si>
  <si>
    <t>ORD26000099</t>
  </si>
  <si>
    <t>pay_420000096</t>
  </si>
  <si>
    <t>ORD26000102</t>
  </si>
  <si>
    <t>pay_420000144</t>
  </si>
  <si>
    <t>ORD26000154</t>
  </si>
  <si>
    <t>pay_420000166</t>
  </si>
  <si>
    <t>ORD26000177</t>
  </si>
  <si>
    <t>pay_420000244</t>
  </si>
  <si>
    <t>ORD26000261</t>
  </si>
  <si>
    <t>pay_420000298</t>
  </si>
  <si>
    <t>ORD26000314</t>
  </si>
  <si>
    <t>pay_420000314</t>
  </si>
  <si>
    <t>ORD26000328</t>
  </si>
  <si>
    <t>pay_420000338</t>
  </si>
  <si>
    <t>ORD26000356</t>
  </si>
  <si>
    <t>pay_420000345</t>
  </si>
  <si>
    <t>ORD26000363</t>
  </si>
  <si>
    <t>pay_420000371</t>
  </si>
  <si>
    <t xml:space="preserve">ORD26000389  </t>
  </si>
  <si>
    <t>ORD26000389</t>
  </si>
  <si>
    <t>pay_420000393</t>
  </si>
  <si>
    <t>ORD26000411</t>
  </si>
  <si>
    <t>pay_420000394</t>
  </si>
  <si>
    <t>ORD26000412</t>
  </si>
  <si>
    <t>pay_420000434</t>
  </si>
  <si>
    <t>ORD26000451</t>
  </si>
  <si>
    <t>pay_420000490</t>
  </si>
  <si>
    <t>ORD26000513</t>
  </si>
  <si>
    <t>pay_420000492</t>
  </si>
  <si>
    <t>ORD26000515</t>
  </si>
  <si>
    <t>pay_420000548</t>
  </si>
  <si>
    <t>ORD26000573</t>
  </si>
  <si>
    <t>pay_420000575</t>
  </si>
  <si>
    <t>ord26000597</t>
  </si>
  <si>
    <t>ORD26000597</t>
  </si>
  <si>
    <t>pay_420000609</t>
  </si>
  <si>
    <t>ORD26000631</t>
  </si>
  <si>
    <t>pay_420000611</t>
  </si>
  <si>
    <t>ORD26000634</t>
  </si>
  <si>
    <t>pay_420000769</t>
  </si>
  <si>
    <t>ORD26000802</t>
  </si>
  <si>
    <t>pay_420000854</t>
  </si>
  <si>
    <t>ORD26000889</t>
  </si>
  <si>
    <t>pay_420000875</t>
  </si>
  <si>
    <t>ORD26000914</t>
  </si>
  <si>
    <t>pay_420000895</t>
  </si>
  <si>
    <t>ORD26000934</t>
  </si>
  <si>
    <t>pay_420000905</t>
  </si>
  <si>
    <t>ORD26000944</t>
  </si>
  <si>
    <t>pay_420000939</t>
  </si>
  <si>
    <t>ORD26000981</t>
  </si>
  <si>
    <t>pay_420000965</t>
  </si>
  <si>
    <t>ORD26001007</t>
  </si>
  <si>
    <t>pay_420001022</t>
  </si>
  <si>
    <t>ORD26001066</t>
  </si>
  <si>
    <t>pay_420001088</t>
  </si>
  <si>
    <t>ORD26001131</t>
  </si>
  <si>
    <t>pay_420001095</t>
  </si>
  <si>
    <t>ORD26001140</t>
  </si>
  <si>
    <t>pay_420001102</t>
  </si>
  <si>
    <t>ORD26001148</t>
  </si>
  <si>
    <t>pay_420001148</t>
  </si>
  <si>
    <t>ORD26001196</t>
  </si>
  <si>
    <t>pay_420001177</t>
  </si>
  <si>
    <t>ORD26001228</t>
  </si>
  <si>
    <t>pay_420001290</t>
  </si>
  <si>
    <t>ORD26001351</t>
  </si>
  <si>
    <t>pay_420001333</t>
  </si>
  <si>
    <t>ORD26001396</t>
  </si>
  <si>
    <t>pay_420001344</t>
  </si>
  <si>
    <t>ORD26001408</t>
  </si>
  <si>
    <t>pay_420001396</t>
  </si>
  <si>
    <t>ORD-26001466</t>
  </si>
  <si>
    <t>ORD26001466</t>
  </si>
  <si>
    <t>pay_420001414</t>
  </si>
  <si>
    <t>ord26001483</t>
  </si>
  <si>
    <t>ORD26001483</t>
  </si>
  <si>
    <t>pay_420001460</t>
  </si>
  <si>
    <t>ord26001525</t>
  </si>
  <si>
    <t>ORD26001525</t>
  </si>
  <si>
    <t>pay_420001503</t>
  </si>
  <si>
    <t>ORD-26001568</t>
  </si>
  <si>
    <t>ORD26001568</t>
  </si>
  <si>
    <t>pay_420001524</t>
  </si>
  <si>
    <t>ORD26001591</t>
  </si>
  <si>
    <t>pay_420001530</t>
  </si>
  <si>
    <t>ORD26001597</t>
  </si>
  <si>
    <t>pay_420001592</t>
  </si>
  <si>
    <t>ORD26001666</t>
  </si>
  <si>
    <t>pay_420001596</t>
  </si>
  <si>
    <t>ORD26001670</t>
  </si>
  <si>
    <t>pay_420001615</t>
  </si>
  <si>
    <t>ORD26001690</t>
  </si>
  <si>
    <t>pay_420001711</t>
  </si>
  <si>
    <t>ORD26001792</t>
  </si>
  <si>
    <t>pay_420001717</t>
  </si>
  <si>
    <t>ORD26001798</t>
  </si>
  <si>
    <t>pay_420001748</t>
  </si>
  <si>
    <t>ORD26001830</t>
  </si>
  <si>
    <t>pay_420001894</t>
  </si>
  <si>
    <t>ORD26001983</t>
  </si>
  <si>
    <t>pay_420001912</t>
  </si>
  <si>
    <t>ORD26002003</t>
  </si>
  <si>
    <t>pay_420001933</t>
  </si>
  <si>
    <t>ORD26002027</t>
  </si>
  <si>
    <t>pay_420002041</t>
  </si>
  <si>
    <t xml:space="preserve">ORD26002134  </t>
  </si>
  <si>
    <t>ORD26002134</t>
  </si>
  <si>
    <t>pay_420002065</t>
  </si>
  <si>
    <t>ORD26002157</t>
  </si>
  <si>
    <t>pay_420002077</t>
  </si>
  <si>
    <t>ORD26002170</t>
  </si>
  <si>
    <t>pay_420002200</t>
  </si>
  <si>
    <t>ORD26002305</t>
  </si>
  <si>
    <t>pay_420002246</t>
  </si>
  <si>
    <t>ORD26002351</t>
  </si>
  <si>
    <t>pay_420002281</t>
  </si>
  <si>
    <t>ORD26002391</t>
  </si>
  <si>
    <t>pay_420002288</t>
  </si>
  <si>
    <t>ORD26002400</t>
  </si>
  <si>
    <t>pay_420002350</t>
  </si>
  <si>
    <t>ORD26002462</t>
  </si>
  <si>
    <t>pay_420002363</t>
  </si>
  <si>
    <t>ORD26002476</t>
  </si>
  <si>
    <t>pay_420002383</t>
  </si>
  <si>
    <t>ORD26002495</t>
  </si>
  <si>
    <t>pay_420002401</t>
  </si>
  <si>
    <t>ORD26002512</t>
  </si>
  <si>
    <t>pay_420002403</t>
  </si>
  <si>
    <t>ORD26002515</t>
  </si>
  <si>
    <t>pay_420002414</t>
  </si>
  <si>
    <t>ORD26002526</t>
  </si>
  <si>
    <t>pay_420002421</t>
  </si>
  <si>
    <t>ord26002535</t>
  </si>
  <si>
    <t>ORD26002535</t>
  </si>
  <si>
    <t>pay_420002438</t>
  </si>
  <si>
    <t>ORD26002551</t>
  </si>
  <si>
    <t>pay_420002462</t>
  </si>
  <si>
    <t>ORD26002577</t>
  </si>
  <si>
    <t>pay_420002561</t>
  </si>
  <si>
    <t>ORD26002686</t>
  </si>
  <si>
    <t>pay_420002625</t>
  </si>
  <si>
    <t>ORD26002753</t>
  </si>
  <si>
    <t>pay_420002632</t>
  </si>
  <si>
    <t>ORD26002761</t>
  </si>
  <si>
    <t>pay_420002650</t>
  </si>
  <si>
    <t>ORD26002780</t>
  </si>
  <si>
    <t>pay_420002673</t>
  </si>
  <si>
    <t>ORD26002805</t>
  </si>
  <si>
    <t>pay_420002712</t>
  </si>
  <si>
    <t>ord26002848</t>
  </si>
  <si>
    <t>ORD26002848</t>
  </si>
  <si>
    <t>pay_420002715</t>
  </si>
  <si>
    <t>ord26002852</t>
  </si>
  <si>
    <t>ORD26002852</t>
  </si>
  <si>
    <t>pay_420002726</t>
  </si>
  <si>
    <t>ORD-26002864</t>
  </si>
  <si>
    <t>ORD26002864</t>
  </si>
  <si>
    <t>pay_420002762</t>
  </si>
  <si>
    <t>ORD26002900</t>
  </si>
  <si>
    <t>pay_420002782</t>
  </si>
  <si>
    <t>ORD26002923</t>
  </si>
  <si>
    <t>pay_420002877</t>
  </si>
  <si>
    <t>ORD26003018</t>
  </si>
  <si>
    <t>pay_420002885</t>
  </si>
  <si>
    <t>ORD26003027</t>
  </si>
  <si>
    <t>pay_420002919</t>
  </si>
  <si>
    <t>ORD26003061</t>
  </si>
  <si>
    <t>pay_420002958</t>
  </si>
  <si>
    <t>ORD26003103</t>
  </si>
  <si>
    <t>pay_420003040</t>
  </si>
  <si>
    <t>ORD26003192</t>
  </si>
  <si>
    <t>pay_420003078</t>
  </si>
  <si>
    <t>ORD26003232</t>
  </si>
  <si>
    <t>pay_420003080</t>
  </si>
  <si>
    <t>ORD26003234</t>
  </si>
  <si>
    <t>pay_420003140</t>
  </si>
  <si>
    <t>ord26003301</t>
  </si>
  <si>
    <t>ORD26003301</t>
  </si>
  <si>
    <t>pay_420003150</t>
  </si>
  <si>
    <t>ORD26003311</t>
  </si>
  <si>
    <t>pay_420003175</t>
  </si>
  <si>
    <t>ORD26003336</t>
  </si>
  <si>
    <t>pay_420003259</t>
  </si>
  <si>
    <t>ORD26003427</t>
  </si>
  <si>
    <t>pay_420003325</t>
  </si>
  <si>
    <t>ORD26003488</t>
  </si>
  <si>
    <t>pay_420003351</t>
  </si>
  <si>
    <t>ORD26003515</t>
  </si>
  <si>
    <t>pay_420003352</t>
  </si>
  <si>
    <t>ORD26003516</t>
  </si>
  <si>
    <t>pay_420003370</t>
  </si>
  <si>
    <t>ORD26003536</t>
  </si>
  <si>
    <t>pay_420003396</t>
  </si>
  <si>
    <t>ORD26003563</t>
  </si>
  <si>
    <t>pay_420003400</t>
  </si>
  <si>
    <t>ORD26003567</t>
  </si>
  <si>
    <t>pay_420003401</t>
  </si>
  <si>
    <t>ORD26003568</t>
  </si>
  <si>
    <t>pay_420003410</t>
  </si>
  <si>
    <t>ORD26003577</t>
  </si>
  <si>
    <t>pay_420003501</t>
  </si>
  <si>
    <t>ORD26003669</t>
  </si>
  <si>
    <t>pay_420003550</t>
  </si>
  <si>
    <t>ORD26003721</t>
  </si>
  <si>
    <t>pay_420003582</t>
  </si>
  <si>
    <t>ord26003750</t>
  </si>
  <si>
    <t>ORD26003750</t>
  </si>
  <si>
    <t>pay_420003603</t>
  </si>
  <si>
    <t>ORD26003772</t>
  </si>
  <si>
    <t>pay_420003631</t>
  </si>
  <si>
    <t>ORD-26003801</t>
  </si>
  <si>
    <t>ORD26003801</t>
  </si>
  <si>
    <t>pay_420003632</t>
  </si>
  <si>
    <t>ORD-26003803</t>
  </si>
  <si>
    <t>ORD26003803</t>
  </si>
  <si>
    <t>pay_420003634</t>
  </si>
  <si>
    <t>ORD26003806</t>
  </si>
  <si>
    <t>pay_420003665</t>
  </si>
  <si>
    <t>ORD26003835</t>
  </si>
  <si>
    <t>pay_420003670</t>
  </si>
  <si>
    <t>ORD26003840</t>
  </si>
  <si>
    <t>pay_420003702</t>
  </si>
  <si>
    <t>ORD26003874</t>
  </si>
  <si>
    <t>pay_420003744</t>
  </si>
  <si>
    <t>ORD26003918</t>
  </si>
  <si>
    <t>pay_420003868</t>
  </si>
  <si>
    <t>ORD26004053</t>
  </si>
  <si>
    <t>pay_420003890</t>
  </si>
  <si>
    <t>ORD26004072</t>
  </si>
  <si>
    <t>pay_420003917</t>
  </si>
  <si>
    <t>ORD26004099</t>
  </si>
  <si>
    <t>pay_420003925</t>
  </si>
  <si>
    <t>ORD26004108</t>
  </si>
  <si>
    <t>pay_420003930</t>
  </si>
  <si>
    <t>ORD26004114</t>
  </si>
  <si>
    <t>pay_420003965</t>
  </si>
  <si>
    <t>ORD26004149</t>
  </si>
  <si>
    <t>pay_420004029</t>
  </si>
  <si>
    <t>ORD26004220</t>
  </si>
  <si>
    <t>pay_420004049</t>
  </si>
  <si>
    <t>ORD26004240</t>
  </si>
  <si>
    <t>pay_420004128</t>
  </si>
  <si>
    <t>ORD26004320</t>
  </si>
  <si>
    <t>pay_420004130</t>
  </si>
  <si>
    <t>ORD26004322</t>
  </si>
  <si>
    <t>pay_420004163</t>
  </si>
  <si>
    <t>ORD26004356</t>
  </si>
  <si>
    <t>pay_420004174</t>
  </si>
  <si>
    <t>ORD26004368</t>
  </si>
  <si>
    <t>pay_420004265</t>
  </si>
  <si>
    <t>ORD26004465</t>
  </si>
  <si>
    <t>pay_420004383</t>
  </si>
  <si>
    <t>ORD26004587</t>
  </si>
  <si>
    <t>pay_420004508</t>
  </si>
  <si>
    <t>ord26004721</t>
  </si>
  <si>
    <t>ORD26004721</t>
  </si>
  <si>
    <t>pay_420004535</t>
  </si>
  <si>
    <t>ORD26004748</t>
  </si>
  <si>
    <t>pay_420004576</t>
  </si>
  <si>
    <t>ORD26004790</t>
  </si>
  <si>
    <t>pay_420004584</t>
  </si>
  <si>
    <t>ord26004796</t>
  </si>
  <si>
    <t>ORD26004796</t>
  </si>
  <si>
    <t>pay_420004586</t>
  </si>
  <si>
    <t>ORD26004799</t>
  </si>
  <si>
    <t>pay_420004624</t>
  </si>
  <si>
    <t>ORD26004837</t>
  </si>
  <si>
    <t>pay_420004639</t>
  </si>
  <si>
    <t>ORD26004855</t>
  </si>
  <si>
    <t>pay_420004662</t>
  </si>
  <si>
    <t>ORD26004883</t>
  </si>
  <si>
    <t>pay_420004665</t>
  </si>
  <si>
    <t>ORD26004886</t>
  </si>
  <si>
    <t>pay_420004784</t>
  </si>
  <si>
    <t>ORD26005006</t>
  </si>
  <si>
    <t>pay_420004799</t>
  </si>
  <si>
    <t>ORD26005021</t>
  </si>
  <si>
    <t>pay_420004800</t>
  </si>
  <si>
    <t>ORD26005022</t>
  </si>
  <si>
    <t>pay_420004801</t>
  </si>
  <si>
    <t>ORD26005023</t>
  </si>
  <si>
    <t>pay_420004839</t>
  </si>
  <si>
    <t>ORD26005060</t>
  </si>
  <si>
    <t>pay_420004875</t>
  </si>
  <si>
    <t>ORD26005099</t>
  </si>
  <si>
    <t>pay_420004920</t>
  </si>
  <si>
    <t>ORD26005150</t>
  </si>
  <si>
    <t>pay_420004922</t>
  </si>
  <si>
    <t>ORD26005154</t>
  </si>
  <si>
    <t>pay_420004954</t>
  </si>
  <si>
    <t>ORD26005186</t>
  </si>
  <si>
    <t>pay_420005033</t>
  </si>
  <si>
    <t>ORD26005270</t>
  </si>
  <si>
    <t>pay_420005071</t>
  </si>
  <si>
    <t>ORD26005312</t>
  </si>
  <si>
    <t>pay_420005154</t>
  </si>
  <si>
    <t>ORD26005394</t>
  </si>
  <si>
    <t>pay_420005194</t>
  </si>
  <si>
    <t>ORD26005434</t>
  </si>
  <si>
    <t>pay_420005226</t>
  </si>
  <si>
    <t>ORD26005464</t>
  </si>
  <si>
    <t>pay_420005242</t>
  </si>
  <si>
    <t>ORD26005480</t>
  </si>
  <si>
    <t>pay_420005285</t>
  </si>
  <si>
    <t>ORD26005522</t>
  </si>
  <si>
    <t>pay_420005303</t>
  </si>
  <si>
    <t>ORD26005541</t>
  </si>
  <si>
    <t>pay_420005341</t>
  </si>
  <si>
    <t>ORD26005583</t>
  </si>
  <si>
    <t>pay_420005373</t>
  </si>
  <si>
    <t>ORD26005615</t>
  </si>
  <si>
    <t>pay_420005398</t>
  </si>
  <si>
    <t>ORD26005641</t>
  </si>
  <si>
    <t>pay_420005452</t>
  </si>
  <si>
    <t>ORD26005700</t>
  </si>
  <si>
    <t>pay_420005492</t>
  </si>
  <si>
    <t>ORD26005741</t>
  </si>
  <si>
    <t>pay_420005559</t>
  </si>
  <si>
    <t>ORD26005813</t>
  </si>
  <si>
    <t>pay_420005581</t>
  </si>
  <si>
    <t>ord26005838</t>
  </si>
  <si>
    <t>ORD26005838</t>
  </si>
  <si>
    <t>pay_420005586</t>
  </si>
  <si>
    <t>ORD26005844</t>
  </si>
  <si>
    <t>pay_420005623</t>
  </si>
  <si>
    <t>ORD26005884</t>
  </si>
  <si>
    <t>pay_420005633</t>
  </si>
  <si>
    <t>ord26005896</t>
  </si>
  <si>
    <t>ORD26005896</t>
  </si>
  <si>
    <t>pay_420005652</t>
  </si>
  <si>
    <t>ORD-26005917</t>
  </si>
  <si>
    <t>ORD26005917</t>
  </si>
  <si>
    <t>pay_420005713</t>
  </si>
  <si>
    <t>ORD26005981</t>
  </si>
  <si>
    <t>pay_420005742</t>
  </si>
  <si>
    <t>ORD26006507</t>
  </si>
  <si>
    <t>rfnd_H0TSBDZ38SBS</t>
  </si>
  <si>
    <t>rfnd_L9S3BZFNTJCG</t>
  </si>
  <si>
    <t>rfnd_MNV4E2THTF50</t>
  </si>
  <si>
    <t>pay_420000049</t>
  </si>
  <si>
    <t>ORD26000051</t>
  </si>
  <si>
    <t>STL-20260926</t>
  </si>
  <si>
    <t>pay_420000066</t>
  </si>
  <si>
    <t>ORD26000068</t>
  </si>
  <si>
    <t>pay_420000105</t>
  </si>
  <si>
    <t>ORD26000113</t>
  </si>
  <si>
    <t>pay_420000152</t>
  </si>
  <si>
    <t>ORD26000162</t>
  </si>
  <si>
    <t>pay_420000158</t>
  </si>
  <si>
    <t>ORD26000168</t>
  </si>
  <si>
    <t>pay_420000178</t>
  </si>
  <si>
    <t>ORD26000192</t>
  </si>
  <si>
    <t>pay_420000221</t>
  </si>
  <si>
    <t>ORD26000236</t>
  </si>
  <si>
    <t>pay_420000232</t>
  </si>
  <si>
    <t>ord26000247</t>
  </si>
  <si>
    <t>ORD26000247</t>
  </si>
  <si>
    <t>pay_420000237</t>
  </si>
  <si>
    <t>ORD26000253</t>
  </si>
  <si>
    <t>pay_420000330</t>
  </si>
  <si>
    <t>ORD26000346</t>
  </si>
  <si>
    <t>pay_420000334</t>
  </si>
  <si>
    <t>ORD26000351</t>
  </si>
  <si>
    <t>pay_420000367</t>
  </si>
  <si>
    <t>ORD26000386</t>
  </si>
  <si>
    <t>pay_420000398</t>
  </si>
  <si>
    <t>ORD26000415</t>
  </si>
  <si>
    <t>pay_420000417</t>
  </si>
  <si>
    <t>ORD26000434</t>
  </si>
  <si>
    <t>pay_420000452</t>
  </si>
  <si>
    <t>ORD26000473</t>
  </si>
  <si>
    <t>pay_420000501</t>
  </si>
  <si>
    <t>ORD26000523</t>
  </si>
  <si>
    <t>pay_420000527</t>
  </si>
  <si>
    <t>ORD26000552</t>
  </si>
  <si>
    <t>pay_420000562</t>
  </si>
  <si>
    <t>ORD26000585</t>
  </si>
  <si>
    <t>pay_420000618</t>
  </si>
  <si>
    <t>ORD26000642</t>
  </si>
  <si>
    <t>pay_420000643</t>
  </si>
  <si>
    <t>ORD26000670</t>
  </si>
  <si>
    <t>pay_420000653</t>
  </si>
  <si>
    <t xml:space="preserve">ORD26000681  </t>
  </si>
  <si>
    <t>ORD26000681</t>
  </si>
  <si>
    <t>pay_420000667</t>
  </si>
  <si>
    <t>ORD26000696</t>
  </si>
  <si>
    <t>pay_420000680</t>
  </si>
  <si>
    <t>ORD26000710</t>
  </si>
  <si>
    <t>pay_420000684</t>
  </si>
  <si>
    <t>ord26000714</t>
  </si>
  <si>
    <t>ORD26000714</t>
  </si>
  <si>
    <t>pay_420000689</t>
  </si>
  <si>
    <t>ORD26000719</t>
  </si>
  <si>
    <t>pay_420000698</t>
  </si>
  <si>
    <t>ORD26000729</t>
  </si>
  <si>
    <t>pay_420000703</t>
  </si>
  <si>
    <t>ORD26000736</t>
  </si>
  <si>
    <t>pay_420000720</t>
  </si>
  <si>
    <t>ORD26000754</t>
  </si>
  <si>
    <t>pay_420000737</t>
  </si>
  <si>
    <t>ORD26000771</t>
  </si>
  <si>
    <t>pay_420000752</t>
  </si>
  <si>
    <t xml:space="preserve">ORD26000784  </t>
  </si>
  <si>
    <t>ORD26000784</t>
  </si>
  <si>
    <t>pay_420000767</t>
  </si>
  <si>
    <t>ORD-26000800</t>
  </si>
  <si>
    <t>ORD26000800</t>
  </si>
  <si>
    <t>pay_420000779</t>
  </si>
  <si>
    <t>ORD-26000812</t>
  </si>
  <si>
    <t>ORD26000812</t>
  </si>
  <si>
    <t>pay_420000847</t>
  </si>
  <si>
    <t>ORD26000882</t>
  </si>
  <si>
    <t>pay_420000967</t>
  </si>
  <si>
    <t>ORD26001009</t>
  </si>
  <si>
    <t>pay_420001026</t>
  </si>
  <si>
    <t>ORD26001070</t>
  </si>
  <si>
    <t>pay_420001103</t>
  </si>
  <si>
    <t>ORD26001150</t>
  </si>
  <si>
    <t>pay_420001159</t>
  </si>
  <si>
    <t>ORD26001208</t>
  </si>
  <si>
    <t>pay_420001226</t>
  </si>
  <si>
    <t>ORD26001283</t>
  </si>
  <si>
    <t>pay_420001244</t>
  </si>
  <si>
    <t>ORD26001301</t>
  </si>
  <si>
    <t>pay_420001287</t>
  </si>
  <si>
    <t>ORD26001347</t>
  </si>
  <si>
    <t>pay_420001331</t>
  </si>
  <si>
    <t>ORD26001394</t>
  </si>
  <si>
    <t>pay_420001332</t>
  </si>
  <si>
    <t xml:space="preserve">ORD26001395  </t>
  </si>
  <si>
    <t>ORD26001395</t>
  </si>
  <si>
    <t>pay_420001339</t>
  </si>
  <si>
    <t>ORD26001403</t>
  </si>
  <si>
    <t>pay_420001341</t>
  </si>
  <si>
    <t>ORD26001405</t>
  </si>
  <si>
    <t>pay_420001406</t>
  </si>
  <si>
    <t>ord26001476</t>
  </si>
  <si>
    <t>ORD26001476</t>
  </si>
  <si>
    <t>pay_420001432</t>
  </si>
  <si>
    <t>ORD26001499</t>
  </si>
  <si>
    <t>pay_420001442</t>
  </si>
  <si>
    <t>ORD26001508</t>
  </si>
  <si>
    <t>pay_420001452</t>
  </si>
  <si>
    <t>ORD26001518</t>
  </si>
  <si>
    <t>pay_420001468</t>
  </si>
  <si>
    <t>ORD26001532</t>
  </si>
  <si>
    <t>pay_420001487</t>
  </si>
  <si>
    <t>ORD26001553</t>
  </si>
  <si>
    <t>pay_420001496</t>
  </si>
  <si>
    <t>ORD26001562</t>
  </si>
  <si>
    <t>pay_420001548</t>
  </si>
  <si>
    <t>ORD26001616</t>
  </si>
  <si>
    <t>pay_420001563</t>
  </si>
  <si>
    <t>ORD26001632</t>
  </si>
  <si>
    <t>pay_420001572</t>
  </si>
  <si>
    <t>ord26001643</t>
  </si>
  <si>
    <t>ORD26001643</t>
  </si>
  <si>
    <t>pay_420001602</t>
  </si>
  <si>
    <t>ORD-26001677</t>
  </si>
  <si>
    <t>ORD26001677</t>
  </si>
  <si>
    <t>pay_420001672</t>
  </si>
  <si>
    <t>ORD26001752</t>
  </si>
  <si>
    <t>pay_420001702</t>
  </si>
  <si>
    <t>ORD26001782</t>
  </si>
  <si>
    <t>pay_420001712</t>
  </si>
  <si>
    <t>ORD26001793</t>
  </si>
  <si>
    <t>pay_420001780</t>
  </si>
  <si>
    <t>ORD26001862</t>
  </si>
  <si>
    <t>pay_420001781</t>
  </si>
  <si>
    <t>ord26001863</t>
  </si>
  <si>
    <t>ORD26001863</t>
  </si>
  <si>
    <t>pay_420001805</t>
  </si>
  <si>
    <t>ORD26001889</t>
  </si>
  <si>
    <t>pay_420001823</t>
  </si>
  <si>
    <t>ORD26001907</t>
  </si>
  <si>
    <t>pay_420001836</t>
  </si>
  <si>
    <t>ORD26001919</t>
  </si>
  <si>
    <t>pay_420001892</t>
  </si>
  <si>
    <t>ORD26001981</t>
  </si>
  <si>
    <t>pay_420002011</t>
  </si>
  <si>
    <t>ORD26002102</t>
  </si>
  <si>
    <t>pay_420002048</t>
  </si>
  <si>
    <t>ORD26002140</t>
  </si>
  <si>
    <t>pay_420002073</t>
  </si>
  <si>
    <t>ORD26002164</t>
  </si>
  <si>
    <t>pay_420002085</t>
  </si>
  <si>
    <t>ORD26002180</t>
  </si>
  <si>
    <t>pay_420002119</t>
  </si>
  <si>
    <t xml:space="preserve">ORD26002221  </t>
  </si>
  <si>
    <t>ORD26002221</t>
  </si>
  <si>
    <t>pay_420002199</t>
  </si>
  <si>
    <t>ORD-26002304</t>
  </si>
  <si>
    <t>ORD26002304</t>
  </si>
  <si>
    <t>pay_420002204</t>
  </si>
  <si>
    <t>ORD26002308</t>
  </si>
  <si>
    <t>pay_420002214</t>
  </si>
  <si>
    <t>ORD26002316</t>
  </si>
  <si>
    <t>pay_420002364</t>
  </si>
  <si>
    <t>ORD26002477</t>
  </si>
  <si>
    <t>pay_420002365</t>
  </si>
  <si>
    <t>ORD26002478</t>
  </si>
  <si>
    <t>pay_420002370</t>
  </si>
  <si>
    <t>ORD26002483</t>
  </si>
  <si>
    <t>pay_420002394</t>
  </si>
  <si>
    <t>ORD26002506</t>
  </si>
  <si>
    <t>pay_420002395</t>
  </si>
  <si>
    <t>ORD26002507</t>
  </si>
  <si>
    <t>pay_420002469</t>
  </si>
  <si>
    <t>ORD26002584</t>
  </si>
  <si>
    <t>pay_420002501</t>
  </si>
  <si>
    <t>ord26002621</t>
  </si>
  <si>
    <t>ORD26002621</t>
  </si>
  <si>
    <t>pay_420002532</t>
  </si>
  <si>
    <t>ORD26002655</t>
  </si>
  <si>
    <t>pay_420002536</t>
  </si>
  <si>
    <t>ORD26002660</t>
  </si>
  <si>
    <t>pay_420002546</t>
  </si>
  <si>
    <t>ORD26002669</t>
  </si>
  <si>
    <t>pay_420002566</t>
  </si>
  <si>
    <t>ORD26002692</t>
  </si>
  <si>
    <t>pay_420002570</t>
  </si>
  <si>
    <t>ORD26002697</t>
  </si>
  <si>
    <t>pay_420002574</t>
  </si>
  <si>
    <t>ORD26002701</t>
  </si>
  <si>
    <t>pay_420002591</t>
  </si>
  <si>
    <t>ORD26002718</t>
  </si>
  <si>
    <t>pay_420002618</t>
  </si>
  <si>
    <t>ORD26002747</t>
  </si>
  <si>
    <t>pay_420002623</t>
  </si>
  <si>
    <t>ORD26002751</t>
  </si>
  <si>
    <t>pay_420002644</t>
  </si>
  <si>
    <t>ORD26002773</t>
  </si>
  <si>
    <t>pay_420002667</t>
  </si>
  <si>
    <t>ORD26002800</t>
  </si>
  <si>
    <t>pay_420002695</t>
  </si>
  <si>
    <t>ORD26002828</t>
  </si>
  <si>
    <t>pay_420002749</t>
  </si>
  <si>
    <t>ORD26002886</t>
  </si>
  <si>
    <t>pay_420002757</t>
  </si>
  <si>
    <t>ORD26002895</t>
  </si>
  <si>
    <t>pay_420002765</t>
  </si>
  <si>
    <t>ORD26002903</t>
  </si>
  <si>
    <t>pay_420002771</t>
  </si>
  <si>
    <t>ORD26002909</t>
  </si>
  <si>
    <t>pay_420002837</t>
  </si>
  <si>
    <t>ORD26002979</t>
  </si>
  <si>
    <t>pay_420002841</t>
  </si>
  <si>
    <t>ORD26002983</t>
  </si>
  <si>
    <t>pay_420002873</t>
  </si>
  <si>
    <t>ORD26003014</t>
  </si>
  <si>
    <t>pay_420002890</t>
  </si>
  <si>
    <t>ORD26003031</t>
  </si>
  <si>
    <t>pay_420002912</t>
  </si>
  <si>
    <t>ORD26003056</t>
  </si>
  <si>
    <t>pay_420002946</t>
  </si>
  <si>
    <t>ORD26003091</t>
  </si>
  <si>
    <t>pay_420002971</t>
  </si>
  <si>
    <t>ORD26003118</t>
  </si>
  <si>
    <t>pay_420003026</t>
  </si>
  <si>
    <t>ORD26003177</t>
  </si>
  <si>
    <t>pay_420003073</t>
  </si>
  <si>
    <t>ORD26003227</t>
  </si>
  <si>
    <t>pay_420003087</t>
  </si>
  <si>
    <t>ORD-26003241</t>
  </si>
  <si>
    <t>ORD26003241</t>
  </si>
  <si>
    <t>pay_420003144</t>
  </si>
  <si>
    <t>ORD26003305</t>
  </si>
  <si>
    <t>pay_420003152</t>
  </si>
  <si>
    <t>ORD26003313</t>
  </si>
  <si>
    <t>pay_420003201</t>
  </si>
  <si>
    <t>ORD26003362</t>
  </si>
  <si>
    <t>pay_420003247</t>
  </si>
  <si>
    <t>ORD26003410</t>
  </si>
  <si>
    <t>pay_420003271</t>
  </si>
  <si>
    <t>ORD26003438</t>
  </si>
  <si>
    <t>pay_420003295</t>
  </si>
  <si>
    <t>ORD26003459</t>
  </si>
  <si>
    <t>pay_420003306</t>
  </si>
  <si>
    <t>ord26003469</t>
  </si>
  <si>
    <t>ORD26003469</t>
  </si>
  <si>
    <t>pay_420003343</t>
  </si>
  <si>
    <t>ORD26003507</t>
  </si>
  <si>
    <t>pay_420003360</t>
  </si>
  <si>
    <t>ord26003524</t>
  </si>
  <si>
    <t>ORD26003524</t>
  </si>
  <si>
    <t>pay_420003411</t>
  </si>
  <si>
    <t>ORD26003578</t>
  </si>
  <si>
    <t>pay_420003444</t>
  </si>
  <si>
    <t>ORD26003613</t>
  </si>
  <si>
    <t>pay_420003473</t>
  </si>
  <si>
    <t xml:space="preserve">ORD26003641  </t>
  </si>
  <si>
    <t>ORD26003641</t>
  </si>
  <si>
    <t>pay_420003489</t>
  </si>
  <si>
    <t>ORD26003657</t>
  </si>
  <si>
    <t>pay_420003556</t>
  </si>
  <si>
    <t>ORD26003725</t>
  </si>
  <si>
    <t>pay_420003594</t>
  </si>
  <si>
    <t>ORD-26003763</t>
  </si>
  <si>
    <t>ORD26003763</t>
  </si>
  <si>
    <t>pay_420003600</t>
  </si>
  <si>
    <t>ORD26003769</t>
  </si>
  <si>
    <t>pay_420003626</t>
  </si>
  <si>
    <t>ORD26003796</t>
  </si>
  <si>
    <t>pay_420003674</t>
  </si>
  <si>
    <t>ORD26003844</t>
  </si>
  <si>
    <t>pay_420003719</t>
  </si>
  <si>
    <t>ORD26003892</t>
  </si>
  <si>
    <t>pay_420003729</t>
  </si>
  <si>
    <t>ORD26003900</t>
  </si>
  <si>
    <t>pay_420003759</t>
  </si>
  <si>
    <t>ORD26003934</t>
  </si>
  <si>
    <t>pay_420003907</t>
  </si>
  <si>
    <t>ORD26004089</t>
  </si>
  <si>
    <t>pay_420003916</t>
  </si>
  <si>
    <t xml:space="preserve">ORD26004098  </t>
  </si>
  <si>
    <t>ORD26004098</t>
  </si>
  <si>
    <t>pay_420003940</t>
  </si>
  <si>
    <t>ORD26004123</t>
  </si>
  <si>
    <t>pay_420003967</t>
  </si>
  <si>
    <t>ORD26004151</t>
  </si>
  <si>
    <t>pay_420003981</t>
  </si>
  <si>
    <t>ORD26004168</t>
  </si>
  <si>
    <t>pay_420003985</t>
  </si>
  <si>
    <t>ORD26004173</t>
  </si>
  <si>
    <t>pay_420004047</t>
  </si>
  <si>
    <t>ORD26004238</t>
  </si>
  <si>
    <t>pay_420004085</t>
  </si>
  <si>
    <t>ORD26004278</t>
  </si>
  <si>
    <t>pay_420004107</t>
  </si>
  <si>
    <t>ORD26004302</t>
  </si>
  <si>
    <t>pay_420004129</t>
  </si>
  <si>
    <t>ORD26004321</t>
  </si>
  <si>
    <t>pay_420004141</t>
  </si>
  <si>
    <t>ORD26004334</t>
  </si>
  <si>
    <t>pay_420004148</t>
  </si>
  <si>
    <t xml:space="preserve">ORD26004340  </t>
  </si>
  <si>
    <t>ORD26004340</t>
  </si>
  <si>
    <t>pay_420004151</t>
  </si>
  <si>
    <t>ORD26004343</t>
  </si>
  <si>
    <t>pay_420004165</t>
  </si>
  <si>
    <t>ORD26004358</t>
  </si>
  <si>
    <t>pay_420004194</t>
  </si>
  <si>
    <t>ORD26004391</t>
  </si>
  <si>
    <t>pay_420004217</t>
  </si>
  <si>
    <t>ORD26004415</t>
  </si>
  <si>
    <t>pay_420004241</t>
  </si>
  <si>
    <t>ORD26004440</t>
  </si>
  <si>
    <t>pay_420004257</t>
  </si>
  <si>
    <t>ORD26004456</t>
  </si>
  <si>
    <t>pay_420004266</t>
  </si>
  <si>
    <t>ORD26004466</t>
  </si>
  <si>
    <t>pay_420004309</t>
  </si>
  <si>
    <t>ORD26004510</t>
  </si>
  <si>
    <t>pay_420004336</t>
  </si>
  <si>
    <t>ORD26004537</t>
  </si>
  <si>
    <t>pay_420004364</t>
  </si>
  <si>
    <t>ORD-26004566</t>
  </si>
  <si>
    <t>ORD26004566</t>
  </si>
  <si>
    <t>pay_420004369</t>
  </si>
  <si>
    <t>ORD26004572</t>
  </si>
  <si>
    <t>pay_420004391</t>
  </si>
  <si>
    <t>ORD26004594</t>
  </si>
  <si>
    <t>pay_420004444</t>
  </si>
  <si>
    <t>ORD26004653</t>
  </si>
  <si>
    <t>pay_420004551</t>
  </si>
  <si>
    <t>ord26004766</t>
  </si>
  <si>
    <t>ORD26004766</t>
  </si>
  <si>
    <t>pay_420004649</t>
  </si>
  <si>
    <t>ORD26004869</t>
  </si>
  <si>
    <t>pay_420004652</t>
  </si>
  <si>
    <t>ORD26004872</t>
  </si>
  <si>
    <t>pay_420004653</t>
  </si>
  <si>
    <t xml:space="preserve">ORD26004873  </t>
  </si>
  <si>
    <t>ORD26004873</t>
  </si>
  <si>
    <t>pay_420004673</t>
  </si>
  <si>
    <t>ORD26004894</t>
  </si>
  <si>
    <t>pay_420004676</t>
  </si>
  <si>
    <t>ORD26004897</t>
  </si>
  <si>
    <t>pay_420004677</t>
  </si>
  <si>
    <t>ORD26004898</t>
  </si>
  <si>
    <t>pay_420004712</t>
  </si>
  <si>
    <t>ORD26004932</t>
  </si>
  <si>
    <t>pay_420004751</t>
  </si>
  <si>
    <t>ORD26004972</t>
  </si>
  <si>
    <t>pay_420004771</t>
  </si>
  <si>
    <t>ORD26004993</t>
  </si>
  <si>
    <t>pay_420004778</t>
  </si>
  <si>
    <t>ORD-26005000</t>
  </si>
  <si>
    <t>ORD26005000</t>
  </si>
  <si>
    <t>pay_420004824</t>
  </si>
  <si>
    <t>ORD26005045</t>
  </si>
  <si>
    <t>pay_420004846</t>
  </si>
  <si>
    <t>ORD26005070</t>
  </si>
  <si>
    <t>pay_420004869</t>
  </si>
  <si>
    <t>ORD26005094</t>
  </si>
  <si>
    <t>pay_420004900</t>
  </si>
  <si>
    <t>ORD26005127</t>
  </si>
  <si>
    <t>pay_420004956</t>
  </si>
  <si>
    <t xml:space="preserve">ORD26005188  </t>
  </si>
  <si>
    <t>ORD26005188</t>
  </si>
  <si>
    <t>pay_420004961</t>
  </si>
  <si>
    <t>ORD26005194</t>
  </si>
  <si>
    <t>pay_420004980</t>
  </si>
  <si>
    <t>ORD26005212</t>
  </si>
  <si>
    <t>pay_420004981</t>
  </si>
  <si>
    <t>ORD26005213</t>
  </si>
  <si>
    <t>pay_420005082</t>
  </si>
  <si>
    <t>ORD26005323</t>
  </si>
  <si>
    <t>pay_420005165</t>
  </si>
  <si>
    <t>ORD26005405</t>
  </si>
  <si>
    <t>pay_420005169</t>
  </si>
  <si>
    <t>ORD26005409</t>
  </si>
  <si>
    <t>pay_420005172</t>
  </si>
  <si>
    <t>ORD26005411</t>
  </si>
  <si>
    <t>pay_420005175</t>
  </si>
  <si>
    <t>ORD26005414</t>
  </si>
  <si>
    <t>pay_420005197</t>
  </si>
  <si>
    <t>ORD26005437</t>
  </si>
  <si>
    <t>pay_420005298</t>
  </si>
  <si>
    <t>ORD26005535</t>
  </si>
  <si>
    <t>pay_420005321</t>
  </si>
  <si>
    <t>ORD26005562</t>
  </si>
  <si>
    <t>pay_420005337</t>
  </si>
  <si>
    <t>ORD26005578</t>
  </si>
  <si>
    <t>pay_420005404</t>
  </si>
  <si>
    <t>ORD26005648</t>
  </si>
  <si>
    <t>pay_420005443</t>
  </si>
  <si>
    <t>ORD26005689</t>
  </si>
  <si>
    <t>pay_420005444</t>
  </si>
  <si>
    <t>ORD26005691</t>
  </si>
  <si>
    <t>pay_420005587</t>
  </si>
  <si>
    <t>ORD26005845</t>
  </si>
  <si>
    <t>pay_420005602</t>
  </si>
  <si>
    <t>ORD26005859</t>
  </si>
  <si>
    <t>pay_420005607</t>
  </si>
  <si>
    <t>ORD26005864</t>
  </si>
  <si>
    <t>pay_420005614</t>
  </si>
  <si>
    <t>ord26005872</t>
  </si>
  <si>
    <t>ORD26005872</t>
  </si>
  <si>
    <t>pay_420005622</t>
  </si>
  <si>
    <t>ORD26005883</t>
  </si>
  <si>
    <t>pay_420005624</t>
  </si>
  <si>
    <t>ORD26005885</t>
  </si>
  <si>
    <t>pay_420005643</t>
  </si>
  <si>
    <t>ORD26005906</t>
  </si>
  <si>
    <t>pay_420005655</t>
  </si>
  <si>
    <t>ORD26005920</t>
  </si>
  <si>
    <t>pay_420005719</t>
  </si>
  <si>
    <t>ORD26005986</t>
  </si>
  <si>
    <t>rfnd_8VZYXVMEVLAZ</t>
  </si>
  <si>
    <t>rfnd_ERT4JL6UUC59</t>
  </si>
  <si>
    <t>rfnd_H1FHHSUWJT48</t>
  </si>
  <si>
    <t>rfnd_LAKG09C77EVQ</t>
  </si>
  <si>
    <t>rfnd_SPUQNJK2X0FF</t>
  </si>
  <si>
    <t>rfnd_U7CCCJMRNGUG</t>
  </si>
  <si>
    <t>rfnd_UD7UL8KL0VAW</t>
  </si>
  <si>
    <t>pay_420000009</t>
  </si>
  <si>
    <t>ORD26000009</t>
  </si>
  <si>
    <t>STL-20260927</t>
  </si>
  <si>
    <t>pay_420000025</t>
  </si>
  <si>
    <t>ORD26000025</t>
  </si>
  <si>
    <t>pay_420000098</t>
  </si>
  <si>
    <t>ORD26000105</t>
  </si>
  <si>
    <t>pay_420000193</t>
  </si>
  <si>
    <t>ord26000206</t>
  </si>
  <si>
    <t>ORD26000206</t>
  </si>
  <si>
    <t>pay_420000218</t>
  </si>
  <si>
    <t>ORD26000233</t>
  </si>
  <si>
    <t>pay_420000276</t>
  </si>
  <si>
    <t>ORD26000293</t>
  </si>
  <si>
    <t>pay_420000292</t>
  </si>
  <si>
    <t>ORD26000308</t>
  </si>
  <si>
    <t>pay_420000294</t>
  </si>
  <si>
    <t>ORD26000310</t>
  </si>
  <si>
    <t>pay_420000301</t>
  </si>
  <si>
    <t>ORD26000316</t>
  </si>
  <si>
    <t>pay_420000343</t>
  </si>
  <si>
    <t>ORD26000361</t>
  </si>
  <si>
    <t>pay_420000354</t>
  </si>
  <si>
    <t>ORD26000372</t>
  </si>
  <si>
    <t>pay_420000374</t>
  </si>
  <si>
    <t>ORD26000392</t>
  </si>
  <si>
    <t>pay_420000377</t>
  </si>
  <si>
    <t>ORD26000395</t>
  </si>
  <si>
    <t>pay_420000423</t>
  </si>
  <si>
    <t>ORD26000440</t>
  </si>
  <si>
    <t>pay_420000451</t>
  </si>
  <si>
    <t>ORD26000472</t>
  </si>
  <si>
    <t>pay_420000528</t>
  </si>
  <si>
    <t>ORD26000553</t>
  </si>
  <si>
    <t>pay_420000586</t>
  </si>
  <si>
    <t>ORD26000608</t>
  </si>
  <si>
    <t>pay_420000601</t>
  </si>
  <si>
    <t>ORD26000623</t>
  </si>
  <si>
    <t>pay_420000617</t>
  </si>
  <si>
    <t>ORD26000641</t>
  </si>
  <si>
    <t>pay_420000626</t>
  </si>
  <si>
    <t>ORD26000653</t>
  </si>
  <si>
    <t>pay_420000628</t>
  </si>
  <si>
    <t>ord26000655</t>
  </si>
  <si>
    <t>ORD26000655</t>
  </si>
  <si>
    <t>pay_420000652</t>
  </si>
  <si>
    <t>ORD26000680</t>
  </si>
  <si>
    <t>pay_420000685</t>
  </si>
  <si>
    <t>ORD26000715</t>
  </si>
  <si>
    <t>pay_420000688</t>
  </si>
  <si>
    <t>ORD26000718</t>
  </si>
  <si>
    <t>pay_420000708</t>
  </si>
  <si>
    <t>ORD26000741</t>
  </si>
  <si>
    <t>pay_420000800</t>
  </si>
  <si>
    <t>ORD26000834</t>
  </si>
  <si>
    <t>pay_420000809</t>
  </si>
  <si>
    <t>ORD26000843</t>
  </si>
  <si>
    <t>pay_420000815</t>
  </si>
  <si>
    <t>ORD26000849</t>
  </si>
  <si>
    <t>pay_420000816</t>
  </si>
  <si>
    <t>ORD26000851</t>
  </si>
  <si>
    <t>pay_420000827</t>
  </si>
  <si>
    <t>ORD26000861</t>
  </si>
  <si>
    <t>pay_420000857</t>
  </si>
  <si>
    <t>ORD26000893</t>
  </si>
  <si>
    <t>pay_420000879</t>
  </si>
  <si>
    <t>ORD26000918</t>
  </si>
  <si>
    <t>pay_420000893</t>
  </si>
  <si>
    <t>ORD26000932</t>
  </si>
  <si>
    <t>pay_420000898</t>
  </si>
  <si>
    <t>ORD26000937</t>
  </si>
  <si>
    <t>pay_420000922</t>
  </si>
  <si>
    <t xml:space="preserve">ORD26000962  </t>
  </si>
  <si>
    <t>ORD26000962</t>
  </si>
  <si>
    <t>pay_420000932</t>
  </si>
  <si>
    <t>ORD26000974</t>
  </si>
  <si>
    <t>pay_420000947</t>
  </si>
  <si>
    <t>ORD26000989</t>
  </si>
  <si>
    <t>pay_420000952</t>
  </si>
  <si>
    <t>ord26000994</t>
  </si>
  <si>
    <t>ORD26000994</t>
  </si>
  <si>
    <t>pay_420000973</t>
  </si>
  <si>
    <t>ORD26001015</t>
  </si>
  <si>
    <t>pay_420001005</t>
  </si>
  <si>
    <t>ORD26001049</t>
  </si>
  <si>
    <t>pay_420001011</t>
  </si>
  <si>
    <t>ORD26001054</t>
  </si>
  <si>
    <t>pay_420001043</t>
  </si>
  <si>
    <t>ORD26001086</t>
  </si>
  <si>
    <t>pay_420001096</t>
  </si>
  <si>
    <t>ORD26001142</t>
  </si>
  <si>
    <t>pay_420001175</t>
  </si>
  <si>
    <t>ORD26001225</t>
  </si>
  <si>
    <t>pay_420001188</t>
  </si>
  <si>
    <t>ORD26001241</t>
  </si>
  <si>
    <t>pay_420001193</t>
  </si>
  <si>
    <t>ORD26001246</t>
  </si>
  <si>
    <t>pay_420001224</t>
  </si>
  <si>
    <t>ORD26001281</t>
  </si>
  <si>
    <t>pay_420001268</t>
  </si>
  <si>
    <t>ORD26001328</t>
  </si>
  <si>
    <t>pay_420001291</t>
  </si>
  <si>
    <t>ORD26001352</t>
  </si>
  <si>
    <t>pay_420001325</t>
  </si>
  <si>
    <t>ORD26001387</t>
  </si>
  <si>
    <t>pay_420001336</t>
  </si>
  <si>
    <t>ORD26001400</t>
  </si>
  <si>
    <t>pay_420001378</t>
  </si>
  <si>
    <t>ord26001447</t>
  </si>
  <si>
    <t>ORD26001447</t>
  </si>
  <si>
    <t>pay_420001435</t>
  </si>
  <si>
    <t>ORD26001502</t>
  </si>
  <si>
    <t>pay_420001436</t>
  </si>
  <si>
    <t>ORD-26001503</t>
  </si>
  <si>
    <t>ORD26001503</t>
  </si>
  <si>
    <t>pay_420001509</t>
  </si>
  <si>
    <t>ORD26001575</t>
  </si>
  <si>
    <t>pay_420001514</t>
  </si>
  <si>
    <t>ORD26001582</t>
  </si>
  <si>
    <t>pay_420001542</t>
  </si>
  <si>
    <t>ord26001610</t>
  </si>
  <si>
    <t>ORD26001610</t>
  </si>
  <si>
    <t>pay_420001620</t>
  </si>
  <si>
    <t>ORD26001695</t>
  </si>
  <si>
    <t>pay_420001621</t>
  </si>
  <si>
    <t>ord26001696</t>
  </si>
  <si>
    <t>ORD26001696</t>
  </si>
  <si>
    <t>pay_420001682</t>
  </si>
  <si>
    <t>ORD26001763</t>
  </si>
  <si>
    <t>pay_420001686</t>
  </si>
  <si>
    <t>ORD26001766</t>
  </si>
  <si>
    <t>pay_420001704</t>
  </si>
  <si>
    <t>ORD26001784</t>
  </si>
  <si>
    <t>pay_420001732</t>
  </si>
  <si>
    <t>ORD26001813</t>
  </si>
  <si>
    <t>pay_420001741</t>
  </si>
  <si>
    <t>ORD26001823</t>
  </si>
  <si>
    <t>pay_420001802</t>
  </si>
  <si>
    <t>ord26001885</t>
  </si>
  <si>
    <t>ORD26001885</t>
  </si>
  <si>
    <t>pay_420001840</t>
  </si>
  <si>
    <t>ORD26001923</t>
  </si>
  <si>
    <t>pay_420001845</t>
  </si>
  <si>
    <t>ORD26001930</t>
  </si>
  <si>
    <t>pay_420001884</t>
  </si>
  <si>
    <t>ORD26001972</t>
  </si>
  <si>
    <t>pay_420001897</t>
  </si>
  <si>
    <t>ORD26001986</t>
  </si>
  <si>
    <t>pay_420001909</t>
  </si>
  <si>
    <t>ORD26002000</t>
  </si>
  <si>
    <t>pay_420001917</t>
  </si>
  <si>
    <t>ORD26002009</t>
  </si>
  <si>
    <t>pay_420001918</t>
  </si>
  <si>
    <t>ORD26002010</t>
  </si>
  <si>
    <t>pay_420001938</t>
  </si>
  <si>
    <t>ORD26002031</t>
  </si>
  <si>
    <t>pay_420001985</t>
  </si>
  <si>
    <t>ORD26002078</t>
  </si>
  <si>
    <t>pay_420001991</t>
  </si>
  <si>
    <t>ORD26002083</t>
  </si>
  <si>
    <t>pay_420002020</t>
  </si>
  <si>
    <t>ORD26002111</t>
  </si>
  <si>
    <t>pay_420002021</t>
  </si>
  <si>
    <t>ORD26002112</t>
  </si>
  <si>
    <t>pay_420002135</t>
  </si>
  <si>
    <t>ORD26002237</t>
  </si>
  <si>
    <t>pay_420002174</t>
  </si>
  <si>
    <t>ORD26002275</t>
  </si>
  <si>
    <t>pay_420002187</t>
  </si>
  <si>
    <t>ORD26002289</t>
  </si>
  <si>
    <t>pay_420002218</t>
  </si>
  <si>
    <t>ORD26002321</t>
  </si>
  <si>
    <t>pay_420002228</t>
  </si>
  <si>
    <t>ORD26002331</t>
  </si>
  <si>
    <t>pay_420002233</t>
  </si>
  <si>
    <t>ORD26002337</t>
  </si>
  <si>
    <t>pay_420002285</t>
  </si>
  <si>
    <t xml:space="preserve">ORD26002395  </t>
  </si>
  <si>
    <t>ORD26002395</t>
  </si>
  <si>
    <t>pay_420002309</t>
  </si>
  <si>
    <t>ORD26002423</t>
  </si>
  <si>
    <t>pay_420002315</t>
  </si>
  <si>
    <t>ORD26002428</t>
  </si>
  <si>
    <t>pay_420002325</t>
  </si>
  <si>
    <t>ORD26002437</t>
  </si>
  <si>
    <t>pay_420002341</t>
  </si>
  <si>
    <t>ORD26002455</t>
  </si>
  <si>
    <t>pay_420002351</t>
  </si>
  <si>
    <t>ORD26002463</t>
  </si>
  <si>
    <t>pay_420002433</t>
  </si>
  <si>
    <t>ORD26002545</t>
  </si>
  <si>
    <t>pay_420002435</t>
  </si>
  <si>
    <t>ORD26002547</t>
  </si>
  <si>
    <t>pay_420002464</t>
  </si>
  <si>
    <t>ORD26002579</t>
  </si>
  <si>
    <t>pay_420002471</t>
  </si>
  <si>
    <t>ORD26002586</t>
  </si>
  <si>
    <t>pay_420002496</t>
  </si>
  <si>
    <t>ord26002614</t>
  </si>
  <si>
    <t>ORD26002614</t>
  </si>
  <si>
    <t>pay_420002503</t>
  </si>
  <si>
    <t>ORD26002623</t>
  </si>
  <si>
    <t>pay_420002504</t>
  </si>
  <si>
    <t>ORD26002624</t>
  </si>
  <si>
    <t>pay_420002508</t>
  </si>
  <si>
    <t>ORD26002628</t>
  </si>
  <si>
    <t>pay_420002521</t>
  </si>
  <si>
    <t>ORD26002644</t>
  </si>
  <si>
    <t>pay_420002552</t>
  </si>
  <si>
    <t>ORD26002678</t>
  </si>
  <si>
    <t>pay_420002589</t>
  </si>
  <si>
    <t>ORD26002716</t>
  </si>
  <si>
    <t>pay_420002637</t>
  </si>
  <si>
    <t>ORD26002766</t>
  </si>
  <si>
    <t>pay_420002710</t>
  </si>
  <si>
    <t>ORD26002846</t>
  </si>
  <si>
    <t>pay_420002720</t>
  </si>
  <si>
    <t>ORD-26002858</t>
  </si>
  <si>
    <t>ORD26002858</t>
  </si>
  <si>
    <t>pay_420002941</t>
  </si>
  <si>
    <t>ORD26003086</t>
  </si>
  <si>
    <t>pay_420002943</t>
  </si>
  <si>
    <t>ORD26003088</t>
  </si>
  <si>
    <t>pay_420002962</t>
  </si>
  <si>
    <t>ORD26003108</t>
  </si>
  <si>
    <t>pay_420002965</t>
  </si>
  <si>
    <t>ord26003111</t>
  </si>
  <si>
    <t>ORD26003111</t>
  </si>
  <si>
    <t>pay_420002997</t>
  </si>
  <si>
    <t>ORD26003146</t>
  </si>
  <si>
    <t>pay_420003048</t>
  </si>
  <si>
    <t>ORD26003200</t>
  </si>
  <si>
    <t>pay_420003060</t>
  </si>
  <si>
    <t>ord26003212</t>
  </si>
  <si>
    <t>ORD26003212</t>
  </si>
  <si>
    <t>pay_420003070</t>
  </si>
  <si>
    <t>ORD26003224</t>
  </si>
  <si>
    <t>pay_420003084</t>
  </si>
  <si>
    <t>ORD26003238</t>
  </si>
  <si>
    <t>pay_420003106</t>
  </si>
  <si>
    <t>ORD26003264</t>
  </si>
  <si>
    <t>pay_420003151</t>
  </si>
  <si>
    <t>ORD26003312</t>
  </si>
  <si>
    <t>pay_420003166</t>
  </si>
  <si>
    <t>ORD26003327</t>
  </si>
  <si>
    <t>pay_420003231</t>
  </si>
  <si>
    <t>ORD26003393</t>
  </si>
  <si>
    <t>pay_420003302</t>
  </si>
  <si>
    <t>ORD26003465</t>
  </si>
  <si>
    <t>pay_420003376</t>
  </si>
  <si>
    <t>ORD26003542</t>
  </si>
  <si>
    <t>pay_420003441</t>
  </si>
  <si>
    <t>ORD26003610</t>
  </si>
  <si>
    <t>pay_420003442</t>
  </si>
  <si>
    <t xml:space="preserve">ORD26003611  </t>
  </si>
  <si>
    <t>ORD26003611</t>
  </si>
  <si>
    <t>pay_420003446</t>
  </si>
  <si>
    <t>ORD-26003615</t>
  </si>
  <si>
    <t>ORD26003615</t>
  </si>
  <si>
    <t>pay_420003505</t>
  </si>
  <si>
    <t>ORD26003674</t>
  </si>
  <si>
    <t>pay_420003517</t>
  </si>
  <si>
    <t>ORD26003687</t>
  </si>
  <si>
    <t>pay_420003533</t>
  </si>
  <si>
    <t>ORD26003704</t>
  </si>
  <si>
    <t>pay_420003577</t>
  </si>
  <si>
    <t>ORD26003745</t>
  </si>
  <si>
    <t>pay_420003644</t>
  </si>
  <si>
    <t>ORD26003816</t>
  </si>
  <si>
    <t>pay_420003671</t>
  </si>
  <si>
    <t>ORD26003841</t>
  </si>
  <si>
    <t>pay_420003779</t>
  </si>
  <si>
    <t>ORD26003956</t>
  </si>
  <si>
    <t>pay_420003801</t>
  </si>
  <si>
    <t>ORD26003979</t>
  </si>
  <si>
    <t>pay_420003829</t>
  </si>
  <si>
    <t>ORD26004010</t>
  </si>
  <si>
    <t>pay_420003843</t>
  </si>
  <si>
    <t>ORD26004024</t>
  </si>
  <si>
    <t>pay_420003879</t>
  </si>
  <si>
    <t>ORD26004063</t>
  </si>
  <si>
    <t>pay_420003893</t>
  </si>
  <si>
    <t>ORD26004075</t>
  </si>
  <si>
    <t>pay_420003910</t>
  </si>
  <si>
    <t>ORD26004092</t>
  </si>
  <si>
    <t>pay_420003912</t>
  </si>
  <si>
    <t xml:space="preserve">ORD26004094  </t>
  </si>
  <si>
    <t>ORD26004094</t>
  </si>
  <si>
    <t>pay_420003951</t>
  </si>
  <si>
    <t>ORD26004134</t>
  </si>
  <si>
    <t>pay_420003961</t>
  </si>
  <si>
    <t>ORD26004145</t>
  </si>
  <si>
    <t>pay_420003997</t>
  </si>
  <si>
    <t>ORD26004183</t>
  </si>
  <si>
    <t>pay_420004069</t>
  </si>
  <si>
    <t>ORD26004262</t>
  </si>
  <si>
    <t>pay_420004105</t>
  </si>
  <si>
    <t>ORD26004300</t>
  </si>
  <si>
    <t>pay_420004124</t>
  </si>
  <si>
    <t>ORD26004316</t>
  </si>
  <si>
    <t>pay_420004131</t>
  </si>
  <si>
    <t>ORD26004323</t>
  </si>
  <si>
    <t>pay_420004139</t>
  </si>
  <si>
    <t>ORD26004332</t>
  </si>
  <si>
    <t>pay_420004182</t>
  </si>
  <si>
    <t>ORD26004377</t>
  </si>
  <si>
    <t>pay_420004201</t>
  </si>
  <si>
    <t>ORD26004399</t>
  </si>
  <si>
    <t>pay_420004207</t>
  </si>
  <si>
    <t>ORD26004405</t>
  </si>
  <si>
    <t>pay_420004212</t>
  </si>
  <si>
    <t>ORD26004410</t>
  </si>
  <si>
    <t>pay_420004221</t>
  </si>
  <si>
    <t>ORD26004419</t>
  </si>
  <si>
    <t>pay_420004232</t>
  </si>
  <si>
    <t>ord26004430</t>
  </si>
  <si>
    <t>ORD26004430</t>
  </si>
  <si>
    <t>pay_420004233</t>
  </si>
  <si>
    <t>ORD26004431</t>
  </si>
  <si>
    <t>pay_420004273</t>
  </si>
  <si>
    <t>ORD26004473</t>
  </si>
  <si>
    <t>pay_420004274</t>
  </si>
  <si>
    <t>ORD26004474</t>
  </si>
  <si>
    <t>pay_420004307</t>
  </si>
  <si>
    <t>ORD26004509</t>
  </si>
  <si>
    <t>pay_420004318</t>
  </si>
  <si>
    <t>ORD26004521</t>
  </si>
  <si>
    <t>pay_420004331</t>
  </si>
  <si>
    <t>ord26004532</t>
  </si>
  <si>
    <t>ORD26004532</t>
  </si>
  <si>
    <t>pay_420004333</t>
  </si>
  <si>
    <t>ORD26004534</t>
  </si>
  <si>
    <t>pay_420004365</t>
  </si>
  <si>
    <t xml:space="preserve">ORD26004567  </t>
  </si>
  <si>
    <t>ORD26004567</t>
  </si>
  <si>
    <t>pay_420004389</t>
  </si>
  <si>
    <t>ORD26004592</t>
  </si>
  <si>
    <t>pay_420004407</t>
  </si>
  <si>
    <t>ORD26004613</t>
  </si>
  <si>
    <t>pay_420004413</t>
  </si>
  <si>
    <t xml:space="preserve">ORD26004620  </t>
  </si>
  <si>
    <t>ORD26004620</t>
  </si>
  <si>
    <t>pay_420004468</t>
  </si>
  <si>
    <t>ORD26004678</t>
  </si>
  <si>
    <t>pay_420004523</t>
  </si>
  <si>
    <t>ORD26004736</t>
  </si>
  <si>
    <t>pay_420004630</t>
  </si>
  <si>
    <t>ORD26004845</t>
  </si>
  <si>
    <t>pay_420004633</t>
  </si>
  <si>
    <t>ORD26004848</t>
  </si>
  <si>
    <t>pay_420004678</t>
  </si>
  <si>
    <t>ORD26004899</t>
  </si>
  <si>
    <t>pay_420004683</t>
  </si>
  <si>
    <t>ORD26004905</t>
  </si>
  <si>
    <t>pay_420004719</t>
  </si>
  <si>
    <t>ORD26004940</t>
  </si>
  <si>
    <t>pay_420004757</t>
  </si>
  <si>
    <t>ord26004978</t>
  </si>
  <si>
    <t>ORD26004978</t>
  </si>
  <si>
    <t>pay_420004806</t>
  </si>
  <si>
    <t>ORD26005028</t>
  </si>
  <si>
    <t>pay_420004862</t>
  </si>
  <si>
    <t>ORD26005085</t>
  </si>
  <si>
    <t>pay_420004870</t>
  </si>
  <si>
    <t>ORD26005095</t>
  </si>
  <si>
    <t>pay_420004924</t>
  </si>
  <si>
    <t>ORD26005156</t>
  </si>
  <si>
    <t>pay_420004935</t>
  </si>
  <si>
    <t>ORD26005166</t>
  </si>
  <si>
    <t>pay_420004936</t>
  </si>
  <si>
    <t>ORD26005167</t>
  </si>
  <si>
    <t>pay_420004978</t>
  </si>
  <si>
    <t>ORD26005210</t>
  </si>
  <si>
    <t>pay_420004984</t>
  </si>
  <si>
    <t>ord26005217</t>
  </si>
  <si>
    <t>ORD26005217</t>
  </si>
  <si>
    <t>pay_420004996</t>
  </si>
  <si>
    <t xml:space="preserve">ORD26005232  </t>
  </si>
  <si>
    <t>ORD26005232</t>
  </si>
  <si>
    <t>pay_420005002</t>
  </si>
  <si>
    <t>ord26005238</t>
  </si>
  <si>
    <t>ORD26005238</t>
  </si>
  <si>
    <t>pay_420005030</t>
  </si>
  <si>
    <t>ORD26005267</t>
  </si>
  <si>
    <t>pay_420005053</t>
  </si>
  <si>
    <t>ORD-26005292</t>
  </si>
  <si>
    <t>ORD26005292</t>
  </si>
  <si>
    <t>pay_420005068</t>
  </si>
  <si>
    <t>ORD26005309</t>
  </si>
  <si>
    <t>pay_420005192</t>
  </si>
  <si>
    <t>ORD26005432</t>
  </si>
  <si>
    <t>pay_420005210</t>
  </si>
  <si>
    <t>ORD26005451</t>
  </si>
  <si>
    <t>pay_420005235</t>
  </si>
  <si>
    <t>ord26005473</t>
  </si>
  <si>
    <t>ORD26005473</t>
  </si>
  <si>
    <t>pay_420005245</t>
  </si>
  <si>
    <t>ORD26005483</t>
  </si>
  <si>
    <t>pay_420005284</t>
  </si>
  <si>
    <t>ord26005521</t>
  </si>
  <si>
    <t>ORD26005521</t>
  </si>
  <si>
    <t>pay_420005344</t>
  </si>
  <si>
    <t>ORD26005586</t>
  </si>
  <si>
    <t>pay_420005381</t>
  </si>
  <si>
    <t>ORD26005624</t>
  </si>
  <si>
    <t>pay_420005385</t>
  </si>
  <si>
    <t>ord26005627</t>
  </si>
  <si>
    <t>ORD26005627</t>
  </si>
  <si>
    <t>pay_420005402</t>
  </si>
  <si>
    <t>ORD26005646</t>
  </si>
  <si>
    <t>pay_420005412</t>
  </si>
  <si>
    <t>ORD26005657</t>
  </si>
  <si>
    <t>pay_420005414</t>
  </si>
  <si>
    <t>ORD-26005659</t>
  </si>
  <si>
    <t>ORD26005659</t>
  </si>
  <si>
    <t>pay_420005420</t>
  </si>
  <si>
    <t>ORD26005667</t>
  </si>
  <si>
    <t>pay_420005439</t>
  </si>
  <si>
    <t>ORD26005685</t>
  </si>
  <si>
    <t>pay_420005447</t>
  </si>
  <si>
    <t>ORD26005694</t>
  </si>
  <si>
    <t>pay_420005493</t>
  </si>
  <si>
    <t>ORD26005742</t>
  </si>
  <si>
    <t>pay_420005500</t>
  </si>
  <si>
    <t>ord26005749</t>
  </si>
  <si>
    <t>ORD26005749</t>
  </si>
  <si>
    <t>pay_420005507</t>
  </si>
  <si>
    <t>ORD26005757</t>
  </si>
  <si>
    <t>pay_420005509</t>
  </si>
  <si>
    <t>ORD26005759</t>
  </si>
  <si>
    <t>pay_420005510</t>
  </si>
  <si>
    <t>ORD26005760</t>
  </si>
  <si>
    <t>pay_420005524</t>
  </si>
  <si>
    <t>ORD26005775</t>
  </si>
  <si>
    <t>pay_420005575</t>
  </si>
  <si>
    <t>ORD26005831</t>
  </si>
  <si>
    <t>pay_420005723</t>
  </si>
  <si>
    <t>ORD26005990</t>
  </si>
  <si>
    <t>pay_420005732</t>
  </si>
  <si>
    <t>ORD26005999</t>
  </si>
  <si>
    <t>rfnd_080MABWQ0QL9</t>
  </si>
  <si>
    <t>rfnd_VH05KMJJHH6Y</t>
  </si>
  <si>
    <t>pay_420000056</t>
  </si>
  <si>
    <t>ORD26000057</t>
  </si>
  <si>
    <t>STL-20260928</t>
  </si>
  <si>
    <t>pay_420000058</t>
  </si>
  <si>
    <t xml:space="preserve">ORD26000058  </t>
  </si>
  <si>
    <t>ORD26000058</t>
  </si>
  <si>
    <t>pay_420000059</t>
  </si>
  <si>
    <t>ORD26000059</t>
  </si>
  <si>
    <t>pay_420000161</t>
  </si>
  <si>
    <t>ORD26000170</t>
  </si>
  <si>
    <t>pay_420000181</t>
  </si>
  <si>
    <t>ORD26000195</t>
  </si>
  <si>
    <t>pay_420000238</t>
  </si>
  <si>
    <t>ORD26000254</t>
  </si>
  <si>
    <t>pay_420000256</t>
  </si>
  <si>
    <t>ORD26000273</t>
  </si>
  <si>
    <t>pay_420000258</t>
  </si>
  <si>
    <t>ord26000275</t>
  </si>
  <si>
    <t>ORD26000275</t>
  </si>
  <si>
    <t>pay_420000321</t>
  </si>
  <si>
    <t>ORD26000336</t>
  </si>
  <si>
    <t>pay_420000332</t>
  </si>
  <si>
    <t>ORD26000349</t>
  </si>
  <si>
    <t>pay_420000370</t>
  </si>
  <si>
    <t>ORD26000388</t>
  </si>
  <si>
    <t>pay_420000419</t>
  </si>
  <si>
    <t>ord26000436</t>
  </si>
  <si>
    <t>ORD26000436</t>
  </si>
  <si>
    <t>pay_420000450</t>
  </si>
  <si>
    <t>ord26000471</t>
  </si>
  <si>
    <t>ORD26000471</t>
  </si>
  <si>
    <t>pay_420000459</t>
  </si>
  <si>
    <t>ORD26000481</t>
  </si>
  <si>
    <t>pay_420000493</t>
  </si>
  <si>
    <t>ORD26000516</t>
  </si>
  <si>
    <t>pay_420000556</t>
  </si>
  <si>
    <t>ORD26000580</t>
  </si>
  <si>
    <t>pay_420000583</t>
  </si>
  <si>
    <t>ORD26000605</t>
  </si>
  <si>
    <t>pay_420000590</t>
  </si>
  <si>
    <t>ORD26000612</t>
  </si>
  <si>
    <t>pay_420000732</t>
  </si>
  <si>
    <t>ORD26000767</t>
  </si>
  <si>
    <t>pay_420000764</t>
  </si>
  <si>
    <t>ORD26000796</t>
  </si>
  <si>
    <t>pay_420000786</t>
  </si>
  <si>
    <t>ord26000819</t>
  </si>
  <si>
    <t>ORD26000819</t>
  </si>
  <si>
    <t>pay_420000796</t>
  </si>
  <si>
    <t>ORD26000829</t>
  </si>
  <si>
    <t>pay_420000856</t>
  </si>
  <si>
    <t>ORD26000891</t>
  </si>
  <si>
    <t>pay_420000896</t>
  </si>
  <si>
    <t>ORD26000935</t>
  </si>
  <si>
    <t>pay_420000916</t>
  </si>
  <si>
    <t>ORD26000956</t>
  </si>
  <si>
    <t>pay_420000936</t>
  </si>
  <si>
    <t>ORD26000978</t>
  </si>
  <si>
    <t>pay_420000956</t>
  </si>
  <si>
    <t>ORD26001000</t>
  </si>
  <si>
    <t>pay_420001060</t>
  </si>
  <si>
    <t>ORD26001103</t>
  </si>
  <si>
    <t>pay_420001090</t>
  </si>
  <si>
    <t>ord26001133</t>
  </si>
  <si>
    <t>ORD26001133</t>
  </si>
  <si>
    <t>pay_420001198</t>
  </si>
  <si>
    <t>ORD26001251</t>
  </si>
  <si>
    <t>pay_420001243</t>
  </si>
  <si>
    <t>ORD26001300</t>
  </si>
  <si>
    <t>pay_420001257</t>
  </si>
  <si>
    <t>ORD26001314</t>
  </si>
  <si>
    <t>pay_420001265</t>
  </si>
  <si>
    <t>ORD26001323</t>
  </si>
  <si>
    <t>pay_420001271</t>
  </si>
  <si>
    <t>ORD26001331</t>
  </si>
  <si>
    <t>pay_420001311</t>
  </si>
  <si>
    <t>ORD26001374</t>
  </si>
  <si>
    <t>pay_420001315</t>
  </si>
  <si>
    <t>ORD26001378</t>
  </si>
  <si>
    <t>pay_420001345</t>
  </si>
  <si>
    <t>ORD26001409</t>
  </si>
  <si>
    <t>pay_420001381</t>
  </si>
  <si>
    <t>ORD26001450</t>
  </si>
  <si>
    <t>pay_420001425</t>
  </si>
  <si>
    <t>ORD26001494</t>
  </si>
  <si>
    <t>pay_420001500</t>
  </si>
  <si>
    <t>ORD26001565</t>
  </si>
  <si>
    <t>pay_420001578</t>
  </si>
  <si>
    <t>ORD26001650</t>
  </si>
  <si>
    <t>pay_420001593</t>
  </si>
  <si>
    <t>ORD26001667</t>
  </si>
  <si>
    <t>pay_420001599</t>
  </si>
  <si>
    <t>ORD26001673</t>
  </si>
  <si>
    <t>pay_420001636</t>
  </si>
  <si>
    <t>ord26001713</t>
  </si>
  <si>
    <t>ORD26001713</t>
  </si>
  <si>
    <t>pay_420001639</t>
  </si>
  <si>
    <t>ORD26001716</t>
  </si>
  <si>
    <t>pay_420001720</t>
  </si>
  <si>
    <t>ORD26001801</t>
  </si>
  <si>
    <t>pay_420001722</t>
  </si>
  <si>
    <t>ORD26001803</t>
  </si>
  <si>
    <t>pay_420001733</t>
  </si>
  <si>
    <t>ORD26001814</t>
  </si>
  <si>
    <t>pay_420001742</t>
  </si>
  <si>
    <t>ord26001824</t>
  </si>
  <si>
    <t>ORD26001824</t>
  </si>
  <si>
    <t>pay_420001776</t>
  </si>
  <si>
    <t>ORD-26001858</t>
  </si>
  <si>
    <t>ORD26001858</t>
  </si>
  <si>
    <t>pay_420001777</t>
  </si>
  <si>
    <t>ORD26001859</t>
  </si>
  <si>
    <t>pay_420001844</t>
  </si>
  <si>
    <t>ORD26001929</t>
  </si>
  <si>
    <t>pay_420001852</t>
  </si>
  <si>
    <t>ORD26001937</t>
  </si>
  <si>
    <t>pay_420001880</t>
  </si>
  <si>
    <t>ORD26001968</t>
  </si>
  <si>
    <t>pay_420001891</t>
  </si>
  <si>
    <t>ORD26001980</t>
  </si>
  <si>
    <t>pay_420001895</t>
  </si>
  <si>
    <t>ORD26001984</t>
  </si>
  <si>
    <t>pay_420001900</t>
  </si>
  <si>
    <t>ORD26001989</t>
  </si>
  <si>
    <t>pay_420001911</t>
  </si>
  <si>
    <t>ORD26002002</t>
  </si>
  <si>
    <t>pay_420001925</t>
  </si>
  <si>
    <t>ORD26002018</t>
  </si>
  <si>
    <t>pay_420001997</t>
  </si>
  <si>
    <t>ORD26002090</t>
  </si>
  <si>
    <t>pay_420002018</t>
  </si>
  <si>
    <t>ORD26002109</t>
  </si>
  <si>
    <t>pay_420002045</t>
  </si>
  <si>
    <t xml:space="preserve">ORD26002138  </t>
  </si>
  <si>
    <t>ORD26002138</t>
  </si>
  <si>
    <t>pay_420002049</t>
  </si>
  <si>
    <t>ORD26002141</t>
  </si>
  <si>
    <t>pay_420002126</t>
  </si>
  <si>
    <t>ORD26002229</t>
  </si>
  <si>
    <t>pay_420002137</t>
  </si>
  <si>
    <t>ORD26002239</t>
  </si>
  <si>
    <t>pay_420002191</t>
  </si>
  <si>
    <t>ORD26002294</t>
  </si>
  <si>
    <t>pay_420002217</t>
  </si>
  <si>
    <t>ORD26002320</t>
  </si>
  <si>
    <t>pay_420002223</t>
  </si>
  <si>
    <t>ORD26002327</t>
  </si>
  <si>
    <t>pay_420002244</t>
  </si>
  <si>
    <t>ORD26002349</t>
  </si>
  <si>
    <t>pay_420002258</t>
  </si>
  <si>
    <t>ORD26002366</t>
  </si>
  <si>
    <t>pay_420002272</t>
  </si>
  <si>
    <t>ORD26002381</t>
  </si>
  <si>
    <t>pay_420002319</t>
  </si>
  <si>
    <t>ord26002432</t>
  </si>
  <si>
    <t>ORD26002432</t>
  </si>
  <si>
    <t>pay_420002337</t>
  </si>
  <si>
    <t>ord26002451</t>
  </si>
  <si>
    <t>ORD26002451</t>
  </si>
  <si>
    <t>pay_420002359</t>
  </si>
  <si>
    <t>ORD26002472</t>
  </si>
  <si>
    <t>pay_420002374</t>
  </si>
  <si>
    <t>ORD26002487</t>
  </si>
  <si>
    <t>pay_420002389</t>
  </si>
  <si>
    <t>ORD26002501</t>
  </si>
  <si>
    <t>pay_420002396</t>
  </si>
  <si>
    <t>ORD26002508</t>
  </si>
  <si>
    <t>pay_420002415</t>
  </si>
  <si>
    <t>ORD26002529</t>
  </si>
  <si>
    <t>pay_420002480</t>
  </si>
  <si>
    <t>ORD26002597</t>
  </si>
  <si>
    <t>pay_420002507</t>
  </si>
  <si>
    <t>ORD26002627</t>
  </si>
  <si>
    <t>pay_420002523</t>
  </si>
  <si>
    <t>ORD26002646</t>
  </si>
  <si>
    <t>pay_420002651</t>
  </si>
  <si>
    <t>ORD26002781</t>
  </si>
  <si>
    <t>pay_420002682</t>
  </si>
  <si>
    <t>ORD26002814</t>
  </si>
  <si>
    <t>pay_420002702</t>
  </si>
  <si>
    <t>ORD26002836</t>
  </si>
  <si>
    <t>pay_420002704</t>
  </si>
  <si>
    <t>ORD26002839</t>
  </si>
  <si>
    <t>pay_420002736</t>
  </si>
  <si>
    <t>ord26002873</t>
  </si>
  <si>
    <t>ORD26002873</t>
  </si>
  <si>
    <t>pay_420002737</t>
  </si>
  <si>
    <t>ORD26002874</t>
  </si>
  <si>
    <t>pay_420002741</t>
  </si>
  <si>
    <t>ORD26002878</t>
  </si>
  <si>
    <t>pay_420002792</t>
  </si>
  <si>
    <t>ORD26002934</t>
  </si>
  <si>
    <t>pay_420002826</t>
  </si>
  <si>
    <t>ORD26002968</t>
  </si>
  <si>
    <t>pay_420002901</t>
  </si>
  <si>
    <t>ORD26003045</t>
  </si>
  <si>
    <t>pay_420002903</t>
  </si>
  <si>
    <t>ORD26003047</t>
  </si>
  <si>
    <t>pay_420002990</t>
  </si>
  <si>
    <t>ORD-26003139</t>
  </si>
  <si>
    <t>ORD26003139</t>
  </si>
  <si>
    <t>pay_420003077</t>
  </si>
  <si>
    <t>ORD26003231</t>
  </si>
  <si>
    <t>pay_420003158</t>
  </si>
  <si>
    <t>ORD26003320</t>
  </si>
  <si>
    <t>pay_420003193</t>
  </si>
  <si>
    <t>ORD26003354</t>
  </si>
  <si>
    <t>pay_420003208</t>
  </si>
  <si>
    <t>ORD26003369</t>
  </si>
  <si>
    <t>pay_420003260</t>
  </si>
  <si>
    <t>ORD26003428</t>
  </si>
  <si>
    <t>pay_420003274</t>
  </si>
  <si>
    <t>ORD26003440</t>
  </si>
  <si>
    <t>pay_420003275</t>
  </si>
  <si>
    <t>pay_420003283</t>
  </si>
  <si>
    <t>ORD26003447</t>
  </si>
  <si>
    <t>pay_420003308</t>
  </si>
  <si>
    <t>ORD26003471</t>
  </si>
  <si>
    <t>pay_420003316</t>
  </si>
  <si>
    <t>ORD-26003478</t>
  </si>
  <si>
    <t>ORD26003478</t>
  </si>
  <si>
    <t>pay_420003323</t>
  </si>
  <si>
    <t>ORD26003486</t>
  </si>
  <si>
    <t>pay_420003409</t>
  </si>
  <si>
    <t>ORD26003576</t>
  </si>
  <si>
    <t>pay_420003459</t>
  </si>
  <si>
    <t>ORD26003627</t>
  </si>
  <si>
    <t>pay_420003464</t>
  </si>
  <si>
    <t>ORD26003632</t>
  </si>
  <si>
    <t>pay_420003513</t>
  </si>
  <si>
    <t>ORD26003684</t>
  </si>
  <si>
    <t>pay_420003527</t>
  </si>
  <si>
    <t>ORD26003698</t>
  </si>
  <si>
    <t>pay_420003591</t>
  </si>
  <si>
    <t>ORD26003760</t>
  </si>
  <si>
    <t>pay_420003605</t>
  </si>
  <si>
    <t>ORD26003774</t>
  </si>
  <si>
    <t>pay_420003624</t>
  </si>
  <si>
    <t>ORD26003793</t>
  </si>
  <si>
    <t>pay_420003666</t>
  </si>
  <si>
    <t>ORD26003836</t>
  </si>
  <si>
    <t>pay_420003727</t>
  </si>
  <si>
    <t>ord26003899</t>
  </si>
  <si>
    <t>ORD26003899</t>
  </si>
  <si>
    <t>pay_420003741</t>
  </si>
  <si>
    <t>ORD26003915</t>
  </si>
  <si>
    <t>pay_420003808</t>
  </si>
  <si>
    <t>ORD26003988</t>
  </si>
  <si>
    <t>pay_420003811</t>
  </si>
  <si>
    <t>ORD26003991</t>
  </si>
  <si>
    <t>pay_420003839</t>
  </si>
  <si>
    <t>ORD26004020</t>
  </si>
  <si>
    <t>pay_420003883</t>
  </si>
  <si>
    <t>ORD26004066</t>
  </si>
  <si>
    <t>pay_420003941</t>
  </si>
  <si>
    <t>ORD26004124</t>
  </si>
  <si>
    <t>pay_420004013</t>
  </si>
  <si>
    <t>ORD26004201</t>
  </si>
  <si>
    <t>pay_420004018</t>
  </si>
  <si>
    <t>ORD26004206</t>
  </si>
  <si>
    <t>pay_420004030</t>
  </si>
  <si>
    <t>ORD26004221</t>
  </si>
  <si>
    <t>pay_420004045</t>
  </si>
  <si>
    <t>ORD26004236</t>
  </si>
  <si>
    <t>pay_420004126</t>
  </si>
  <si>
    <t>ORD26004318</t>
  </si>
  <si>
    <t>pay_420004135</t>
  </si>
  <si>
    <t>ORD26004328</t>
  </si>
  <si>
    <t>pay_420004160</t>
  </si>
  <si>
    <t>ORD26004353</t>
  </si>
  <si>
    <t>pay_420004184</t>
  </si>
  <si>
    <t>ORD26004379</t>
  </si>
  <si>
    <t>pay_420004188</t>
  </si>
  <si>
    <t>ORD26004383</t>
  </si>
  <si>
    <t>pay_420004346</t>
  </si>
  <si>
    <t>ORD26004548</t>
  </si>
  <si>
    <t>pay_420004356</t>
  </si>
  <si>
    <t>ORD26004558</t>
  </si>
  <si>
    <t>pay_420004357</t>
  </si>
  <si>
    <t>ORD26004559</t>
  </si>
  <si>
    <t>pay_420004358</t>
  </si>
  <si>
    <t>ORD26004560</t>
  </si>
  <si>
    <t>pay_420004359</t>
  </si>
  <si>
    <t>ORD26004561</t>
  </si>
  <si>
    <t>pay_420004416</t>
  </si>
  <si>
    <t>ORD26004623</t>
  </si>
  <si>
    <t>pay_420004451</t>
  </si>
  <si>
    <t>ORD26004660</t>
  </si>
  <si>
    <t>pay_420004489</t>
  </si>
  <si>
    <t>ORD-26004702</t>
  </si>
  <si>
    <t>ORD26004702</t>
  </si>
  <si>
    <t>pay_420004587</t>
  </si>
  <si>
    <t>ORD26004800</t>
  </si>
  <si>
    <t>pay_420004629</t>
  </si>
  <si>
    <t>ORD26004844</t>
  </si>
  <si>
    <t>pay_420004687</t>
  </si>
  <si>
    <t>ORD26004908</t>
  </si>
  <si>
    <t>pay_420004696</t>
  </si>
  <si>
    <t>ORD26004918</t>
  </si>
  <si>
    <t>pay_420004735</t>
  </si>
  <si>
    <t>ORD26004957</t>
  </si>
  <si>
    <t>pay_420004851</t>
  </si>
  <si>
    <t>ORD26005074</t>
  </si>
  <si>
    <t>pay_420004899</t>
  </si>
  <si>
    <t>ORD26005126</t>
  </si>
  <si>
    <t>pay_420004940</t>
  </si>
  <si>
    <t>ORD26005171</t>
  </si>
  <si>
    <t>pay_420005092</t>
  </si>
  <si>
    <t>ORD26005332</t>
  </si>
  <si>
    <t>pay_420005117</t>
  </si>
  <si>
    <t>ORD26005354</t>
  </si>
  <si>
    <t>pay_420005187</t>
  </si>
  <si>
    <t>ORD26005426</t>
  </si>
  <si>
    <t>pay_420005222</t>
  </si>
  <si>
    <t>ORD26005460</t>
  </si>
  <si>
    <t>pay_420005244</t>
  </si>
  <si>
    <t>ORD26005482</t>
  </si>
  <si>
    <t>pay_420005248</t>
  </si>
  <si>
    <t>ORD26005485</t>
  </si>
  <si>
    <t>pay_420005301</t>
  </si>
  <si>
    <t>ORD26005539</t>
  </si>
  <si>
    <t>pay_420005308</t>
  </si>
  <si>
    <t xml:space="preserve">ORD26005547  </t>
  </si>
  <si>
    <t>ORD26005547</t>
  </si>
  <si>
    <t>pay_420005318</t>
  </si>
  <si>
    <t>ORD26005559</t>
  </si>
  <si>
    <t>pay_420005351</t>
  </si>
  <si>
    <t>ORD26005592</t>
  </si>
  <si>
    <t>pay_420005394</t>
  </si>
  <si>
    <t>ORD26005637</t>
  </si>
  <si>
    <t>pay_420005489</t>
  </si>
  <si>
    <t>ORD26005738</t>
  </si>
  <si>
    <t>pay_420005513</t>
  </si>
  <si>
    <t>ORD26005763</t>
  </si>
  <si>
    <t>pay_420005554</t>
  </si>
  <si>
    <t>ORD26005808</t>
  </si>
  <si>
    <t>pay_420005556</t>
  </si>
  <si>
    <t>ORD26005810</t>
  </si>
  <si>
    <t>pay_420005576</t>
  </si>
  <si>
    <t>ORD26005833</t>
  </si>
  <si>
    <t>pay_420005589</t>
  </si>
  <si>
    <t>ORD26005847</t>
  </si>
  <si>
    <t>pay_420005604</t>
  </si>
  <si>
    <t>ORD26005861</t>
  </si>
  <si>
    <t>pay_420005645</t>
  </si>
  <si>
    <t>ORD26005909</t>
  </si>
  <si>
    <t>pay_420005650</t>
  </si>
  <si>
    <t>ORD26005915</t>
  </si>
  <si>
    <t>pay_420005701</t>
  </si>
  <si>
    <t>ORD26005968</t>
  </si>
  <si>
    <t>pay_420005735</t>
  </si>
  <si>
    <t>ORD26006500</t>
  </si>
  <si>
    <t>rfnd_3WYN6T1DJDB3</t>
  </si>
  <si>
    <t>rfnd_923TWDFZ1WTG</t>
  </si>
  <si>
    <t>rfnd_AF71HLNWW6VE</t>
  </si>
  <si>
    <t>rfnd_B6Q39G8ABCMT</t>
  </si>
  <si>
    <t>rfnd_C84CZNYQMCGQ</t>
  </si>
  <si>
    <t>rfnd_ELK4CYW2S39A</t>
  </si>
  <si>
    <t>rfnd_LKQ537NCSW65</t>
  </si>
  <si>
    <t>rfnd_LSJD3PE5HVE9</t>
  </si>
  <si>
    <t>rfnd_LUCTZT2S87QS</t>
  </si>
  <si>
    <t>rfnd_PNEVYM1ELNJR</t>
  </si>
  <si>
    <t>rfnd_RGKJEWQ134NR</t>
  </si>
  <si>
    <t>rfnd_RK96FUYLZ0GU</t>
  </si>
  <si>
    <t>rfnd_VDHANAGHWRJ7</t>
  </si>
  <si>
    <t>rfnd_VR9U1P3ACN1Z</t>
  </si>
  <si>
    <t>pay_420000032</t>
  </si>
  <si>
    <t>ORD26000032</t>
  </si>
  <si>
    <t>STL-20260929</t>
  </si>
  <si>
    <t>pay_420000036</t>
  </si>
  <si>
    <t>ORD26000036</t>
  </si>
  <si>
    <t>pay_420000047</t>
  </si>
  <si>
    <t>ORD26000048</t>
  </si>
  <si>
    <t>pay_420000076</t>
  </si>
  <si>
    <t>ORD26000080</t>
  </si>
  <si>
    <t>pay_420000077</t>
  </si>
  <si>
    <t>ORD26000081</t>
  </si>
  <si>
    <t>pay_420000084</t>
  </si>
  <si>
    <t>ORD26000089</t>
  </si>
  <si>
    <t>pay_420000126</t>
  </si>
  <si>
    <t>ORD26000135</t>
  </si>
  <si>
    <t>pay_420000132</t>
  </si>
  <si>
    <t>ORD26000141</t>
  </si>
  <si>
    <t>pay_420000151</t>
  </si>
  <si>
    <t xml:space="preserve">ORD26000161  </t>
  </si>
  <si>
    <t>ORD26000161</t>
  </si>
  <si>
    <t>pay_420000209</t>
  </si>
  <si>
    <t xml:space="preserve">ORD26000223  </t>
  </si>
  <si>
    <t>ORD26000223</t>
  </si>
  <si>
    <t>pay_420000227</t>
  </si>
  <si>
    <t>ORD26000242</t>
  </si>
  <si>
    <t>pay_420000234</t>
  </si>
  <si>
    <t>ORD26000249</t>
  </si>
  <si>
    <t>pay_420000239</t>
  </si>
  <si>
    <t>ORD26000255</t>
  </si>
  <si>
    <t>pay_420000240</t>
  </si>
  <si>
    <t>ORD26000256</t>
  </si>
  <si>
    <t>pay_420000259</t>
  </si>
  <si>
    <t>ORD26000276</t>
  </si>
  <si>
    <t>pay_420000289</t>
  </si>
  <si>
    <t>ORD26000305</t>
  </si>
  <si>
    <t>pay_420000381</t>
  </si>
  <si>
    <t>ORD26000399</t>
  </si>
  <si>
    <t>pay_420000441</t>
  </si>
  <si>
    <t>ORD26000461</t>
  </si>
  <si>
    <t>pay_420000457</t>
  </si>
  <si>
    <t>ORD26000479</t>
  </si>
  <si>
    <t>pay_420000480</t>
  </si>
  <si>
    <t>ORD-26000504</t>
  </si>
  <si>
    <t>ORD26000504</t>
  </si>
  <si>
    <t>pay_420000514</t>
  </si>
  <si>
    <t>ORD26000537</t>
  </si>
  <si>
    <t>pay_420000539</t>
  </si>
  <si>
    <t>ORD26000564</t>
  </si>
  <si>
    <t>pay_420000549</t>
  </si>
  <si>
    <t>ORD26000574</t>
  </si>
  <si>
    <t>pay_420000580</t>
  </si>
  <si>
    <t>ORD26000602</t>
  </si>
  <si>
    <t>pay_420000595</t>
  </si>
  <si>
    <t>ORD26000617</t>
  </si>
  <si>
    <t>pay_420000669</t>
  </si>
  <si>
    <t>ord26000698</t>
  </si>
  <si>
    <t>ORD26000698</t>
  </si>
  <si>
    <t>pay_420000731</t>
  </si>
  <si>
    <t>ORD26000766</t>
  </si>
  <si>
    <t>pay_420000758</t>
  </si>
  <si>
    <t xml:space="preserve">ORD26000790  </t>
  </si>
  <si>
    <t>ORD26000790</t>
  </si>
  <si>
    <t>pay_420000765</t>
  </si>
  <si>
    <t>ORD26000797</t>
  </si>
  <si>
    <t>pay_420000818</t>
  </si>
  <si>
    <t>ORD26000853</t>
  </si>
  <si>
    <t>pay_420000837</t>
  </si>
  <si>
    <t>ord26000872</t>
  </si>
  <si>
    <t>ORD26000872</t>
  </si>
  <si>
    <t>pay_420000844</t>
  </si>
  <si>
    <t>ORD26000879</t>
  </si>
  <si>
    <t>pay_420000991</t>
  </si>
  <si>
    <t>ord26001034</t>
  </si>
  <si>
    <t>ORD26001034</t>
  </si>
  <si>
    <t>pay_420001050</t>
  </si>
  <si>
    <t>ORD26001094</t>
  </si>
  <si>
    <t>pay_420001056</t>
  </si>
  <si>
    <t>ORD26001100</t>
  </si>
  <si>
    <t>pay_420001093</t>
  </si>
  <si>
    <t>ORD26001136</t>
  </si>
  <si>
    <t>pay_420001140</t>
  </si>
  <si>
    <t>ORD26001188</t>
  </si>
  <si>
    <t>pay_420001143</t>
  </si>
  <si>
    <t>ORD26001191</t>
  </si>
  <si>
    <t>pay_420001150</t>
  </si>
  <si>
    <t>ORD26001199</t>
  </si>
  <si>
    <t>pay_420001157</t>
  </si>
  <si>
    <t>ORD26001206</t>
  </si>
  <si>
    <t>pay_420001178</t>
  </si>
  <si>
    <t>ORD26001229</t>
  </si>
  <si>
    <t>pay_420001363</t>
  </si>
  <si>
    <t>ORD26001431</t>
  </si>
  <si>
    <t>pay_420001403</t>
  </si>
  <si>
    <t>ORD26001473</t>
  </si>
  <si>
    <t>pay_420001419</t>
  </si>
  <si>
    <t>ord26001487</t>
  </si>
  <si>
    <t>ORD26001487</t>
  </si>
  <si>
    <t>pay_420001552</t>
  </si>
  <si>
    <t>ORD26001620</t>
  </si>
  <si>
    <t>pay_420001560</t>
  </si>
  <si>
    <t>ORD26001628</t>
  </si>
  <si>
    <t>pay_420001567</t>
  </si>
  <si>
    <t>ORD26001637</t>
  </si>
  <si>
    <t>pay_420001587</t>
  </si>
  <si>
    <t>ORD26001659</t>
  </si>
  <si>
    <t>pay_420001617</t>
  </si>
  <si>
    <t>ord26001692</t>
  </si>
  <si>
    <t>ORD26001692</t>
  </si>
  <si>
    <t>pay_420001633</t>
  </si>
  <si>
    <t>ORD26001709</t>
  </si>
  <si>
    <t>pay_420001669</t>
  </si>
  <si>
    <t>ORD26001748</t>
  </si>
  <si>
    <t>pay_420001699</t>
  </si>
  <si>
    <t>ORD26001779</t>
  </si>
  <si>
    <t>pay_420001738</t>
  </si>
  <si>
    <t xml:space="preserve">ORD26001819  </t>
  </si>
  <si>
    <t>ORD26001819</t>
  </si>
  <si>
    <t>pay_420001755</t>
  </si>
  <si>
    <t>ORD26001837</t>
  </si>
  <si>
    <t>pay_420001794</t>
  </si>
  <si>
    <t>ORD26001877</t>
  </si>
  <si>
    <t>pay_420001803</t>
  </si>
  <si>
    <t>ORD26001887</t>
  </si>
  <si>
    <t>pay_420001867</t>
  </si>
  <si>
    <t>ORD26001953</t>
  </si>
  <si>
    <t>pay_420001883</t>
  </si>
  <si>
    <t>ORD26001971</t>
  </si>
  <si>
    <t>pay_420001922</t>
  </si>
  <si>
    <t>ord26002015</t>
  </si>
  <si>
    <t>ORD26002015</t>
  </si>
  <si>
    <t>pay_420001930</t>
  </si>
  <si>
    <t>ORD26002023</t>
  </si>
  <si>
    <t>pay_420001941</t>
  </si>
  <si>
    <t>ORD26002035</t>
  </si>
  <si>
    <t>pay_420001946</t>
  </si>
  <si>
    <t>ord26002040</t>
  </si>
  <si>
    <t>ORD26002040</t>
  </si>
  <si>
    <t>pay_420001994</t>
  </si>
  <si>
    <t>ORD26002086</t>
  </si>
  <si>
    <t>pay_420002015</t>
  </si>
  <si>
    <t>ORD26002106</t>
  </si>
  <si>
    <t>pay_420002039</t>
  </si>
  <si>
    <t>ORD26002130</t>
  </si>
  <si>
    <t>pay_420002043</t>
  </si>
  <si>
    <t>ORD26002136</t>
  </si>
  <si>
    <t>pay_420002063</t>
  </si>
  <si>
    <t>ORD26002155</t>
  </si>
  <si>
    <t>pay_420002078</t>
  </si>
  <si>
    <t>ORD26002171</t>
  </si>
  <si>
    <t>pay_420002082</t>
  </si>
  <si>
    <t>ORD26002176</t>
  </si>
  <si>
    <t>pay_420002097</t>
  </si>
  <si>
    <t>ORD26002194</t>
  </si>
  <si>
    <t>pay_420002106</t>
  </si>
  <si>
    <t>ORD26002204</t>
  </si>
  <si>
    <t>pay_420002156</t>
  </si>
  <si>
    <t>ORD26002257</t>
  </si>
  <si>
    <t>pay_420002176</t>
  </si>
  <si>
    <t>ORD26002277</t>
  </si>
  <si>
    <t>pay_420002188</t>
  </si>
  <si>
    <t>ORD26002290</t>
  </si>
  <si>
    <t>pay_420002212</t>
  </si>
  <si>
    <t>ORD26002314</t>
  </si>
  <si>
    <t>pay_420002263</t>
  </si>
  <si>
    <t>ORD26002371</t>
  </si>
  <si>
    <t>pay_420002358</t>
  </si>
  <si>
    <t xml:space="preserve">ORD26002471  </t>
  </si>
  <si>
    <t>ORD26002471</t>
  </si>
  <si>
    <t>pay_420002369</t>
  </si>
  <si>
    <t>ORD26002482</t>
  </si>
  <si>
    <t>pay_420002373</t>
  </si>
  <si>
    <t>ORD26002486</t>
  </si>
  <si>
    <t>pay_420002382</t>
  </si>
  <si>
    <t>ORD26002494</t>
  </si>
  <si>
    <t>pay_420002410</t>
  </si>
  <si>
    <t>ORD26002522</t>
  </si>
  <si>
    <t>pay_420002456</t>
  </si>
  <si>
    <t>ORD26002571</t>
  </si>
  <si>
    <t>pay_420002460</t>
  </si>
  <si>
    <t>ORD26002575</t>
  </si>
  <si>
    <t>pay_420002476</t>
  </si>
  <si>
    <t>ord26002592</t>
  </si>
  <si>
    <t>ORD26002592</t>
  </si>
  <si>
    <t>pay_420002479</t>
  </si>
  <si>
    <t>ORD26002596</t>
  </si>
  <si>
    <t>pay_420002505</t>
  </si>
  <si>
    <t>ORD26002625</t>
  </si>
  <si>
    <t>pay_420002519</t>
  </si>
  <si>
    <t>ORD26002642</t>
  </si>
  <si>
    <t>pay_420002524</t>
  </si>
  <si>
    <t>ORD26002647</t>
  </si>
  <si>
    <t>pay_420002539</t>
  </si>
  <si>
    <t>ORD26002663</t>
  </si>
  <si>
    <t>pay_420002545</t>
  </si>
  <si>
    <t xml:space="preserve">ORD26002668  </t>
  </si>
  <si>
    <t>ORD26002668</t>
  </si>
  <si>
    <t>pay_420002597</t>
  </si>
  <si>
    <t>ORD26002724</t>
  </si>
  <si>
    <t>pay_420002606</t>
  </si>
  <si>
    <t>ORD26002735</t>
  </si>
  <si>
    <t>pay_420002630</t>
  </si>
  <si>
    <t>ORD26002758</t>
  </si>
  <si>
    <t>pay_420002661</t>
  </si>
  <si>
    <t>ORD26002794</t>
  </si>
  <si>
    <t>pay_420002669</t>
  </si>
  <si>
    <t>ORD26002802</t>
  </si>
  <si>
    <t>pay_420002707</t>
  </si>
  <si>
    <t>ord26002843</t>
  </si>
  <si>
    <t>ORD26002843</t>
  </si>
  <si>
    <t>pay_420002730</t>
  </si>
  <si>
    <t>ORD26002868</t>
  </si>
  <si>
    <t>pay_420002778</t>
  </si>
  <si>
    <t>ORD26002917</t>
  </si>
  <si>
    <t>pay_420002823</t>
  </si>
  <si>
    <t>ORD26002965</t>
  </si>
  <si>
    <t>pay_420002898</t>
  </si>
  <si>
    <t>ORD26003042</t>
  </si>
  <si>
    <t>pay_420002944</t>
  </si>
  <si>
    <t>ORD26003089</t>
  </si>
  <si>
    <t>pay_420003027</t>
  </si>
  <si>
    <t>ORD26003178</t>
  </si>
  <si>
    <t>pay_420003049</t>
  </si>
  <si>
    <t>ord26003201</t>
  </si>
  <si>
    <t>ORD26003201</t>
  </si>
  <si>
    <t>pay_420003089</t>
  </si>
  <si>
    <t>ORD26003243</t>
  </si>
  <si>
    <t>pay_420003105</t>
  </si>
  <si>
    <t>ORD26003263</t>
  </si>
  <si>
    <t>pay_420003117</t>
  </si>
  <si>
    <t>ORD26003277</t>
  </si>
  <si>
    <t>pay_420003149</t>
  </si>
  <si>
    <t>ORD26003310</t>
  </si>
  <si>
    <t>pay_420003154</t>
  </si>
  <si>
    <t>ORD26003315</t>
  </si>
  <si>
    <t>pay_420003157</t>
  </si>
  <si>
    <t>ORD26003319</t>
  </si>
  <si>
    <t>pay_420003179</t>
  </si>
  <si>
    <t>ORD26003340</t>
  </si>
  <si>
    <t>pay_420003220</t>
  </si>
  <si>
    <t>ORD26003381</t>
  </si>
  <si>
    <t>pay_420003221</t>
  </si>
  <si>
    <t>ORD26003382</t>
  </si>
  <si>
    <t>pay_420003222</t>
  </si>
  <si>
    <t>ORD26003383</t>
  </si>
  <si>
    <t>pay_420003303</t>
  </si>
  <si>
    <t>ORD26003466</t>
  </si>
  <si>
    <t>pay_420003335</t>
  </si>
  <si>
    <t>ORD26003499</t>
  </si>
  <si>
    <t>pay_420003338</t>
  </si>
  <si>
    <t>ORD26003502</t>
  </si>
  <si>
    <t>pay_420003375</t>
  </si>
  <si>
    <t>ORD26003541</t>
  </si>
  <si>
    <t>pay_420003383</t>
  </si>
  <si>
    <t>ORD26003550</t>
  </si>
  <si>
    <t>pay_420003463</t>
  </si>
  <si>
    <t>ORD-26003631</t>
  </si>
  <si>
    <t>ORD26003631</t>
  </si>
  <si>
    <t>pay_420003466</t>
  </si>
  <si>
    <t>ORD26003635</t>
  </si>
  <si>
    <t>pay_420003470</t>
  </si>
  <si>
    <t>ORD26003638</t>
  </si>
  <si>
    <t>pay_420003476</t>
  </si>
  <si>
    <t>ORD26003645</t>
  </si>
  <si>
    <t>pay_420003528</t>
  </si>
  <si>
    <t>ORD26003699</t>
  </si>
  <si>
    <t>pay_420003623</t>
  </si>
  <si>
    <t>ORD26003792</t>
  </si>
  <si>
    <t>pay_420003628</t>
  </si>
  <si>
    <t>ORD26003798</t>
  </si>
  <si>
    <t>pay_420003682</t>
  </si>
  <si>
    <t>ORD26003853</t>
  </si>
  <si>
    <t>pay_420003700</t>
  </si>
  <si>
    <t>ORD26003872</t>
  </si>
  <si>
    <t>pay_420003849</t>
  </si>
  <si>
    <t xml:space="preserve">ORD26004030  </t>
  </si>
  <si>
    <t>ORD26004030</t>
  </si>
  <si>
    <t>pay_420003882</t>
  </si>
  <si>
    <t>ORD26004065</t>
  </si>
  <si>
    <t>pay_420003921</t>
  </si>
  <si>
    <t>ORD26004105</t>
  </si>
  <si>
    <t>pay_420003939</t>
  </si>
  <si>
    <t>ORD26004122</t>
  </si>
  <si>
    <t>pay_420003954</t>
  </si>
  <si>
    <t>ORD26004137</t>
  </si>
  <si>
    <t>pay_420003993</t>
  </si>
  <si>
    <t>ORD26004179</t>
  </si>
  <si>
    <t>pay_420004040</t>
  </si>
  <si>
    <t>ORD26004230</t>
  </si>
  <si>
    <t>pay_420004065</t>
  </si>
  <si>
    <t>ORD26004258</t>
  </si>
  <si>
    <t>pay_420004068</t>
  </si>
  <si>
    <t>ORD26004261</t>
  </si>
  <si>
    <t>pay_420004170</t>
  </si>
  <si>
    <t>ORD26004362</t>
  </si>
  <si>
    <t>pay_420004239</t>
  </si>
  <si>
    <t>ORD26004438</t>
  </si>
  <si>
    <t>pay_420004254</t>
  </si>
  <si>
    <t>ORD26004453</t>
  </si>
  <si>
    <t>pay_420004288</t>
  </si>
  <si>
    <t>ORD26004487</t>
  </si>
  <si>
    <t>pay_420004294</t>
  </si>
  <si>
    <t>ORD26004493</t>
  </si>
  <si>
    <t>pay_420004312</t>
  </si>
  <si>
    <t>ORD26004514</t>
  </si>
  <si>
    <t>pay_420004342</t>
  </si>
  <si>
    <t>ORD26004544</t>
  </si>
  <si>
    <t>pay_420004354</t>
  </si>
  <si>
    <t>ORD26004556</t>
  </si>
  <si>
    <t>pay_420004403</t>
  </si>
  <si>
    <t>ORD26004608</t>
  </si>
  <si>
    <t>pay_420004431</t>
  </si>
  <si>
    <t>ORD26004638</t>
  </si>
  <si>
    <t>pay_420004453</t>
  </si>
  <si>
    <t>ORD26004662</t>
  </si>
  <si>
    <t>pay_420004484</t>
  </si>
  <si>
    <t>ord26004695</t>
  </si>
  <si>
    <t>ORD26004695</t>
  </si>
  <si>
    <t>pay_420004520</t>
  </si>
  <si>
    <t>ORD26004733</t>
  </si>
  <si>
    <t>pay_420004548</t>
  </si>
  <si>
    <t>ORD26004761</t>
  </si>
  <si>
    <t>pay_420004588</t>
  </si>
  <si>
    <t>ORD26004801</t>
  </si>
  <si>
    <t>pay_420004595</t>
  </si>
  <si>
    <t>ORD26004808</t>
  </si>
  <si>
    <t>pay_420004600</t>
  </si>
  <si>
    <t>ORD26004814</t>
  </si>
  <si>
    <t>pay_420004604</t>
  </si>
  <si>
    <t>ORD26004818</t>
  </si>
  <si>
    <t>pay_420004617</t>
  </si>
  <si>
    <t>ORD26004830</t>
  </si>
  <si>
    <t>pay_420004747</t>
  </si>
  <si>
    <t>ORD26004968</t>
  </si>
  <si>
    <t>pay_420004770</t>
  </si>
  <si>
    <t>ORD26004992</t>
  </si>
  <si>
    <t>pay_420004774</t>
  </si>
  <si>
    <t>ORD26004996</t>
  </si>
  <si>
    <t>pay_420004805</t>
  </si>
  <si>
    <t>ORD26005027</t>
  </si>
  <si>
    <t>pay_420004811</t>
  </si>
  <si>
    <t>ORD26005033</t>
  </si>
  <si>
    <t>pay_420004853</t>
  </si>
  <si>
    <t xml:space="preserve">ORD26005076  </t>
  </si>
  <si>
    <t>ORD26005076</t>
  </si>
  <si>
    <t>pay_420004865</t>
  </si>
  <si>
    <t>ORD26005088</t>
  </si>
  <si>
    <t>pay_420004876</t>
  </si>
  <si>
    <t>ORD26005100</t>
  </si>
  <si>
    <t>pay_420004949</t>
  </si>
  <si>
    <t>ORD26005181</t>
  </si>
  <si>
    <t>pay_420004967</t>
  </si>
  <si>
    <t>ORD26005200</t>
  </si>
  <si>
    <t>pay_420004993</t>
  </si>
  <si>
    <t>ORD26005228</t>
  </si>
  <si>
    <t>pay_420005021</t>
  </si>
  <si>
    <t xml:space="preserve">ORD26005257  </t>
  </si>
  <si>
    <t>ORD26005257</t>
  </si>
  <si>
    <t>pay_420005022</t>
  </si>
  <si>
    <t>ORD26005258</t>
  </si>
  <si>
    <t>pay_420005034</t>
  </si>
  <si>
    <t>ORD26005271</t>
  </si>
  <si>
    <t>pay_420005036</t>
  </si>
  <si>
    <t>ord26005273</t>
  </si>
  <si>
    <t>ORD26005273</t>
  </si>
  <si>
    <t>pay_420005049</t>
  </si>
  <si>
    <t>ORD-26005287</t>
  </si>
  <si>
    <t>ORD26005287</t>
  </si>
  <si>
    <t>pay_420005059</t>
  </si>
  <si>
    <t>ORD26005297</t>
  </si>
  <si>
    <t>pay_420005176</t>
  </si>
  <si>
    <t xml:space="preserve">ORD26005415  </t>
  </si>
  <si>
    <t>ORD26005415</t>
  </si>
  <si>
    <t>pay_420005206</t>
  </si>
  <si>
    <t>ORD26005446</t>
  </si>
  <si>
    <t>pay_420005207</t>
  </si>
  <si>
    <t>ORD26005448</t>
  </si>
  <si>
    <t>pay_420005218</t>
  </si>
  <si>
    <t>ORD26005457</t>
  </si>
  <si>
    <t>pay_420005253</t>
  </si>
  <si>
    <t>ORD26005491</t>
  </si>
  <si>
    <t>pay_420005274</t>
  </si>
  <si>
    <t>ORD26005511</t>
  </si>
  <si>
    <t>pay_420005296</t>
  </si>
  <si>
    <t>ORD26005533</t>
  </si>
  <si>
    <t>pay_420005334</t>
  </si>
  <si>
    <t>ORD26005575</t>
  </si>
  <si>
    <t>pay_420005416</t>
  </si>
  <si>
    <t>ORD26005661</t>
  </si>
  <si>
    <t>pay_420005436</t>
  </si>
  <si>
    <t>ORD26005682</t>
  </si>
  <si>
    <t>pay_420005480</t>
  </si>
  <si>
    <t>ORD26005729</t>
  </si>
  <si>
    <t>pay_420005550</t>
  </si>
  <si>
    <t>ORD26005803</t>
  </si>
  <si>
    <t>pay_420005560</t>
  </si>
  <si>
    <t>ORD26005814</t>
  </si>
  <si>
    <t>pay_420005571</t>
  </si>
  <si>
    <t>ORD26005826</t>
  </si>
  <si>
    <t>pay_420005593</t>
  </si>
  <si>
    <t>ord26005851</t>
  </si>
  <si>
    <t>ORD26005851</t>
  </si>
  <si>
    <t>pay_420005598</t>
  </si>
  <si>
    <t>ORD26005856</t>
  </si>
  <si>
    <t>pay_420005659</t>
  </si>
  <si>
    <t>ORD26005925</t>
  </si>
  <si>
    <t>rfnd_2K4E7LYSBESV</t>
  </si>
  <si>
    <t>rfnd_CQD1TBB1F0XT</t>
  </si>
  <si>
    <t>rfnd_E8YNDBHKA3L5</t>
  </si>
  <si>
    <t>rfnd_HXR2CSWDHTEE</t>
  </si>
  <si>
    <t>rfnd_MP7P9PN8DFJC</t>
  </si>
  <si>
    <t>rfnd_SZXB9FJAFA2P</t>
  </si>
  <si>
    <t>pay_420000060</t>
  </si>
  <si>
    <t>ORD26000060</t>
  </si>
  <si>
    <t>STL-20260930</t>
  </si>
  <si>
    <t>pay_420000062</t>
  </si>
  <si>
    <t xml:space="preserve">ORD26000062  </t>
  </si>
  <si>
    <t>ORD26000062</t>
  </si>
  <si>
    <t>pay_420000073</t>
  </si>
  <si>
    <t>ord26000075</t>
  </si>
  <si>
    <t>ORD26000075</t>
  </si>
  <si>
    <t>pay_420000095</t>
  </si>
  <si>
    <t>ORD26000101</t>
  </si>
  <si>
    <t>pay_420000159</t>
  </si>
  <si>
    <t>ORD26000169</t>
  </si>
  <si>
    <t>pay_420000399</t>
  </si>
  <si>
    <t>ord26000416</t>
  </si>
  <si>
    <t>ORD26000416</t>
  </si>
  <si>
    <t>pay_420000416</t>
  </si>
  <si>
    <t>ORD26000433</t>
  </si>
  <si>
    <t>pay_420000427</t>
  </si>
  <si>
    <t>ORD26000444</t>
  </si>
  <si>
    <t>pay_420000453</t>
  </si>
  <si>
    <t>ORD26000474</t>
  </si>
  <si>
    <t>pay_420000526</t>
  </si>
  <si>
    <t>ORD-26000551</t>
  </si>
  <si>
    <t>ORD26000551</t>
  </si>
  <si>
    <t>pay_420000581</t>
  </si>
  <si>
    <t>ORD26000603</t>
  </si>
  <si>
    <t>pay_420000599</t>
  </si>
  <si>
    <t>ORD26000621</t>
  </si>
  <si>
    <t>pay_420000648</t>
  </si>
  <si>
    <t>ORD26000676</t>
  </si>
  <si>
    <t>pay_420000656</t>
  </si>
  <si>
    <t>ORD26000684</t>
  </si>
  <si>
    <t>pay_420000672</t>
  </si>
  <si>
    <t>ORD-26000701</t>
  </si>
  <si>
    <t>ORD26000701</t>
  </si>
  <si>
    <t>pay_420000712</t>
  </si>
  <si>
    <t xml:space="preserve">ORD26000745  </t>
  </si>
  <si>
    <t>ORD26000745</t>
  </si>
  <si>
    <t>pay_420000887</t>
  </si>
  <si>
    <t>ORD26000925</t>
  </si>
  <si>
    <t>pay_420000975</t>
  </si>
  <si>
    <t>ORD26001017</t>
  </si>
  <si>
    <t>pay_420001002</t>
  </si>
  <si>
    <t>ORD26001045</t>
  </si>
  <si>
    <t>pay_420001012</t>
  </si>
  <si>
    <t xml:space="preserve">ORD26001055  </t>
  </si>
  <si>
    <t>ORD26001055</t>
  </si>
  <si>
    <t>pay_420001015</t>
  </si>
  <si>
    <t>ORD-26001059</t>
  </si>
  <si>
    <t>ORD26001059</t>
  </si>
  <si>
    <t>pay_420001038</t>
  </si>
  <si>
    <t>ORD26001081</t>
  </si>
  <si>
    <t>pay_420001045</t>
  </si>
  <si>
    <t>ord26001089</t>
  </si>
  <si>
    <t>ORD26001089</t>
  </si>
  <si>
    <t>pay_420001059</t>
  </si>
  <si>
    <t>ord26001102</t>
  </si>
  <si>
    <t>ORD26001102</t>
  </si>
  <si>
    <t>pay_420001070</t>
  </si>
  <si>
    <t>ORD26001112</t>
  </si>
  <si>
    <t>pay_420001083</t>
  </si>
  <si>
    <t xml:space="preserve">ORD26001125  </t>
  </si>
  <si>
    <t>ORD26001125</t>
  </si>
  <si>
    <t>pay_420001087</t>
  </si>
  <si>
    <t>ORD26001130</t>
  </si>
  <si>
    <t>pay_420001110</t>
  </si>
  <si>
    <t>ORD26001157</t>
  </si>
  <si>
    <t>pay_420001139</t>
  </si>
  <si>
    <t>ORD26001187</t>
  </si>
  <si>
    <t>pay_420001144</t>
  </si>
  <si>
    <t>ORD26001192</t>
  </si>
  <si>
    <t>pay_420001156</t>
  </si>
  <si>
    <t>ORD-26001205</t>
  </si>
  <si>
    <t>ORD26001205</t>
  </si>
  <si>
    <t>pay_420001222</t>
  </si>
  <si>
    <t>ORD26001278</t>
  </si>
  <si>
    <t>pay_420001223</t>
  </si>
  <si>
    <t>ORD26001280</t>
  </si>
  <si>
    <t>pay_420001258</t>
  </si>
  <si>
    <t xml:space="preserve">ORD26001315  </t>
  </si>
  <si>
    <t>ORD26001315</t>
  </si>
  <si>
    <t>pay_420001269</t>
  </si>
  <si>
    <t>ORD26001329</t>
  </si>
  <si>
    <t>pay_420001272</t>
  </si>
  <si>
    <t>ORD26001332</t>
  </si>
  <si>
    <t>pay_420001318</t>
  </si>
  <si>
    <t>ORD26001380</t>
  </si>
  <si>
    <t>pay_420001349</t>
  </si>
  <si>
    <t>ORD26001414</t>
  </si>
  <si>
    <t>pay_420001369</t>
  </si>
  <si>
    <t>ORD26001437</t>
  </si>
  <si>
    <t>pay_420001463</t>
  </si>
  <si>
    <t>ORD26001528</t>
  </si>
  <si>
    <t>pay_420001486</t>
  </si>
  <si>
    <t>ord26001552</t>
  </si>
  <si>
    <t>ORD26001552</t>
  </si>
  <si>
    <t>pay_420001519</t>
  </si>
  <si>
    <t>ORD-26001586</t>
  </si>
  <si>
    <t>ORD26001586</t>
  </si>
  <si>
    <t>pay_420001533</t>
  </si>
  <si>
    <t>ORD26001600</t>
  </si>
  <si>
    <t>pay_420001544</t>
  </si>
  <si>
    <t>ORD26001612</t>
  </si>
  <si>
    <t>pay_420001554</t>
  </si>
  <si>
    <t>ORD26001622</t>
  </si>
  <si>
    <t>pay_420001589</t>
  </si>
  <si>
    <t>ord26001662</t>
  </si>
  <si>
    <t>ORD26001662</t>
  </si>
  <si>
    <t>pay_420001766</t>
  </si>
  <si>
    <t>ORD26001848</t>
  </si>
  <si>
    <t>pay_420001811</t>
  </si>
  <si>
    <t>ORD26001894</t>
  </si>
  <si>
    <t>pay_420001816</t>
  </si>
  <si>
    <t>ORD26001899</t>
  </si>
  <si>
    <t>pay_420001843</t>
  </si>
  <si>
    <t>ORD26001927</t>
  </si>
  <si>
    <t>pay_420001952</t>
  </si>
  <si>
    <t>ORD26002046</t>
  </si>
  <si>
    <t>pay_420001953</t>
  </si>
  <si>
    <t>ORD26002047</t>
  </si>
  <si>
    <t>pay_420001955</t>
  </si>
  <si>
    <t>ORD26002049</t>
  </si>
  <si>
    <t>pay_420001960</t>
  </si>
  <si>
    <t>ORD26002055</t>
  </si>
  <si>
    <t>pay_420001980</t>
  </si>
  <si>
    <t>ORD26002074</t>
  </si>
  <si>
    <t>pay_420001981</t>
  </si>
  <si>
    <t>ORD26002075</t>
  </si>
  <si>
    <t>pay_420002009</t>
  </si>
  <si>
    <t>ORD26002100</t>
  </si>
  <si>
    <t>pay_420002027</t>
  </si>
  <si>
    <t>ORD26002119</t>
  </si>
  <si>
    <t>pay_420002037</t>
  </si>
  <si>
    <t>ORD26002128</t>
  </si>
  <si>
    <t>pay_420002044</t>
  </si>
  <si>
    <t>ORD26002137</t>
  </si>
  <si>
    <t>pay_420002115</t>
  </si>
  <si>
    <t>ORD26002217</t>
  </si>
  <si>
    <t>pay_420002122</t>
  </si>
  <si>
    <t>ORD26002225</t>
  </si>
  <si>
    <t>pay_420002124</t>
  </si>
  <si>
    <t>ORD26002227</t>
  </si>
  <si>
    <t>pay_420002132</t>
  </si>
  <si>
    <t>ORD26002235</t>
  </si>
  <si>
    <t>pay_420002143</t>
  </si>
  <si>
    <t>ORD26002244</t>
  </si>
  <si>
    <t>pay_420002144</t>
  </si>
  <si>
    <t>ORD26002245</t>
  </si>
  <si>
    <t>pay_420002160</t>
  </si>
  <si>
    <t>ORD26002261</t>
  </si>
  <si>
    <t>pay_420002161</t>
  </si>
  <si>
    <t>ORD26002262</t>
  </si>
  <si>
    <t>pay_420002232</t>
  </si>
  <si>
    <t>ORD26002336</t>
  </si>
  <si>
    <t>pay_420002234</t>
  </si>
  <si>
    <t>ORD26002338</t>
  </si>
  <si>
    <t>pay_420002317</t>
  </si>
  <si>
    <t>ORD26002430</t>
  </si>
  <si>
    <t>pay_420002328</t>
  </si>
  <si>
    <t>ORD26002441</t>
  </si>
  <si>
    <t>pay_420002335</t>
  </si>
  <si>
    <t>ORD26002449</t>
  </si>
  <si>
    <t>pay_420002355</t>
  </si>
  <si>
    <t>ord26002467</t>
  </si>
  <si>
    <t>ORD26002467</t>
  </si>
  <si>
    <t>pay_420002465</t>
  </si>
  <si>
    <t>ORD26002580</t>
  </si>
  <si>
    <t>pay_420002499</t>
  </si>
  <si>
    <t>ORD26002619</t>
  </si>
  <si>
    <t>pay_420002522</t>
  </si>
  <si>
    <t>ORD26002645</t>
  </si>
  <si>
    <t>pay_420002529</t>
  </si>
  <si>
    <t>ORD26002652</t>
  </si>
  <si>
    <t>pay_420002567</t>
  </si>
  <si>
    <t>ORD26002693</t>
  </si>
  <si>
    <t>pay_420002581</t>
  </si>
  <si>
    <t>ORD26002708</t>
  </si>
  <si>
    <t>pay_420002592</t>
  </si>
  <si>
    <t>ORD26002719</t>
  </si>
  <si>
    <t>pay_420002635</t>
  </si>
  <si>
    <t>ORD26002764</t>
  </si>
  <si>
    <t>pay_420002685</t>
  </si>
  <si>
    <t>ORD26002817</t>
  </si>
  <si>
    <t>pay_420002723</t>
  </si>
  <si>
    <t>ORD26002861</t>
  </si>
  <si>
    <t>pay_420002766</t>
  </si>
  <si>
    <t>ORD26002904</t>
  </si>
  <si>
    <t>pay_420002773</t>
  </si>
  <si>
    <t>ORD26002911</t>
  </si>
  <si>
    <t>pay_420002830</t>
  </si>
  <si>
    <t>ORD26002972</t>
  </si>
  <si>
    <t>pay_420002867</t>
  </si>
  <si>
    <t>ORD26003008</t>
  </si>
  <si>
    <t>pay_420002906</t>
  </si>
  <si>
    <t>ORD26003050</t>
  </si>
  <si>
    <t>pay_420002945</t>
  </si>
  <si>
    <t>ORD26003090</t>
  </si>
  <si>
    <t>pay_420002947</t>
  </si>
  <si>
    <t>ORD26003092</t>
  </si>
  <si>
    <t>pay_420002983</t>
  </si>
  <si>
    <t>ORD26003132</t>
  </si>
  <si>
    <t>pay_420002998</t>
  </si>
  <si>
    <t>ORD26003147</t>
  </si>
  <si>
    <t>pay_420003003</t>
  </si>
  <si>
    <t>ORD26003154</t>
  </si>
  <si>
    <t>pay_420003032</t>
  </si>
  <si>
    <t>ORD26003183</t>
  </si>
  <si>
    <t>pay_420003033</t>
  </si>
  <si>
    <t>ORD26003184</t>
  </si>
  <si>
    <t>pay_420003038</t>
  </si>
  <si>
    <t>ORD26003190</t>
  </si>
  <si>
    <t>pay_420003044</t>
  </si>
  <si>
    <t>ord26003197</t>
  </si>
  <si>
    <t>ORD26003197</t>
  </si>
  <si>
    <t>pay_420003100</t>
  </si>
  <si>
    <t>ORD26003257</t>
  </si>
  <si>
    <t>pay_420003112</t>
  </si>
  <si>
    <t>ord26003271</t>
  </si>
  <si>
    <t>ORD26003271</t>
  </si>
  <si>
    <t>pay_420003132</t>
  </si>
  <si>
    <t xml:space="preserve">ORD26003292  </t>
  </si>
  <si>
    <t>ORD26003292</t>
  </si>
  <si>
    <t>pay_420003169</t>
  </si>
  <si>
    <t>ORD26003330</t>
  </si>
  <si>
    <t>pay_420003171</t>
  </si>
  <si>
    <t>ORD26003332</t>
  </si>
  <si>
    <t>pay_420003191</t>
  </si>
  <si>
    <t>ORD26003352</t>
  </si>
  <si>
    <t>pay_420003311</t>
  </si>
  <si>
    <t>ORD26003474</t>
  </si>
  <si>
    <t>pay_420003349</t>
  </si>
  <si>
    <t>ORD26003513</t>
  </si>
  <si>
    <t>pay_420003362</t>
  </si>
  <si>
    <t>ORD26003526</t>
  </si>
  <si>
    <t>pay_420003364</t>
  </si>
  <si>
    <t>ORD26003530</t>
  </si>
  <si>
    <t>pay_420003380</t>
  </si>
  <si>
    <t>ORD26003546</t>
  </si>
  <si>
    <t>pay_420003462</t>
  </si>
  <si>
    <t>ORD26003630</t>
  </si>
  <si>
    <t>pay_420003535</t>
  </si>
  <si>
    <t>ORD26003706</t>
  </si>
  <si>
    <t>pay_420003559</t>
  </si>
  <si>
    <t>ORD26003727</t>
  </si>
  <si>
    <t>pay_420003578</t>
  </si>
  <si>
    <t>ORD26003746</t>
  </si>
  <si>
    <t>pay_420003601</t>
  </si>
  <si>
    <t xml:space="preserve">ORD26003770  </t>
  </si>
  <si>
    <t>ORD26003770</t>
  </si>
  <si>
    <t>pay_420003613</t>
  </si>
  <si>
    <t>ORD26003781</t>
  </si>
  <si>
    <t>pay_420003639</t>
  </si>
  <si>
    <t>ORD26003811</t>
  </si>
  <si>
    <t>pay_420003652</t>
  </si>
  <si>
    <t>ord26003824</t>
  </si>
  <si>
    <t>ORD26003824</t>
  </si>
  <si>
    <t>pay_420003658</t>
  </si>
  <si>
    <t>ORD26003829</t>
  </si>
  <si>
    <t>pay_420003694</t>
  </si>
  <si>
    <t>ORD26003866</t>
  </si>
  <si>
    <t>pay_420003698</t>
  </si>
  <si>
    <t>ORD26003870</t>
  </si>
  <si>
    <t>pay_420003710</t>
  </si>
  <si>
    <t>ORD26003883</t>
  </si>
  <si>
    <t>pay_420003737</t>
  </si>
  <si>
    <t>ORD26003909</t>
  </si>
  <si>
    <t>pay_420003756</t>
  </si>
  <si>
    <t>ord26003931</t>
  </si>
  <si>
    <t>ORD26003931</t>
  </si>
  <si>
    <t>pay_420003799</t>
  </si>
  <si>
    <t>ord26003977</t>
  </si>
  <si>
    <t>ORD26003977</t>
  </si>
  <si>
    <t>pay_420003827</t>
  </si>
  <si>
    <t>ORD26004008</t>
  </si>
  <si>
    <t>pay_420003980</t>
  </si>
  <si>
    <t>ORD26004167</t>
  </si>
  <si>
    <t>pay_420003984</t>
  </si>
  <si>
    <t>ORD26004172</t>
  </si>
  <si>
    <t>pay_420004006</t>
  </si>
  <si>
    <t>ord26004193</t>
  </si>
  <si>
    <t>ORD26004193</t>
  </si>
  <si>
    <t>pay_420004062</t>
  </si>
  <si>
    <t>ORD26004254</t>
  </si>
  <si>
    <t>pay_420004088</t>
  </si>
  <si>
    <t>ORD26004281</t>
  </si>
  <si>
    <t>pay_420004110</t>
  </si>
  <si>
    <t>ORD26004305</t>
  </si>
  <si>
    <t>pay_420004111</t>
  </si>
  <si>
    <t>ORD-26004306</t>
  </si>
  <si>
    <t>ORD26004306</t>
  </si>
  <si>
    <t>pay_420004118</t>
  </si>
  <si>
    <t>ORD26004311</t>
  </si>
  <si>
    <t>pay_420004176</t>
  </si>
  <si>
    <t>ORD26004370</t>
  </si>
  <si>
    <t>pay_420004189</t>
  </si>
  <si>
    <t>ORD26004384</t>
  </si>
  <si>
    <t>pay_420004206</t>
  </si>
  <si>
    <t>ORD26004404</t>
  </si>
  <si>
    <t>pay_420004211</t>
  </si>
  <si>
    <t>ORD26004409</t>
  </si>
  <si>
    <t>pay_420004302</t>
  </si>
  <si>
    <t>ORD26004502</t>
  </si>
  <si>
    <t>pay_420004353</t>
  </si>
  <si>
    <t>ORD26004554</t>
  </si>
  <si>
    <t>pay_420004401</t>
  </si>
  <si>
    <t>ORD26004606</t>
  </si>
  <si>
    <t>pay_420004402</t>
  </si>
  <si>
    <t>ORD26004607</t>
  </si>
  <si>
    <t>pay_420004446</t>
  </si>
  <si>
    <t>ORD26004655</t>
  </si>
  <si>
    <t>pay_420004462</t>
  </si>
  <si>
    <t>ORD26004672</t>
  </si>
  <si>
    <t>pay_420004529</t>
  </si>
  <si>
    <t>ORD26004742</t>
  </si>
  <si>
    <t>pay_420004547</t>
  </si>
  <si>
    <t>ORD26004760</t>
  </si>
  <si>
    <t>pay_420004550</t>
  </si>
  <si>
    <t>ORD26004764</t>
  </si>
  <si>
    <t>pay_420004579</t>
  </si>
  <si>
    <t>ORD26004792</t>
  </si>
  <si>
    <t>pay_420004705</t>
  </si>
  <si>
    <t>ORD26004926</t>
  </si>
  <si>
    <t>pay_420004722</t>
  </si>
  <si>
    <t>ORD26004943</t>
  </si>
  <si>
    <t>pay_420004728</t>
  </si>
  <si>
    <t>ord26004950</t>
  </si>
  <si>
    <t>ORD26004950</t>
  </si>
  <si>
    <t>pay_420004814</t>
  </si>
  <si>
    <t>ORD26005036</t>
  </si>
  <si>
    <t>pay_420004825</t>
  </si>
  <si>
    <t>ORD26005046</t>
  </si>
  <si>
    <t>pay_420004830</t>
  </si>
  <si>
    <t>ORD26005051</t>
  </si>
  <si>
    <t>pay_420004860</t>
  </si>
  <si>
    <t>ORD26005083</t>
  </si>
  <si>
    <t>pay_420004905</t>
  </si>
  <si>
    <t>ORD26005132</t>
  </si>
  <si>
    <t>pay_420004908</t>
  </si>
  <si>
    <t>ORD26005136</t>
  </si>
  <si>
    <t>pay_420004914</t>
  </si>
  <si>
    <t xml:space="preserve">ORD26005144  </t>
  </si>
  <si>
    <t>ORD26005144</t>
  </si>
  <si>
    <t>pay_420004919</t>
  </si>
  <si>
    <t>ORD26005148</t>
  </si>
  <si>
    <t>pay_420004928</t>
  </si>
  <si>
    <t>ORD26005160</t>
  </si>
  <si>
    <t>pay_420005014</t>
  </si>
  <si>
    <t xml:space="preserve">ORD26005250  </t>
  </si>
  <si>
    <t>ORD26005250</t>
  </si>
  <si>
    <t>pay_420005096</t>
  </si>
  <si>
    <t>ORD26005335</t>
  </si>
  <si>
    <t>pay_420005139</t>
  </si>
  <si>
    <t>ORD26005379</t>
  </si>
  <si>
    <t>pay_420005152</t>
  </si>
  <si>
    <t>ORD26005392</t>
  </si>
  <si>
    <t>pay_420005163</t>
  </si>
  <si>
    <t>ORD26005403</t>
  </si>
  <si>
    <t>pay_420005167</t>
  </si>
  <si>
    <t>ord26005407</t>
  </si>
  <si>
    <t>ORD26005407</t>
  </si>
  <si>
    <t>pay_420005174</t>
  </si>
  <si>
    <t>ORD26005413</t>
  </si>
  <si>
    <t>pay_420005188</t>
  </si>
  <si>
    <t>ORD26005427</t>
  </si>
  <si>
    <t>pay_420005191</t>
  </si>
  <si>
    <t>ORD26005431</t>
  </si>
  <si>
    <t>pay_420005202</t>
  </si>
  <si>
    <t>ord26005442</t>
  </si>
  <si>
    <t>ORD26005442</t>
  </si>
  <si>
    <t>pay_420005352</t>
  </si>
  <si>
    <t>ORD26005593</t>
  </si>
  <si>
    <t>pay_420005357</t>
  </si>
  <si>
    <t>ORD26005599</t>
  </si>
  <si>
    <t>pay_420005387</t>
  </si>
  <si>
    <t xml:space="preserve">ORD26005629  </t>
  </si>
  <si>
    <t>ORD26005629</t>
  </si>
  <si>
    <t>pay_420005388</t>
  </si>
  <si>
    <t>ORD26005630</t>
  </si>
  <si>
    <t>pay_420005409</t>
  </si>
  <si>
    <t>ORD26005654</t>
  </si>
  <si>
    <t>pay_420005411</t>
  </si>
  <si>
    <t>ORD26005656</t>
  </si>
  <si>
    <t>pay_420005471</t>
  </si>
  <si>
    <t>ORD26005720</t>
  </si>
  <si>
    <t>pay_420005523</t>
  </si>
  <si>
    <t>ORD26005774</t>
  </si>
  <si>
    <t>pay_420005544</t>
  </si>
  <si>
    <t>ORD26005798</t>
  </si>
  <si>
    <t>pay_420005548</t>
  </si>
  <si>
    <t>ORD26005801</t>
  </si>
  <si>
    <t>pay_420005551</t>
  </si>
  <si>
    <t>ORD26005805</t>
  </si>
  <si>
    <t>pay_420005555</t>
  </si>
  <si>
    <t>ORD26005809</t>
  </si>
  <si>
    <t>pay_420005566</t>
  </si>
  <si>
    <t>ORD-26005820</t>
  </si>
  <si>
    <t>ORD26005820</t>
  </si>
  <si>
    <t>pay_420005580</t>
  </si>
  <si>
    <t>ORD26005837</t>
  </si>
  <si>
    <t>pay_420005595</t>
  </si>
  <si>
    <t>ord26005853</t>
  </si>
  <si>
    <t>ORD26005853</t>
  </si>
  <si>
    <t>pay_420005630</t>
  </si>
  <si>
    <t>ORD26005893</t>
  </si>
  <si>
    <t>pay_420005736</t>
  </si>
  <si>
    <t>ORD26006501</t>
  </si>
  <si>
    <t>rfnd_2GTNBVDPZF3R</t>
  </si>
  <si>
    <t>rfnd_4H6Q1Q8FHA2E</t>
  </si>
  <si>
    <t>rfnd_CA3BA0N0MUW9</t>
  </si>
  <si>
    <t>rfnd_G2TL1B2YJHSQ</t>
  </si>
  <si>
    <t>rfnd_NJVH0K6M33VX</t>
  </si>
  <si>
    <t>rfnd_V34RGHQV5CHY</t>
  </si>
  <si>
    <t>rfnd_WXXU2SH0LBU1</t>
  </si>
  <si>
    <t>pay_420000008</t>
  </si>
  <si>
    <t>ord26000008</t>
  </si>
  <si>
    <t>ORD26000008</t>
  </si>
  <si>
    <t>STL-20261001</t>
  </si>
  <si>
    <t>Oct-Due</t>
  </si>
  <si>
    <t>pay_420000081</t>
  </si>
  <si>
    <t>ORD26000085</t>
  </si>
  <si>
    <t>pay_420000175</t>
  </si>
  <si>
    <t>ORD26000189</t>
  </si>
  <si>
    <t>pay_420000197</t>
  </si>
  <si>
    <t>ORD26000211</t>
  </si>
  <si>
    <t>pay_420000200</t>
  </si>
  <si>
    <t>ORD26000215</t>
  </si>
  <si>
    <t>pay_420000243</t>
  </si>
  <si>
    <t>ORD26000259</t>
  </si>
  <si>
    <t>pay_420000257</t>
  </si>
  <si>
    <t>ORD26000274</t>
  </si>
  <si>
    <t>pay_420000279</t>
  </si>
  <si>
    <t>ORD26000296</t>
  </si>
  <si>
    <t>pay_420000280</t>
  </si>
  <si>
    <t>ORD26000297</t>
  </si>
  <si>
    <t>pay_420000323</t>
  </si>
  <si>
    <t>ORD26000338</t>
  </si>
  <si>
    <t>pay_420000402</t>
  </si>
  <si>
    <t>ORD26000419</t>
  </si>
  <si>
    <t>pay_420000418</t>
  </si>
  <si>
    <t>ORD26000435</t>
  </si>
  <si>
    <t>pay_420000505</t>
  </si>
  <si>
    <t>ORD26000527</t>
  </si>
  <si>
    <t>pay_420000515</t>
  </si>
  <si>
    <t>ORD26000540</t>
  </si>
  <si>
    <t>pay_420000533</t>
  </si>
  <si>
    <t>ord26000558</t>
  </si>
  <si>
    <t>ORD26000558</t>
  </si>
  <si>
    <t>pay_420000536</t>
  </si>
  <si>
    <t>ORD26000561</t>
  </si>
  <si>
    <t>pay_420000551</t>
  </si>
  <si>
    <t>ORD26000576</t>
  </si>
  <si>
    <t>pay_420000567</t>
  </si>
  <si>
    <t>ORD26000589</t>
  </si>
  <si>
    <t>pay_420000627</t>
  </si>
  <si>
    <t>ORD26000654</t>
  </si>
  <si>
    <t>pay_420000650</t>
  </si>
  <si>
    <t>ord26000678</t>
  </si>
  <si>
    <t>ORD26000678</t>
  </si>
  <si>
    <t>pay_420000753</t>
  </si>
  <si>
    <t>ord26000785</t>
  </si>
  <si>
    <t>ORD26000785</t>
  </si>
  <si>
    <t>pay_420000768</t>
  </si>
  <si>
    <t>ORD26000801</t>
  </si>
  <si>
    <t>pay_420000780</t>
  </si>
  <si>
    <t>ord26000813</t>
  </si>
  <si>
    <t>ORD26000813</t>
  </si>
  <si>
    <t>pay_420000799</t>
  </si>
  <si>
    <t>ORD26000832</t>
  </si>
  <si>
    <t>pay_420000807</t>
  </si>
  <si>
    <t>ORD26000840</t>
  </si>
  <si>
    <t>pay_420000821</t>
  </si>
  <si>
    <t>ORD26000855</t>
  </si>
  <si>
    <t>pay_420000860</t>
  </si>
  <si>
    <t>ORD26000896</t>
  </si>
  <si>
    <t>pay_420000894</t>
  </si>
  <si>
    <t>ORD26000933</t>
  </si>
  <si>
    <t>pay_420000934</t>
  </si>
  <si>
    <t>ORD26000976</t>
  </si>
  <si>
    <t>pay_420000942</t>
  </si>
  <si>
    <t>ord26000984</t>
  </si>
  <si>
    <t>ORD26000984</t>
  </si>
  <si>
    <t>pay_420000958</t>
  </si>
  <si>
    <t>ORD26001001</t>
  </si>
  <si>
    <t>pay_420000961</t>
  </si>
  <si>
    <t>ORD26001003</t>
  </si>
  <si>
    <t>pay_420000977</t>
  </si>
  <si>
    <t>ORD26001019</t>
  </si>
  <si>
    <t>pay_420001046</t>
  </si>
  <si>
    <t>ORD26001090</t>
  </si>
  <si>
    <t>pay_420001048</t>
  </si>
  <si>
    <t>ORD26001092</t>
  </si>
  <si>
    <t>pay_420001053</t>
  </si>
  <si>
    <t>ORD26001097</t>
  </si>
  <si>
    <t>pay_420001069</t>
  </si>
  <si>
    <t>ORD26001111</t>
  </si>
  <si>
    <t>pay_420001097</t>
  </si>
  <si>
    <t>ORD26001143</t>
  </si>
  <si>
    <t>pay_420001114</t>
  </si>
  <si>
    <t>ORD26001163</t>
  </si>
  <si>
    <t>pay_420001164</t>
  </si>
  <si>
    <t>ORD26001213</t>
  </si>
  <si>
    <t>pay_420001167</t>
  </si>
  <si>
    <t>ORD26001216</t>
  </si>
  <si>
    <t>pay_420001173</t>
  </si>
  <si>
    <t>ORD26001223</t>
  </si>
  <si>
    <t>pay_420001214</t>
  </si>
  <si>
    <t>ORD26001269</t>
  </si>
  <si>
    <t>pay_420001235</t>
  </si>
  <si>
    <t>ORD26001292</t>
  </si>
  <si>
    <t>pay_420001240</t>
  </si>
  <si>
    <t xml:space="preserve">ORD26001297  </t>
  </si>
  <si>
    <t>ORD26001297</t>
  </si>
  <si>
    <t>pay_420001254</t>
  </si>
  <si>
    <t>ORD26001311</t>
  </si>
  <si>
    <t>pay_420001302</t>
  </si>
  <si>
    <t>ORD26001364</t>
  </si>
  <si>
    <t>pay_420001359</t>
  </si>
  <si>
    <t>ORD26001427</t>
  </si>
  <si>
    <t>pay_420001449</t>
  </si>
  <si>
    <t>ORD26001515</t>
  </si>
  <si>
    <t>pay_420001517</t>
  </si>
  <si>
    <t>ORD26001584</t>
  </si>
  <si>
    <t>pay_420001526</t>
  </si>
  <si>
    <t>ORD26001593</t>
  </si>
  <si>
    <t>pay_420001535</t>
  </si>
  <si>
    <t>ORD26001603</t>
  </si>
  <si>
    <t>pay_420001616</t>
  </si>
  <si>
    <t>ORD26001691</t>
  </si>
  <si>
    <t>pay_420001624</t>
  </si>
  <si>
    <t>ORD26001699</t>
  </si>
  <si>
    <t>pay_420001640</t>
  </si>
  <si>
    <t>ORD26001717</t>
  </si>
  <si>
    <t>pay_420001667</t>
  </si>
  <si>
    <t>ord26001746</t>
  </si>
  <si>
    <t>ORD26001746</t>
  </si>
  <si>
    <t>pay_420001681</t>
  </si>
  <si>
    <t>ORD26001762</t>
  </si>
  <si>
    <t>pay_420001786</t>
  </si>
  <si>
    <t>ORD26001868</t>
  </si>
  <si>
    <t>pay_420001800</t>
  </si>
  <si>
    <t>ORD26001883</t>
  </si>
  <si>
    <t>pay_420001961</t>
  </si>
  <si>
    <t>ORD26002056</t>
  </si>
  <si>
    <t>pay_420001976</t>
  </si>
  <si>
    <t>ord26002070</t>
  </si>
  <si>
    <t>ORD26002070</t>
  </si>
  <si>
    <t>pay_420002035</t>
  </si>
  <si>
    <t>ORD26002126</t>
  </si>
  <si>
    <t>pay_420002060</t>
  </si>
  <si>
    <t>ORD26002152</t>
  </si>
  <si>
    <t>pay_420002189</t>
  </si>
  <si>
    <t>ORD26002291</t>
  </si>
  <si>
    <t>pay_420002190</t>
  </si>
  <si>
    <t>ORD26002292</t>
  </si>
  <si>
    <t>pay_420002210</t>
  </si>
  <si>
    <t>ORD26002312</t>
  </si>
  <si>
    <t>pay_420002231</t>
  </si>
  <si>
    <t>ORD26002335</t>
  </si>
  <si>
    <t>pay_420002267</t>
  </si>
  <si>
    <t>ORD26002375</t>
  </si>
  <si>
    <t>pay_420002276</t>
  </si>
  <si>
    <t>ORD26002386</t>
  </si>
  <si>
    <t>pay_420002308</t>
  </si>
  <si>
    <t>ORD26002422</t>
  </si>
  <si>
    <t>pay_420002326</t>
  </si>
  <si>
    <t>ord26002439</t>
  </si>
  <si>
    <t>ORD26002439</t>
  </si>
  <si>
    <t>pay_420002332</t>
  </si>
  <si>
    <t>ORD26002446</t>
  </si>
  <si>
    <t>pay_420002347</t>
  </si>
  <si>
    <t>ORD26002459</t>
  </si>
  <si>
    <t>pay_420002392</t>
  </si>
  <si>
    <t>ORD26002504</t>
  </si>
  <si>
    <t>pay_420002409</t>
  </si>
  <si>
    <t>ORD26002521</t>
  </si>
  <si>
    <t>pay_420002491</t>
  </si>
  <si>
    <t>ORD26002608</t>
  </si>
  <si>
    <t>pay_420002510</t>
  </si>
  <si>
    <t>ORD26002630</t>
  </si>
  <si>
    <t>pay_420002550</t>
  </si>
  <si>
    <t>ord26002674</t>
  </si>
  <si>
    <t>ORD26002674</t>
  </si>
  <si>
    <t>pay_420002560</t>
  </si>
  <si>
    <t>ORD26002685</t>
  </si>
  <si>
    <t>pay_420002564</t>
  </si>
  <si>
    <t>ORD26002690</t>
  </si>
  <si>
    <t>pay_420002582</t>
  </si>
  <si>
    <t>ORD26002709</t>
  </si>
  <si>
    <t>pay_420002610</t>
  </si>
  <si>
    <t>ORD26002740</t>
  </si>
  <si>
    <t>pay_420002636</t>
  </si>
  <si>
    <t>ORD26002765</t>
  </si>
  <si>
    <t>pay_420002728</t>
  </si>
  <si>
    <t>ord26002866</t>
  </si>
  <si>
    <t>ORD26002866</t>
  </si>
  <si>
    <t>pay_420002745</t>
  </si>
  <si>
    <t xml:space="preserve">ORD26002882  </t>
  </si>
  <si>
    <t>ORD26002882</t>
  </si>
  <si>
    <t>pay_420002770</t>
  </si>
  <si>
    <t>ORD26002908</t>
  </si>
  <si>
    <t>pay_420002822</t>
  </si>
  <si>
    <t>ORD26002964</t>
  </si>
  <si>
    <t>pay_420002829</t>
  </si>
  <si>
    <t>ORD26002971</t>
  </si>
  <si>
    <t>pay_420002843</t>
  </si>
  <si>
    <t>ORD26002986</t>
  </si>
  <si>
    <t>pay_420002871</t>
  </si>
  <si>
    <t>ORD26003012</t>
  </si>
  <si>
    <t>pay_420002884</t>
  </si>
  <si>
    <t>ORD26003026</t>
  </si>
  <si>
    <t>pay_420002894</t>
  </si>
  <si>
    <t>ORD26003036</t>
  </si>
  <si>
    <t>pay_420002909</t>
  </si>
  <si>
    <t>ORD26003053</t>
  </si>
  <si>
    <t>pay_420002922</t>
  </si>
  <si>
    <t>ORD26003064</t>
  </si>
  <si>
    <t>pay_420002933</t>
  </si>
  <si>
    <t>ORD26003078</t>
  </si>
  <si>
    <t>pay_420002972</t>
  </si>
  <si>
    <t>ORD26003119</t>
  </si>
  <si>
    <t>pay_420002977</t>
  </si>
  <si>
    <t>ORD26003124</t>
  </si>
  <si>
    <t>pay_420003012</t>
  </si>
  <si>
    <t>ORD26003164</t>
  </si>
  <si>
    <t>pay_420003090</t>
  </si>
  <si>
    <t>ORD26003244</t>
  </si>
  <si>
    <t>pay_420003096</t>
  </si>
  <si>
    <t>ORD26003252</t>
  </si>
  <si>
    <t>pay_420003107</t>
  </si>
  <si>
    <t>ORD26003265</t>
  </si>
  <si>
    <t>pay_420003146</t>
  </si>
  <si>
    <t>ORD26003307</t>
  </si>
  <si>
    <t>pay_420003192</t>
  </si>
  <si>
    <t>ORD-26003353</t>
  </si>
  <si>
    <t>ORD26003353</t>
  </si>
  <si>
    <t>pay_420003213</t>
  </si>
  <si>
    <t>ORD26003374</t>
  </si>
  <si>
    <t>pay_420003241</t>
  </si>
  <si>
    <t>ORD26003404</t>
  </si>
  <si>
    <t>pay_420003261</t>
  </si>
  <si>
    <t>ord26003429</t>
  </si>
  <si>
    <t>ORD26003429</t>
  </si>
  <si>
    <t>pay_420003264</t>
  </si>
  <si>
    <t>ORD26003432</t>
  </si>
  <si>
    <t>pay_420003300</t>
  </si>
  <si>
    <t>ORD26003464</t>
  </si>
  <si>
    <t>pay_420003309</t>
  </si>
  <si>
    <t>ORD26003472</t>
  </si>
  <si>
    <t>pay_420003314</t>
  </si>
  <si>
    <t>ORD26003477</t>
  </si>
  <si>
    <t>pay_420003326</t>
  </si>
  <si>
    <t>ORD26003489</t>
  </si>
  <si>
    <t>pay_420003345</t>
  </si>
  <si>
    <t>ord26003509</t>
  </si>
  <si>
    <t>ORD26003509</t>
  </si>
  <si>
    <t>pay_420003395</t>
  </si>
  <si>
    <t>ORD26003562</t>
  </si>
  <si>
    <t>pay_420003429</t>
  </si>
  <si>
    <t>ord26003599</t>
  </si>
  <si>
    <t>ORD26003599</t>
  </si>
  <si>
    <t>pay_420003434</t>
  </si>
  <si>
    <t>ORD26003603</t>
  </si>
  <si>
    <t>pay_420003480</t>
  </si>
  <si>
    <t xml:space="preserve">ORD26003649  </t>
  </si>
  <si>
    <t>ORD26003649</t>
  </si>
  <si>
    <t>pay_420003512</t>
  </si>
  <si>
    <t>ORD26003683</t>
  </si>
  <si>
    <t>pay_420003515</t>
  </si>
  <si>
    <t xml:space="preserve">ORD26003685  </t>
  </si>
  <si>
    <t>ORD26003685</t>
  </si>
  <si>
    <t>pay_420003696</t>
  </si>
  <si>
    <t>ORD26003868</t>
  </si>
  <si>
    <t>pay_420003716</t>
  </si>
  <si>
    <t>ORD26003889</t>
  </si>
  <si>
    <t>pay_420003721</t>
  </si>
  <si>
    <t>ORD26003894</t>
  </si>
  <si>
    <t>pay_420003739</t>
  </si>
  <si>
    <t>ORD26003911</t>
  </si>
  <si>
    <t>pay_420003760</t>
  </si>
  <si>
    <t>ORD26003935</t>
  </si>
  <si>
    <t>pay_420003761</t>
  </si>
  <si>
    <t>ORD26003936</t>
  </si>
  <si>
    <t>pay_420003788</t>
  </si>
  <si>
    <t>ORD26003965</t>
  </si>
  <si>
    <t>pay_420003804</t>
  </si>
  <si>
    <t>ORD26003982</t>
  </si>
  <si>
    <t>pay_420003915</t>
  </si>
  <si>
    <t>ORD26004097</t>
  </si>
  <si>
    <t>pay_420003927</t>
  </si>
  <si>
    <t>ORD26004110</t>
  </si>
  <si>
    <t>pay_420003956</t>
  </si>
  <si>
    <t>ORD26004140</t>
  </si>
  <si>
    <t>pay_420003992</t>
  </si>
  <si>
    <t>ORD26004178</t>
  </si>
  <si>
    <t>pay_420004019</t>
  </si>
  <si>
    <t>ORD26004207</t>
  </si>
  <si>
    <t>pay_420004074</t>
  </si>
  <si>
    <t>ORD26004267</t>
  </si>
  <si>
    <t>pay_420004127</t>
  </si>
  <si>
    <t>ORD26004319</t>
  </si>
  <si>
    <t>pay_420004134</t>
  </si>
  <si>
    <t>ORD26004327</t>
  </si>
  <si>
    <t>pay_420004140</t>
  </si>
  <si>
    <t xml:space="preserve">ORD26004333  </t>
  </si>
  <si>
    <t>ORD26004333</t>
  </si>
  <si>
    <t>pay_420004196</t>
  </si>
  <si>
    <t>ORD26004393</t>
  </si>
  <si>
    <t>pay_420004262</t>
  </si>
  <si>
    <t>ORD26004461</t>
  </si>
  <si>
    <t>pay_420004295</t>
  </si>
  <si>
    <t>ORD26004494</t>
  </si>
  <si>
    <t>pay_420004374</t>
  </si>
  <si>
    <t>ORD26004577</t>
  </si>
  <si>
    <t>pay_420004387</t>
  </si>
  <si>
    <t>ORD26004590</t>
  </si>
  <si>
    <t>pay_420004404</t>
  </si>
  <si>
    <t>ORD26004610</t>
  </si>
  <si>
    <t>pay_420004410</t>
  </si>
  <si>
    <t>ORD26004617</t>
  </si>
  <si>
    <t>pay_420004427</t>
  </si>
  <si>
    <t>ORD26004635</t>
  </si>
  <si>
    <t>pay_420004644</t>
  </si>
  <si>
    <t>ORD26004862</t>
  </si>
  <si>
    <t>pay_420004645</t>
  </si>
  <si>
    <t>ORD26004864</t>
  </si>
  <si>
    <t>pay_420004661</t>
  </si>
  <si>
    <t>ORD26004881</t>
  </si>
  <si>
    <t>pay_420004663</t>
  </si>
  <si>
    <t>ORD26004884</t>
  </si>
  <si>
    <t>pay_420004760</t>
  </si>
  <si>
    <t>ORD26004981</t>
  </si>
  <si>
    <t>pay_420004775</t>
  </si>
  <si>
    <t>ORD26004997</t>
  </si>
  <si>
    <t>pay_420004880</t>
  </si>
  <si>
    <t>ORD26005104</t>
  </si>
  <si>
    <t>pay_420004882</t>
  </si>
  <si>
    <t>ORD26005107</t>
  </si>
  <si>
    <t>pay_420004937</t>
  </si>
  <si>
    <t>ORD26005168</t>
  </si>
  <si>
    <t>pay_420004972</t>
  </si>
  <si>
    <t>ord26005205</t>
  </si>
  <si>
    <t>ORD26005205</t>
  </si>
  <si>
    <t>pay_420005004</t>
  </si>
  <si>
    <t>ord26005240</t>
  </si>
  <si>
    <t>ORD26005240</t>
  </si>
  <si>
    <t>pay_420005028</t>
  </si>
  <si>
    <t>ORD26005265</t>
  </si>
  <si>
    <t>pay_420005061</t>
  </si>
  <si>
    <t>ORD26005299</t>
  </si>
  <si>
    <t>pay_420005098</t>
  </si>
  <si>
    <t xml:space="preserve">ORD26005337  </t>
  </si>
  <si>
    <t>ORD26005337</t>
  </si>
  <si>
    <t>pay_420005195</t>
  </si>
  <si>
    <t>ORD26005435</t>
  </si>
  <si>
    <t>pay_420005205</t>
  </si>
  <si>
    <t>ORD-26005445</t>
  </si>
  <si>
    <t>ORD26005445</t>
  </si>
  <si>
    <t>pay_420005246</t>
  </si>
  <si>
    <t>ORD26005484</t>
  </si>
  <si>
    <t>pay_420005258</t>
  </si>
  <si>
    <t>ORD26005495</t>
  </si>
  <si>
    <t>pay_420005286</t>
  </si>
  <si>
    <t>ORD26005523</t>
  </si>
  <si>
    <t>pay_420005297</t>
  </si>
  <si>
    <t>ORD-26005534</t>
  </si>
  <si>
    <t>ORD26005534</t>
  </si>
  <si>
    <t>pay_420005377</t>
  </si>
  <si>
    <t>ORD26005620</t>
  </si>
  <si>
    <t>pay_420005391</t>
  </si>
  <si>
    <t>ORD26005633</t>
  </si>
  <si>
    <t>pay_420005403</t>
  </si>
  <si>
    <t>ORD26005647</t>
  </si>
  <si>
    <t>pay_420005413</t>
  </si>
  <si>
    <t>ORD26005658</t>
  </si>
  <si>
    <t>pay_420005478</t>
  </si>
  <si>
    <t>ORD26005727</t>
  </si>
  <si>
    <t>pay_420005487</t>
  </si>
  <si>
    <t>ord26005736</t>
  </si>
  <si>
    <t>ORD26005736</t>
  </si>
  <si>
    <t>pay_420005501</t>
  </si>
  <si>
    <t>ORD26005750</t>
  </si>
  <si>
    <t>pay_420005512</t>
  </si>
  <si>
    <t>ORD26005762</t>
  </si>
  <si>
    <t>pay_420005553</t>
  </si>
  <si>
    <t>ORD26005807</t>
  </si>
  <si>
    <t>pay_420005625</t>
  </si>
  <si>
    <t>ORD26005886</t>
  </si>
  <si>
    <t>pay_420005648</t>
  </si>
  <si>
    <t>ORD-26005913</t>
  </si>
  <si>
    <t>ORD26005913</t>
  </si>
  <si>
    <t>pay_420005654</t>
  </si>
  <si>
    <t>ORD26005919</t>
  </si>
  <si>
    <t>pay_420005671</t>
  </si>
  <si>
    <t>ORD26005936</t>
  </si>
  <si>
    <t>pay_420005679</t>
  </si>
  <si>
    <t>ORD26005944</t>
  </si>
  <si>
    <t>pay_420005711</t>
  </si>
  <si>
    <t>ORD26005979</t>
  </si>
  <si>
    <t>pay_420005715</t>
  </si>
  <si>
    <t>ORD26005982</t>
  </si>
  <si>
    <t>rfnd_2AV3T481PNFR</t>
  </si>
  <si>
    <t>rfnd_5WVPJEQN2KP8</t>
  </si>
  <si>
    <t>rfnd_AFL88RA0GZ6Q</t>
  </si>
  <si>
    <t>rfnd_C9AJ449CFUNR</t>
  </si>
  <si>
    <t>rfnd_CAB91VQQEMHW</t>
  </si>
  <si>
    <t>rfnd_CUPVUYFKPP6L</t>
  </si>
  <si>
    <t>rfnd_J78Y90REV6V1</t>
  </si>
  <si>
    <t>rfnd_JKN3PLG1AQU0</t>
  </si>
  <si>
    <t>rfnd_JQ10UZ2K9K6B</t>
  </si>
  <si>
    <t>rfnd_JU5EVVSKTBU6</t>
  </si>
  <si>
    <t>rfnd_PZEYQPE0ZV84</t>
  </si>
  <si>
    <t>rfnd_QTTNJUHKKZWV</t>
  </si>
  <si>
    <t>pay_420000031</t>
  </si>
  <si>
    <t>ord26000030</t>
  </si>
  <si>
    <t>ORD26000030</t>
  </si>
  <si>
    <t>STL-20261002</t>
  </si>
  <si>
    <t>pay_420000037</t>
  </si>
  <si>
    <t>ORD26000037</t>
  </si>
  <si>
    <t>pay_420000046</t>
  </si>
  <si>
    <t xml:space="preserve">ORD26000047  </t>
  </si>
  <si>
    <t>ORD26000047</t>
  </si>
  <si>
    <t>pay_420000134</t>
  </si>
  <si>
    <t>ORD26000143</t>
  </si>
  <si>
    <t>pay_420000140</t>
  </si>
  <si>
    <t>ORD26000149</t>
  </si>
  <si>
    <t>pay_420000147</t>
  </si>
  <si>
    <t>ORD26000157</t>
  </si>
  <si>
    <t>pay_420000148</t>
  </si>
  <si>
    <t>ord26000158</t>
  </si>
  <si>
    <t>ORD26000158</t>
  </si>
  <si>
    <t>pay_420000162</t>
  </si>
  <si>
    <t>ORD26000173</t>
  </si>
  <si>
    <t>pay_420000188</t>
  </si>
  <si>
    <t>ORD26000201</t>
  </si>
  <si>
    <t>pay_420000287</t>
  </si>
  <si>
    <t>ORD26000303</t>
  </si>
  <si>
    <t>pay_420000296</t>
  </si>
  <si>
    <t>ord26000312</t>
  </si>
  <si>
    <t>ORD26000312</t>
  </si>
  <si>
    <t>pay_420000299</t>
  </si>
  <si>
    <t>ORD26000315</t>
  </si>
  <si>
    <t>pay_420000300</t>
  </si>
  <si>
    <t>pay_420000302</t>
  </si>
  <si>
    <t>ORD26000317</t>
  </si>
  <si>
    <t>pay_420000303</t>
  </si>
  <si>
    <t>ORD26000318</t>
  </si>
  <si>
    <t>pay_420000308</t>
  </si>
  <si>
    <t>ORD26000323</t>
  </si>
  <si>
    <t>pay_420000311</t>
  </si>
  <si>
    <t>ORD26000325</t>
  </si>
  <si>
    <t>pay_420000328</t>
  </si>
  <si>
    <t>ord26000343</t>
  </si>
  <si>
    <t>ORD26000343</t>
  </si>
  <si>
    <t>pay_420000356</t>
  </si>
  <si>
    <t>ORD26000374</t>
  </si>
  <si>
    <t>pay_420000396</t>
  </si>
  <si>
    <t>ORD26000413</t>
  </si>
  <si>
    <t>pay_420000446</t>
  </si>
  <si>
    <t>ORD26000467</t>
  </si>
  <si>
    <t>pay_420000498</t>
  </si>
  <si>
    <t>ORD26000520</t>
  </si>
  <si>
    <t>pay_420000518</t>
  </si>
  <si>
    <t>ORD26000543</t>
  </si>
  <si>
    <t>pay_420000524</t>
  </si>
  <si>
    <t>ORD26000549</t>
  </si>
  <si>
    <t>pay_420000538</t>
  </si>
  <si>
    <t>ORD26000563</t>
  </si>
  <si>
    <t>pay_420000563</t>
  </si>
  <si>
    <t>ORD26000586</t>
  </si>
  <si>
    <t>pay_420000600</t>
  </si>
  <si>
    <t>ORD-26000622</t>
  </si>
  <si>
    <t>ORD26000622</t>
  </si>
  <si>
    <t>pay_420000604</t>
  </si>
  <si>
    <t>ORD26000625</t>
  </si>
  <si>
    <t>pay_420000616</t>
  </si>
  <si>
    <t>ORD26000640</t>
  </si>
  <si>
    <t>pay_420000713</t>
  </si>
  <si>
    <t>ORD26000746</t>
  </si>
  <si>
    <t>pay_420000744</t>
  </si>
  <si>
    <t>ORD26000777</t>
  </si>
  <si>
    <t>pay_420000755</t>
  </si>
  <si>
    <t>ORD26000787</t>
  </si>
  <si>
    <t>pay_420000763</t>
  </si>
  <si>
    <t>ORD26000795</t>
  </si>
  <si>
    <t>pay_420000778</t>
  </si>
  <si>
    <t>ORD26000810</t>
  </si>
  <si>
    <t>pay_420000781</t>
  </si>
  <si>
    <t>ORD26000814</t>
  </si>
  <si>
    <t>pay_420000833</t>
  </si>
  <si>
    <t xml:space="preserve">ORD26000867  </t>
  </si>
  <si>
    <t>ORD26000867</t>
  </si>
  <si>
    <t>pay_420000848</t>
  </si>
  <si>
    <t>ORD26000883</t>
  </si>
  <si>
    <t>pay_420000849</t>
  </si>
  <si>
    <t>ORD26000884</t>
  </si>
  <si>
    <t>pay_420000859</t>
  </si>
  <si>
    <t>ORD26000895</t>
  </si>
  <si>
    <t>pay_420000881</t>
  </si>
  <si>
    <t xml:space="preserve">ORD26000920  </t>
  </si>
  <si>
    <t>ORD26000920</t>
  </si>
  <si>
    <t>pay_420000890</t>
  </si>
  <si>
    <t>ord26000928</t>
  </si>
  <si>
    <t>ORD26000928</t>
  </si>
  <si>
    <t>pay_420000904</t>
  </si>
  <si>
    <t>ORD26000943</t>
  </si>
  <si>
    <t>pay_420000923</t>
  </si>
  <si>
    <t>ORD26000963</t>
  </si>
  <si>
    <t>pay_420000941</t>
  </si>
  <si>
    <t>ORD26000983</t>
  </si>
  <si>
    <t>pay_420000988</t>
  </si>
  <si>
    <t>ORD26001032</t>
  </si>
  <si>
    <t>pay_420001016</t>
  </si>
  <si>
    <t>ORD26001060</t>
  </si>
  <si>
    <t>pay_420001027</t>
  </si>
  <si>
    <t>ORD26001071</t>
  </si>
  <si>
    <t>pay_420001067</t>
  </si>
  <si>
    <t>ORD-26001109</t>
  </si>
  <si>
    <t>ORD26001109</t>
  </si>
  <si>
    <t>pay_420001100</t>
  </si>
  <si>
    <t>ORD26001146</t>
  </si>
  <si>
    <t>pay_420001147</t>
  </si>
  <si>
    <t>ORD26001195</t>
  </si>
  <si>
    <t>pay_420001182</t>
  </si>
  <si>
    <t>ORD26001235</t>
  </si>
  <si>
    <t>pay_420001185</t>
  </si>
  <si>
    <t>ord26001238</t>
  </si>
  <si>
    <t>ORD26001238</t>
  </si>
  <si>
    <t>pay_420001190</t>
  </si>
  <si>
    <t>ORD26001243</t>
  </si>
  <si>
    <t>pay_420001256</t>
  </si>
  <si>
    <t>ORD26001313</t>
  </si>
  <si>
    <t>pay_420001330</t>
  </si>
  <si>
    <t>ORD26001393</t>
  </si>
  <si>
    <t>pay_420001354</t>
  </si>
  <si>
    <t>ORD26001418</t>
  </si>
  <si>
    <t>pay_420001410</t>
  </si>
  <si>
    <t>ORD26001480</t>
  </si>
  <si>
    <t>pay_420001411</t>
  </si>
  <si>
    <t>ORD-26001480</t>
  </si>
  <si>
    <t>pay_420001412</t>
  </si>
  <si>
    <t>ORD26001481</t>
  </si>
  <si>
    <t>pay_420001450</t>
  </si>
  <si>
    <t>ord26001516</t>
  </si>
  <si>
    <t>ORD26001516</t>
  </si>
  <si>
    <t>pay_420001462</t>
  </si>
  <si>
    <t>ORD26001527</t>
  </si>
  <si>
    <t>pay_420001532</t>
  </si>
  <si>
    <t>ORD26001599</t>
  </si>
  <si>
    <t>pay_420001546</t>
  </si>
  <si>
    <t>ORD26001614</t>
  </si>
  <si>
    <t>pay_420001565</t>
  </si>
  <si>
    <t>ORD26001635</t>
  </si>
  <si>
    <t>pay_420001586</t>
  </si>
  <si>
    <t>ord26001658</t>
  </si>
  <si>
    <t>ORD26001658</t>
  </si>
  <si>
    <t>pay_420001638</t>
  </si>
  <si>
    <t>ORD26001715</t>
  </si>
  <si>
    <t>pay_420001648</t>
  </si>
  <si>
    <t>ORD26001725</t>
  </si>
  <si>
    <t>pay_420001680</t>
  </si>
  <si>
    <t>ORD26001761</t>
  </si>
  <si>
    <t>pay_420001692</t>
  </si>
  <si>
    <t>ORD26001771</t>
  </si>
  <si>
    <t>pay_420001693</t>
  </si>
  <si>
    <t>ORD26001772</t>
  </si>
  <si>
    <t>pay_420001716</t>
  </si>
  <si>
    <t>ORD26001797</t>
  </si>
  <si>
    <t>pay_420001740</t>
  </si>
  <si>
    <t>ORD26001822</t>
  </si>
  <si>
    <t>pay_420001744</t>
  </si>
  <si>
    <t>ORD26001826</t>
  </si>
  <si>
    <t>pay_420001775</t>
  </si>
  <si>
    <t>ORD26001857</t>
  </si>
  <si>
    <t>pay_420001799</t>
  </si>
  <si>
    <t>ORD26001882</t>
  </si>
  <si>
    <t>pay_420001838</t>
  </si>
  <si>
    <t>ORD26001922</t>
  </si>
  <si>
    <t>pay_420001898</t>
  </si>
  <si>
    <t>ORD26001987</t>
  </si>
  <si>
    <t>pay_420001924</t>
  </si>
  <si>
    <t>ord26002017</t>
  </si>
  <si>
    <t>ORD26002017</t>
  </si>
  <si>
    <t>pay_420001927</t>
  </si>
  <si>
    <t>ORD26002020</t>
  </si>
  <si>
    <t>pay_420001944</t>
  </si>
  <si>
    <t>ORD26002039</t>
  </si>
  <si>
    <t>pay_420001999</t>
  </si>
  <si>
    <t>ORD-26002092</t>
  </si>
  <si>
    <t>ORD26002092</t>
  </si>
  <si>
    <t>pay_420002059</t>
  </si>
  <si>
    <t>ORD26002151</t>
  </si>
  <si>
    <t>pay_420002086</t>
  </si>
  <si>
    <t>ORD26002181</t>
  </si>
  <si>
    <t>pay_420002110</t>
  </si>
  <si>
    <t>ord26002210</t>
  </si>
  <si>
    <t>ORD26002210</t>
  </si>
  <si>
    <t>pay_420002195</t>
  </si>
  <si>
    <t>ORD26002299</t>
  </si>
  <si>
    <t>pay_420002268</t>
  </si>
  <si>
    <t>ORD26002376</t>
  </si>
  <si>
    <t>pay_420002283</t>
  </si>
  <si>
    <t xml:space="preserve">ORD26002393  </t>
  </si>
  <si>
    <t>ORD26002393</t>
  </si>
  <si>
    <t>pay_420002296</t>
  </si>
  <si>
    <t>ORD26002409</t>
  </si>
  <si>
    <t>pay_420002458</t>
  </si>
  <si>
    <t>ORD26002573</t>
  </si>
  <si>
    <t>pay_420002467</t>
  </si>
  <si>
    <t>ORD26002582</t>
  </si>
  <si>
    <t>pay_420002488</t>
  </si>
  <si>
    <t>ORD26002605</t>
  </si>
  <si>
    <t>pay_420002490</t>
  </si>
  <si>
    <t>ORD26002607</t>
  </si>
  <si>
    <t>pay_420002534</t>
  </si>
  <si>
    <t>ORD26002657</t>
  </si>
  <si>
    <t>pay_420002593</t>
  </si>
  <si>
    <t>ORD26002720</t>
  </si>
  <si>
    <t>pay_420002615</t>
  </si>
  <si>
    <t>ORD26002745</t>
  </si>
  <si>
    <t>pay_420002659</t>
  </si>
  <si>
    <t>ORD26002792</t>
  </si>
  <si>
    <t>pay_420002714</t>
  </si>
  <si>
    <t>ORD26002851</t>
  </si>
  <si>
    <t>pay_420002717</t>
  </si>
  <si>
    <t>ORD26002855</t>
  </si>
  <si>
    <t>pay_420002743</t>
  </si>
  <si>
    <t>ORD-26002880</t>
  </si>
  <si>
    <t>ORD26002880</t>
  </si>
  <si>
    <t>pay_420002787</t>
  </si>
  <si>
    <t>ORD26002929</t>
  </si>
  <si>
    <t>pay_420002790</t>
  </si>
  <si>
    <t>ORD26002932</t>
  </si>
  <si>
    <t>pay_420002834</t>
  </si>
  <si>
    <t>ORD26002977</t>
  </si>
  <si>
    <t>pay_420002848</t>
  </si>
  <si>
    <t>ORD26002991</t>
  </si>
  <si>
    <t>pay_420002849</t>
  </si>
  <si>
    <t>ORD26002992</t>
  </si>
  <si>
    <t>pay_420002856</t>
  </si>
  <si>
    <t>ORD26002997</t>
  </si>
  <si>
    <t>pay_420002859</t>
  </si>
  <si>
    <t>ORD26003000</t>
  </si>
  <si>
    <t>pay_420002883</t>
  </si>
  <si>
    <t>ORD26003024</t>
  </si>
  <si>
    <t>pay_420002918</t>
  </si>
  <si>
    <t>ORD26003060</t>
  </si>
  <si>
    <t>pay_420002936</t>
  </si>
  <si>
    <t>ORD26003081</t>
  </si>
  <si>
    <t>pay_420002954</t>
  </si>
  <si>
    <t>ORD26003099</t>
  </si>
  <si>
    <t>pay_420003031</t>
  </si>
  <si>
    <t>ord26003182</t>
  </si>
  <si>
    <t>ORD26003182</t>
  </si>
  <si>
    <t>pay_420003083</t>
  </si>
  <si>
    <t>ORD26003237</t>
  </si>
  <si>
    <t>pay_420003088</t>
  </si>
  <si>
    <t>ORD26003242</t>
  </si>
  <si>
    <t>pay_420003110</t>
  </si>
  <si>
    <t>ORD26003268</t>
  </si>
  <si>
    <t>pay_420003212</t>
  </si>
  <si>
    <t>ORD26003373</t>
  </si>
  <si>
    <t>pay_420003230</t>
  </si>
  <si>
    <t>ORD26003392</t>
  </si>
  <si>
    <t>pay_420003255</t>
  </si>
  <si>
    <t>ORD26003421</t>
  </si>
  <si>
    <t>pay_420003277</t>
  </si>
  <si>
    <t>ORD26003442</t>
  </si>
  <si>
    <t>pay_420003278</t>
  </si>
  <si>
    <t>ORD26003443</t>
  </si>
  <si>
    <t>pay_420003297</t>
  </si>
  <si>
    <t>ORD26003461</t>
  </si>
  <si>
    <t>pay_420003387</t>
  </si>
  <si>
    <t>ORD26003553</t>
  </si>
  <si>
    <t>pay_420003399</t>
  </si>
  <si>
    <t>ORD26003566</t>
  </si>
  <si>
    <t>pay_420003448</t>
  </si>
  <si>
    <t xml:space="preserve">ORD26003616  </t>
  </si>
  <si>
    <t>ORD26003616</t>
  </si>
  <si>
    <t>pay_420003456</t>
  </si>
  <si>
    <t>ORD26003624</t>
  </si>
  <si>
    <t>pay_420003472</t>
  </si>
  <si>
    <t>ORD26003640</t>
  </si>
  <si>
    <t>pay_420003516</t>
  </si>
  <si>
    <t>ORD26003686</t>
  </si>
  <si>
    <t>pay_420003543</t>
  </si>
  <si>
    <t>ORD26003713</t>
  </si>
  <si>
    <t>pay_420003546</t>
  </si>
  <si>
    <t>ORD26003717</t>
  </si>
  <si>
    <t>pay_420003555</t>
  </si>
  <si>
    <t>ORD26003724</t>
  </si>
  <si>
    <t>pay_420003580</t>
  </si>
  <si>
    <t>ord26003748</t>
  </si>
  <si>
    <t>ORD26003748</t>
  </si>
  <si>
    <t>pay_420003607</t>
  </si>
  <si>
    <t xml:space="preserve">ORD26003776  </t>
  </si>
  <si>
    <t>ORD26003776</t>
  </si>
  <si>
    <t>pay_420003617</t>
  </si>
  <si>
    <t>ORD26003785</t>
  </si>
  <si>
    <t>pay_420003621</t>
  </si>
  <si>
    <t>ORD26003790</t>
  </si>
  <si>
    <t>pay_420003633</t>
  </si>
  <si>
    <t>ORD26003804</t>
  </si>
  <si>
    <t>pay_420003680</t>
  </si>
  <si>
    <t>ORD26003850</t>
  </si>
  <si>
    <t>pay_420003709</t>
  </si>
  <si>
    <t>ORD26003882</t>
  </si>
  <si>
    <t>pay_420003757</t>
  </si>
  <si>
    <t>ORD26003932</t>
  </si>
  <si>
    <t>pay_420003837</t>
  </si>
  <si>
    <t>ORD26004018</t>
  </si>
  <si>
    <t>pay_420003841</t>
  </si>
  <si>
    <t>ord26004022</t>
  </si>
  <si>
    <t>ORD26004022</t>
  </si>
  <si>
    <t>pay_420003845</t>
  </si>
  <si>
    <t>ORD26004026</t>
  </si>
  <si>
    <t>pay_420003848</t>
  </si>
  <si>
    <t>ORD26004029</t>
  </si>
  <si>
    <t>pay_420003881</t>
  </si>
  <si>
    <t>ORD26004064</t>
  </si>
  <si>
    <t>pay_420003904</t>
  </si>
  <si>
    <t>ORD26004087</t>
  </si>
  <si>
    <t>pay_420003936</t>
  </si>
  <si>
    <t>ord26004120</t>
  </si>
  <si>
    <t>ORD26004120</t>
  </si>
  <si>
    <t>pay_420003955</t>
  </si>
  <si>
    <t>ORD26004138</t>
  </si>
  <si>
    <t>pay_420003957</t>
  </si>
  <si>
    <t>ORD26004141</t>
  </si>
  <si>
    <t>pay_420004007</t>
  </si>
  <si>
    <t>ORD26004195</t>
  </si>
  <si>
    <t>pay_420004023</t>
  </si>
  <si>
    <t>ORD26004213</t>
  </si>
  <si>
    <t>pay_420004036</t>
  </si>
  <si>
    <t>ORD26004226</t>
  </si>
  <si>
    <t>pay_420004052</t>
  </si>
  <si>
    <t>ORD26004243</t>
  </si>
  <si>
    <t>pay_420004056</t>
  </si>
  <si>
    <t>ord26004248</t>
  </si>
  <si>
    <t>ORD26004248</t>
  </si>
  <si>
    <t>pay_420004063</t>
  </si>
  <si>
    <t>ORD26004255</t>
  </si>
  <si>
    <t>pay_420004090</t>
  </si>
  <si>
    <t>ORD26004283</t>
  </si>
  <si>
    <t>pay_420004123</t>
  </si>
  <si>
    <t>ord26004315</t>
  </si>
  <si>
    <t>ORD26004315</t>
  </si>
  <si>
    <t>pay_420004185</t>
  </si>
  <si>
    <t>ORD26004380</t>
  </si>
  <si>
    <t>pay_420004209</t>
  </si>
  <si>
    <t>ORD26004407</t>
  </si>
  <si>
    <t>pay_420004218</t>
  </si>
  <si>
    <t>ORD26004416</t>
  </si>
  <si>
    <t>pay_420004228</t>
  </si>
  <si>
    <t>ORD26004426</t>
  </si>
  <si>
    <t>pay_420004238</t>
  </si>
  <si>
    <t>ORD26004437</t>
  </si>
  <si>
    <t>pay_420004255</t>
  </si>
  <si>
    <t>ORD26004454</t>
  </si>
  <si>
    <t>pay_420004285</t>
  </si>
  <si>
    <t>ORD26004485</t>
  </si>
  <si>
    <t>pay_420004290</t>
  </si>
  <si>
    <t>ord26004489</t>
  </si>
  <si>
    <t>ORD26004489</t>
  </si>
  <si>
    <t>pay_420004296</t>
  </si>
  <si>
    <t>ORD26004495</t>
  </si>
  <si>
    <t>pay_420004305</t>
  </si>
  <si>
    <t>ORD-26004505</t>
  </si>
  <si>
    <t>ORD26004505</t>
  </si>
  <si>
    <t>pay_420004361</t>
  </si>
  <si>
    <t>ORD26004562</t>
  </si>
  <si>
    <t>pay_420004390</t>
  </si>
  <si>
    <t>ORD26004593</t>
  </si>
  <si>
    <t>pay_420004441</t>
  </si>
  <si>
    <t>ORD26004649</t>
  </si>
  <si>
    <t>pay_420004450</t>
  </si>
  <si>
    <t>ORD-26004659</t>
  </si>
  <si>
    <t>ORD26004659</t>
  </si>
  <si>
    <t>pay_420004461</t>
  </si>
  <si>
    <t>ORD26004671</t>
  </si>
  <si>
    <t>pay_420004467</t>
  </si>
  <si>
    <t>ORD26004677</t>
  </si>
  <si>
    <t>pay_420004491</t>
  </si>
  <si>
    <t xml:space="preserve">ORD26004703  </t>
  </si>
  <si>
    <t>ORD26004703</t>
  </si>
  <si>
    <t>pay_420004503</t>
  </si>
  <si>
    <t>ORD26004716</t>
  </si>
  <si>
    <t>pay_420004504</t>
  </si>
  <si>
    <t>ORD26004717</t>
  </si>
  <si>
    <t>pay_420004509</t>
  </si>
  <si>
    <t>ORD26004722</t>
  </si>
  <si>
    <t>pay_420004521</t>
  </si>
  <si>
    <t>ORD26004734</t>
  </si>
  <si>
    <t>pay_420004578</t>
  </si>
  <si>
    <t>ORD26004791</t>
  </si>
  <si>
    <t>pay_420004628</t>
  </si>
  <si>
    <t>ORD26004843</t>
  </si>
  <si>
    <t>pay_420004675</t>
  </si>
  <si>
    <t xml:space="preserve">ORD26004896  </t>
  </si>
  <si>
    <t>ORD26004896</t>
  </si>
  <si>
    <t>pay_420004685</t>
  </si>
  <si>
    <t>ORD26004906</t>
  </si>
  <si>
    <t>pay_420004693</t>
  </si>
  <si>
    <t>ORD26004915</t>
  </si>
  <si>
    <t>pay_420004707</t>
  </si>
  <si>
    <t>ORD26004928</t>
  </si>
  <si>
    <t>pay_420004711</t>
  </si>
  <si>
    <t>ORD-26004931</t>
  </si>
  <si>
    <t>ORD26004931</t>
  </si>
  <si>
    <t>pay_420004725</t>
  </si>
  <si>
    <t>ORD26004946</t>
  </si>
  <si>
    <t>pay_420004772</t>
  </si>
  <si>
    <t>ORD26004994</t>
  </si>
  <si>
    <t>pay_420004790</t>
  </si>
  <si>
    <t xml:space="preserve">ORD26005011  </t>
  </si>
  <si>
    <t>ORD26005011</t>
  </si>
  <si>
    <t>pay_420004835</t>
  </si>
  <si>
    <t>ORD26005057</t>
  </si>
  <si>
    <t>pay_420004863</t>
  </si>
  <si>
    <t>ORD26005086</t>
  </si>
  <si>
    <t>pay_420004906</t>
  </si>
  <si>
    <t>ORD26005133</t>
  </si>
  <si>
    <t>pay_420004945</t>
  </si>
  <si>
    <t>ORD26005177</t>
  </si>
  <si>
    <t>pay_420004975</t>
  </si>
  <si>
    <t>ORD26005207</t>
  </si>
  <si>
    <t>pay_420005038</t>
  </si>
  <si>
    <t>ORD26005275</t>
  </si>
  <si>
    <t>pay_420005060</t>
  </si>
  <si>
    <t>ORD26005298</t>
  </si>
  <si>
    <t>pay_420005078</t>
  </si>
  <si>
    <t>ORD26005319</t>
  </si>
  <si>
    <t>pay_420005088</t>
  </si>
  <si>
    <t>ORD26005328</t>
  </si>
  <si>
    <t>pay_420005089</t>
  </si>
  <si>
    <t>ORD26005329</t>
  </si>
  <si>
    <t>pay_420005100</t>
  </si>
  <si>
    <t>ORD26005339</t>
  </si>
  <si>
    <t>pay_420005109</t>
  </si>
  <si>
    <t>ORD26005347</t>
  </si>
  <si>
    <t>pay_420005112</t>
  </si>
  <si>
    <t>ORD26005349</t>
  </si>
  <si>
    <t>pay_420005145</t>
  </si>
  <si>
    <t>ORD26005385</t>
  </si>
  <si>
    <t>pay_420005166</t>
  </si>
  <si>
    <t>ORD26005406</t>
  </si>
  <si>
    <t>pay_420005304</t>
  </si>
  <si>
    <t>ORD26005542</t>
  </si>
  <si>
    <t>pay_420005305</t>
  </si>
  <si>
    <t>ORD26005543</t>
  </si>
  <si>
    <t>pay_420005338</t>
  </si>
  <si>
    <t>ORD26005579</t>
  </si>
  <si>
    <t>pay_420005417</t>
  </si>
  <si>
    <t>ORD26005664</t>
  </si>
  <si>
    <t>pay_420005526</t>
  </si>
  <si>
    <t>ORD26005779</t>
  </si>
  <si>
    <t>pay_420005533</t>
  </si>
  <si>
    <t xml:space="preserve">ORD26005787  </t>
  </si>
  <si>
    <t>ORD26005787</t>
  </si>
  <si>
    <t>pay_420005584</t>
  </si>
  <si>
    <t xml:space="preserve">ORD26005841  </t>
  </si>
  <si>
    <t>ORD26005841</t>
  </si>
  <si>
    <t>pay_420005596</t>
  </si>
  <si>
    <t>ORD26005854</t>
  </si>
  <si>
    <t>pay_420005627</t>
  </si>
  <si>
    <t>ORD26005888</t>
  </si>
  <si>
    <t>pay_420005667</t>
  </si>
  <si>
    <t>ORD26005932</t>
  </si>
  <si>
    <t>rfnd_0F27M5805974</t>
  </si>
  <si>
    <t>rfnd_0HF5A5HT4THA</t>
  </si>
  <si>
    <t>rfnd_1VS6Z2UKXBX1</t>
  </si>
  <si>
    <t>rfnd_2EFENNZ11E68</t>
  </si>
  <si>
    <t>rfnd_3NT6DD2VQDF5</t>
  </si>
  <si>
    <t>rfnd_6QA3HMTWTCAF</t>
  </si>
  <si>
    <t>rfnd_9FAWJ1JZS8U0</t>
  </si>
  <si>
    <t>rfnd_9H7CCNHH4P4F</t>
  </si>
  <si>
    <t>rfnd_C6B213GGD4P9</t>
  </si>
  <si>
    <t>rfnd_CUBDLRSSGEZN</t>
  </si>
  <si>
    <t>rfnd_CXZ23K14TGK7</t>
  </si>
  <si>
    <t>rfnd_DFL1AEM3S2P6</t>
  </si>
  <si>
    <t>rfnd_G02M5VGW3Q77</t>
  </si>
  <si>
    <t>rfnd_GEKKFAH8SP8P</t>
  </si>
  <si>
    <t>rfnd_GEPFUSVXHMEX</t>
  </si>
  <si>
    <t>rfnd_H55WFPKV15WL</t>
  </si>
  <si>
    <t>rfnd_JQWZSN82UUFG</t>
  </si>
  <si>
    <t>rfnd_JXE748SVM1NZ</t>
  </si>
  <si>
    <t>rfnd_LB4QEVS1NWVY</t>
  </si>
  <si>
    <t>rfnd_M71T38AEF6W1</t>
  </si>
  <si>
    <t>rfnd_MJYSXX2RH97N</t>
  </si>
  <si>
    <t>rfnd_Q6UW5W6E687P</t>
  </si>
  <si>
    <t>rfnd_QUZ0K7B1YCZQ</t>
  </si>
  <si>
    <t>rfnd_R29A3WRSCE25</t>
  </si>
  <si>
    <t>rfnd_SSJ9D05MRATB</t>
  </si>
  <si>
    <t>rfnd_T6M57G0EYM73</t>
  </si>
  <si>
    <t>rfnd_TU8Q6MMGDSQT</t>
  </si>
  <si>
    <t>rfnd_U9DRH56C7FT2</t>
  </si>
  <si>
    <t>rfnd_UKQM5X3D52T3</t>
  </si>
  <si>
    <t>rfnd_UNBT65QD2P7P</t>
  </si>
  <si>
    <t>rfnd_W3F4ARWUEBNG</t>
  </si>
  <si>
    <t>rfnd_XFV10VRTU46Y</t>
  </si>
  <si>
    <t>rfnd_YTCJX71EWVZX</t>
  </si>
  <si>
    <t>rfnd_Z8C31X3W89HQ</t>
  </si>
  <si>
    <t>rfnd_ZD3FN3ZCMPPL</t>
  </si>
  <si>
    <t>gateway_net</t>
  </si>
  <si>
    <t>bank_credit</t>
  </si>
  <si>
    <t>difference</t>
  </si>
  <si>
    <t>status</t>
  </si>
  <si>
    <t>Summary by status</t>
  </si>
  <si>
    <t>Status</t>
  </si>
  <si>
    <t>Batches</t>
  </si>
  <si>
    <t>Gateway net</t>
  </si>
  <si>
    <t>Bank credit</t>
  </si>
  <si>
    <t>Difference (bank - gateway)</t>
  </si>
  <si>
    <t>Matched</t>
  </si>
  <si>
    <t>Short-paid</t>
  </si>
  <si>
    <t>Missing</t>
  </si>
  <si>
    <t>Due in October</t>
  </si>
  <si>
    <t>Excess</t>
  </si>
  <si>
    <t>Total</t>
  </si>
  <si>
    <t>Checks (blue = expected)</t>
  </si>
  <si>
    <t>Check</t>
  </si>
  <si>
    <t>Actual</t>
  </si>
  <si>
    <t>Expected</t>
  </si>
  <si>
    <t>Batches listed</t>
  </si>
  <si>
    <t>Matched batches</t>
  </si>
  <si>
    <t>Short-paid batches</t>
  </si>
  <si>
    <t>Missing batches</t>
  </si>
  <si>
    <t>Due in October batches</t>
  </si>
  <si>
    <t>Excess batches</t>
  </si>
  <si>
    <t>Short-paid amount (INR)</t>
  </si>
  <si>
    <t>Missing amount (INR)</t>
  </si>
  <si>
    <t>Due in October amount (INR)</t>
  </si>
  <si>
    <t>Total gateway net (INR)</t>
  </si>
  <si>
    <t>Gateway net ties to pg sheet (diff)</t>
  </si>
  <si>
    <t>Total bank credit on batches (INR)</t>
  </si>
  <si>
    <t>Bank gateway credits tie (diff)</t>
  </si>
  <si>
    <t>Gap = short + missing + October (diff)</t>
  </si>
  <si>
    <t>Checks passed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</si>
</sst>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\-"/>
  </numFmts>
  <fonts count="8" x14ac:knownFonts="1">
    <font>
      <sz val="11"/>
      <color theme="1"/>
      <name val="Calibri"/>
      <family val="2"/>
      <scheme val="minor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color rgb="FFFFFFFF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vertical="center" wrapText="1"/>
    </xf>
    <xf numFmtId="14" fontId="2" fillId="0" borderId="0" xfId="0" applyNumberFormat="1" applyFont="1"/>
    <xf numFmtId="0" fontId="2" fillId="0" borderId="0" xfId="0" applyFont="1"/>
    <xf numFmtId="164" fontId="2" fillId="0" borderId="0" xfId="0" applyNumberFormat="1" applyFont="1"/>
    <xf numFmtId="14" fontId="0" fillId="0" borderId="0" xfId="0" applyNumberFormat="1"/>
    <xf numFmtId="0" fontId="3" fillId="2" borderId="1" xfId="0" applyFont="1" applyFill="1" applyBorder="1" applyAlignment="1">
      <alignment vertical="center" wrapText="1"/>
    </xf>
    <xf numFmtId="0" fontId="4" fillId="0" borderId="0" xfId="0" applyFont="1"/>
    <xf numFmtId="0" fontId="5" fillId="0" borderId="1" xfId="0" applyFont="1" applyBorder="1"/>
    <xf numFmtId="14" fontId="5" fillId="0" borderId="1" xfId="0" applyNumberFormat="1" applyFont="1" applyBorder="1"/>
    <xf numFmtId="164" fontId="5" fillId="0" borderId="1" xfId="0" applyNumberFormat="1" applyFont="1" applyBorder="1"/>
    <xf numFmtId="0" fontId="6" fillId="0" borderId="1" xfId="0" applyFont="1" applyBorder="1"/>
    <xf numFmtId="164" fontId="6" fillId="0" borderId="1" xfId="0" applyNumberFormat="1" applyFont="1" applyBorder="1"/>
    <xf numFmtId="1" fontId="5" fillId="0" borderId="1" xfId="0" applyNumberFormat="1" applyFont="1" applyBorder="1"/>
    <xf numFmtId="1" fontId="7" fillId="0" borderId="1" xfId="0" applyNumberFormat="1" applyFont="1" applyBorder="1"/>
    <xf numFmtId="4" fontId="5" fillId="0" borderId="1" xfId="0" applyNumberFormat="1" applyFont="1" applyBorder="1"/>
    <xf numFmtId="4" fontId="7" fillId="0" borderId="1" xfId="0" applyNumberFormat="1" applyFont="1" applyBorder="1"/>
    <xf numFmtId="2" fontId="5" fillId="0" borderId="1" xfId="0" applyNumberFormat="1" applyFont="1" applyBorder="1"/>
    <xf numFmtId="2" fontId="7" fillId="0" borderId="1" xfId="0" applyNumberFormat="1" applyFont="1" applyBorder="1"/>
    <xf numFmtId="0" fontId="6" fillId="0" borderId="0" xfId="0" applyFont="1"/>
    <xf numFmtId="0" fontId="0" fillId="0" borderId="1" xfId="0" applyBorder="1"/>
  </cellXfs>
  <cellStyles count="1">
    <cellStyle name="Normal" xfId="0" builtinId="0"/>
  </cellStyles>
  <dxfs count="4">
    <dxf>
      <fill>
        <patternFill>
          <bgColor rgb="FFFFEB9C"/>
        </patternFill>
      </fill>
    </dxf>
    <dxf>
      <fill>
        <patternFill>
          <bgColor rgb="FFFFC7CE"/>
        </patternFill>
      </fill>
    </dxf>
    <dxf>
      <fill>
        <patternFill>
          <bgColor rgb="FFF8CBAD"/>
        </patternFill>
      </fill>
    </dxf>
    <dxf>
      <fill>
        <patternFill>
          <bgColor rgb="FFE2EF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RI%20KRISHNAN\Downloads\batch_recon_workbook.xlsx" TargetMode="External"/><Relationship Id="rId1" Type="http://schemas.openxmlformats.org/officeDocument/2006/relationships/externalLinkPath" Target="file:///C:\Users\SRI%20KRISHNAN\Downloads\batch_recon_workboo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tch_recon"/>
      <sheetName val="pg_transaction_cleaned"/>
      <sheetName val="bank_statement_cleaned"/>
    </sheetNames>
    <sheetDataSet>
      <sheetData sheetId="0" refreshError="1"/>
      <sheetData sheetId="1">
        <row r="1">
          <cell r="K1" t="str">
            <v>net_amount</v>
          </cell>
          <cell r="M1" t="str">
            <v>settlement_batch_id</v>
          </cell>
        </row>
        <row r="2">
          <cell r="K2">
            <v>6605.48</v>
          </cell>
          <cell r="M2" t="str">
            <v>STL-20260903</v>
          </cell>
        </row>
        <row r="3">
          <cell r="K3">
            <v>11083.71</v>
          </cell>
          <cell r="M3" t="str">
            <v>STL-20260903</v>
          </cell>
        </row>
        <row r="4">
          <cell r="K4">
            <v>4904.62</v>
          </cell>
          <cell r="M4" t="str">
            <v>STL-20260903</v>
          </cell>
        </row>
        <row r="5">
          <cell r="K5">
            <v>341.59</v>
          </cell>
          <cell r="M5" t="str">
            <v>STL-20260903</v>
          </cell>
        </row>
        <row r="6">
          <cell r="K6">
            <v>9464.3799999999992</v>
          </cell>
          <cell r="M6" t="str">
            <v>STL-20260903</v>
          </cell>
        </row>
        <row r="7">
          <cell r="K7">
            <v>7847.98</v>
          </cell>
          <cell r="M7" t="str">
            <v>STL-20260903</v>
          </cell>
        </row>
        <row r="8">
          <cell r="K8">
            <v>1271.4100000000001</v>
          </cell>
          <cell r="M8" t="str">
            <v>STL-20260903</v>
          </cell>
        </row>
        <row r="9">
          <cell r="K9">
            <v>1799</v>
          </cell>
          <cell r="M9" t="str">
            <v>STL-20260903</v>
          </cell>
        </row>
        <row r="10">
          <cell r="K10">
            <v>4282.79</v>
          </cell>
          <cell r="M10" t="str">
            <v>STL-20260903</v>
          </cell>
        </row>
        <row r="11">
          <cell r="K11">
            <v>782.03</v>
          </cell>
          <cell r="M11" t="str">
            <v>STL-20260903</v>
          </cell>
        </row>
        <row r="12">
          <cell r="K12">
            <v>4210.8</v>
          </cell>
          <cell r="M12" t="str">
            <v>STL-20260903</v>
          </cell>
        </row>
        <row r="13">
          <cell r="K13">
            <v>878.93</v>
          </cell>
          <cell r="M13" t="str">
            <v>STL-20260903</v>
          </cell>
        </row>
        <row r="14">
          <cell r="K14">
            <v>9318.68</v>
          </cell>
          <cell r="M14" t="str">
            <v>STL-20260903</v>
          </cell>
        </row>
        <row r="15">
          <cell r="K15">
            <v>1759.82</v>
          </cell>
          <cell r="M15" t="str">
            <v>STL-20260903</v>
          </cell>
        </row>
        <row r="16">
          <cell r="K16">
            <v>7970.68</v>
          </cell>
          <cell r="M16" t="str">
            <v>STL-20260903</v>
          </cell>
        </row>
        <row r="17">
          <cell r="K17">
            <v>11954.53</v>
          </cell>
          <cell r="M17" t="str">
            <v>STL-20260903</v>
          </cell>
        </row>
        <row r="18">
          <cell r="K18">
            <v>976.6</v>
          </cell>
          <cell r="M18" t="str">
            <v>STL-20260903</v>
          </cell>
        </row>
        <row r="19">
          <cell r="K19">
            <v>9763.32</v>
          </cell>
          <cell r="M19" t="str">
            <v>STL-20260903</v>
          </cell>
        </row>
        <row r="20">
          <cell r="K20">
            <v>586.28</v>
          </cell>
          <cell r="M20" t="str">
            <v>STL-20260903</v>
          </cell>
        </row>
        <row r="21">
          <cell r="K21">
            <v>1998</v>
          </cell>
          <cell r="M21" t="str">
            <v>STL-20260903</v>
          </cell>
        </row>
        <row r="22">
          <cell r="K22">
            <v>499</v>
          </cell>
          <cell r="M22" t="str">
            <v>STL-20260903</v>
          </cell>
        </row>
        <row r="23">
          <cell r="K23">
            <v>1767.15</v>
          </cell>
          <cell r="M23" t="str">
            <v>STL-20260903</v>
          </cell>
        </row>
        <row r="24">
          <cell r="K24">
            <v>1268.9000000000001</v>
          </cell>
          <cell r="M24" t="str">
            <v>STL-20260903</v>
          </cell>
        </row>
        <row r="25">
          <cell r="K25">
            <v>10396.93</v>
          </cell>
          <cell r="M25" t="str">
            <v>STL-20260903</v>
          </cell>
        </row>
        <row r="26">
          <cell r="K26">
            <v>10758.78</v>
          </cell>
          <cell r="M26" t="str">
            <v>STL-20260903</v>
          </cell>
        </row>
        <row r="27">
          <cell r="K27">
            <v>6275.71</v>
          </cell>
          <cell r="M27" t="str">
            <v>STL-20260903</v>
          </cell>
        </row>
        <row r="28">
          <cell r="K28">
            <v>3530.07</v>
          </cell>
          <cell r="M28" t="str">
            <v>STL-20260903</v>
          </cell>
        </row>
        <row r="29">
          <cell r="K29">
            <v>1499</v>
          </cell>
          <cell r="M29" t="str">
            <v>STL-20260903</v>
          </cell>
        </row>
        <row r="30">
          <cell r="K30">
            <v>848</v>
          </cell>
          <cell r="M30" t="str">
            <v>STL-20260903</v>
          </cell>
        </row>
        <row r="31">
          <cell r="K31">
            <v>4780.0200000000004</v>
          </cell>
          <cell r="M31" t="str">
            <v>STL-20260903</v>
          </cell>
        </row>
        <row r="32">
          <cell r="K32">
            <v>9121.4699999999993</v>
          </cell>
          <cell r="M32" t="str">
            <v>STL-20260903</v>
          </cell>
        </row>
        <row r="33">
          <cell r="K33">
            <v>9363.5</v>
          </cell>
          <cell r="M33" t="str">
            <v>STL-20260903</v>
          </cell>
        </row>
        <row r="34">
          <cell r="K34">
            <v>6475</v>
          </cell>
          <cell r="M34" t="str">
            <v>STL-20260903</v>
          </cell>
        </row>
        <row r="35">
          <cell r="K35">
            <v>7970.68</v>
          </cell>
          <cell r="M35" t="str">
            <v>STL-20260903</v>
          </cell>
        </row>
        <row r="36">
          <cell r="K36">
            <v>4928.21</v>
          </cell>
          <cell r="M36" t="str">
            <v>STL-20260903</v>
          </cell>
        </row>
        <row r="37">
          <cell r="K37">
            <v>1275.03</v>
          </cell>
          <cell r="M37" t="str">
            <v>STL-20260903</v>
          </cell>
        </row>
        <row r="38">
          <cell r="K38">
            <v>1347</v>
          </cell>
          <cell r="M38" t="str">
            <v>STL-20260903</v>
          </cell>
        </row>
        <row r="39">
          <cell r="K39">
            <v>3432.94</v>
          </cell>
          <cell r="M39" t="str">
            <v>STL-20260903</v>
          </cell>
        </row>
        <row r="40">
          <cell r="K40">
            <v>10559.49</v>
          </cell>
          <cell r="M40" t="str">
            <v>STL-20260903</v>
          </cell>
        </row>
        <row r="41">
          <cell r="K41">
            <v>10459.84</v>
          </cell>
          <cell r="M41" t="str">
            <v>STL-20260903</v>
          </cell>
        </row>
        <row r="42">
          <cell r="K42">
            <v>977.78</v>
          </cell>
          <cell r="M42" t="str">
            <v>STL-20260903</v>
          </cell>
        </row>
        <row r="43">
          <cell r="K43">
            <v>1799</v>
          </cell>
          <cell r="M43" t="str">
            <v>STL-20260903</v>
          </cell>
        </row>
        <row r="44">
          <cell r="K44">
            <v>3486.61</v>
          </cell>
          <cell r="M44" t="str">
            <v>STL-20260903</v>
          </cell>
        </row>
        <row r="45">
          <cell r="K45">
            <v>3721.81</v>
          </cell>
          <cell r="M45" t="str">
            <v>STL-20260903</v>
          </cell>
        </row>
        <row r="46">
          <cell r="K46">
            <v>782.03</v>
          </cell>
          <cell r="M46" t="str">
            <v>STL-20260903</v>
          </cell>
        </row>
        <row r="47">
          <cell r="K47">
            <v>1276</v>
          </cell>
          <cell r="M47" t="str">
            <v>STL-20260903</v>
          </cell>
        </row>
        <row r="48">
          <cell r="K48">
            <v>349</v>
          </cell>
          <cell r="M48" t="str">
            <v>STL-20260903</v>
          </cell>
        </row>
        <row r="49">
          <cell r="K49">
            <v>799</v>
          </cell>
          <cell r="M49" t="str">
            <v>STL-20260903</v>
          </cell>
        </row>
        <row r="50">
          <cell r="K50">
            <v>1798</v>
          </cell>
          <cell r="M50" t="str">
            <v>STL-20260903</v>
          </cell>
        </row>
        <row r="51">
          <cell r="K51">
            <v>2988.38</v>
          </cell>
          <cell r="M51" t="str">
            <v>STL-20260903</v>
          </cell>
        </row>
        <row r="52">
          <cell r="K52">
            <v>999</v>
          </cell>
          <cell r="M52" t="str">
            <v>STL-20260903</v>
          </cell>
        </row>
        <row r="53">
          <cell r="K53">
            <v>1613</v>
          </cell>
          <cell r="M53" t="str">
            <v>STL-20260903</v>
          </cell>
        </row>
        <row r="54">
          <cell r="K54">
            <v>585.57000000000005</v>
          </cell>
          <cell r="M54" t="str">
            <v>STL-20260903</v>
          </cell>
        </row>
        <row r="55">
          <cell r="K55">
            <v>6375.32</v>
          </cell>
          <cell r="M55" t="str">
            <v>STL-20260903</v>
          </cell>
        </row>
        <row r="56">
          <cell r="K56">
            <v>5329.07</v>
          </cell>
          <cell r="M56" t="str">
            <v>STL-20260903</v>
          </cell>
        </row>
        <row r="57">
          <cell r="K57">
            <v>4781.0200000000004</v>
          </cell>
          <cell r="M57" t="str">
            <v>STL-20260903</v>
          </cell>
        </row>
        <row r="58">
          <cell r="K58">
            <v>1758.67</v>
          </cell>
          <cell r="M58" t="str">
            <v>STL-20260903</v>
          </cell>
        </row>
        <row r="59">
          <cell r="K59">
            <v>8673.42</v>
          </cell>
          <cell r="M59" t="str">
            <v>STL-20260903</v>
          </cell>
        </row>
        <row r="60">
          <cell r="K60">
            <v>7970.68</v>
          </cell>
          <cell r="M60" t="str">
            <v>STL-20260903</v>
          </cell>
        </row>
        <row r="61">
          <cell r="K61">
            <v>2490.15</v>
          </cell>
          <cell r="M61" t="str">
            <v>STL-20260903</v>
          </cell>
        </row>
        <row r="62">
          <cell r="K62">
            <v>1499</v>
          </cell>
          <cell r="M62" t="str">
            <v>STL-20260903</v>
          </cell>
        </row>
        <row r="63">
          <cell r="K63">
            <v>1499</v>
          </cell>
          <cell r="M63" t="str">
            <v>STL-20260903</v>
          </cell>
        </row>
        <row r="64">
          <cell r="K64">
            <v>2588.81</v>
          </cell>
          <cell r="M64" t="str">
            <v>STL-20260903</v>
          </cell>
        </row>
        <row r="65">
          <cell r="K65">
            <v>1098</v>
          </cell>
          <cell r="M65" t="str">
            <v>STL-20260903</v>
          </cell>
        </row>
        <row r="66">
          <cell r="K66">
            <v>648</v>
          </cell>
          <cell r="M66" t="str">
            <v>STL-20260903</v>
          </cell>
        </row>
        <row r="67">
          <cell r="K67">
            <v>4981.3</v>
          </cell>
          <cell r="M67" t="str">
            <v>STL-20260903</v>
          </cell>
        </row>
        <row r="68">
          <cell r="K68">
            <v>3573.84</v>
          </cell>
          <cell r="M68" t="str">
            <v>STL-20260903</v>
          </cell>
        </row>
        <row r="69">
          <cell r="K69">
            <v>999</v>
          </cell>
          <cell r="M69" t="str">
            <v>STL-20260903</v>
          </cell>
        </row>
        <row r="70">
          <cell r="K70">
            <v>1299</v>
          </cell>
          <cell r="M70" t="str">
            <v>STL-20260903</v>
          </cell>
        </row>
        <row r="71">
          <cell r="K71">
            <v>488.4</v>
          </cell>
          <cell r="M71" t="str">
            <v>STL-20260903</v>
          </cell>
        </row>
        <row r="72">
          <cell r="K72">
            <v>2988.38</v>
          </cell>
          <cell r="M72" t="str">
            <v>STL-20260903</v>
          </cell>
        </row>
        <row r="73">
          <cell r="K73">
            <v>5976.77</v>
          </cell>
          <cell r="M73" t="str">
            <v>STL-20260903</v>
          </cell>
        </row>
        <row r="74">
          <cell r="K74">
            <v>1499</v>
          </cell>
          <cell r="M74" t="str">
            <v>STL-20260903</v>
          </cell>
        </row>
        <row r="75">
          <cell r="K75">
            <v>3448.46</v>
          </cell>
          <cell r="M75" t="str">
            <v>STL-20260903</v>
          </cell>
        </row>
        <row r="76">
          <cell r="K76">
            <v>586.28</v>
          </cell>
          <cell r="M76" t="str">
            <v>STL-20260903</v>
          </cell>
        </row>
        <row r="77">
          <cell r="K77">
            <v>2348.91</v>
          </cell>
          <cell r="M77" t="str">
            <v>STL-20260903</v>
          </cell>
        </row>
        <row r="78">
          <cell r="K78">
            <v>3432.94</v>
          </cell>
          <cell r="M78" t="str">
            <v>STL-20260903</v>
          </cell>
        </row>
        <row r="79">
          <cell r="K79">
            <v>1760.79</v>
          </cell>
          <cell r="M79" t="str">
            <v>STL-20260903</v>
          </cell>
        </row>
        <row r="80">
          <cell r="K80">
            <v>3087.04</v>
          </cell>
          <cell r="M80" t="str">
            <v>STL-20260903</v>
          </cell>
        </row>
        <row r="81">
          <cell r="K81">
            <v>4981.3</v>
          </cell>
          <cell r="M81" t="str">
            <v>STL-20260903</v>
          </cell>
        </row>
        <row r="82">
          <cell r="K82">
            <v>4981.3</v>
          </cell>
          <cell r="M82" t="str">
            <v>STL-20260903</v>
          </cell>
        </row>
        <row r="83">
          <cell r="K83">
            <v>3087.04</v>
          </cell>
          <cell r="M83" t="str">
            <v>STL-20260903</v>
          </cell>
        </row>
        <row r="84">
          <cell r="K84">
            <v>3381.92</v>
          </cell>
          <cell r="M84" t="str">
            <v>STL-20260903</v>
          </cell>
        </row>
        <row r="85">
          <cell r="K85">
            <v>2490.15</v>
          </cell>
          <cell r="M85" t="str">
            <v>STL-20260903</v>
          </cell>
        </row>
        <row r="86">
          <cell r="K86">
            <v>3486.61</v>
          </cell>
          <cell r="M86" t="str">
            <v>STL-20260903</v>
          </cell>
        </row>
        <row r="87">
          <cell r="K87">
            <v>585.57000000000005</v>
          </cell>
          <cell r="M87" t="str">
            <v>STL-20260903</v>
          </cell>
        </row>
        <row r="88">
          <cell r="K88">
            <v>2788.1</v>
          </cell>
          <cell r="M88" t="str">
            <v>STL-20260903</v>
          </cell>
        </row>
        <row r="89">
          <cell r="K89">
            <v>1299</v>
          </cell>
          <cell r="M89" t="str">
            <v>STL-20260903</v>
          </cell>
        </row>
        <row r="90">
          <cell r="K90">
            <v>2988.38</v>
          </cell>
          <cell r="M90" t="str">
            <v>STL-20260903</v>
          </cell>
        </row>
        <row r="91">
          <cell r="K91">
            <v>3834.38</v>
          </cell>
          <cell r="M91" t="str">
            <v>STL-20260903</v>
          </cell>
        </row>
        <row r="92">
          <cell r="K92">
            <v>9894.4500000000007</v>
          </cell>
          <cell r="M92" t="str">
            <v>STL-20260903</v>
          </cell>
        </row>
        <row r="93">
          <cell r="K93">
            <v>3449.45</v>
          </cell>
          <cell r="M93" t="str">
            <v>STL-20260903</v>
          </cell>
        </row>
        <row r="94">
          <cell r="K94">
            <v>2448.87</v>
          </cell>
          <cell r="M94" t="str">
            <v>STL-20260903</v>
          </cell>
        </row>
        <row r="95">
          <cell r="K95">
            <v>3726.29</v>
          </cell>
          <cell r="M95" t="str">
            <v>STL-20260903</v>
          </cell>
        </row>
        <row r="96">
          <cell r="K96">
            <v>4904.62</v>
          </cell>
          <cell r="M96" t="str">
            <v>STL-20260903</v>
          </cell>
        </row>
        <row r="97">
          <cell r="K97">
            <v>488.4</v>
          </cell>
          <cell r="M97" t="str">
            <v>STL-20260903</v>
          </cell>
        </row>
        <row r="98">
          <cell r="K98">
            <v>1299</v>
          </cell>
          <cell r="M98" t="str">
            <v>STL-20260903</v>
          </cell>
        </row>
        <row r="99">
          <cell r="K99">
            <v>8524.56</v>
          </cell>
          <cell r="M99" t="str">
            <v>STL-20260903</v>
          </cell>
        </row>
        <row r="100">
          <cell r="K100">
            <v>3770.8</v>
          </cell>
          <cell r="M100" t="str">
            <v>STL-20260903</v>
          </cell>
        </row>
        <row r="101">
          <cell r="K101">
            <v>1499</v>
          </cell>
          <cell r="M101" t="str">
            <v>STL-20260903</v>
          </cell>
        </row>
        <row r="102">
          <cell r="K102">
            <v>5222</v>
          </cell>
          <cell r="M102" t="str">
            <v>STL-20260903</v>
          </cell>
        </row>
        <row r="103">
          <cell r="K103">
            <v>349</v>
          </cell>
          <cell r="M103" t="str">
            <v>STL-20260903</v>
          </cell>
        </row>
        <row r="104">
          <cell r="K104">
            <v>1172.56</v>
          </cell>
          <cell r="M104" t="str">
            <v>STL-20260903</v>
          </cell>
        </row>
        <row r="105">
          <cell r="K105">
            <v>878.93</v>
          </cell>
          <cell r="M105" t="str">
            <v>STL-20260903</v>
          </cell>
        </row>
        <row r="106">
          <cell r="K106">
            <v>1465.39</v>
          </cell>
          <cell r="M106" t="str">
            <v>STL-20260903</v>
          </cell>
        </row>
        <row r="107">
          <cell r="K107">
            <v>798</v>
          </cell>
          <cell r="M107" t="str">
            <v>STL-20260903</v>
          </cell>
        </row>
        <row r="108">
          <cell r="K108">
            <v>487.81</v>
          </cell>
          <cell r="M108" t="str">
            <v>STL-20260903</v>
          </cell>
        </row>
        <row r="109">
          <cell r="K109">
            <v>588.39</v>
          </cell>
          <cell r="M109" t="str">
            <v>STL-20260903</v>
          </cell>
        </row>
        <row r="110">
          <cell r="K110">
            <v>1465.39</v>
          </cell>
          <cell r="M110" t="str">
            <v>STL-20260903</v>
          </cell>
        </row>
        <row r="111">
          <cell r="K111">
            <v>10682.34</v>
          </cell>
          <cell r="M111" t="str">
            <v>STL-20260903</v>
          </cell>
        </row>
        <row r="112">
          <cell r="K112">
            <v>7970.68</v>
          </cell>
          <cell r="M112" t="str">
            <v>STL-20260903</v>
          </cell>
        </row>
        <row r="113">
          <cell r="K113">
            <v>3834.38</v>
          </cell>
          <cell r="M113" t="str">
            <v>STL-20260903</v>
          </cell>
        </row>
        <row r="114">
          <cell r="K114">
            <v>2451.8200000000002</v>
          </cell>
          <cell r="M114" t="str">
            <v>STL-20260903</v>
          </cell>
        </row>
        <row r="115">
          <cell r="K115">
            <v>898</v>
          </cell>
          <cell r="M115" t="str">
            <v>STL-20260903</v>
          </cell>
        </row>
        <row r="116">
          <cell r="K116">
            <v>2988.38</v>
          </cell>
          <cell r="M116" t="str">
            <v>STL-20260903</v>
          </cell>
        </row>
        <row r="117">
          <cell r="K117">
            <v>599</v>
          </cell>
          <cell r="M117" t="str">
            <v>STL-20260903</v>
          </cell>
        </row>
        <row r="118">
          <cell r="K118">
            <v>3982.85</v>
          </cell>
          <cell r="M118" t="str">
            <v>STL-20260903</v>
          </cell>
        </row>
        <row r="119">
          <cell r="K119">
            <v>3486.61</v>
          </cell>
          <cell r="M119" t="str">
            <v>STL-20260903</v>
          </cell>
        </row>
        <row r="120">
          <cell r="K120">
            <v>2090.58</v>
          </cell>
          <cell r="M120" t="str">
            <v>STL-20260903</v>
          </cell>
        </row>
        <row r="121">
          <cell r="K121">
            <v>5578.19</v>
          </cell>
          <cell r="M121" t="str">
            <v>STL-20260903</v>
          </cell>
        </row>
        <row r="122">
          <cell r="K122">
            <v>2788.1</v>
          </cell>
          <cell r="M122" t="str">
            <v>STL-20260903</v>
          </cell>
        </row>
        <row r="123">
          <cell r="K123">
            <v>1848</v>
          </cell>
          <cell r="M123" t="str">
            <v>STL-20260903</v>
          </cell>
        </row>
        <row r="124">
          <cell r="K124">
            <v>299</v>
          </cell>
          <cell r="M124" t="str">
            <v>STL-20260903</v>
          </cell>
        </row>
        <row r="125">
          <cell r="K125">
            <v>2886.75</v>
          </cell>
          <cell r="M125" t="str">
            <v>STL-20260903</v>
          </cell>
        </row>
        <row r="126">
          <cell r="K126">
            <v>4211.78</v>
          </cell>
          <cell r="M126" t="str">
            <v>STL-20260903</v>
          </cell>
        </row>
        <row r="127">
          <cell r="K127">
            <v>977.78</v>
          </cell>
          <cell r="M127" t="str">
            <v>STL-20260903</v>
          </cell>
        </row>
        <row r="128">
          <cell r="K128">
            <v>1759.82</v>
          </cell>
          <cell r="M128" t="str">
            <v>STL-20260903</v>
          </cell>
        </row>
        <row r="129">
          <cell r="K129">
            <v>3546.07</v>
          </cell>
          <cell r="M129" t="str">
            <v>STL-20260903</v>
          </cell>
        </row>
        <row r="130">
          <cell r="K130">
            <v>7847.98</v>
          </cell>
          <cell r="M130" t="str">
            <v>STL-20260903</v>
          </cell>
        </row>
        <row r="131">
          <cell r="K131">
            <v>4482.08</v>
          </cell>
          <cell r="M131" t="str">
            <v>STL-20260904</v>
          </cell>
        </row>
        <row r="132">
          <cell r="K132">
            <v>2490.15</v>
          </cell>
          <cell r="M132" t="str">
            <v>STL-20260904</v>
          </cell>
        </row>
        <row r="133">
          <cell r="K133">
            <v>2451.8200000000002</v>
          </cell>
          <cell r="M133" t="str">
            <v>STL-20260904</v>
          </cell>
        </row>
        <row r="134">
          <cell r="K134">
            <v>784.85</v>
          </cell>
          <cell r="M134" t="str">
            <v>STL-20260904</v>
          </cell>
        </row>
        <row r="135">
          <cell r="K135">
            <v>1299</v>
          </cell>
          <cell r="M135" t="str">
            <v>STL-20260904</v>
          </cell>
        </row>
        <row r="136">
          <cell r="K136">
            <v>1758.67</v>
          </cell>
          <cell r="M136" t="str">
            <v>STL-20260904</v>
          </cell>
        </row>
        <row r="137">
          <cell r="K137">
            <v>7885.73</v>
          </cell>
          <cell r="M137" t="str">
            <v>STL-20260904</v>
          </cell>
        </row>
        <row r="138">
          <cell r="K138">
            <v>4904.62</v>
          </cell>
          <cell r="M138" t="str">
            <v>STL-20260904</v>
          </cell>
        </row>
        <row r="139">
          <cell r="K139">
            <v>926.75</v>
          </cell>
          <cell r="M139" t="str">
            <v>STL-20260904</v>
          </cell>
        </row>
        <row r="140">
          <cell r="K140">
            <v>15940.37</v>
          </cell>
          <cell r="M140" t="str">
            <v>STL-20260904</v>
          </cell>
        </row>
        <row r="141">
          <cell r="K141">
            <v>10959.07</v>
          </cell>
          <cell r="M141" t="str">
            <v>STL-20260904</v>
          </cell>
        </row>
        <row r="142">
          <cell r="K142">
            <v>7885.73</v>
          </cell>
          <cell r="M142" t="str">
            <v>STL-20260904</v>
          </cell>
        </row>
        <row r="143">
          <cell r="K143">
            <v>1271.4100000000001</v>
          </cell>
          <cell r="M143" t="str">
            <v>STL-20260904</v>
          </cell>
        </row>
        <row r="144">
          <cell r="K144">
            <v>2254.61</v>
          </cell>
          <cell r="M144" t="str">
            <v>STL-20260904</v>
          </cell>
        </row>
        <row r="145">
          <cell r="K145">
            <v>299</v>
          </cell>
          <cell r="M145" t="str">
            <v>STL-20260904</v>
          </cell>
        </row>
        <row r="146">
          <cell r="K146">
            <v>3726.29</v>
          </cell>
          <cell r="M146" t="str">
            <v>STL-20260904</v>
          </cell>
        </row>
        <row r="147">
          <cell r="K147">
            <v>12751.7</v>
          </cell>
          <cell r="M147" t="str">
            <v>STL-20260904</v>
          </cell>
        </row>
        <row r="148">
          <cell r="K148">
            <v>4282.79</v>
          </cell>
          <cell r="M148" t="str">
            <v>STL-20260904</v>
          </cell>
        </row>
        <row r="149">
          <cell r="K149">
            <v>599</v>
          </cell>
          <cell r="M149" t="str">
            <v>STL-20260904</v>
          </cell>
        </row>
        <row r="150">
          <cell r="K150">
            <v>3486.61</v>
          </cell>
          <cell r="M150" t="str">
            <v>STL-20260904</v>
          </cell>
        </row>
        <row r="151">
          <cell r="K151">
            <v>7346.61</v>
          </cell>
          <cell r="M151" t="str">
            <v>STL-20260904</v>
          </cell>
        </row>
        <row r="152">
          <cell r="K152">
            <v>796.17</v>
          </cell>
          <cell r="M152" t="str">
            <v>STL-20260904</v>
          </cell>
        </row>
        <row r="153">
          <cell r="K153">
            <v>10260.549999999999</v>
          </cell>
          <cell r="M153" t="str">
            <v>STL-20260904</v>
          </cell>
        </row>
        <row r="154">
          <cell r="K154">
            <v>3432.94</v>
          </cell>
          <cell r="M154" t="str">
            <v>STL-20260904</v>
          </cell>
        </row>
        <row r="155">
          <cell r="K155">
            <v>12859.96</v>
          </cell>
          <cell r="M155" t="str">
            <v>STL-20260904</v>
          </cell>
        </row>
        <row r="156">
          <cell r="K156">
            <v>2988.38</v>
          </cell>
          <cell r="M156" t="str">
            <v>STL-20260904</v>
          </cell>
        </row>
        <row r="157">
          <cell r="K157">
            <v>6773.94</v>
          </cell>
          <cell r="M157" t="str">
            <v>STL-20260904</v>
          </cell>
        </row>
        <row r="158">
          <cell r="K158">
            <v>3398.94</v>
          </cell>
          <cell r="M158" t="str">
            <v>STL-20260904</v>
          </cell>
        </row>
        <row r="159">
          <cell r="K159">
            <v>9961.61</v>
          </cell>
          <cell r="M159" t="str">
            <v>STL-20260904</v>
          </cell>
        </row>
        <row r="160">
          <cell r="K160">
            <v>5688.53</v>
          </cell>
          <cell r="M160" t="str">
            <v>STL-20260904</v>
          </cell>
        </row>
        <row r="161">
          <cell r="K161">
            <v>499</v>
          </cell>
          <cell r="M161" t="str">
            <v>STL-20260904</v>
          </cell>
        </row>
        <row r="162">
          <cell r="K162">
            <v>1799</v>
          </cell>
          <cell r="M162" t="str">
            <v>STL-20260904</v>
          </cell>
        </row>
        <row r="163">
          <cell r="K163">
            <v>6178.11</v>
          </cell>
          <cell r="M163" t="str">
            <v>STL-20260904</v>
          </cell>
        </row>
        <row r="164">
          <cell r="K164">
            <v>4879.67</v>
          </cell>
          <cell r="M164" t="str">
            <v>STL-20260904</v>
          </cell>
        </row>
        <row r="165">
          <cell r="K165">
            <v>292.64999999999998</v>
          </cell>
          <cell r="M165" t="str">
            <v>STL-20260904</v>
          </cell>
        </row>
        <row r="166">
          <cell r="K166">
            <v>1271.4100000000001</v>
          </cell>
          <cell r="M166" t="str">
            <v>STL-20260904</v>
          </cell>
        </row>
        <row r="167">
          <cell r="K167">
            <v>292.64999999999998</v>
          </cell>
          <cell r="M167" t="str">
            <v>STL-20260904</v>
          </cell>
        </row>
        <row r="168">
          <cell r="K168">
            <v>292.64999999999998</v>
          </cell>
          <cell r="M168" t="str">
            <v>STL-20260904</v>
          </cell>
        </row>
        <row r="169">
          <cell r="K169">
            <v>12751.7</v>
          </cell>
          <cell r="M169" t="str">
            <v>STL-20260904</v>
          </cell>
        </row>
        <row r="170">
          <cell r="K170">
            <v>1271.4100000000001</v>
          </cell>
          <cell r="M170" t="str">
            <v>STL-20260904</v>
          </cell>
        </row>
        <row r="171">
          <cell r="K171">
            <v>1472.46</v>
          </cell>
          <cell r="M171" t="str">
            <v>STL-20260904</v>
          </cell>
        </row>
        <row r="172">
          <cell r="K172">
            <v>1298</v>
          </cell>
          <cell r="M172" t="str">
            <v>STL-20260904</v>
          </cell>
        </row>
        <row r="173">
          <cell r="K173">
            <v>499</v>
          </cell>
          <cell r="M173" t="str">
            <v>STL-20260904</v>
          </cell>
        </row>
        <row r="174">
          <cell r="K174">
            <v>832.99</v>
          </cell>
          <cell r="M174" t="str">
            <v>STL-20260904</v>
          </cell>
        </row>
        <row r="175">
          <cell r="K175">
            <v>1799</v>
          </cell>
          <cell r="M175" t="str">
            <v>STL-20260904</v>
          </cell>
        </row>
        <row r="176">
          <cell r="K176">
            <v>7885.73</v>
          </cell>
          <cell r="M176" t="str">
            <v>STL-20260904</v>
          </cell>
        </row>
        <row r="177">
          <cell r="K177">
            <v>7970.68</v>
          </cell>
          <cell r="M177" t="str">
            <v>STL-20260904</v>
          </cell>
        </row>
        <row r="178">
          <cell r="K178">
            <v>1098</v>
          </cell>
          <cell r="M178" t="str">
            <v>STL-20260904</v>
          </cell>
        </row>
        <row r="179">
          <cell r="K179">
            <v>599</v>
          </cell>
          <cell r="M179" t="str">
            <v>STL-20260904</v>
          </cell>
        </row>
        <row r="180">
          <cell r="K180">
            <v>1598</v>
          </cell>
          <cell r="M180" t="str">
            <v>STL-20260904</v>
          </cell>
        </row>
        <row r="181">
          <cell r="K181">
            <v>781.09</v>
          </cell>
          <cell r="M181" t="str">
            <v>STL-20260904</v>
          </cell>
        </row>
        <row r="182">
          <cell r="K182">
            <v>977.78</v>
          </cell>
          <cell r="M182" t="str">
            <v>STL-20260904</v>
          </cell>
        </row>
        <row r="183">
          <cell r="K183">
            <v>349</v>
          </cell>
          <cell r="M183" t="str">
            <v>STL-20260904</v>
          </cell>
        </row>
        <row r="184">
          <cell r="K184">
            <v>1499</v>
          </cell>
          <cell r="M184" t="str">
            <v>STL-20260904</v>
          </cell>
        </row>
        <row r="185">
          <cell r="K185">
            <v>2330.09</v>
          </cell>
          <cell r="M185" t="str">
            <v>STL-20260904</v>
          </cell>
        </row>
        <row r="186">
          <cell r="K186">
            <v>1953.21</v>
          </cell>
          <cell r="M186" t="str">
            <v>STL-20260904</v>
          </cell>
        </row>
        <row r="187">
          <cell r="K187">
            <v>4904.62</v>
          </cell>
          <cell r="M187" t="str">
            <v>STL-20260904</v>
          </cell>
        </row>
        <row r="188">
          <cell r="K188">
            <v>7769.4</v>
          </cell>
          <cell r="M188" t="str">
            <v>STL-20260904</v>
          </cell>
        </row>
        <row r="189">
          <cell r="K189">
            <v>1798</v>
          </cell>
          <cell r="M189" t="str">
            <v>STL-20260904</v>
          </cell>
        </row>
        <row r="190">
          <cell r="K190">
            <v>488.4</v>
          </cell>
          <cell r="M190" t="str">
            <v>STL-20260904</v>
          </cell>
        </row>
        <row r="191">
          <cell r="K191">
            <v>1123.6199999999999</v>
          </cell>
          <cell r="M191" t="str">
            <v>STL-20260904</v>
          </cell>
        </row>
        <row r="192">
          <cell r="K192">
            <v>5196.99</v>
          </cell>
          <cell r="M192" t="str">
            <v>STL-20260904</v>
          </cell>
        </row>
        <row r="193">
          <cell r="K193">
            <v>5976.77</v>
          </cell>
          <cell r="M193" t="str">
            <v>STL-20260904</v>
          </cell>
        </row>
        <row r="194">
          <cell r="K194">
            <v>1798</v>
          </cell>
          <cell r="M194" t="str">
            <v>STL-20260904</v>
          </cell>
        </row>
        <row r="195">
          <cell r="K195">
            <v>3917.8</v>
          </cell>
          <cell r="M195" t="str">
            <v>STL-20260904</v>
          </cell>
        </row>
        <row r="196">
          <cell r="K196">
            <v>3524.84</v>
          </cell>
          <cell r="M196" t="str">
            <v>STL-20260904</v>
          </cell>
        </row>
        <row r="197">
          <cell r="K197">
            <v>2745.17</v>
          </cell>
          <cell r="M197" t="str">
            <v>STL-20260904</v>
          </cell>
        </row>
        <row r="198">
          <cell r="K198">
            <v>5492.31</v>
          </cell>
          <cell r="M198" t="str">
            <v>STL-20260904</v>
          </cell>
        </row>
        <row r="199">
          <cell r="K199">
            <v>2741.87</v>
          </cell>
          <cell r="M199" t="str">
            <v>STL-20260904</v>
          </cell>
        </row>
        <row r="200">
          <cell r="K200">
            <v>2794.23</v>
          </cell>
          <cell r="M200" t="str">
            <v>STL-20260904</v>
          </cell>
        </row>
        <row r="201">
          <cell r="K201">
            <v>1848</v>
          </cell>
          <cell r="M201" t="str">
            <v>STL-20260904</v>
          </cell>
        </row>
        <row r="202">
          <cell r="K202">
            <v>8141.33</v>
          </cell>
          <cell r="M202" t="str">
            <v>STL-20260904</v>
          </cell>
        </row>
        <row r="203">
          <cell r="K203">
            <v>4730.0600000000004</v>
          </cell>
          <cell r="M203" t="str">
            <v>STL-20260904</v>
          </cell>
        </row>
        <row r="204">
          <cell r="K204">
            <v>7271.17</v>
          </cell>
          <cell r="M204" t="str">
            <v>STL-20260904</v>
          </cell>
        </row>
        <row r="205">
          <cell r="K205">
            <v>3783.56</v>
          </cell>
          <cell r="M205" t="str">
            <v>STL-20260904</v>
          </cell>
        </row>
        <row r="206">
          <cell r="K206">
            <v>3428.81</v>
          </cell>
          <cell r="M206" t="str">
            <v>STL-20260904</v>
          </cell>
        </row>
        <row r="207">
          <cell r="K207">
            <v>4281.79</v>
          </cell>
          <cell r="M207" t="str">
            <v>STL-20260904</v>
          </cell>
        </row>
        <row r="208">
          <cell r="K208">
            <v>599</v>
          </cell>
          <cell r="M208" t="str">
            <v>STL-20260904</v>
          </cell>
        </row>
        <row r="209">
          <cell r="K209">
            <v>4482.08</v>
          </cell>
          <cell r="M209" t="str">
            <v>STL-20260904</v>
          </cell>
        </row>
        <row r="210">
          <cell r="K210">
            <v>349</v>
          </cell>
          <cell r="M210" t="str">
            <v>STL-20260904</v>
          </cell>
        </row>
        <row r="211">
          <cell r="K211">
            <v>1499</v>
          </cell>
          <cell r="M211" t="str">
            <v>STL-20260904</v>
          </cell>
        </row>
        <row r="212">
          <cell r="K212">
            <v>299</v>
          </cell>
          <cell r="M212" t="str">
            <v>STL-20260904</v>
          </cell>
        </row>
        <row r="213">
          <cell r="K213">
            <v>782.03</v>
          </cell>
          <cell r="M213" t="str">
            <v>STL-20260904</v>
          </cell>
        </row>
        <row r="214">
          <cell r="K214">
            <v>3486.61</v>
          </cell>
          <cell r="M214" t="str">
            <v>STL-20260904</v>
          </cell>
        </row>
        <row r="215">
          <cell r="K215">
            <v>4904.62</v>
          </cell>
          <cell r="M215" t="str">
            <v>STL-20260904</v>
          </cell>
        </row>
        <row r="216">
          <cell r="K216">
            <v>6170.68</v>
          </cell>
          <cell r="M216" t="str">
            <v>STL-20260904</v>
          </cell>
        </row>
        <row r="217">
          <cell r="K217">
            <v>2745.17</v>
          </cell>
          <cell r="M217" t="str">
            <v>STL-20260904</v>
          </cell>
        </row>
        <row r="218">
          <cell r="K218">
            <v>1271.4100000000001</v>
          </cell>
          <cell r="M218" t="str">
            <v>STL-20260904</v>
          </cell>
        </row>
        <row r="219">
          <cell r="K219">
            <v>4580.7299999999996</v>
          </cell>
          <cell r="M219" t="str">
            <v>STL-20260904</v>
          </cell>
        </row>
        <row r="220">
          <cell r="K220">
            <v>2289.87</v>
          </cell>
          <cell r="M220" t="str">
            <v>STL-20260904</v>
          </cell>
        </row>
        <row r="221">
          <cell r="K221">
            <v>799</v>
          </cell>
          <cell r="M221" t="str">
            <v>STL-20260904</v>
          </cell>
        </row>
        <row r="222">
          <cell r="K222">
            <v>2490.15</v>
          </cell>
          <cell r="M222" t="str">
            <v>STL-20260904</v>
          </cell>
        </row>
        <row r="223">
          <cell r="K223">
            <v>292.64999999999998</v>
          </cell>
          <cell r="M223" t="str">
            <v>STL-20260904</v>
          </cell>
        </row>
        <row r="224">
          <cell r="K224">
            <v>799</v>
          </cell>
          <cell r="M224" t="str">
            <v>STL-20260904</v>
          </cell>
        </row>
        <row r="225">
          <cell r="K225">
            <v>7471.46</v>
          </cell>
          <cell r="M225" t="str">
            <v>STL-20260904</v>
          </cell>
        </row>
        <row r="226">
          <cell r="K226">
            <v>2451.8200000000002</v>
          </cell>
          <cell r="M226" t="str">
            <v>STL-20260904</v>
          </cell>
        </row>
        <row r="227">
          <cell r="K227">
            <v>1271.4100000000001</v>
          </cell>
          <cell r="M227" t="str">
            <v>STL-20260904</v>
          </cell>
        </row>
        <row r="228">
          <cell r="K228">
            <v>2886.75</v>
          </cell>
          <cell r="M228" t="str">
            <v>STL-20260904</v>
          </cell>
        </row>
        <row r="229">
          <cell r="K229">
            <v>2428.2199999999998</v>
          </cell>
          <cell r="M229" t="str">
            <v>STL-20260904</v>
          </cell>
        </row>
        <row r="230">
          <cell r="K230">
            <v>585.57000000000005</v>
          </cell>
          <cell r="M230" t="str">
            <v>STL-20260904</v>
          </cell>
        </row>
        <row r="231">
          <cell r="K231">
            <v>2745.17</v>
          </cell>
          <cell r="M231" t="str">
            <v>STL-20260904</v>
          </cell>
        </row>
        <row r="232">
          <cell r="K232">
            <v>1465.39</v>
          </cell>
          <cell r="M232" t="str">
            <v>STL-20260904</v>
          </cell>
        </row>
        <row r="233">
          <cell r="K233">
            <v>1098</v>
          </cell>
          <cell r="M233" t="str">
            <v>STL-20260904</v>
          </cell>
        </row>
        <row r="234">
          <cell r="K234">
            <v>6475</v>
          </cell>
          <cell r="M234" t="str">
            <v>STL-20260904</v>
          </cell>
        </row>
        <row r="235">
          <cell r="K235">
            <v>3823.43</v>
          </cell>
          <cell r="M235" t="str">
            <v>STL-20260904</v>
          </cell>
        </row>
        <row r="236">
          <cell r="K236">
            <v>977.78</v>
          </cell>
          <cell r="M236" t="str">
            <v>STL-20260904</v>
          </cell>
        </row>
        <row r="237">
          <cell r="K237">
            <v>7847</v>
          </cell>
          <cell r="M237" t="str">
            <v>STL-20260904</v>
          </cell>
        </row>
        <row r="238">
          <cell r="K238">
            <v>599</v>
          </cell>
          <cell r="M238" t="str">
            <v>STL-20260904</v>
          </cell>
        </row>
        <row r="239">
          <cell r="K239">
            <v>2451.8200000000002</v>
          </cell>
          <cell r="M239" t="str">
            <v>STL-20260904</v>
          </cell>
        </row>
        <row r="240">
          <cell r="K240">
            <v>599</v>
          </cell>
          <cell r="M240" t="str">
            <v>STL-20260904</v>
          </cell>
        </row>
        <row r="241">
          <cell r="K241">
            <v>1271.4100000000001</v>
          </cell>
          <cell r="M241" t="str">
            <v>STL-20260904</v>
          </cell>
        </row>
        <row r="242">
          <cell r="K242">
            <v>2251.9</v>
          </cell>
          <cell r="M242" t="str">
            <v>STL-20260904</v>
          </cell>
        </row>
        <row r="243">
          <cell r="K243">
            <v>981.31</v>
          </cell>
          <cell r="M243" t="str">
            <v>STL-20260904</v>
          </cell>
        </row>
        <row r="244">
          <cell r="K244">
            <v>1499</v>
          </cell>
          <cell r="M244" t="str">
            <v>STL-20260904</v>
          </cell>
        </row>
        <row r="245">
          <cell r="K245">
            <v>977.78</v>
          </cell>
          <cell r="M245" t="str">
            <v>STL-20260904</v>
          </cell>
        </row>
        <row r="246">
          <cell r="K246">
            <v>1799</v>
          </cell>
          <cell r="M246" t="str">
            <v>STL-20260904</v>
          </cell>
        </row>
        <row r="247">
          <cell r="K247">
            <v>1799</v>
          </cell>
          <cell r="M247" t="str">
            <v>STL-20260904</v>
          </cell>
        </row>
        <row r="248">
          <cell r="K248">
            <v>4781.0200000000004</v>
          </cell>
          <cell r="M248" t="str">
            <v>STL-20260904</v>
          </cell>
        </row>
        <row r="249">
          <cell r="K249">
            <v>3398.2</v>
          </cell>
          <cell r="M249" t="str">
            <v>STL-20260904</v>
          </cell>
        </row>
        <row r="250">
          <cell r="K250">
            <v>349</v>
          </cell>
          <cell r="M250" t="str">
            <v>STL-20260904</v>
          </cell>
        </row>
        <row r="251">
          <cell r="K251">
            <v>2490.15</v>
          </cell>
          <cell r="M251" t="str">
            <v>STL-20260904</v>
          </cell>
        </row>
        <row r="252">
          <cell r="K252">
            <v>977.78</v>
          </cell>
          <cell r="M252" t="str">
            <v>STL-20260904</v>
          </cell>
        </row>
        <row r="253">
          <cell r="K253">
            <v>4904.62</v>
          </cell>
          <cell r="M253" t="str">
            <v>STL-20260904</v>
          </cell>
        </row>
        <row r="254">
          <cell r="K254">
            <v>341.59</v>
          </cell>
          <cell r="M254" t="str">
            <v>STL-20260904</v>
          </cell>
        </row>
        <row r="255">
          <cell r="K255">
            <v>2987.39</v>
          </cell>
          <cell r="M255" t="str">
            <v>STL-20260904</v>
          </cell>
        </row>
        <row r="256">
          <cell r="K256">
            <v>1271.4100000000001</v>
          </cell>
          <cell r="M256" t="str">
            <v>STL-20260904</v>
          </cell>
        </row>
        <row r="257">
          <cell r="K257">
            <v>3432.94</v>
          </cell>
          <cell r="M257" t="str">
            <v>STL-20260904</v>
          </cell>
        </row>
        <row r="258">
          <cell r="K258">
            <v>784.85</v>
          </cell>
          <cell r="M258" t="str">
            <v>STL-20260904</v>
          </cell>
        </row>
        <row r="259">
          <cell r="K259">
            <v>5279.25</v>
          </cell>
          <cell r="M259" t="str">
            <v>STL-20260904</v>
          </cell>
        </row>
        <row r="260">
          <cell r="K260">
            <v>799</v>
          </cell>
          <cell r="M260" t="str">
            <v>STL-20260904</v>
          </cell>
        </row>
        <row r="261">
          <cell r="K261">
            <v>2490.15</v>
          </cell>
          <cell r="M261" t="str">
            <v>STL-20260904</v>
          </cell>
        </row>
        <row r="262">
          <cell r="K262">
            <v>499</v>
          </cell>
          <cell r="M262" t="str">
            <v>STL-20260904</v>
          </cell>
        </row>
        <row r="263">
          <cell r="K263">
            <v>977.78</v>
          </cell>
          <cell r="M263" t="str">
            <v>STL-20260904</v>
          </cell>
        </row>
        <row r="264">
          <cell r="K264">
            <v>1074.68</v>
          </cell>
          <cell r="M264" t="str">
            <v>STL-20260904</v>
          </cell>
        </row>
        <row r="265">
          <cell r="K265">
            <v>499</v>
          </cell>
          <cell r="M265" t="str">
            <v>STL-20260904</v>
          </cell>
        </row>
        <row r="266">
          <cell r="K266">
            <v>3432.94</v>
          </cell>
          <cell r="M266" t="str">
            <v>STL-20260904</v>
          </cell>
        </row>
        <row r="267">
          <cell r="K267">
            <v>2254.61</v>
          </cell>
          <cell r="M267" t="str">
            <v>STL-20260904</v>
          </cell>
        </row>
        <row r="268">
          <cell r="K268">
            <v>898</v>
          </cell>
          <cell r="M268" t="str">
            <v>STL-20260904</v>
          </cell>
        </row>
        <row r="269">
          <cell r="K269">
            <v>2956.53</v>
          </cell>
          <cell r="M269" t="str">
            <v>STL-20260904</v>
          </cell>
        </row>
        <row r="270">
          <cell r="K270">
            <v>7570.11</v>
          </cell>
          <cell r="M270" t="str">
            <v>STL-20260904</v>
          </cell>
        </row>
        <row r="271">
          <cell r="K271">
            <v>3486.61</v>
          </cell>
          <cell r="M271" t="str">
            <v>STL-20260904</v>
          </cell>
        </row>
        <row r="272">
          <cell r="K272">
            <v>499</v>
          </cell>
          <cell r="M272" t="str">
            <v>STL-20260904</v>
          </cell>
        </row>
        <row r="273">
          <cell r="K273">
            <v>341.59</v>
          </cell>
          <cell r="M273" t="str">
            <v>STL-20260904</v>
          </cell>
        </row>
        <row r="274">
          <cell r="K274">
            <v>2490.15</v>
          </cell>
          <cell r="M274" t="str">
            <v>STL-20260904</v>
          </cell>
        </row>
        <row r="275">
          <cell r="K275">
            <v>299</v>
          </cell>
          <cell r="M275" t="str">
            <v>STL-20260904</v>
          </cell>
        </row>
        <row r="276">
          <cell r="K276">
            <v>4282.79</v>
          </cell>
          <cell r="M276" t="str">
            <v>STL-20260904</v>
          </cell>
        </row>
        <row r="277">
          <cell r="K277">
            <v>7847.98</v>
          </cell>
          <cell r="M277" t="str">
            <v>STL-20260904</v>
          </cell>
        </row>
        <row r="278">
          <cell r="K278">
            <v>999</v>
          </cell>
          <cell r="M278" t="str">
            <v>STL-20260904</v>
          </cell>
        </row>
        <row r="279">
          <cell r="K279">
            <v>2988.38</v>
          </cell>
          <cell r="M279" t="str">
            <v>STL-20260904</v>
          </cell>
        </row>
        <row r="280">
          <cell r="K280">
            <v>349</v>
          </cell>
          <cell r="M280" t="str">
            <v>STL-20260904</v>
          </cell>
        </row>
        <row r="281">
          <cell r="K281">
            <v>1760.79</v>
          </cell>
          <cell r="M281" t="str">
            <v>STL-20260904</v>
          </cell>
        </row>
        <row r="282">
          <cell r="K282">
            <v>2587.81</v>
          </cell>
          <cell r="M282" t="str">
            <v>STL-20260904</v>
          </cell>
        </row>
        <row r="283">
          <cell r="K283">
            <v>4904.62</v>
          </cell>
          <cell r="M283" t="str">
            <v>STL-20260904</v>
          </cell>
        </row>
        <row r="284">
          <cell r="K284">
            <v>7772.46</v>
          </cell>
          <cell r="M284" t="str">
            <v>STL-20260904</v>
          </cell>
        </row>
        <row r="285">
          <cell r="K285">
            <v>1276</v>
          </cell>
          <cell r="M285" t="str">
            <v>STL-20260904</v>
          </cell>
        </row>
        <row r="286">
          <cell r="K286">
            <v>342.82</v>
          </cell>
          <cell r="M286" t="str">
            <v>STL-20260904</v>
          </cell>
        </row>
        <row r="287">
          <cell r="K287">
            <v>4083.5</v>
          </cell>
          <cell r="M287" t="str">
            <v>STL-20260904</v>
          </cell>
        </row>
        <row r="288">
          <cell r="K288">
            <v>1798</v>
          </cell>
          <cell r="M288" t="str">
            <v>STL-20260904</v>
          </cell>
        </row>
        <row r="289">
          <cell r="K289">
            <v>2891.36</v>
          </cell>
          <cell r="M289" t="str">
            <v>STL-20260904</v>
          </cell>
        </row>
        <row r="290">
          <cell r="K290">
            <v>6865.88</v>
          </cell>
          <cell r="M290" t="str">
            <v>STL-20260904</v>
          </cell>
        </row>
        <row r="291">
          <cell r="K291">
            <v>8621.51</v>
          </cell>
          <cell r="M291" t="str">
            <v>STL-20260904</v>
          </cell>
        </row>
        <row r="292">
          <cell r="K292">
            <v>3941.38</v>
          </cell>
          <cell r="M292" t="str">
            <v>STL-20260904</v>
          </cell>
        </row>
        <row r="293">
          <cell r="K293">
            <v>499</v>
          </cell>
          <cell r="M293" t="str">
            <v>STL-20260904</v>
          </cell>
        </row>
        <row r="294">
          <cell r="K294">
            <v>342.82</v>
          </cell>
          <cell r="M294" t="str">
            <v>STL-20260904</v>
          </cell>
        </row>
        <row r="295">
          <cell r="K295">
            <v>1098</v>
          </cell>
          <cell r="M295" t="str">
            <v>STL-20260904</v>
          </cell>
        </row>
        <row r="296">
          <cell r="K296">
            <v>10151.65</v>
          </cell>
          <cell r="M296" t="str">
            <v>STL-20260904</v>
          </cell>
        </row>
        <row r="297">
          <cell r="K297">
            <v>5492.31</v>
          </cell>
          <cell r="M297" t="str">
            <v>STL-20260904</v>
          </cell>
        </row>
        <row r="298">
          <cell r="K298">
            <v>6475</v>
          </cell>
          <cell r="M298" t="str">
            <v>STL-20260904</v>
          </cell>
        </row>
        <row r="299">
          <cell r="K299">
            <v>6660.65</v>
          </cell>
          <cell r="M299" t="str">
            <v>STL-20260904</v>
          </cell>
        </row>
        <row r="300">
          <cell r="K300">
            <v>5776.48</v>
          </cell>
          <cell r="M300" t="str">
            <v>STL-20260904</v>
          </cell>
        </row>
        <row r="301">
          <cell r="K301">
            <v>2941.4</v>
          </cell>
          <cell r="M301" t="str">
            <v>STL-20260904</v>
          </cell>
        </row>
        <row r="302">
          <cell r="K302">
            <v>4413.08</v>
          </cell>
          <cell r="M302" t="str">
            <v>STL-20260904</v>
          </cell>
        </row>
        <row r="303">
          <cell r="K303">
            <v>10260.549999999999</v>
          </cell>
          <cell r="M303" t="str">
            <v>STL-20260904</v>
          </cell>
        </row>
        <row r="304">
          <cell r="K304">
            <v>9612.0300000000007</v>
          </cell>
          <cell r="M304" t="str">
            <v>STL-20260904</v>
          </cell>
        </row>
        <row r="305">
          <cell r="K305">
            <v>3486.61</v>
          </cell>
          <cell r="M305" t="str">
            <v>STL-20260904</v>
          </cell>
        </row>
        <row r="306">
          <cell r="K306">
            <v>799</v>
          </cell>
          <cell r="M306" t="str">
            <v>STL-20260904</v>
          </cell>
        </row>
        <row r="307">
          <cell r="K307">
            <v>685.65</v>
          </cell>
          <cell r="M307" t="str">
            <v>STL-20260904</v>
          </cell>
        </row>
        <row r="308">
          <cell r="K308">
            <v>5000.7700000000004</v>
          </cell>
          <cell r="M308" t="str">
            <v>STL-20260904</v>
          </cell>
        </row>
        <row r="309">
          <cell r="K309">
            <v>499</v>
          </cell>
          <cell r="M309" t="str">
            <v>STL-20260904</v>
          </cell>
        </row>
        <row r="310">
          <cell r="K310">
            <v>999</v>
          </cell>
          <cell r="M310" t="str">
            <v>STL-20260904</v>
          </cell>
        </row>
        <row r="311">
          <cell r="K311">
            <v>7885.73</v>
          </cell>
          <cell r="M311" t="str">
            <v>STL-20260904</v>
          </cell>
        </row>
        <row r="312">
          <cell r="K312">
            <v>3428.81</v>
          </cell>
          <cell r="M312" t="str">
            <v>STL-20260904</v>
          </cell>
        </row>
        <row r="313">
          <cell r="K313">
            <v>782.03</v>
          </cell>
          <cell r="M313" t="str">
            <v>STL-20260904</v>
          </cell>
        </row>
        <row r="314">
          <cell r="K314">
            <v>3634.09</v>
          </cell>
          <cell r="M314" t="str">
            <v>STL-20260904</v>
          </cell>
        </row>
        <row r="315">
          <cell r="K315">
            <v>7970.68</v>
          </cell>
          <cell r="M315" t="str">
            <v>STL-20260904</v>
          </cell>
        </row>
        <row r="316">
          <cell r="K316">
            <v>7885.73</v>
          </cell>
          <cell r="M316" t="str">
            <v>STL-20260904</v>
          </cell>
        </row>
        <row r="317">
          <cell r="K317">
            <v>1493.69</v>
          </cell>
          <cell r="M317" t="str">
            <v>STL-20260904</v>
          </cell>
        </row>
        <row r="318">
          <cell r="K318">
            <v>2548.9499999999998</v>
          </cell>
          <cell r="M318" t="str">
            <v>STL-20260904</v>
          </cell>
        </row>
        <row r="319">
          <cell r="K319">
            <v>4898.72</v>
          </cell>
          <cell r="M319" t="str">
            <v>STL-20260904</v>
          </cell>
        </row>
        <row r="320">
          <cell r="K320">
            <v>15694.98</v>
          </cell>
          <cell r="M320" t="str">
            <v>STL-20260904</v>
          </cell>
        </row>
        <row r="321">
          <cell r="K321">
            <v>6972.23</v>
          </cell>
          <cell r="M321" t="str">
            <v>STL-20260904</v>
          </cell>
        </row>
        <row r="322">
          <cell r="K322">
            <v>2289.87</v>
          </cell>
          <cell r="M322" t="str">
            <v>STL-20260904</v>
          </cell>
        </row>
        <row r="323">
          <cell r="K323">
            <v>6375.32</v>
          </cell>
          <cell r="M323" t="str">
            <v>STL-20260904</v>
          </cell>
        </row>
        <row r="324">
          <cell r="K324">
            <v>10386.51</v>
          </cell>
          <cell r="M324" t="str">
            <v>STL-20260904</v>
          </cell>
        </row>
        <row r="325">
          <cell r="K325">
            <v>2490.15</v>
          </cell>
          <cell r="M325" t="str">
            <v>STL-20260904</v>
          </cell>
        </row>
        <row r="326">
          <cell r="K326">
            <v>1466.19</v>
          </cell>
          <cell r="M326" t="str">
            <v>STL-20260904</v>
          </cell>
        </row>
        <row r="327">
          <cell r="K327">
            <v>499</v>
          </cell>
          <cell r="M327" t="str">
            <v>STL-20260904</v>
          </cell>
        </row>
        <row r="328">
          <cell r="K328">
            <v>1299</v>
          </cell>
          <cell r="M328" t="str">
            <v>STL-20260904</v>
          </cell>
        </row>
        <row r="329">
          <cell r="K329">
            <v>1465.39</v>
          </cell>
          <cell r="M329" t="str">
            <v>STL-20260904</v>
          </cell>
        </row>
        <row r="330">
          <cell r="K330">
            <v>-1799</v>
          </cell>
          <cell r="M330" t="str">
            <v>STL-20260904</v>
          </cell>
        </row>
        <row r="331">
          <cell r="K331">
            <v>-599</v>
          </cell>
          <cell r="M331" t="str">
            <v>STL-20260904</v>
          </cell>
        </row>
        <row r="332">
          <cell r="K332">
            <v>341.59</v>
          </cell>
          <cell r="M332" t="str">
            <v>STL-20260905</v>
          </cell>
        </row>
        <row r="333">
          <cell r="K333">
            <v>2152.9299999999998</v>
          </cell>
          <cell r="M333" t="str">
            <v>STL-20260905</v>
          </cell>
        </row>
        <row r="334">
          <cell r="K334">
            <v>599</v>
          </cell>
          <cell r="M334" t="str">
            <v>STL-20260905</v>
          </cell>
        </row>
        <row r="335">
          <cell r="K335">
            <v>349</v>
          </cell>
          <cell r="M335" t="str">
            <v>STL-20260905</v>
          </cell>
        </row>
        <row r="336">
          <cell r="K336">
            <v>6276.23</v>
          </cell>
          <cell r="M336" t="str">
            <v>STL-20260905</v>
          </cell>
        </row>
        <row r="337">
          <cell r="K337">
            <v>2741.87</v>
          </cell>
          <cell r="M337" t="str">
            <v>STL-20260905</v>
          </cell>
        </row>
        <row r="338">
          <cell r="K338">
            <v>4981.3</v>
          </cell>
          <cell r="M338" t="str">
            <v>STL-20260905</v>
          </cell>
        </row>
        <row r="339">
          <cell r="K339">
            <v>341.59</v>
          </cell>
          <cell r="M339" t="str">
            <v>STL-20260905</v>
          </cell>
        </row>
        <row r="340">
          <cell r="K340">
            <v>2389.52</v>
          </cell>
          <cell r="M340" t="str">
            <v>STL-20260905</v>
          </cell>
        </row>
        <row r="341">
          <cell r="K341">
            <v>3336.15</v>
          </cell>
          <cell r="M341" t="str">
            <v>STL-20260905</v>
          </cell>
        </row>
        <row r="342">
          <cell r="K342">
            <v>2988.38</v>
          </cell>
          <cell r="M342" t="str">
            <v>STL-20260905</v>
          </cell>
        </row>
        <row r="343">
          <cell r="K343">
            <v>2788.1</v>
          </cell>
          <cell r="M343" t="str">
            <v>STL-20260905</v>
          </cell>
        </row>
        <row r="344">
          <cell r="K344">
            <v>2741.87</v>
          </cell>
          <cell r="M344" t="str">
            <v>STL-20260905</v>
          </cell>
        </row>
        <row r="345">
          <cell r="K345">
            <v>2842.31</v>
          </cell>
          <cell r="M345" t="str">
            <v>STL-20260905</v>
          </cell>
        </row>
        <row r="346">
          <cell r="K346">
            <v>2741.87</v>
          </cell>
          <cell r="M346" t="str">
            <v>STL-20260905</v>
          </cell>
        </row>
        <row r="347">
          <cell r="K347">
            <v>3584.27</v>
          </cell>
          <cell r="M347" t="str">
            <v>STL-20260905</v>
          </cell>
        </row>
        <row r="348">
          <cell r="K348">
            <v>4981.3</v>
          </cell>
          <cell r="M348" t="str">
            <v>STL-20260905</v>
          </cell>
        </row>
        <row r="349">
          <cell r="K349">
            <v>2489.16</v>
          </cell>
          <cell r="M349" t="str">
            <v>STL-20260905</v>
          </cell>
        </row>
        <row r="350">
          <cell r="K350">
            <v>7838.54</v>
          </cell>
          <cell r="M350" t="str">
            <v>STL-20260905</v>
          </cell>
        </row>
        <row r="351">
          <cell r="K351">
            <v>798</v>
          </cell>
          <cell r="M351" t="str">
            <v>STL-20260905</v>
          </cell>
        </row>
        <row r="352">
          <cell r="K352">
            <v>1962.64</v>
          </cell>
          <cell r="M352" t="str">
            <v>STL-20260905</v>
          </cell>
        </row>
        <row r="353">
          <cell r="K353">
            <v>2593.9</v>
          </cell>
          <cell r="M353" t="str">
            <v>STL-20260905</v>
          </cell>
        </row>
        <row r="354">
          <cell r="K354">
            <v>976.6</v>
          </cell>
          <cell r="M354" t="str">
            <v>STL-20260905</v>
          </cell>
        </row>
        <row r="355">
          <cell r="K355">
            <v>3486.61</v>
          </cell>
          <cell r="M355" t="str">
            <v>STL-20260905</v>
          </cell>
        </row>
        <row r="356">
          <cell r="K356">
            <v>6865.88</v>
          </cell>
          <cell r="M356" t="str">
            <v>STL-20260905</v>
          </cell>
        </row>
        <row r="357">
          <cell r="K357">
            <v>2955.54</v>
          </cell>
          <cell r="M357" t="str">
            <v>STL-20260905</v>
          </cell>
        </row>
        <row r="358">
          <cell r="K358">
            <v>1324.14</v>
          </cell>
          <cell r="M358" t="str">
            <v>STL-20260905</v>
          </cell>
        </row>
        <row r="359">
          <cell r="K359">
            <v>3721.81</v>
          </cell>
          <cell r="M359" t="str">
            <v>STL-20260905</v>
          </cell>
        </row>
        <row r="360">
          <cell r="K360">
            <v>3432.94</v>
          </cell>
          <cell r="M360" t="str">
            <v>STL-20260905</v>
          </cell>
        </row>
        <row r="361">
          <cell r="K361">
            <v>6275.71</v>
          </cell>
          <cell r="M361" t="str">
            <v>STL-20260905</v>
          </cell>
        </row>
        <row r="362">
          <cell r="K362">
            <v>781.09</v>
          </cell>
          <cell r="M362" t="str">
            <v>STL-20260905</v>
          </cell>
        </row>
        <row r="363">
          <cell r="K363">
            <v>3486.61</v>
          </cell>
          <cell r="M363" t="str">
            <v>STL-20260905</v>
          </cell>
        </row>
        <row r="364">
          <cell r="K364">
            <v>499</v>
          </cell>
          <cell r="M364" t="str">
            <v>STL-20260905</v>
          </cell>
        </row>
        <row r="365">
          <cell r="K365">
            <v>3485.62</v>
          </cell>
          <cell r="M365" t="str">
            <v>STL-20260905</v>
          </cell>
        </row>
        <row r="366">
          <cell r="K366">
            <v>349</v>
          </cell>
          <cell r="M366" t="str">
            <v>STL-20260905</v>
          </cell>
        </row>
        <row r="367">
          <cell r="K367">
            <v>349</v>
          </cell>
          <cell r="M367" t="str">
            <v>STL-20260905</v>
          </cell>
        </row>
        <row r="368">
          <cell r="K368">
            <v>3922.52</v>
          </cell>
          <cell r="M368" t="str">
            <v>STL-20260905</v>
          </cell>
        </row>
        <row r="369">
          <cell r="K369">
            <v>292.3</v>
          </cell>
          <cell r="M369" t="str">
            <v>STL-20260905</v>
          </cell>
        </row>
        <row r="370">
          <cell r="K370">
            <v>1758.67</v>
          </cell>
          <cell r="M370" t="str">
            <v>STL-20260905</v>
          </cell>
        </row>
        <row r="371">
          <cell r="K371">
            <v>1271.4100000000001</v>
          </cell>
          <cell r="M371" t="str">
            <v>STL-20260905</v>
          </cell>
        </row>
        <row r="372">
          <cell r="K372">
            <v>499</v>
          </cell>
          <cell r="M372" t="str">
            <v>STL-20260905</v>
          </cell>
        </row>
        <row r="373">
          <cell r="K373">
            <v>2451.8200000000002</v>
          </cell>
          <cell r="M373" t="str">
            <v>STL-20260905</v>
          </cell>
        </row>
        <row r="374">
          <cell r="K374">
            <v>3486.61</v>
          </cell>
          <cell r="M374" t="str">
            <v>STL-20260905</v>
          </cell>
        </row>
        <row r="375">
          <cell r="K375">
            <v>4211.78</v>
          </cell>
          <cell r="M375" t="str">
            <v>STL-20260905</v>
          </cell>
        </row>
        <row r="376">
          <cell r="K376">
            <v>10386.51</v>
          </cell>
          <cell r="M376" t="str">
            <v>STL-20260905</v>
          </cell>
        </row>
        <row r="377">
          <cell r="K377">
            <v>1562.18</v>
          </cell>
          <cell r="M377" t="str">
            <v>STL-20260905</v>
          </cell>
        </row>
        <row r="378">
          <cell r="K378">
            <v>2942.38</v>
          </cell>
          <cell r="M378" t="str">
            <v>STL-20260905</v>
          </cell>
        </row>
        <row r="379">
          <cell r="K379">
            <v>1447</v>
          </cell>
          <cell r="M379" t="str">
            <v>STL-20260905</v>
          </cell>
        </row>
        <row r="380">
          <cell r="K380">
            <v>497.23</v>
          </cell>
          <cell r="M380" t="str">
            <v>STL-20260905</v>
          </cell>
        </row>
        <row r="381">
          <cell r="K381">
            <v>342.82</v>
          </cell>
          <cell r="M381" t="str">
            <v>STL-20260905</v>
          </cell>
        </row>
        <row r="382">
          <cell r="K382">
            <v>2490.15</v>
          </cell>
          <cell r="M382" t="str">
            <v>STL-20260905</v>
          </cell>
        </row>
        <row r="383">
          <cell r="K383">
            <v>349</v>
          </cell>
          <cell r="M383" t="str">
            <v>STL-20260905</v>
          </cell>
        </row>
        <row r="384">
          <cell r="K384">
            <v>4780.0200000000004</v>
          </cell>
          <cell r="M384" t="str">
            <v>STL-20260905</v>
          </cell>
        </row>
        <row r="385">
          <cell r="K385">
            <v>977.78</v>
          </cell>
          <cell r="M385" t="str">
            <v>STL-20260905</v>
          </cell>
        </row>
        <row r="386">
          <cell r="K386">
            <v>299</v>
          </cell>
          <cell r="M386" t="str">
            <v>STL-20260905</v>
          </cell>
        </row>
        <row r="387">
          <cell r="K387">
            <v>1074.68</v>
          </cell>
          <cell r="M387" t="str">
            <v>STL-20260905</v>
          </cell>
        </row>
        <row r="388">
          <cell r="K388">
            <v>499</v>
          </cell>
          <cell r="M388" t="str">
            <v>STL-20260905</v>
          </cell>
        </row>
        <row r="389">
          <cell r="K389">
            <v>4281.79</v>
          </cell>
          <cell r="M389" t="str">
            <v>STL-20260905</v>
          </cell>
        </row>
        <row r="390">
          <cell r="K390">
            <v>5976.77</v>
          </cell>
          <cell r="M390" t="str">
            <v>STL-20260905</v>
          </cell>
        </row>
        <row r="391">
          <cell r="K391">
            <v>1760.79</v>
          </cell>
          <cell r="M391" t="str">
            <v>STL-20260905</v>
          </cell>
        </row>
        <row r="392">
          <cell r="K392">
            <v>2547.9699999999998</v>
          </cell>
          <cell r="M392" t="str">
            <v>STL-20260905</v>
          </cell>
        </row>
        <row r="393">
          <cell r="K393">
            <v>299</v>
          </cell>
          <cell r="M393" t="str">
            <v>STL-20260905</v>
          </cell>
        </row>
        <row r="394">
          <cell r="K394">
            <v>6972.23</v>
          </cell>
          <cell r="M394" t="str">
            <v>STL-20260905</v>
          </cell>
        </row>
        <row r="395">
          <cell r="K395">
            <v>292.64999999999998</v>
          </cell>
          <cell r="M395" t="str">
            <v>STL-20260905</v>
          </cell>
        </row>
        <row r="396">
          <cell r="K396">
            <v>15941.37</v>
          </cell>
          <cell r="M396" t="str">
            <v>STL-20260905</v>
          </cell>
        </row>
        <row r="397">
          <cell r="K397">
            <v>5578.19</v>
          </cell>
          <cell r="M397" t="str">
            <v>STL-20260905</v>
          </cell>
        </row>
        <row r="398">
          <cell r="K398">
            <v>5247.03</v>
          </cell>
          <cell r="M398" t="str">
            <v>STL-20260905</v>
          </cell>
        </row>
        <row r="399">
          <cell r="K399">
            <v>698</v>
          </cell>
          <cell r="M399" t="str">
            <v>STL-20260905</v>
          </cell>
        </row>
        <row r="400">
          <cell r="K400">
            <v>1269.8800000000001</v>
          </cell>
          <cell r="M400" t="str">
            <v>STL-20260905</v>
          </cell>
        </row>
        <row r="401">
          <cell r="K401">
            <v>2054.9299999999998</v>
          </cell>
          <cell r="M401" t="str">
            <v>STL-20260905</v>
          </cell>
        </row>
        <row r="402">
          <cell r="K402">
            <v>599</v>
          </cell>
          <cell r="M402" t="str">
            <v>STL-20260905</v>
          </cell>
        </row>
        <row r="403">
          <cell r="K403">
            <v>977.78</v>
          </cell>
          <cell r="M403" t="str">
            <v>STL-20260905</v>
          </cell>
        </row>
        <row r="404">
          <cell r="K404">
            <v>1465.39</v>
          </cell>
          <cell r="M404" t="str">
            <v>STL-20260905</v>
          </cell>
        </row>
        <row r="405">
          <cell r="K405">
            <v>499</v>
          </cell>
          <cell r="M405" t="str">
            <v>STL-20260905</v>
          </cell>
        </row>
        <row r="406">
          <cell r="K406">
            <v>599</v>
          </cell>
          <cell r="M406" t="str">
            <v>STL-20260905</v>
          </cell>
        </row>
        <row r="407">
          <cell r="K407">
            <v>1299</v>
          </cell>
          <cell r="M407" t="str">
            <v>STL-20260905</v>
          </cell>
        </row>
        <row r="408">
          <cell r="K408">
            <v>4282.79</v>
          </cell>
          <cell r="M408" t="str">
            <v>STL-20260905</v>
          </cell>
        </row>
        <row r="409">
          <cell r="K409">
            <v>586.28</v>
          </cell>
          <cell r="M409" t="str">
            <v>STL-20260905</v>
          </cell>
        </row>
        <row r="410">
          <cell r="K410">
            <v>1759.82</v>
          </cell>
          <cell r="M410" t="str">
            <v>STL-20260905</v>
          </cell>
        </row>
        <row r="411">
          <cell r="K411">
            <v>976.6</v>
          </cell>
          <cell r="M411" t="str">
            <v>STL-20260905</v>
          </cell>
        </row>
        <row r="412">
          <cell r="K412">
            <v>7970.68</v>
          </cell>
          <cell r="M412" t="str">
            <v>STL-20260905</v>
          </cell>
        </row>
        <row r="413">
          <cell r="K413">
            <v>1319.37</v>
          </cell>
          <cell r="M413" t="str">
            <v>STL-20260905</v>
          </cell>
        </row>
        <row r="414">
          <cell r="K414">
            <v>599</v>
          </cell>
          <cell r="M414" t="str">
            <v>STL-20260905</v>
          </cell>
        </row>
        <row r="415">
          <cell r="K415">
            <v>599</v>
          </cell>
          <cell r="M415" t="str">
            <v>STL-20260905</v>
          </cell>
        </row>
        <row r="416">
          <cell r="K416">
            <v>799</v>
          </cell>
          <cell r="M416" t="str">
            <v>STL-20260905</v>
          </cell>
        </row>
        <row r="417">
          <cell r="K417">
            <v>7470.46</v>
          </cell>
          <cell r="M417" t="str">
            <v>STL-20260905</v>
          </cell>
        </row>
        <row r="418">
          <cell r="K418">
            <v>490.16</v>
          </cell>
          <cell r="M418" t="str">
            <v>STL-20260905</v>
          </cell>
        </row>
        <row r="419">
          <cell r="K419">
            <v>6963.01</v>
          </cell>
          <cell r="M419" t="str">
            <v>STL-20260905</v>
          </cell>
        </row>
        <row r="420">
          <cell r="K420">
            <v>6661.63</v>
          </cell>
          <cell r="M420" t="str">
            <v>STL-20260905</v>
          </cell>
        </row>
        <row r="421">
          <cell r="K421">
            <v>1299</v>
          </cell>
          <cell r="M421" t="str">
            <v>STL-20260905</v>
          </cell>
        </row>
        <row r="422">
          <cell r="K422">
            <v>7970.68</v>
          </cell>
          <cell r="M422" t="str">
            <v>STL-20260905</v>
          </cell>
        </row>
        <row r="423">
          <cell r="K423">
            <v>3185.68</v>
          </cell>
          <cell r="M423" t="str">
            <v>STL-20260905</v>
          </cell>
        </row>
        <row r="424">
          <cell r="K424">
            <v>5776.48</v>
          </cell>
          <cell r="M424" t="str">
            <v>STL-20260905</v>
          </cell>
        </row>
        <row r="425">
          <cell r="K425">
            <v>586.28</v>
          </cell>
          <cell r="M425" t="str">
            <v>STL-20260905</v>
          </cell>
        </row>
        <row r="426">
          <cell r="K426">
            <v>5976.77</v>
          </cell>
          <cell r="M426" t="str">
            <v>STL-20260905</v>
          </cell>
        </row>
        <row r="427">
          <cell r="K427">
            <v>349</v>
          </cell>
          <cell r="M427" t="str">
            <v>STL-20260905</v>
          </cell>
        </row>
        <row r="428">
          <cell r="K428">
            <v>3449.45</v>
          </cell>
          <cell r="M428" t="str">
            <v>STL-20260905</v>
          </cell>
        </row>
        <row r="429">
          <cell r="K429">
            <v>488.4</v>
          </cell>
          <cell r="M429" t="str">
            <v>STL-20260905</v>
          </cell>
        </row>
        <row r="430">
          <cell r="K430">
            <v>2988.38</v>
          </cell>
          <cell r="M430" t="str">
            <v>STL-20260905</v>
          </cell>
        </row>
        <row r="431">
          <cell r="K431">
            <v>2451.8200000000002</v>
          </cell>
          <cell r="M431" t="str">
            <v>STL-20260905</v>
          </cell>
        </row>
        <row r="432">
          <cell r="K432">
            <v>5394.2</v>
          </cell>
          <cell r="M432" t="str">
            <v>STL-20260905</v>
          </cell>
        </row>
        <row r="433">
          <cell r="K433">
            <v>4979.3100000000004</v>
          </cell>
          <cell r="M433" t="str">
            <v>STL-20260905</v>
          </cell>
        </row>
        <row r="434">
          <cell r="K434">
            <v>2490.15</v>
          </cell>
          <cell r="M434" t="str">
            <v>STL-20260905</v>
          </cell>
        </row>
        <row r="435">
          <cell r="K435">
            <v>7847</v>
          </cell>
          <cell r="M435" t="str">
            <v>STL-20260905</v>
          </cell>
        </row>
        <row r="436">
          <cell r="K436">
            <v>8669.5300000000007</v>
          </cell>
          <cell r="M436" t="str">
            <v>STL-20260905</v>
          </cell>
        </row>
        <row r="437">
          <cell r="K437">
            <v>341.59</v>
          </cell>
          <cell r="M437" t="str">
            <v>STL-20260905</v>
          </cell>
        </row>
        <row r="438">
          <cell r="K438">
            <v>16166.07</v>
          </cell>
          <cell r="M438" t="str">
            <v>STL-20260905</v>
          </cell>
        </row>
        <row r="439">
          <cell r="K439">
            <v>3634.09</v>
          </cell>
          <cell r="M439" t="str">
            <v>STL-20260905</v>
          </cell>
        </row>
        <row r="440">
          <cell r="K440">
            <v>596.88</v>
          </cell>
          <cell r="M440" t="str">
            <v>STL-20260905</v>
          </cell>
        </row>
        <row r="441">
          <cell r="K441">
            <v>2451.8200000000002</v>
          </cell>
          <cell r="M441" t="str">
            <v>STL-20260905</v>
          </cell>
        </row>
        <row r="442">
          <cell r="K442">
            <v>7970.68</v>
          </cell>
          <cell r="M442" t="str">
            <v>STL-20260905</v>
          </cell>
        </row>
        <row r="443">
          <cell r="K443">
            <v>293.7</v>
          </cell>
          <cell r="M443" t="str">
            <v>STL-20260905</v>
          </cell>
        </row>
        <row r="444">
          <cell r="K444">
            <v>292.3</v>
          </cell>
          <cell r="M444" t="str">
            <v>STL-20260905</v>
          </cell>
        </row>
        <row r="445">
          <cell r="K445">
            <v>4980.3100000000004</v>
          </cell>
          <cell r="M445" t="str">
            <v>STL-20260905</v>
          </cell>
        </row>
        <row r="446">
          <cell r="K446">
            <v>1098</v>
          </cell>
          <cell r="M446" t="str">
            <v>STL-20260905</v>
          </cell>
        </row>
        <row r="447">
          <cell r="K447">
            <v>12452.76</v>
          </cell>
          <cell r="M447" t="str">
            <v>STL-20260905</v>
          </cell>
        </row>
        <row r="448">
          <cell r="K448">
            <v>297.94</v>
          </cell>
          <cell r="M448" t="str">
            <v>STL-20260905</v>
          </cell>
        </row>
        <row r="449">
          <cell r="K449">
            <v>1098</v>
          </cell>
          <cell r="M449" t="str">
            <v>STL-20260905</v>
          </cell>
        </row>
        <row r="450">
          <cell r="K450">
            <v>5024.83</v>
          </cell>
          <cell r="M450" t="str">
            <v>STL-20260905</v>
          </cell>
        </row>
        <row r="451">
          <cell r="K451">
            <v>3486.61</v>
          </cell>
          <cell r="M451" t="str">
            <v>STL-20260905</v>
          </cell>
        </row>
        <row r="452">
          <cell r="K452">
            <v>3235.73</v>
          </cell>
          <cell r="M452" t="str">
            <v>STL-20260905</v>
          </cell>
        </row>
        <row r="453">
          <cell r="K453">
            <v>3432.94</v>
          </cell>
          <cell r="M453" t="str">
            <v>STL-20260905</v>
          </cell>
        </row>
        <row r="454">
          <cell r="K454">
            <v>829.99</v>
          </cell>
          <cell r="M454" t="str">
            <v>STL-20260905</v>
          </cell>
        </row>
        <row r="455">
          <cell r="K455">
            <v>5279.25</v>
          </cell>
          <cell r="M455" t="str">
            <v>STL-20260905</v>
          </cell>
        </row>
        <row r="456">
          <cell r="K456">
            <v>3039.51</v>
          </cell>
          <cell r="M456" t="str">
            <v>STL-20260905</v>
          </cell>
        </row>
        <row r="457">
          <cell r="K457">
            <v>11083.71</v>
          </cell>
          <cell r="M457" t="str">
            <v>STL-20260905</v>
          </cell>
        </row>
        <row r="458">
          <cell r="K458">
            <v>1798</v>
          </cell>
          <cell r="M458" t="str">
            <v>STL-20260905</v>
          </cell>
        </row>
        <row r="459">
          <cell r="K459">
            <v>7769.4</v>
          </cell>
          <cell r="M459" t="str">
            <v>STL-20260905</v>
          </cell>
        </row>
        <row r="460">
          <cell r="K460">
            <v>8766.86</v>
          </cell>
          <cell r="M460" t="str">
            <v>STL-20260905</v>
          </cell>
        </row>
        <row r="461">
          <cell r="K461">
            <v>977.78</v>
          </cell>
          <cell r="M461" t="str">
            <v>STL-20260905</v>
          </cell>
        </row>
        <row r="462">
          <cell r="K462">
            <v>7970.68</v>
          </cell>
          <cell r="M462" t="str">
            <v>STL-20260905</v>
          </cell>
        </row>
        <row r="463">
          <cell r="K463">
            <v>1808.75</v>
          </cell>
          <cell r="M463" t="str">
            <v>STL-20260905</v>
          </cell>
        </row>
        <row r="464">
          <cell r="K464">
            <v>1799</v>
          </cell>
          <cell r="M464" t="str">
            <v>STL-20260905</v>
          </cell>
        </row>
        <row r="465">
          <cell r="K465">
            <v>7970.68</v>
          </cell>
          <cell r="M465" t="str">
            <v>STL-20260905</v>
          </cell>
        </row>
        <row r="466">
          <cell r="K466">
            <v>1499</v>
          </cell>
          <cell r="M466" t="str">
            <v>STL-20260905</v>
          </cell>
        </row>
        <row r="467">
          <cell r="K467">
            <v>999</v>
          </cell>
          <cell r="M467" t="str">
            <v>STL-20260905</v>
          </cell>
        </row>
        <row r="468">
          <cell r="K468">
            <v>292.64999999999998</v>
          </cell>
          <cell r="M468" t="str">
            <v>STL-20260905</v>
          </cell>
        </row>
        <row r="469">
          <cell r="K469">
            <v>7847.98</v>
          </cell>
          <cell r="M469" t="str">
            <v>STL-20260905</v>
          </cell>
        </row>
        <row r="470">
          <cell r="K470">
            <v>8828.1200000000008</v>
          </cell>
          <cell r="M470" t="str">
            <v>STL-20260905</v>
          </cell>
        </row>
        <row r="471">
          <cell r="K471">
            <v>4580.7299999999996</v>
          </cell>
          <cell r="M471" t="str">
            <v>STL-20260905</v>
          </cell>
        </row>
        <row r="472">
          <cell r="K472">
            <v>3547.05</v>
          </cell>
          <cell r="M472" t="str">
            <v>STL-20260905</v>
          </cell>
        </row>
        <row r="473">
          <cell r="K473">
            <v>2490.15</v>
          </cell>
          <cell r="M473" t="str">
            <v>STL-20260905</v>
          </cell>
        </row>
        <row r="474">
          <cell r="K474">
            <v>4981.3</v>
          </cell>
          <cell r="M474" t="str">
            <v>STL-20260905</v>
          </cell>
        </row>
        <row r="475">
          <cell r="K475">
            <v>977.78</v>
          </cell>
          <cell r="M475" t="str">
            <v>STL-20260905</v>
          </cell>
        </row>
        <row r="476">
          <cell r="K476">
            <v>2745.17</v>
          </cell>
          <cell r="M476" t="str">
            <v>STL-20260905</v>
          </cell>
        </row>
        <row r="477">
          <cell r="K477">
            <v>3486.61</v>
          </cell>
          <cell r="M477" t="str">
            <v>STL-20260905</v>
          </cell>
        </row>
        <row r="478">
          <cell r="K478">
            <v>1498</v>
          </cell>
          <cell r="M478" t="str">
            <v>STL-20260905</v>
          </cell>
        </row>
        <row r="479">
          <cell r="K479">
            <v>4063.81</v>
          </cell>
          <cell r="M479" t="str">
            <v>STL-20260905</v>
          </cell>
        </row>
        <row r="480">
          <cell r="K480">
            <v>1955.57</v>
          </cell>
          <cell r="M480" t="str">
            <v>STL-20260905</v>
          </cell>
        </row>
        <row r="481">
          <cell r="K481">
            <v>6822.76</v>
          </cell>
          <cell r="M481" t="str">
            <v>STL-20260905</v>
          </cell>
        </row>
        <row r="482">
          <cell r="K482">
            <v>1276</v>
          </cell>
          <cell r="M482" t="str">
            <v>STL-20260905</v>
          </cell>
        </row>
        <row r="483">
          <cell r="K483">
            <v>586.28</v>
          </cell>
          <cell r="M483" t="str">
            <v>STL-20260905</v>
          </cell>
        </row>
        <row r="484">
          <cell r="K484">
            <v>2490.15</v>
          </cell>
          <cell r="M484" t="str">
            <v>STL-20260905</v>
          </cell>
        </row>
        <row r="485">
          <cell r="K485">
            <v>2987.39</v>
          </cell>
          <cell r="M485" t="str">
            <v>STL-20260905</v>
          </cell>
        </row>
        <row r="486">
          <cell r="K486">
            <v>8180.53</v>
          </cell>
          <cell r="M486" t="str">
            <v>STL-20260905</v>
          </cell>
        </row>
        <row r="487">
          <cell r="K487">
            <v>299</v>
          </cell>
          <cell r="M487" t="str">
            <v>STL-20260905</v>
          </cell>
        </row>
        <row r="488">
          <cell r="K488">
            <v>2588.81</v>
          </cell>
          <cell r="M488" t="str">
            <v>STL-20260905</v>
          </cell>
        </row>
        <row r="489">
          <cell r="K489">
            <v>799</v>
          </cell>
          <cell r="M489" t="str">
            <v>STL-20260905</v>
          </cell>
        </row>
        <row r="490">
          <cell r="K490">
            <v>349</v>
          </cell>
          <cell r="M490" t="str">
            <v>STL-20260905</v>
          </cell>
        </row>
        <row r="491">
          <cell r="K491">
            <v>349</v>
          </cell>
          <cell r="M491" t="str">
            <v>STL-20260905</v>
          </cell>
        </row>
        <row r="492">
          <cell r="K492">
            <v>3251.3</v>
          </cell>
          <cell r="M492" t="str">
            <v>STL-20260905</v>
          </cell>
        </row>
        <row r="493">
          <cell r="K493">
            <v>1299</v>
          </cell>
          <cell r="M493" t="str">
            <v>STL-20260905</v>
          </cell>
        </row>
        <row r="494">
          <cell r="K494">
            <v>2451.8200000000002</v>
          </cell>
          <cell r="M494" t="str">
            <v>STL-20260905</v>
          </cell>
        </row>
        <row r="495">
          <cell r="K495">
            <v>5197.97</v>
          </cell>
          <cell r="M495" t="str">
            <v>STL-20260905</v>
          </cell>
        </row>
        <row r="496">
          <cell r="K496">
            <v>1610.08</v>
          </cell>
          <cell r="M496" t="str">
            <v>STL-20260905</v>
          </cell>
        </row>
        <row r="497">
          <cell r="K497">
            <v>781.09</v>
          </cell>
          <cell r="M497" t="str">
            <v>STL-20260905</v>
          </cell>
        </row>
        <row r="498">
          <cell r="K498">
            <v>8914.51</v>
          </cell>
          <cell r="M498" t="str">
            <v>STL-20260905</v>
          </cell>
        </row>
        <row r="499">
          <cell r="K499">
            <v>3982.85</v>
          </cell>
          <cell r="M499" t="str">
            <v>STL-20260905</v>
          </cell>
        </row>
        <row r="500">
          <cell r="K500">
            <v>1856.7</v>
          </cell>
          <cell r="M500" t="str">
            <v>STL-20260905</v>
          </cell>
        </row>
        <row r="501">
          <cell r="K501">
            <v>2090.58</v>
          </cell>
          <cell r="M501" t="str">
            <v>STL-20260905</v>
          </cell>
        </row>
        <row r="502">
          <cell r="K502">
            <v>2956.53</v>
          </cell>
          <cell r="M502" t="str">
            <v>STL-20260905</v>
          </cell>
        </row>
        <row r="503">
          <cell r="K503">
            <v>782.03</v>
          </cell>
          <cell r="M503" t="str">
            <v>STL-20260905</v>
          </cell>
        </row>
        <row r="504">
          <cell r="K504">
            <v>4237.1400000000003</v>
          </cell>
          <cell r="M504" t="str">
            <v>STL-20260905</v>
          </cell>
        </row>
        <row r="505">
          <cell r="K505">
            <v>799</v>
          </cell>
          <cell r="M505" t="str">
            <v>STL-20260905</v>
          </cell>
        </row>
        <row r="506">
          <cell r="K506">
            <v>2451.8200000000002</v>
          </cell>
          <cell r="M506" t="str">
            <v>STL-20260905</v>
          </cell>
        </row>
        <row r="507">
          <cell r="K507">
            <v>4706.43</v>
          </cell>
          <cell r="M507" t="str">
            <v>STL-20260905</v>
          </cell>
        </row>
        <row r="508">
          <cell r="K508">
            <v>1269.8800000000001</v>
          </cell>
          <cell r="M508" t="str">
            <v>STL-20260905</v>
          </cell>
        </row>
        <row r="509">
          <cell r="K509">
            <v>4510.21</v>
          </cell>
          <cell r="M509" t="str">
            <v>STL-20260905</v>
          </cell>
        </row>
        <row r="510">
          <cell r="K510">
            <v>977.78</v>
          </cell>
          <cell r="M510" t="str">
            <v>STL-20260905</v>
          </cell>
        </row>
        <row r="511">
          <cell r="K511">
            <v>2448.87</v>
          </cell>
          <cell r="M511" t="str">
            <v>STL-20260905</v>
          </cell>
        </row>
        <row r="512">
          <cell r="K512">
            <v>585.57000000000005</v>
          </cell>
          <cell r="M512" t="str">
            <v>STL-20260905</v>
          </cell>
        </row>
        <row r="513">
          <cell r="K513">
            <v>4981.3</v>
          </cell>
          <cell r="M513" t="str">
            <v>STL-20260905</v>
          </cell>
        </row>
        <row r="514">
          <cell r="K514">
            <v>3087.04</v>
          </cell>
          <cell r="M514" t="str">
            <v>STL-20260905</v>
          </cell>
        </row>
        <row r="515">
          <cell r="K515">
            <v>4282.79</v>
          </cell>
          <cell r="M515" t="str">
            <v>STL-20260905</v>
          </cell>
        </row>
        <row r="516">
          <cell r="K516">
            <v>1953.21</v>
          </cell>
          <cell r="M516" t="str">
            <v>STL-20260905</v>
          </cell>
        </row>
        <row r="517">
          <cell r="K517">
            <v>2744.19</v>
          </cell>
          <cell r="M517" t="str">
            <v>STL-20260905</v>
          </cell>
        </row>
        <row r="518">
          <cell r="K518">
            <v>2448.87</v>
          </cell>
          <cell r="M518" t="str">
            <v>STL-20260905</v>
          </cell>
        </row>
        <row r="519">
          <cell r="K519">
            <v>2788.1</v>
          </cell>
          <cell r="M519" t="str">
            <v>STL-20260905</v>
          </cell>
        </row>
        <row r="520">
          <cell r="K520">
            <v>-9297</v>
          </cell>
          <cell r="M520" t="str">
            <v>STL-20260905</v>
          </cell>
        </row>
        <row r="521">
          <cell r="K521">
            <v>-2499</v>
          </cell>
          <cell r="M521" t="str">
            <v>STL-20260905</v>
          </cell>
        </row>
        <row r="522">
          <cell r="K522">
            <v>3039.51</v>
          </cell>
          <cell r="M522" t="str">
            <v>STL-20260906</v>
          </cell>
        </row>
        <row r="523">
          <cell r="K523">
            <v>3486.61</v>
          </cell>
          <cell r="M523" t="str">
            <v>STL-20260906</v>
          </cell>
        </row>
        <row r="524">
          <cell r="K524">
            <v>1073.3900000000001</v>
          </cell>
          <cell r="M524" t="str">
            <v>STL-20260906</v>
          </cell>
        </row>
        <row r="525">
          <cell r="K525">
            <v>10260.549999999999</v>
          </cell>
          <cell r="M525" t="str">
            <v>STL-20260906</v>
          </cell>
        </row>
        <row r="526">
          <cell r="K526">
            <v>2490.15</v>
          </cell>
          <cell r="M526" t="str">
            <v>STL-20260906</v>
          </cell>
        </row>
        <row r="527">
          <cell r="K527">
            <v>5976.77</v>
          </cell>
          <cell r="M527" t="str">
            <v>STL-20260906</v>
          </cell>
        </row>
        <row r="528">
          <cell r="K528">
            <v>1271.4100000000001</v>
          </cell>
          <cell r="M528" t="str">
            <v>STL-20260906</v>
          </cell>
        </row>
        <row r="529">
          <cell r="K529">
            <v>3486.61</v>
          </cell>
          <cell r="M529" t="str">
            <v>STL-20260906</v>
          </cell>
        </row>
        <row r="530">
          <cell r="K530">
            <v>1499</v>
          </cell>
          <cell r="M530" t="str">
            <v>STL-20260906</v>
          </cell>
        </row>
        <row r="531">
          <cell r="K531">
            <v>3089.03</v>
          </cell>
          <cell r="M531" t="str">
            <v>STL-20260906</v>
          </cell>
        </row>
        <row r="532">
          <cell r="K532">
            <v>5884.76</v>
          </cell>
          <cell r="M532" t="str">
            <v>STL-20260906</v>
          </cell>
        </row>
        <row r="533">
          <cell r="K533">
            <v>4413.08</v>
          </cell>
          <cell r="M533" t="str">
            <v>STL-20260906</v>
          </cell>
        </row>
        <row r="534">
          <cell r="K534">
            <v>6464.66</v>
          </cell>
          <cell r="M534" t="str">
            <v>STL-20260906</v>
          </cell>
        </row>
        <row r="535">
          <cell r="K535">
            <v>2451.8200000000002</v>
          </cell>
          <cell r="M535" t="str">
            <v>STL-20260906</v>
          </cell>
        </row>
        <row r="536">
          <cell r="K536">
            <v>488.4</v>
          </cell>
          <cell r="M536" t="str">
            <v>STL-20260906</v>
          </cell>
        </row>
        <row r="537">
          <cell r="K537">
            <v>6075.42</v>
          </cell>
          <cell r="M537" t="str">
            <v>STL-20260906</v>
          </cell>
        </row>
        <row r="538">
          <cell r="K538">
            <v>342.82</v>
          </cell>
          <cell r="M538" t="str">
            <v>STL-20260906</v>
          </cell>
        </row>
        <row r="539">
          <cell r="K539">
            <v>1276</v>
          </cell>
          <cell r="M539" t="str">
            <v>STL-20260906</v>
          </cell>
        </row>
        <row r="540">
          <cell r="K540">
            <v>1598</v>
          </cell>
          <cell r="M540" t="str">
            <v>STL-20260906</v>
          </cell>
        </row>
        <row r="541">
          <cell r="K541">
            <v>2956.53</v>
          </cell>
          <cell r="M541" t="str">
            <v>STL-20260906</v>
          </cell>
        </row>
        <row r="542">
          <cell r="K542">
            <v>585.57000000000005</v>
          </cell>
          <cell r="M542" t="str">
            <v>STL-20260906</v>
          </cell>
        </row>
        <row r="543">
          <cell r="K543">
            <v>6872.59</v>
          </cell>
          <cell r="M543" t="str">
            <v>STL-20260906</v>
          </cell>
        </row>
        <row r="544">
          <cell r="K544">
            <v>2988.38</v>
          </cell>
          <cell r="M544" t="str">
            <v>STL-20260906</v>
          </cell>
        </row>
        <row r="545">
          <cell r="K545">
            <v>5578.19</v>
          </cell>
          <cell r="M545" t="str">
            <v>STL-20260906</v>
          </cell>
        </row>
        <row r="546">
          <cell r="K546">
            <v>2490.15</v>
          </cell>
          <cell r="M546" t="str">
            <v>STL-20260906</v>
          </cell>
        </row>
        <row r="547">
          <cell r="K547">
            <v>1499</v>
          </cell>
          <cell r="M547" t="str">
            <v>STL-20260906</v>
          </cell>
        </row>
        <row r="548">
          <cell r="K548">
            <v>5981.89</v>
          </cell>
          <cell r="M548" t="str">
            <v>STL-20260906</v>
          </cell>
        </row>
        <row r="549">
          <cell r="K549">
            <v>6864.9</v>
          </cell>
          <cell r="M549" t="str">
            <v>STL-20260906</v>
          </cell>
        </row>
        <row r="550">
          <cell r="K550">
            <v>586.28</v>
          </cell>
          <cell r="M550" t="str">
            <v>STL-20260906</v>
          </cell>
        </row>
        <row r="551">
          <cell r="K551">
            <v>3983.85</v>
          </cell>
          <cell r="M551" t="str">
            <v>STL-20260906</v>
          </cell>
        </row>
        <row r="552">
          <cell r="K552">
            <v>341.59</v>
          </cell>
          <cell r="M552" t="str">
            <v>STL-20260906</v>
          </cell>
        </row>
        <row r="553">
          <cell r="K553">
            <v>2587.81</v>
          </cell>
          <cell r="M553" t="str">
            <v>STL-20260906</v>
          </cell>
        </row>
        <row r="554">
          <cell r="K554">
            <v>977.78</v>
          </cell>
          <cell r="M554" t="str">
            <v>STL-20260906</v>
          </cell>
        </row>
        <row r="555">
          <cell r="K555">
            <v>349</v>
          </cell>
          <cell r="M555" t="str">
            <v>STL-20260906</v>
          </cell>
        </row>
        <row r="556">
          <cell r="K556">
            <v>1465.39</v>
          </cell>
          <cell r="M556" t="str">
            <v>STL-20260906</v>
          </cell>
        </row>
        <row r="557">
          <cell r="K557">
            <v>9264.09</v>
          </cell>
          <cell r="M557" t="str">
            <v>STL-20260906</v>
          </cell>
        </row>
        <row r="558">
          <cell r="K558">
            <v>2587.81</v>
          </cell>
          <cell r="M558" t="str">
            <v>STL-20260906</v>
          </cell>
        </row>
        <row r="559">
          <cell r="K559">
            <v>1569.72</v>
          </cell>
          <cell r="M559" t="str">
            <v>STL-20260906</v>
          </cell>
        </row>
        <row r="560">
          <cell r="K560">
            <v>292.64999999999998</v>
          </cell>
          <cell r="M560" t="str">
            <v>STL-20260906</v>
          </cell>
        </row>
        <row r="561">
          <cell r="K561">
            <v>299</v>
          </cell>
          <cell r="M561" t="str">
            <v>STL-20260906</v>
          </cell>
        </row>
        <row r="562">
          <cell r="K562">
            <v>341.59</v>
          </cell>
          <cell r="M562" t="str">
            <v>STL-20260906</v>
          </cell>
        </row>
        <row r="563">
          <cell r="K563">
            <v>977.78</v>
          </cell>
          <cell r="M563" t="str">
            <v>STL-20260906</v>
          </cell>
        </row>
        <row r="564">
          <cell r="K564">
            <v>1798</v>
          </cell>
          <cell r="M564" t="str">
            <v>STL-20260906</v>
          </cell>
        </row>
        <row r="565">
          <cell r="K565">
            <v>7271.17</v>
          </cell>
          <cell r="M565" t="str">
            <v>STL-20260906</v>
          </cell>
        </row>
        <row r="566">
          <cell r="K566">
            <v>490.16</v>
          </cell>
          <cell r="M566" t="str">
            <v>STL-20260906</v>
          </cell>
        </row>
        <row r="567">
          <cell r="K567">
            <v>488.4</v>
          </cell>
          <cell r="M567" t="str">
            <v>STL-20260906</v>
          </cell>
        </row>
        <row r="568">
          <cell r="K568">
            <v>599</v>
          </cell>
          <cell r="M568" t="str">
            <v>STL-20260906</v>
          </cell>
        </row>
        <row r="569">
          <cell r="K569">
            <v>7970.68</v>
          </cell>
          <cell r="M569" t="str">
            <v>STL-20260906</v>
          </cell>
        </row>
        <row r="570">
          <cell r="K570">
            <v>10460.84</v>
          </cell>
          <cell r="M570" t="str">
            <v>STL-20260906</v>
          </cell>
        </row>
        <row r="571">
          <cell r="K571">
            <v>487.81</v>
          </cell>
          <cell r="M571" t="str">
            <v>STL-20260906</v>
          </cell>
        </row>
        <row r="572">
          <cell r="K572">
            <v>5687.55</v>
          </cell>
          <cell r="M572" t="str">
            <v>STL-20260906</v>
          </cell>
        </row>
        <row r="573">
          <cell r="K573">
            <v>7159.23</v>
          </cell>
          <cell r="M573" t="str">
            <v>STL-20260906</v>
          </cell>
        </row>
        <row r="574">
          <cell r="K574">
            <v>9962.61</v>
          </cell>
          <cell r="M574" t="str">
            <v>STL-20260906</v>
          </cell>
        </row>
        <row r="575">
          <cell r="K575">
            <v>4981.3</v>
          </cell>
          <cell r="M575" t="str">
            <v>STL-20260906</v>
          </cell>
        </row>
        <row r="576">
          <cell r="K576">
            <v>586.28</v>
          </cell>
          <cell r="M576" t="str">
            <v>STL-20260906</v>
          </cell>
        </row>
        <row r="577">
          <cell r="K577">
            <v>299</v>
          </cell>
          <cell r="M577" t="str">
            <v>STL-20260906</v>
          </cell>
        </row>
        <row r="578">
          <cell r="K578">
            <v>6375.32</v>
          </cell>
          <cell r="M578" t="str">
            <v>STL-20260906</v>
          </cell>
        </row>
        <row r="579">
          <cell r="K579">
            <v>499</v>
          </cell>
          <cell r="M579" t="str">
            <v>STL-20260906</v>
          </cell>
        </row>
        <row r="580">
          <cell r="K580">
            <v>927.87</v>
          </cell>
          <cell r="M580" t="str">
            <v>STL-20260906</v>
          </cell>
        </row>
        <row r="581">
          <cell r="K581">
            <v>799</v>
          </cell>
          <cell r="M581" t="str">
            <v>STL-20260906</v>
          </cell>
        </row>
        <row r="582">
          <cell r="K582">
            <v>8631.89</v>
          </cell>
          <cell r="M582" t="str">
            <v>STL-20260906</v>
          </cell>
        </row>
        <row r="583">
          <cell r="K583">
            <v>2450.84</v>
          </cell>
          <cell r="M583" t="str">
            <v>STL-20260906</v>
          </cell>
        </row>
        <row r="584">
          <cell r="K584">
            <v>2988.38</v>
          </cell>
          <cell r="M584" t="str">
            <v>STL-20260906</v>
          </cell>
        </row>
        <row r="585">
          <cell r="K585">
            <v>3280.83</v>
          </cell>
          <cell r="M585" t="str">
            <v>STL-20260906</v>
          </cell>
        </row>
        <row r="586">
          <cell r="K586">
            <v>1098</v>
          </cell>
          <cell r="M586" t="str">
            <v>STL-20260906</v>
          </cell>
        </row>
        <row r="587">
          <cell r="K587">
            <v>5925.95</v>
          </cell>
          <cell r="M587" t="str">
            <v>STL-20260906</v>
          </cell>
        </row>
        <row r="588">
          <cell r="K588">
            <v>3381.92</v>
          </cell>
          <cell r="M588" t="str">
            <v>STL-20260906</v>
          </cell>
        </row>
        <row r="589">
          <cell r="K589">
            <v>2463.61</v>
          </cell>
          <cell r="M589" t="str">
            <v>STL-20260906</v>
          </cell>
        </row>
        <row r="590">
          <cell r="K590">
            <v>1947</v>
          </cell>
          <cell r="M590" t="str">
            <v>STL-20260906</v>
          </cell>
        </row>
        <row r="591">
          <cell r="K591">
            <v>3428.81</v>
          </cell>
          <cell r="M591" t="str">
            <v>STL-20260906</v>
          </cell>
        </row>
        <row r="592">
          <cell r="K592">
            <v>2489.16</v>
          </cell>
          <cell r="M592" t="str">
            <v>STL-20260906</v>
          </cell>
        </row>
        <row r="593">
          <cell r="K593">
            <v>341.18</v>
          </cell>
          <cell r="M593" t="str">
            <v>STL-20260906</v>
          </cell>
        </row>
        <row r="594">
          <cell r="K594">
            <v>488.4</v>
          </cell>
          <cell r="M594" t="str">
            <v>STL-20260906</v>
          </cell>
        </row>
        <row r="595">
          <cell r="K595">
            <v>6773.94</v>
          </cell>
          <cell r="M595" t="str">
            <v>STL-20260906</v>
          </cell>
        </row>
        <row r="596">
          <cell r="K596">
            <v>8828.1200000000008</v>
          </cell>
          <cell r="M596" t="str">
            <v>STL-20260906</v>
          </cell>
        </row>
        <row r="597">
          <cell r="K597">
            <v>3486.61</v>
          </cell>
          <cell r="M597" t="str">
            <v>STL-20260906</v>
          </cell>
        </row>
        <row r="598">
          <cell r="K598">
            <v>2938.84</v>
          </cell>
          <cell r="M598" t="str">
            <v>STL-20260906</v>
          </cell>
        </row>
        <row r="599">
          <cell r="K599">
            <v>1270.44</v>
          </cell>
          <cell r="M599" t="str">
            <v>STL-20260906</v>
          </cell>
        </row>
        <row r="600">
          <cell r="K600">
            <v>1324.14</v>
          </cell>
          <cell r="M600" t="str">
            <v>STL-20260906</v>
          </cell>
        </row>
        <row r="601">
          <cell r="K601">
            <v>5222.9799999999996</v>
          </cell>
          <cell r="M601" t="str">
            <v>STL-20260906</v>
          </cell>
        </row>
        <row r="602">
          <cell r="K602">
            <v>9121.4699999999993</v>
          </cell>
          <cell r="M602" t="str">
            <v>STL-20260906</v>
          </cell>
        </row>
        <row r="603">
          <cell r="K603">
            <v>1758.67</v>
          </cell>
          <cell r="M603" t="str">
            <v>STL-20260906</v>
          </cell>
        </row>
        <row r="604">
          <cell r="K604">
            <v>1397</v>
          </cell>
          <cell r="M604" t="str">
            <v>STL-20260906</v>
          </cell>
        </row>
        <row r="605">
          <cell r="K605">
            <v>4981.3</v>
          </cell>
          <cell r="M605" t="str">
            <v>STL-20260906</v>
          </cell>
        </row>
        <row r="606">
          <cell r="K606">
            <v>798</v>
          </cell>
          <cell r="M606" t="str">
            <v>STL-20260906</v>
          </cell>
        </row>
        <row r="607">
          <cell r="K607">
            <v>3432.94</v>
          </cell>
          <cell r="M607" t="str">
            <v>STL-20260906</v>
          </cell>
        </row>
        <row r="608">
          <cell r="K608">
            <v>782.03</v>
          </cell>
          <cell r="M608" t="str">
            <v>STL-20260906</v>
          </cell>
        </row>
        <row r="609">
          <cell r="K609">
            <v>2490.15</v>
          </cell>
          <cell r="M609" t="str">
            <v>STL-20260906</v>
          </cell>
        </row>
        <row r="610">
          <cell r="K610">
            <v>1792.63</v>
          </cell>
          <cell r="M610" t="str">
            <v>STL-20260906</v>
          </cell>
        </row>
        <row r="611">
          <cell r="K611">
            <v>299</v>
          </cell>
          <cell r="M611" t="str">
            <v>STL-20260906</v>
          </cell>
        </row>
        <row r="612">
          <cell r="K612">
            <v>585.57000000000005</v>
          </cell>
          <cell r="M612" t="str">
            <v>STL-20260906</v>
          </cell>
        </row>
        <row r="613">
          <cell r="K613">
            <v>1299</v>
          </cell>
          <cell r="M613" t="str">
            <v>STL-20260906</v>
          </cell>
        </row>
        <row r="614">
          <cell r="K614">
            <v>1467.16</v>
          </cell>
          <cell r="M614" t="str">
            <v>STL-20260906</v>
          </cell>
        </row>
        <row r="615">
          <cell r="K615">
            <v>487.81</v>
          </cell>
          <cell r="M615" t="str">
            <v>STL-20260906</v>
          </cell>
        </row>
        <row r="616">
          <cell r="K616">
            <v>648</v>
          </cell>
          <cell r="M616" t="str">
            <v>STL-20260906</v>
          </cell>
        </row>
        <row r="617">
          <cell r="K617">
            <v>1953.21</v>
          </cell>
          <cell r="M617" t="str">
            <v>STL-20260906</v>
          </cell>
        </row>
        <row r="618">
          <cell r="K618">
            <v>1798</v>
          </cell>
          <cell r="M618" t="str">
            <v>STL-20260906</v>
          </cell>
        </row>
        <row r="619">
          <cell r="K619">
            <v>2400.8000000000002</v>
          </cell>
          <cell r="M619" t="str">
            <v>STL-20260906</v>
          </cell>
        </row>
        <row r="620">
          <cell r="K620">
            <v>299</v>
          </cell>
          <cell r="M620" t="str">
            <v>STL-20260906</v>
          </cell>
        </row>
        <row r="621">
          <cell r="K621">
            <v>349</v>
          </cell>
          <cell r="M621" t="str">
            <v>STL-20260906</v>
          </cell>
        </row>
        <row r="622">
          <cell r="K622">
            <v>499</v>
          </cell>
          <cell r="M622" t="str">
            <v>STL-20260906</v>
          </cell>
        </row>
        <row r="623">
          <cell r="K623">
            <v>2107.44</v>
          </cell>
          <cell r="M623" t="str">
            <v>STL-20260906</v>
          </cell>
        </row>
        <row r="624">
          <cell r="K624">
            <v>999</v>
          </cell>
          <cell r="M624" t="str">
            <v>STL-20260906</v>
          </cell>
        </row>
        <row r="625">
          <cell r="K625">
            <v>10460.84</v>
          </cell>
          <cell r="M625" t="str">
            <v>STL-20260906</v>
          </cell>
        </row>
        <row r="626">
          <cell r="K626">
            <v>976.6</v>
          </cell>
          <cell r="M626" t="str">
            <v>STL-20260906</v>
          </cell>
        </row>
        <row r="627">
          <cell r="K627">
            <v>7471.46</v>
          </cell>
          <cell r="M627" t="str">
            <v>STL-20260906</v>
          </cell>
        </row>
        <row r="628">
          <cell r="K628">
            <v>8925.25</v>
          </cell>
          <cell r="M628" t="str">
            <v>STL-20260906</v>
          </cell>
        </row>
        <row r="629">
          <cell r="K629">
            <v>341.59</v>
          </cell>
          <cell r="M629" t="str">
            <v>STL-20260906</v>
          </cell>
        </row>
        <row r="630">
          <cell r="K630">
            <v>4981.3</v>
          </cell>
          <cell r="M630" t="str">
            <v>STL-20260906</v>
          </cell>
        </row>
        <row r="631">
          <cell r="K631">
            <v>6573.65</v>
          </cell>
          <cell r="M631" t="str">
            <v>STL-20260906</v>
          </cell>
        </row>
        <row r="632">
          <cell r="K632">
            <v>7970.68</v>
          </cell>
          <cell r="M632" t="str">
            <v>STL-20260906</v>
          </cell>
        </row>
        <row r="633">
          <cell r="K633">
            <v>4898.72</v>
          </cell>
          <cell r="M633" t="str">
            <v>STL-20260906</v>
          </cell>
        </row>
        <row r="634">
          <cell r="K634">
            <v>1757.69</v>
          </cell>
          <cell r="M634" t="str">
            <v>STL-20260906</v>
          </cell>
        </row>
        <row r="635">
          <cell r="K635">
            <v>1299</v>
          </cell>
          <cell r="M635" t="str">
            <v>STL-20260906</v>
          </cell>
        </row>
        <row r="636">
          <cell r="K636">
            <v>4211.78</v>
          </cell>
          <cell r="M636" t="str">
            <v>STL-20260906</v>
          </cell>
        </row>
        <row r="637">
          <cell r="K637">
            <v>3922.52</v>
          </cell>
          <cell r="M637" t="str">
            <v>STL-20260906</v>
          </cell>
        </row>
        <row r="638">
          <cell r="K638">
            <v>799</v>
          </cell>
          <cell r="M638" t="str">
            <v>STL-20260906</v>
          </cell>
        </row>
        <row r="639">
          <cell r="K639">
            <v>4237.1400000000003</v>
          </cell>
          <cell r="M639" t="str">
            <v>STL-20260906</v>
          </cell>
        </row>
        <row r="640">
          <cell r="K640">
            <v>8974.31</v>
          </cell>
          <cell r="M640" t="str">
            <v>STL-20260906</v>
          </cell>
        </row>
        <row r="641">
          <cell r="K641">
            <v>799</v>
          </cell>
          <cell r="M641" t="str">
            <v>STL-20260906</v>
          </cell>
        </row>
        <row r="642">
          <cell r="K642">
            <v>6772.94</v>
          </cell>
          <cell r="M642" t="str">
            <v>STL-20260906</v>
          </cell>
        </row>
        <row r="643">
          <cell r="K643">
            <v>10958.07</v>
          </cell>
          <cell r="M643" t="str">
            <v>STL-20260906</v>
          </cell>
        </row>
        <row r="644">
          <cell r="K644">
            <v>6669.65</v>
          </cell>
          <cell r="M644" t="str">
            <v>STL-20260906</v>
          </cell>
        </row>
        <row r="645">
          <cell r="K645">
            <v>7970.68</v>
          </cell>
          <cell r="M645" t="str">
            <v>STL-20260906</v>
          </cell>
        </row>
        <row r="646">
          <cell r="K646">
            <v>7847.98</v>
          </cell>
          <cell r="M646" t="str">
            <v>STL-20260906</v>
          </cell>
        </row>
        <row r="647">
          <cell r="K647">
            <v>4707.41</v>
          </cell>
          <cell r="M647" t="str">
            <v>STL-20260906</v>
          </cell>
        </row>
        <row r="648">
          <cell r="K648">
            <v>4928.21</v>
          </cell>
          <cell r="M648" t="str">
            <v>STL-20260906</v>
          </cell>
        </row>
        <row r="649">
          <cell r="K649">
            <v>1472.46</v>
          </cell>
          <cell r="M649" t="str">
            <v>STL-20260906</v>
          </cell>
        </row>
        <row r="650">
          <cell r="K650">
            <v>8180.5</v>
          </cell>
          <cell r="M650" t="str">
            <v>STL-20260906</v>
          </cell>
        </row>
        <row r="651">
          <cell r="K651">
            <v>9463.3799999999992</v>
          </cell>
          <cell r="M651" t="str">
            <v>STL-20260906</v>
          </cell>
        </row>
        <row r="652">
          <cell r="K652">
            <v>977.78</v>
          </cell>
          <cell r="M652" t="str">
            <v>STL-20260906</v>
          </cell>
        </row>
        <row r="653">
          <cell r="K653">
            <v>4117.76</v>
          </cell>
          <cell r="M653" t="str">
            <v>STL-20260906</v>
          </cell>
        </row>
        <row r="654">
          <cell r="K654">
            <v>3086.04</v>
          </cell>
          <cell r="M654" t="str">
            <v>STL-20260906</v>
          </cell>
        </row>
        <row r="655">
          <cell r="K655">
            <v>7969.69</v>
          </cell>
          <cell r="M655" t="str">
            <v>STL-20260906</v>
          </cell>
        </row>
        <row r="656">
          <cell r="K656">
            <v>799</v>
          </cell>
          <cell r="M656" t="str">
            <v>STL-20260906</v>
          </cell>
        </row>
        <row r="657">
          <cell r="K657">
            <v>7970.68</v>
          </cell>
          <cell r="M657" t="str">
            <v>STL-20260906</v>
          </cell>
        </row>
        <row r="658">
          <cell r="K658">
            <v>599</v>
          </cell>
          <cell r="M658" t="str">
            <v>STL-20260906</v>
          </cell>
        </row>
        <row r="659">
          <cell r="K659">
            <v>6573.65</v>
          </cell>
          <cell r="M659" t="str">
            <v>STL-20260906</v>
          </cell>
        </row>
        <row r="660">
          <cell r="K660">
            <v>3384.98</v>
          </cell>
          <cell r="M660" t="str">
            <v>STL-20260906</v>
          </cell>
        </row>
        <row r="661">
          <cell r="K661">
            <v>2140.4</v>
          </cell>
          <cell r="M661" t="str">
            <v>STL-20260906</v>
          </cell>
        </row>
        <row r="662">
          <cell r="K662">
            <v>2788.1</v>
          </cell>
          <cell r="M662" t="str">
            <v>STL-20260906</v>
          </cell>
        </row>
        <row r="663">
          <cell r="K663">
            <v>898</v>
          </cell>
          <cell r="M663" t="str">
            <v>STL-20260906</v>
          </cell>
        </row>
        <row r="664">
          <cell r="K664">
            <v>1808.75</v>
          </cell>
          <cell r="M664" t="str">
            <v>STL-20260906</v>
          </cell>
        </row>
        <row r="665">
          <cell r="K665">
            <v>292.64999999999998</v>
          </cell>
          <cell r="M665" t="str">
            <v>STL-20260906</v>
          </cell>
        </row>
        <row r="666">
          <cell r="K666">
            <v>11574.27</v>
          </cell>
          <cell r="M666" t="str">
            <v>STL-20260906</v>
          </cell>
        </row>
        <row r="667">
          <cell r="K667">
            <v>782.03</v>
          </cell>
          <cell r="M667" t="str">
            <v>STL-20260906</v>
          </cell>
        </row>
        <row r="668">
          <cell r="K668">
            <v>7847.98</v>
          </cell>
          <cell r="M668" t="str">
            <v>STL-20260906</v>
          </cell>
        </row>
        <row r="669">
          <cell r="K669">
            <v>1613</v>
          </cell>
          <cell r="M669" t="str">
            <v>STL-20260906</v>
          </cell>
        </row>
        <row r="670">
          <cell r="K670">
            <v>4282.79</v>
          </cell>
          <cell r="M670" t="str">
            <v>STL-20260906</v>
          </cell>
        </row>
        <row r="671">
          <cell r="K671">
            <v>2090.58</v>
          </cell>
          <cell r="M671" t="str">
            <v>STL-20260906</v>
          </cell>
        </row>
        <row r="672">
          <cell r="K672">
            <v>1465.39</v>
          </cell>
          <cell r="M672" t="str">
            <v>STL-20260906</v>
          </cell>
        </row>
        <row r="673">
          <cell r="K673">
            <v>4981.3</v>
          </cell>
          <cell r="M673" t="str">
            <v>STL-20260906</v>
          </cell>
        </row>
        <row r="674">
          <cell r="K674">
            <v>586.28</v>
          </cell>
          <cell r="M674" t="str">
            <v>STL-20260906</v>
          </cell>
        </row>
        <row r="675">
          <cell r="K675">
            <v>4282.79</v>
          </cell>
          <cell r="M675" t="str">
            <v>STL-20260906</v>
          </cell>
        </row>
        <row r="676">
          <cell r="K676">
            <v>586.28</v>
          </cell>
          <cell r="M676" t="str">
            <v>STL-20260906</v>
          </cell>
        </row>
        <row r="677">
          <cell r="K677">
            <v>5876.13</v>
          </cell>
          <cell r="M677" t="str">
            <v>STL-20260906</v>
          </cell>
        </row>
        <row r="678">
          <cell r="K678">
            <v>2140.4</v>
          </cell>
          <cell r="M678" t="str">
            <v>STL-20260906</v>
          </cell>
        </row>
        <row r="679">
          <cell r="K679">
            <v>2090.58</v>
          </cell>
          <cell r="M679" t="str">
            <v>STL-20260906</v>
          </cell>
        </row>
        <row r="680">
          <cell r="K680">
            <v>6573.65</v>
          </cell>
          <cell r="M680" t="str">
            <v>STL-20260906</v>
          </cell>
        </row>
        <row r="681">
          <cell r="K681">
            <v>4798.76</v>
          </cell>
          <cell r="M681" t="str">
            <v>STL-20260906</v>
          </cell>
        </row>
        <row r="682">
          <cell r="K682">
            <v>1799</v>
          </cell>
          <cell r="M682" t="str">
            <v>STL-20260906</v>
          </cell>
        </row>
        <row r="683">
          <cell r="K683">
            <v>2490.15</v>
          </cell>
          <cell r="M683" t="str">
            <v>STL-20260906</v>
          </cell>
        </row>
        <row r="684">
          <cell r="K684">
            <v>7970.68</v>
          </cell>
          <cell r="M684" t="str">
            <v>STL-20260906</v>
          </cell>
        </row>
        <row r="685">
          <cell r="K685">
            <v>349</v>
          </cell>
          <cell r="M685" t="str">
            <v>STL-20260906</v>
          </cell>
        </row>
        <row r="686">
          <cell r="K686">
            <v>1348</v>
          </cell>
          <cell r="M686" t="str">
            <v>STL-20260906</v>
          </cell>
        </row>
        <row r="687">
          <cell r="K687">
            <v>1767.15</v>
          </cell>
          <cell r="M687" t="str">
            <v>STL-20260906</v>
          </cell>
        </row>
        <row r="688">
          <cell r="K688">
            <v>2490.15</v>
          </cell>
          <cell r="M688" t="str">
            <v>STL-20260906</v>
          </cell>
        </row>
        <row r="689">
          <cell r="K689">
            <v>3336.15</v>
          </cell>
          <cell r="M689" t="str">
            <v>STL-20260906</v>
          </cell>
        </row>
        <row r="690">
          <cell r="K690">
            <v>7471.46</v>
          </cell>
          <cell r="M690" t="str">
            <v>STL-20260906</v>
          </cell>
        </row>
        <row r="691">
          <cell r="K691">
            <v>3726.29</v>
          </cell>
          <cell r="M691" t="str">
            <v>STL-20260906</v>
          </cell>
        </row>
        <row r="692">
          <cell r="K692">
            <v>1467.16</v>
          </cell>
          <cell r="M692" t="str">
            <v>STL-20260906</v>
          </cell>
        </row>
        <row r="693">
          <cell r="K693">
            <v>15676.1</v>
          </cell>
          <cell r="M693" t="str">
            <v>STL-20260906</v>
          </cell>
        </row>
        <row r="694">
          <cell r="K694">
            <v>999</v>
          </cell>
          <cell r="M694" t="str">
            <v>STL-20260906</v>
          </cell>
        </row>
        <row r="695">
          <cell r="K695">
            <v>4272.47</v>
          </cell>
          <cell r="M695" t="str">
            <v>STL-20260906</v>
          </cell>
        </row>
        <row r="696">
          <cell r="K696">
            <v>7970.68</v>
          </cell>
          <cell r="M696" t="str">
            <v>STL-20260906</v>
          </cell>
        </row>
        <row r="697">
          <cell r="K697">
            <v>6475</v>
          </cell>
          <cell r="M697" t="str">
            <v>STL-20260906</v>
          </cell>
        </row>
        <row r="698">
          <cell r="K698">
            <v>8268.6299999999992</v>
          </cell>
          <cell r="M698" t="str">
            <v>STL-20260906</v>
          </cell>
        </row>
        <row r="699">
          <cell r="K699">
            <v>1299</v>
          </cell>
          <cell r="M699" t="str">
            <v>STL-20260906</v>
          </cell>
        </row>
        <row r="700">
          <cell r="K700">
            <v>5272.27</v>
          </cell>
          <cell r="M700" t="str">
            <v>STL-20260906</v>
          </cell>
        </row>
        <row r="701">
          <cell r="K701">
            <v>977.78</v>
          </cell>
          <cell r="M701" t="str">
            <v>STL-20260906</v>
          </cell>
        </row>
        <row r="702">
          <cell r="K702">
            <v>599</v>
          </cell>
          <cell r="M702" t="str">
            <v>STL-20260906</v>
          </cell>
        </row>
        <row r="703">
          <cell r="K703">
            <v>341.59</v>
          </cell>
          <cell r="M703" t="str">
            <v>STL-20260906</v>
          </cell>
        </row>
        <row r="704">
          <cell r="K704">
            <v>586.28</v>
          </cell>
          <cell r="M704" t="str">
            <v>STL-20260906</v>
          </cell>
        </row>
        <row r="705">
          <cell r="K705">
            <v>1299</v>
          </cell>
          <cell r="M705" t="str">
            <v>STL-20260906</v>
          </cell>
        </row>
        <row r="706">
          <cell r="K706">
            <v>1799</v>
          </cell>
          <cell r="M706" t="str">
            <v>STL-20260906</v>
          </cell>
        </row>
        <row r="707">
          <cell r="K707">
            <v>2987.39</v>
          </cell>
          <cell r="M707" t="str">
            <v>STL-20260906</v>
          </cell>
        </row>
        <row r="708">
          <cell r="K708">
            <v>1220.51</v>
          </cell>
          <cell r="M708" t="str">
            <v>STL-20260906</v>
          </cell>
        </row>
        <row r="709">
          <cell r="K709">
            <v>3432.94</v>
          </cell>
          <cell r="M709" t="str">
            <v>STL-20260906</v>
          </cell>
        </row>
        <row r="710">
          <cell r="K710">
            <v>7885.73</v>
          </cell>
          <cell r="M710" t="str">
            <v>STL-20260906</v>
          </cell>
        </row>
        <row r="711">
          <cell r="K711">
            <v>1799</v>
          </cell>
          <cell r="M711" t="str">
            <v>STL-20260906</v>
          </cell>
        </row>
        <row r="712">
          <cell r="K712">
            <v>2490.15</v>
          </cell>
          <cell r="M712" t="str">
            <v>STL-20260906</v>
          </cell>
        </row>
        <row r="713">
          <cell r="K713">
            <v>1271.4100000000001</v>
          </cell>
          <cell r="M713" t="str">
            <v>STL-20260906</v>
          </cell>
        </row>
        <row r="714">
          <cell r="K714">
            <v>948</v>
          </cell>
          <cell r="M714" t="str">
            <v>STL-20260906</v>
          </cell>
        </row>
        <row r="715">
          <cell r="K715">
            <v>341.59</v>
          </cell>
          <cell r="M715" t="str">
            <v>STL-20260906</v>
          </cell>
        </row>
        <row r="716">
          <cell r="K716">
            <v>349</v>
          </cell>
          <cell r="M716" t="str">
            <v>STL-20260906</v>
          </cell>
        </row>
        <row r="717">
          <cell r="K717">
            <v>349</v>
          </cell>
          <cell r="M717" t="str">
            <v>STL-20260906</v>
          </cell>
        </row>
        <row r="718">
          <cell r="K718">
            <v>-5998</v>
          </cell>
          <cell r="M718" t="str">
            <v>STL-20260906</v>
          </cell>
        </row>
        <row r="719">
          <cell r="K719">
            <v>-7999</v>
          </cell>
          <cell r="M719" t="str">
            <v>STL-20260906</v>
          </cell>
        </row>
        <row r="720">
          <cell r="K720">
            <v>3585.27</v>
          </cell>
          <cell r="M720" t="str">
            <v>STL-20260907</v>
          </cell>
        </row>
        <row r="721">
          <cell r="K721">
            <v>1766.18</v>
          </cell>
          <cell r="M721" t="str">
            <v>STL-20260907</v>
          </cell>
        </row>
        <row r="722">
          <cell r="K722">
            <v>5000.7700000000004</v>
          </cell>
          <cell r="M722" t="str">
            <v>STL-20260907</v>
          </cell>
        </row>
        <row r="723">
          <cell r="K723">
            <v>2938.84</v>
          </cell>
          <cell r="M723" t="str">
            <v>STL-20260907</v>
          </cell>
        </row>
        <row r="724">
          <cell r="K724">
            <v>5884.76</v>
          </cell>
          <cell r="M724" t="str">
            <v>STL-20260907</v>
          </cell>
        </row>
        <row r="725">
          <cell r="K725">
            <v>9313.91</v>
          </cell>
          <cell r="M725" t="str">
            <v>STL-20260907</v>
          </cell>
        </row>
        <row r="726">
          <cell r="K726">
            <v>2155.52</v>
          </cell>
          <cell r="M726" t="str">
            <v>STL-20260907</v>
          </cell>
        </row>
        <row r="727">
          <cell r="K727">
            <v>2988.38</v>
          </cell>
          <cell r="M727" t="str">
            <v>STL-20260907</v>
          </cell>
        </row>
        <row r="728">
          <cell r="K728">
            <v>8425.52</v>
          </cell>
          <cell r="M728" t="str">
            <v>STL-20260907</v>
          </cell>
        </row>
        <row r="729">
          <cell r="K729">
            <v>999</v>
          </cell>
          <cell r="M729" t="str">
            <v>STL-20260907</v>
          </cell>
        </row>
        <row r="730">
          <cell r="K730">
            <v>976.81</v>
          </cell>
          <cell r="M730" t="str">
            <v>STL-20260907</v>
          </cell>
        </row>
        <row r="731">
          <cell r="K731">
            <v>7970.68</v>
          </cell>
          <cell r="M731" t="str">
            <v>STL-20260907</v>
          </cell>
        </row>
        <row r="732">
          <cell r="K732">
            <v>11755.24</v>
          </cell>
          <cell r="M732" t="str">
            <v>STL-20260907</v>
          </cell>
        </row>
        <row r="733">
          <cell r="K733">
            <v>3486.61</v>
          </cell>
          <cell r="M733" t="str">
            <v>STL-20260907</v>
          </cell>
        </row>
        <row r="734">
          <cell r="K734">
            <v>2448.87</v>
          </cell>
          <cell r="M734" t="str">
            <v>STL-20260907</v>
          </cell>
        </row>
        <row r="735">
          <cell r="K735">
            <v>12752.6</v>
          </cell>
          <cell r="M735" t="str">
            <v>STL-20260907</v>
          </cell>
        </row>
        <row r="736">
          <cell r="K736">
            <v>1799</v>
          </cell>
          <cell r="M736" t="str">
            <v>STL-20260907</v>
          </cell>
        </row>
        <row r="737">
          <cell r="K737">
            <v>6972.23</v>
          </cell>
          <cell r="M737" t="str">
            <v>STL-20260907</v>
          </cell>
        </row>
        <row r="738">
          <cell r="K738">
            <v>1499</v>
          </cell>
          <cell r="M738" t="str">
            <v>STL-20260907</v>
          </cell>
        </row>
        <row r="739">
          <cell r="K739">
            <v>349</v>
          </cell>
          <cell r="M739" t="str">
            <v>STL-20260907</v>
          </cell>
        </row>
        <row r="740">
          <cell r="K740">
            <v>349</v>
          </cell>
          <cell r="M740" t="str">
            <v>STL-20260907</v>
          </cell>
        </row>
        <row r="741">
          <cell r="K741">
            <v>499</v>
          </cell>
          <cell r="M741" t="str">
            <v>STL-20260907</v>
          </cell>
        </row>
        <row r="742">
          <cell r="K742">
            <v>8318.4500000000007</v>
          </cell>
          <cell r="M742" t="str">
            <v>STL-20260907</v>
          </cell>
        </row>
        <row r="743">
          <cell r="K743">
            <v>2788.1</v>
          </cell>
          <cell r="M743" t="str">
            <v>STL-20260907</v>
          </cell>
        </row>
        <row r="744">
          <cell r="K744">
            <v>4904.62</v>
          </cell>
          <cell r="M744" t="str">
            <v>STL-20260907</v>
          </cell>
        </row>
        <row r="745">
          <cell r="K745">
            <v>4015.79</v>
          </cell>
          <cell r="M745" t="str">
            <v>STL-20260907</v>
          </cell>
        </row>
        <row r="746">
          <cell r="K746">
            <v>781.09</v>
          </cell>
          <cell r="M746" t="str">
            <v>STL-20260907</v>
          </cell>
        </row>
        <row r="747">
          <cell r="K747">
            <v>2891.36</v>
          </cell>
          <cell r="M747" t="str">
            <v>STL-20260907</v>
          </cell>
        </row>
        <row r="748">
          <cell r="K748">
            <v>799</v>
          </cell>
          <cell r="M748" t="str">
            <v>STL-20260907</v>
          </cell>
        </row>
        <row r="749">
          <cell r="K749">
            <v>1467.16</v>
          </cell>
          <cell r="M749" t="str">
            <v>STL-20260907</v>
          </cell>
        </row>
        <row r="750">
          <cell r="K750">
            <v>2988.38</v>
          </cell>
          <cell r="M750" t="str">
            <v>STL-20260907</v>
          </cell>
        </row>
        <row r="751">
          <cell r="K751">
            <v>3428.81</v>
          </cell>
          <cell r="M751" t="str">
            <v>STL-20260907</v>
          </cell>
        </row>
        <row r="752">
          <cell r="K752">
            <v>599</v>
          </cell>
          <cell r="M752" t="str">
            <v>STL-20260907</v>
          </cell>
        </row>
        <row r="753">
          <cell r="K753">
            <v>3428.81</v>
          </cell>
          <cell r="M753" t="str">
            <v>STL-20260907</v>
          </cell>
        </row>
        <row r="754">
          <cell r="K754">
            <v>3584.27</v>
          </cell>
          <cell r="M754" t="str">
            <v>STL-20260907</v>
          </cell>
        </row>
        <row r="755">
          <cell r="K755">
            <v>1348</v>
          </cell>
          <cell r="M755" t="str">
            <v>STL-20260907</v>
          </cell>
        </row>
        <row r="756">
          <cell r="K756">
            <v>6227.17</v>
          </cell>
          <cell r="M756" t="str">
            <v>STL-20260907</v>
          </cell>
        </row>
        <row r="757">
          <cell r="K757">
            <v>799</v>
          </cell>
          <cell r="M757" t="str">
            <v>STL-20260907</v>
          </cell>
        </row>
        <row r="758">
          <cell r="K758">
            <v>1760.79</v>
          </cell>
          <cell r="M758" t="str">
            <v>STL-20260907</v>
          </cell>
        </row>
        <row r="759">
          <cell r="K759">
            <v>782.03</v>
          </cell>
          <cell r="M759" t="str">
            <v>STL-20260907</v>
          </cell>
        </row>
        <row r="760">
          <cell r="K760">
            <v>1499</v>
          </cell>
          <cell r="M760" t="str">
            <v>STL-20260907</v>
          </cell>
        </row>
        <row r="761">
          <cell r="K761">
            <v>4482.08</v>
          </cell>
          <cell r="M761" t="str">
            <v>STL-20260907</v>
          </cell>
        </row>
        <row r="762">
          <cell r="K762">
            <v>5877.68</v>
          </cell>
          <cell r="M762" t="str">
            <v>STL-20260907</v>
          </cell>
        </row>
        <row r="763">
          <cell r="K763">
            <v>3486.61</v>
          </cell>
          <cell r="M763" t="str">
            <v>STL-20260907</v>
          </cell>
        </row>
        <row r="764">
          <cell r="K764">
            <v>1760.79</v>
          </cell>
          <cell r="M764" t="str">
            <v>STL-20260907</v>
          </cell>
        </row>
        <row r="765">
          <cell r="K765">
            <v>1073.3900000000001</v>
          </cell>
          <cell r="M765" t="str">
            <v>STL-20260907</v>
          </cell>
        </row>
        <row r="766">
          <cell r="K766">
            <v>5776.48</v>
          </cell>
          <cell r="M766" t="str">
            <v>STL-20260907</v>
          </cell>
        </row>
        <row r="767">
          <cell r="K767">
            <v>2938.84</v>
          </cell>
          <cell r="M767" t="str">
            <v>STL-20260907</v>
          </cell>
        </row>
        <row r="768">
          <cell r="K768">
            <v>6274.71</v>
          </cell>
          <cell r="M768" t="str">
            <v>STL-20260907</v>
          </cell>
        </row>
        <row r="769">
          <cell r="K769">
            <v>3399.9</v>
          </cell>
          <cell r="M769" t="str">
            <v>STL-20260907</v>
          </cell>
        </row>
        <row r="770">
          <cell r="K770">
            <v>7271.17</v>
          </cell>
          <cell r="M770" t="str">
            <v>STL-20260907</v>
          </cell>
        </row>
        <row r="771">
          <cell r="K771">
            <v>4897.74</v>
          </cell>
          <cell r="M771" t="str">
            <v>STL-20260907</v>
          </cell>
        </row>
        <row r="772">
          <cell r="K772">
            <v>3486.61</v>
          </cell>
          <cell r="M772" t="str">
            <v>STL-20260907</v>
          </cell>
        </row>
        <row r="773">
          <cell r="K773">
            <v>781.09</v>
          </cell>
          <cell r="M773" t="str">
            <v>STL-20260907</v>
          </cell>
        </row>
        <row r="774">
          <cell r="K774">
            <v>9114.6200000000008</v>
          </cell>
          <cell r="M774" t="str">
            <v>STL-20260907</v>
          </cell>
        </row>
        <row r="775">
          <cell r="K775">
            <v>1647</v>
          </cell>
          <cell r="M775" t="str">
            <v>STL-20260907</v>
          </cell>
        </row>
        <row r="776">
          <cell r="K776">
            <v>1299</v>
          </cell>
          <cell r="M776" t="str">
            <v>STL-20260907</v>
          </cell>
        </row>
        <row r="777">
          <cell r="K777">
            <v>1172.56</v>
          </cell>
          <cell r="M777" t="str">
            <v>STL-20260907</v>
          </cell>
        </row>
        <row r="778">
          <cell r="K778">
            <v>8965.15</v>
          </cell>
          <cell r="M778" t="str">
            <v>STL-20260907</v>
          </cell>
        </row>
        <row r="779">
          <cell r="K779">
            <v>6257.13</v>
          </cell>
          <cell r="M779" t="str">
            <v>STL-20260907</v>
          </cell>
        </row>
        <row r="780">
          <cell r="K780">
            <v>5776.48</v>
          </cell>
          <cell r="M780" t="str">
            <v>STL-20260907</v>
          </cell>
        </row>
        <row r="781">
          <cell r="K781">
            <v>4904.62</v>
          </cell>
          <cell r="M781" t="str">
            <v>STL-20260907</v>
          </cell>
        </row>
        <row r="782">
          <cell r="K782">
            <v>7847.98</v>
          </cell>
          <cell r="M782" t="str">
            <v>STL-20260907</v>
          </cell>
        </row>
        <row r="783">
          <cell r="K783">
            <v>2490.15</v>
          </cell>
          <cell r="M783" t="str">
            <v>STL-20260907</v>
          </cell>
        </row>
        <row r="784">
          <cell r="K784">
            <v>1760.79</v>
          </cell>
          <cell r="M784" t="str">
            <v>STL-20260907</v>
          </cell>
        </row>
        <row r="785">
          <cell r="K785">
            <v>11755.24</v>
          </cell>
          <cell r="M785" t="str">
            <v>STL-20260907</v>
          </cell>
        </row>
        <row r="786">
          <cell r="K786">
            <v>3432.94</v>
          </cell>
          <cell r="M786" t="str">
            <v>STL-20260907</v>
          </cell>
        </row>
        <row r="787">
          <cell r="K787">
            <v>3486.61</v>
          </cell>
          <cell r="M787" t="str">
            <v>STL-20260907</v>
          </cell>
        </row>
        <row r="788">
          <cell r="K788">
            <v>1465.2</v>
          </cell>
          <cell r="M788" t="str">
            <v>STL-20260907</v>
          </cell>
        </row>
        <row r="789">
          <cell r="K789">
            <v>3336.15</v>
          </cell>
          <cell r="M789" t="str">
            <v>STL-20260907</v>
          </cell>
        </row>
        <row r="790">
          <cell r="K790">
            <v>2338.69</v>
          </cell>
          <cell r="M790" t="str">
            <v>STL-20260907</v>
          </cell>
        </row>
        <row r="791">
          <cell r="K791">
            <v>292.64999999999998</v>
          </cell>
          <cell r="M791" t="str">
            <v>STL-20260907</v>
          </cell>
        </row>
        <row r="792">
          <cell r="K792">
            <v>1299</v>
          </cell>
          <cell r="M792" t="str">
            <v>STL-20260907</v>
          </cell>
        </row>
        <row r="793">
          <cell r="K793">
            <v>1648</v>
          </cell>
          <cell r="M793" t="str">
            <v>STL-20260907</v>
          </cell>
        </row>
        <row r="794">
          <cell r="K794">
            <v>7847.98</v>
          </cell>
          <cell r="M794" t="str">
            <v>STL-20260907</v>
          </cell>
        </row>
        <row r="795">
          <cell r="K795">
            <v>4898.72</v>
          </cell>
          <cell r="M795" t="str">
            <v>STL-20260907</v>
          </cell>
        </row>
        <row r="796">
          <cell r="K796">
            <v>1348</v>
          </cell>
          <cell r="M796" t="str">
            <v>STL-20260907</v>
          </cell>
        </row>
        <row r="797">
          <cell r="K797">
            <v>3983.85</v>
          </cell>
          <cell r="M797" t="str">
            <v>STL-20260907</v>
          </cell>
        </row>
        <row r="798">
          <cell r="K798">
            <v>349</v>
          </cell>
          <cell r="M798" t="str">
            <v>STL-20260907</v>
          </cell>
        </row>
        <row r="799">
          <cell r="K799">
            <v>2451.8200000000002</v>
          </cell>
          <cell r="M799" t="str">
            <v>STL-20260907</v>
          </cell>
        </row>
        <row r="800">
          <cell r="K800">
            <v>6963.01</v>
          </cell>
          <cell r="M800" t="str">
            <v>STL-20260907</v>
          </cell>
        </row>
        <row r="801">
          <cell r="K801">
            <v>1147</v>
          </cell>
          <cell r="M801" t="str">
            <v>STL-20260907</v>
          </cell>
        </row>
        <row r="802">
          <cell r="K802">
            <v>341.59</v>
          </cell>
          <cell r="M802" t="str">
            <v>STL-20260907</v>
          </cell>
        </row>
        <row r="803">
          <cell r="K803">
            <v>7970.68</v>
          </cell>
          <cell r="M803" t="str">
            <v>STL-20260907</v>
          </cell>
        </row>
        <row r="804">
          <cell r="K804">
            <v>4083.5</v>
          </cell>
          <cell r="M804" t="str">
            <v>STL-20260907</v>
          </cell>
        </row>
        <row r="805">
          <cell r="K805">
            <v>1472.46</v>
          </cell>
          <cell r="M805" t="str">
            <v>STL-20260907</v>
          </cell>
        </row>
        <row r="806">
          <cell r="K806">
            <v>1799</v>
          </cell>
          <cell r="M806" t="str">
            <v>STL-20260907</v>
          </cell>
        </row>
        <row r="807">
          <cell r="K807">
            <v>4215.87</v>
          </cell>
          <cell r="M807" t="str">
            <v>STL-20260907</v>
          </cell>
        </row>
        <row r="808">
          <cell r="K808">
            <v>3432.94</v>
          </cell>
          <cell r="M808" t="str">
            <v>STL-20260907</v>
          </cell>
        </row>
        <row r="809">
          <cell r="K809">
            <v>9313.91</v>
          </cell>
          <cell r="M809" t="str">
            <v>STL-20260907</v>
          </cell>
        </row>
        <row r="810">
          <cell r="K810">
            <v>488.4</v>
          </cell>
          <cell r="M810" t="str">
            <v>STL-20260907</v>
          </cell>
        </row>
        <row r="811">
          <cell r="K811">
            <v>1299</v>
          </cell>
          <cell r="M811" t="str">
            <v>STL-20260907</v>
          </cell>
        </row>
        <row r="812">
          <cell r="K812">
            <v>3035.85</v>
          </cell>
          <cell r="M812" t="str">
            <v>STL-20260907</v>
          </cell>
        </row>
        <row r="813">
          <cell r="K813">
            <v>2545.88</v>
          </cell>
          <cell r="M813" t="str">
            <v>STL-20260907</v>
          </cell>
        </row>
        <row r="814">
          <cell r="K814">
            <v>2448.87</v>
          </cell>
          <cell r="M814" t="str">
            <v>STL-20260907</v>
          </cell>
        </row>
        <row r="815">
          <cell r="K815">
            <v>8318.4500000000007</v>
          </cell>
          <cell r="M815" t="str">
            <v>STL-20260907</v>
          </cell>
        </row>
        <row r="816">
          <cell r="K816">
            <v>3486.61</v>
          </cell>
          <cell r="M816" t="str">
            <v>STL-20260907</v>
          </cell>
        </row>
        <row r="817">
          <cell r="K817">
            <v>588.39</v>
          </cell>
          <cell r="M817" t="str">
            <v>STL-20260907</v>
          </cell>
        </row>
        <row r="818">
          <cell r="K818">
            <v>488.4</v>
          </cell>
          <cell r="M818" t="str">
            <v>STL-20260907</v>
          </cell>
        </row>
        <row r="819">
          <cell r="K819">
            <v>1271.4100000000001</v>
          </cell>
          <cell r="M819" t="str">
            <v>STL-20260907</v>
          </cell>
        </row>
        <row r="820">
          <cell r="K820">
            <v>1799</v>
          </cell>
          <cell r="M820" t="str">
            <v>STL-20260907</v>
          </cell>
        </row>
        <row r="821">
          <cell r="K821">
            <v>977.78</v>
          </cell>
          <cell r="M821" t="str">
            <v>STL-20260907</v>
          </cell>
        </row>
        <row r="822">
          <cell r="K822">
            <v>1597</v>
          </cell>
          <cell r="M822" t="str">
            <v>STL-20260907</v>
          </cell>
        </row>
        <row r="823">
          <cell r="K823">
            <v>976.6</v>
          </cell>
          <cell r="M823" t="str">
            <v>STL-20260907</v>
          </cell>
        </row>
        <row r="824">
          <cell r="K824">
            <v>499</v>
          </cell>
          <cell r="M824" t="str">
            <v>STL-20260907</v>
          </cell>
        </row>
        <row r="825">
          <cell r="K825">
            <v>977.78</v>
          </cell>
          <cell r="M825" t="str">
            <v>STL-20260907</v>
          </cell>
        </row>
        <row r="826">
          <cell r="K826">
            <v>2942.38</v>
          </cell>
          <cell r="M826" t="str">
            <v>STL-20260907</v>
          </cell>
        </row>
        <row r="827">
          <cell r="K827">
            <v>12951.99</v>
          </cell>
          <cell r="M827" t="str">
            <v>STL-20260907</v>
          </cell>
        </row>
        <row r="828">
          <cell r="K828">
            <v>799</v>
          </cell>
          <cell r="M828" t="str">
            <v>STL-20260907</v>
          </cell>
        </row>
        <row r="829">
          <cell r="K829">
            <v>977.78</v>
          </cell>
          <cell r="M829" t="str">
            <v>STL-20260907</v>
          </cell>
        </row>
        <row r="830">
          <cell r="K830">
            <v>586.28</v>
          </cell>
          <cell r="M830" t="str">
            <v>STL-20260907</v>
          </cell>
        </row>
        <row r="831">
          <cell r="K831">
            <v>10385.530000000001</v>
          </cell>
          <cell r="M831" t="str">
            <v>STL-20260907</v>
          </cell>
        </row>
        <row r="832">
          <cell r="K832">
            <v>8318.4500000000007</v>
          </cell>
          <cell r="M832" t="str">
            <v>STL-20260907</v>
          </cell>
        </row>
        <row r="833">
          <cell r="K833">
            <v>799</v>
          </cell>
          <cell r="M833" t="str">
            <v>STL-20260907</v>
          </cell>
        </row>
        <row r="834">
          <cell r="K834">
            <v>1271.4100000000001</v>
          </cell>
          <cell r="M834" t="str">
            <v>STL-20260907</v>
          </cell>
        </row>
        <row r="835">
          <cell r="K835">
            <v>1499</v>
          </cell>
          <cell r="M835" t="str">
            <v>STL-20260907</v>
          </cell>
        </row>
        <row r="836">
          <cell r="K836">
            <v>798</v>
          </cell>
          <cell r="M836" t="str">
            <v>STL-20260907</v>
          </cell>
        </row>
        <row r="837">
          <cell r="K837">
            <v>4904.62</v>
          </cell>
          <cell r="M837" t="str">
            <v>STL-20260907</v>
          </cell>
        </row>
        <row r="838">
          <cell r="K838">
            <v>599</v>
          </cell>
          <cell r="M838" t="str">
            <v>STL-20260907</v>
          </cell>
        </row>
        <row r="839">
          <cell r="K839">
            <v>1123.6199999999999</v>
          </cell>
          <cell r="M839" t="str">
            <v>STL-20260907</v>
          </cell>
        </row>
        <row r="840">
          <cell r="K840">
            <v>1569.72</v>
          </cell>
          <cell r="M840" t="str">
            <v>STL-20260907</v>
          </cell>
        </row>
        <row r="841">
          <cell r="K841">
            <v>292.64999999999998</v>
          </cell>
          <cell r="M841" t="str">
            <v>STL-20260907</v>
          </cell>
        </row>
        <row r="842">
          <cell r="K842">
            <v>2451.8200000000002</v>
          </cell>
          <cell r="M842" t="str">
            <v>STL-20260907</v>
          </cell>
        </row>
        <row r="843">
          <cell r="K843">
            <v>3485.62</v>
          </cell>
          <cell r="M843" t="str">
            <v>STL-20260907</v>
          </cell>
        </row>
        <row r="844">
          <cell r="K844">
            <v>6324.53</v>
          </cell>
          <cell r="M844" t="str">
            <v>STL-20260907</v>
          </cell>
        </row>
        <row r="845">
          <cell r="K845">
            <v>349</v>
          </cell>
          <cell r="M845" t="str">
            <v>STL-20260907</v>
          </cell>
        </row>
        <row r="846">
          <cell r="K846">
            <v>5877.68</v>
          </cell>
          <cell r="M846" t="str">
            <v>STL-20260907</v>
          </cell>
        </row>
        <row r="847">
          <cell r="K847">
            <v>3916.82</v>
          </cell>
          <cell r="M847" t="str">
            <v>STL-20260907</v>
          </cell>
        </row>
        <row r="848">
          <cell r="K848">
            <v>3783.56</v>
          </cell>
          <cell r="M848" t="str">
            <v>STL-20260907</v>
          </cell>
        </row>
        <row r="849">
          <cell r="K849">
            <v>2988.38</v>
          </cell>
          <cell r="M849" t="str">
            <v>STL-20260907</v>
          </cell>
        </row>
        <row r="850">
          <cell r="K850">
            <v>1799</v>
          </cell>
          <cell r="M850" t="str">
            <v>STL-20260907</v>
          </cell>
        </row>
        <row r="851">
          <cell r="K851">
            <v>586.28</v>
          </cell>
          <cell r="M851" t="str">
            <v>STL-20260907</v>
          </cell>
        </row>
        <row r="852">
          <cell r="K852">
            <v>784.85</v>
          </cell>
          <cell r="M852" t="str">
            <v>STL-20260907</v>
          </cell>
        </row>
        <row r="853">
          <cell r="K853">
            <v>7970.68</v>
          </cell>
          <cell r="M853" t="str">
            <v>STL-20260907</v>
          </cell>
        </row>
        <row r="854">
          <cell r="K854">
            <v>3486.61</v>
          </cell>
          <cell r="M854" t="str">
            <v>STL-20260907</v>
          </cell>
        </row>
        <row r="855">
          <cell r="K855">
            <v>7471.46</v>
          </cell>
          <cell r="M855" t="str">
            <v>STL-20260907</v>
          </cell>
        </row>
        <row r="856">
          <cell r="K856">
            <v>349</v>
          </cell>
          <cell r="M856" t="str">
            <v>STL-20260907</v>
          </cell>
        </row>
        <row r="857">
          <cell r="K857">
            <v>2448.87</v>
          </cell>
          <cell r="M857" t="str">
            <v>STL-20260907</v>
          </cell>
        </row>
        <row r="858">
          <cell r="K858">
            <v>4980.3100000000004</v>
          </cell>
          <cell r="M858" t="str">
            <v>STL-20260907</v>
          </cell>
        </row>
        <row r="859">
          <cell r="K859">
            <v>2938.84</v>
          </cell>
          <cell r="M859" t="str">
            <v>STL-20260907</v>
          </cell>
        </row>
        <row r="860">
          <cell r="K860">
            <v>499</v>
          </cell>
          <cell r="M860" t="str">
            <v>STL-20260907</v>
          </cell>
        </row>
        <row r="861">
          <cell r="K861">
            <v>10881.2</v>
          </cell>
          <cell r="M861" t="str">
            <v>STL-20260907</v>
          </cell>
        </row>
        <row r="862">
          <cell r="K862">
            <v>1799</v>
          </cell>
          <cell r="M862" t="str">
            <v>STL-20260907</v>
          </cell>
        </row>
        <row r="863">
          <cell r="K863">
            <v>2988.38</v>
          </cell>
          <cell r="M863" t="str">
            <v>STL-20260907</v>
          </cell>
        </row>
        <row r="864">
          <cell r="K864">
            <v>349</v>
          </cell>
          <cell r="M864" t="str">
            <v>STL-20260907</v>
          </cell>
        </row>
        <row r="865">
          <cell r="K865">
            <v>1299</v>
          </cell>
          <cell r="M865" t="str">
            <v>STL-20260907</v>
          </cell>
        </row>
        <row r="866">
          <cell r="K866">
            <v>4981.3</v>
          </cell>
          <cell r="M866" t="str">
            <v>STL-20260907</v>
          </cell>
        </row>
        <row r="867">
          <cell r="K867">
            <v>4282.79</v>
          </cell>
          <cell r="M867" t="str">
            <v>STL-20260907</v>
          </cell>
        </row>
        <row r="868">
          <cell r="K868">
            <v>3983.85</v>
          </cell>
          <cell r="M868" t="str">
            <v>STL-20260907</v>
          </cell>
        </row>
        <row r="869">
          <cell r="K869">
            <v>798</v>
          </cell>
          <cell r="M869" t="str">
            <v>STL-20260907</v>
          </cell>
        </row>
        <row r="870">
          <cell r="K870">
            <v>1799</v>
          </cell>
          <cell r="M870" t="str">
            <v>STL-20260907</v>
          </cell>
        </row>
        <row r="871">
          <cell r="K871">
            <v>4039.97</v>
          </cell>
          <cell r="M871" t="str">
            <v>STL-20260907</v>
          </cell>
        </row>
        <row r="872">
          <cell r="K872">
            <v>5883.78</v>
          </cell>
          <cell r="M872" t="str">
            <v>STL-20260907</v>
          </cell>
        </row>
        <row r="873">
          <cell r="K873">
            <v>341.59</v>
          </cell>
          <cell r="M873" t="str">
            <v>STL-20260907</v>
          </cell>
        </row>
        <row r="874">
          <cell r="K874">
            <v>698</v>
          </cell>
          <cell r="M874" t="str">
            <v>STL-20260907</v>
          </cell>
        </row>
        <row r="875">
          <cell r="K875">
            <v>4928.21</v>
          </cell>
          <cell r="M875" t="str">
            <v>STL-20260907</v>
          </cell>
        </row>
        <row r="876">
          <cell r="K876">
            <v>299</v>
          </cell>
          <cell r="M876" t="str">
            <v>STL-20260907</v>
          </cell>
        </row>
        <row r="877">
          <cell r="K877">
            <v>292.64999999999998</v>
          </cell>
          <cell r="M877" t="str">
            <v>STL-20260907</v>
          </cell>
        </row>
        <row r="878">
          <cell r="K878">
            <v>2988.38</v>
          </cell>
          <cell r="M878" t="str">
            <v>STL-20260907</v>
          </cell>
        </row>
        <row r="879">
          <cell r="K879">
            <v>490.16</v>
          </cell>
          <cell r="M879" t="str">
            <v>STL-20260907</v>
          </cell>
        </row>
        <row r="880">
          <cell r="K880">
            <v>10061.26</v>
          </cell>
          <cell r="M880" t="str">
            <v>STL-20260907</v>
          </cell>
        </row>
        <row r="881">
          <cell r="K881">
            <v>2140.4</v>
          </cell>
          <cell r="M881" t="str">
            <v>STL-20260907</v>
          </cell>
        </row>
        <row r="882">
          <cell r="K882">
            <v>5681.69</v>
          </cell>
          <cell r="M882" t="str">
            <v>STL-20260907</v>
          </cell>
        </row>
        <row r="883">
          <cell r="K883">
            <v>3841.82</v>
          </cell>
          <cell r="M883" t="str">
            <v>STL-20260907</v>
          </cell>
        </row>
        <row r="884">
          <cell r="K884">
            <v>1074.68</v>
          </cell>
          <cell r="M884" t="str">
            <v>STL-20260907</v>
          </cell>
        </row>
        <row r="885">
          <cell r="K885">
            <v>5577.19</v>
          </cell>
          <cell r="M885" t="str">
            <v>STL-20260907</v>
          </cell>
        </row>
        <row r="886">
          <cell r="K886">
            <v>341.18</v>
          </cell>
          <cell r="M886" t="str">
            <v>STL-20260907</v>
          </cell>
        </row>
        <row r="887">
          <cell r="K887">
            <v>5329.07</v>
          </cell>
          <cell r="M887" t="str">
            <v>STL-20260907</v>
          </cell>
        </row>
        <row r="888">
          <cell r="K888">
            <v>8268.6299999999992</v>
          </cell>
          <cell r="M888" t="str">
            <v>STL-20260907</v>
          </cell>
        </row>
        <row r="889">
          <cell r="K889">
            <v>2254.61</v>
          </cell>
          <cell r="M889" t="str">
            <v>STL-20260907</v>
          </cell>
        </row>
        <row r="890">
          <cell r="K890">
            <v>7970.68</v>
          </cell>
          <cell r="M890" t="str">
            <v>STL-20260907</v>
          </cell>
        </row>
        <row r="891">
          <cell r="K891">
            <v>1798</v>
          </cell>
          <cell r="M891" t="str">
            <v>STL-20260907</v>
          </cell>
        </row>
        <row r="892">
          <cell r="K892">
            <v>5197.97</v>
          </cell>
          <cell r="M892" t="str">
            <v>STL-20260907</v>
          </cell>
        </row>
        <row r="893">
          <cell r="K893">
            <v>292.64999999999998</v>
          </cell>
          <cell r="M893" t="str">
            <v>STL-20260907</v>
          </cell>
        </row>
        <row r="894">
          <cell r="K894">
            <v>3585.27</v>
          </cell>
          <cell r="M894" t="str">
            <v>STL-20260907</v>
          </cell>
        </row>
        <row r="895">
          <cell r="K895">
            <v>9763.32</v>
          </cell>
          <cell r="M895" t="str">
            <v>STL-20260907</v>
          </cell>
        </row>
        <row r="896">
          <cell r="K896">
            <v>1760.79</v>
          </cell>
          <cell r="M896" t="str">
            <v>STL-20260907</v>
          </cell>
        </row>
        <row r="897">
          <cell r="K897">
            <v>1368.31</v>
          </cell>
          <cell r="M897" t="str">
            <v>STL-20260907</v>
          </cell>
        </row>
        <row r="898">
          <cell r="K898">
            <v>299</v>
          </cell>
          <cell r="M898" t="str">
            <v>STL-20260907</v>
          </cell>
        </row>
        <row r="899">
          <cell r="K899">
            <v>977.78</v>
          </cell>
          <cell r="M899" t="str">
            <v>STL-20260907</v>
          </cell>
        </row>
        <row r="900">
          <cell r="K900">
            <v>2988.38</v>
          </cell>
          <cell r="M900" t="str">
            <v>STL-20260907</v>
          </cell>
        </row>
        <row r="901">
          <cell r="K901">
            <v>-798</v>
          </cell>
          <cell r="M901" t="str">
            <v>STL-20260907</v>
          </cell>
        </row>
        <row r="902">
          <cell r="K902">
            <v>-1299</v>
          </cell>
          <cell r="M902" t="str">
            <v>STL-20260907</v>
          </cell>
        </row>
        <row r="903">
          <cell r="K903">
            <v>3784.56</v>
          </cell>
          <cell r="M903" t="str">
            <v>STL-20260908</v>
          </cell>
        </row>
        <row r="904">
          <cell r="K904">
            <v>1564.06</v>
          </cell>
          <cell r="M904" t="str">
            <v>STL-20260908</v>
          </cell>
        </row>
        <row r="905">
          <cell r="K905">
            <v>1271.4100000000001</v>
          </cell>
          <cell r="M905" t="str">
            <v>STL-20260908</v>
          </cell>
        </row>
        <row r="906">
          <cell r="K906">
            <v>5884.76</v>
          </cell>
          <cell r="M906" t="str">
            <v>STL-20260908</v>
          </cell>
        </row>
        <row r="907">
          <cell r="K907">
            <v>2451.8200000000002</v>
          </cell>
          <cell r="M907" t="str">
            <v>STL-20260908</v>
          </cell>
        </row>
        <row r="908">
          <cell r="K908">
            <v>2189.2199999999998</v>
          </cell>
          <cell r="M908" t="str">
            <v>STL-20260908</v>
          </cell>
        </row>
        <row r="909">
          <cell r="K909">
            <v>7846.02</v>
          </cell>
          <cell r="M909" t="str">
            <v>STL-20260908</v>
          </cell>
        </row>
        <row r="910">
          <cell r="K910">
            <v>3834.38</v>
          </cell>
          <cell r="M910" t="str">
            <v>STL-20260908</v>
          </cell>
        </row>
        <row r="911">
          <cell r="K911">
            <v>1276</v>
          </cell>
          <cell r="M911" t="str">
            <v>STL-20260908</v>
          </cell>
        </row>
        <row r="912">
          <cell r="K912">
            <v>487.81</v>
          </cell>
          <cell r="M912" t="str">
            <v>STL-20260908</v>
          </cell>
        </row>
        <row r="913">
          <cell r="K913">
            <v>9464.8700000000008</v>
          </cell>
          <cell r="M913" t="str">
            <v>STL-20260908</v>
          </cell>
        </row>
        <row r="914">
          <cell r="K914">
            <v>977.78</v>
          </cell>
          <cell r="M914" t="str">
            <v>STL-20260908</v>
          </cell>
        </row>
        <row r="915">
          <cell r="K915">
            <v>1759.82</v>
          </cell>
          <cell r="M915" t="str">
            <v>STL-20260908</v>
          </cell>
        </row>
        <row r="916">
          <cell r="K916">
            <v>1464.42</v>
          </cell>
          <cell r="M916" t="str">
            <v>STL-20260908</v>
          </cell>
        </row>
        <row r="917">
          <cell r="K917">
            <v>3486.61</v>
          </cell>
          <cell r="M917" t="str">
            <v>STL-20260908</v>
          </cell>
        </row>
        <row r="918">
          <cell r="K918">
            <v>9415.81</v>
          </cell>
          <cell r="M918" t="str">
            <v>STL-20260908</v>
          </cell>
        </row>
        <row r="919">
          <cell r="K919">
            <v>2490.15</v>
          </cell>
          <cell r="M919" t="str">
            <v>STL-20260908</v>
          </cell>
        </row>
        <row r="920">
          <cell r="K920">
            <v>499</v>
          </cell>
          <cell r="M920" t="str">
            <v>STL-20260908</v>
          </cell>
        </row>
        <row r="921">
          <cell r="K921">
            <v>12253.47</v>
          </cell>
          <cell r="M921" t="str">
            <v>STL-20260908</v>
          </cell>
        </row>
        <row r="922">
          <cell r="K922">
            <v>6170.68</v>
          </cell>
          <cell r="M922" t="str">
            <v>STL-20260908</v>
          </cell>
        </row>
        <row r="923">
          <cell r="K923">
            <v>5976.77</v>
          </cell>
          <cell r="M923" t="str">
            <v>STL-20260908</v>
          </cell>
        </row>
        <row r="924">
          <cell r="K924">
            <v>599</v>
          </cell>
          <cell r="M924" t="str">
            <v>STL-20260908</v>
          </cell>
        </row>
        <row r="925">
          <cell r="K925">
            <v>8679.9699999999993</v>
          </cell>
          <cell r="M925" t="str">
            <v>STL-20260908</v>
          </cell>
        </row>
        <row r="926">
          <cell r="K926">
            <v>8766.86</v>
          </cell>
          <cell r="M926" t="str">
            <v>STL-20260908</v>
          </cell>
        </row>
        <row r="927">
          <cell r="K927">
            <v>5329.07</v>
          </cell>
          <cell r="M927" t="str">
            <v>STL-20260908</v>
          </cell>
        </row>
        <row r="928">
          <cell r="K928">
            <v>1767.15</v>
          </cell>
          <cell r="M928" t="str">
            <v>STL-20260908</v>
          </cell>
        </row>
        <row r="929">
          <cell r="K929">
            <v>3251.3</v>
          </cell>
          <cell r="M929" t="str">
            <v>STL-20260908</v>
          </cell>
        </row>
        <row r="930">
          <cell r="K930">
            <v>1854.47</v>
          </cell>
          <cell r="M930" t="str">
            <v>STL-20260908</v>
          </cell>
        </row>
        <row r="931">
          <cell r="K931">
            <v>4981.3</v>
          </cell>
          <cell r="M931" t="str">
            <v>STL-20260908</v>
          </cell>
        </row>
        <row r="932">
          <cell r="K932">
            <v>299</v>
          </cell>
          <cell r="M932" t="str">
            <v>STL-20260908</v>
          </cell>
        </row>
        <row r="933">
          <cell r="K933">
            <v>3486.61</v>
          </cell>
          <cell r="M933" t="str">
            <v>STL-20260908</v>
          </cell>
        </row>
        <row r="934">
          <cell r="K934">
            <v>8965.15</v>
          </cell>
          <cell r="M934" t="str">
            <v>STL-20260908</v>
          </cell>
        </row>
        <row r="935">
          <cell r="K935">
            <v>8268.6299999999992</v>
          </cell>
          <cell r="M935" t="str">
            <v>STL-20260908</v>
          </cell>
        </row>
        <row r="936">
          <cell r="K936">
            <v>1598</v>
          </cell>
          <cell r="M936" t="str">
            <v>STL-20260908</v>
          </cell>
        </row>
        <row r="937">
          <cell r="K937">
            <v>3486.61</v>
          </cell>
          <cell r="M937" t="str">
            <v>STL-20260908</v>
          </cell>
        </row>
        <row r="938">
          <cell r="K938">
            <v>11456.3</v>
          </cell>
          <cell r="M938" t="str">
            <v>STL-20260908</v>
          </cell>
        </row>
        <row r="939">
          <cell r="K939">
            <v>2837.92</v>
          </cell>
          <cell r="M939" t="str">
            <v>STL-20260908</v>
          </cell>
        </row>
        <row r="940">
          <cell r="K940">
            <v>4897.74</v>
          </cell>
          <cell r="M940" t="str">
            <v>STL-20260908</v>
          </cell>
        </row>
        <row r="941">
          <cell r="K941">
            <v>4580.7299999999996</v>
          </cell>
          <cell r="M941" t="str">
            <v>STL-20260908</v>
          </cell>
        </row>
        <row r="942">
          <cell r="K942">
            <v>5884.76</v>
          </cell>
          <cell r="M942" t="str">
            <v>STL-20260908</v>
          </cell>
        </row>
        <row r="943">
          <cell r="K943">
            <v>1798</v>
          </cell>
          <cell r="M943" t="str">
            <v>STL-20260908</v>
          </cell>
        </row>
        <row r="944">
          <cell r="K944">
            <v>7970.68</v>
          </cell>
          <cell r="M944" t="str">
            <v>STL-20260908</v>
          </cell>
        </row>
        <row r="945">
          <cell r="K945">
            <v>782.03</v>
          </cell>
          <cell r="M945" t="str">
            <v>STL-20260908</v>
          </cell>
        </row>
        <row r="946">
          <cell r="K946">
            <v>6208.82</v>
          </cell>
          <cell r="M946" t="str">
            <v>STL-20260908</v>
          </cell>
        </row>
        <row r="947">
          <cell r="K947">
            <v>1998</v>
          </cell>
          <cell r="M947" t="str">
            <v>STL-20260908</v>
          </cell>
        </row>
        <row r="948">
          <cell r="K948">
            <v>349</v>
          </cell>
          <cell r="M948" t="str">
            <v>STL-20260908</v>
          </cell>
        </row>
        <row r="949">
          <cell r="K949">
            <v>1299</v>
          </cell>
          <cell r="M949" t="str">
            <v>STL-20260908</v>
          </cell>
        </row>
        <row r="950">
          <cell r="K950">
            <v>1848</v>
          </cell>
          <cell r="M950" t="str">
            <v>STL-20260908</v>
          </cell>
        </row>
        <row r="951">
          <cell r="K951">
            <v>799</v>
          </cell>
          <cell r="M951" t="str">
            <v>STL-20260908</v>
          </cell>
        </row>
        <row r="952">
          <cell r="K952">
            <v>999</v>
          </cell>
          <cell r="M952" t="str">
            <v>STL-20260908</v>
          </cell>
        </row>
        <row r="953">
          <cell r="K953">
            <v>5078.96</v>
          </cell>
          <cell r="M953" t="str">
            <v>STL-20260908</v>
          </cell>
        </row>
        <row r="954">
          <cell r="K954">
            <v>7847.98</v>
          </cell>
          <cell r="M954" t="str">
            <v>STL-20260908</v>
          </cell>
        </row>
        <row r="955">
          <cell r="K955">
            <v>4981.3</v>
          </cell>
          <cell r="M955" t="str">
            <v>STL-20260908</v>
          </cell>
        </row>
        <row r="956">
          <cell r="K956">
            <v>12064.83</v>
          </cell>
          <cell r="M956" t="str">
            <v>STL-20260908</v>
          </cell>
        </row>
        <row r="957">
          <cell r="K957">
            <v>4482.08</v>
          </cell>
          <cell r="M957" t="str">
            <v>STL-20260908</v>
          </cell>
        </row>
        <row r="958">
          <cell r="K958">
            <v>1998</v>
          </cell>
          <cell r="M958" t="str">
            <v>STL-20260908</v>
          </cell>
        </row>
        <row r="959">
          <cell r="K959">
            <v>341.59</v>
          </cell>
          <cell r="M959" t="str">
            <v>STL-20260908</v>
          </cell>
        </row>
        <row r="960">
          <cell r="K960">
            <v>3431.96</v>
          </cell>
          <cell r="M960" t="str">
            <v>STL-20260908</v>
          </cell>
        </row>
        <row r="961">
          <cell r="K961">
            <v>588.39</v>
          </cell>
          <cell r="M961" t="str">
            <v>STL-20260908</v>
          </cell>
        </row>
        <row r="962">
          <cell r="K962">
            <v>6276.23</v>
          </cell>
          <cell r="M962" t="str">
            <v>STL-20260908</v>
          </cell>
        </row>
        <row r="963">
          <cell r="K963">
            <v>1799</v>
          </cell>
          <cell r="M963" t="str">
            <v>STL-20260908</v>
          </cell>
        </row>
        <row r="964">
          <cell r="K964">
            <v>9961.61</v>
          </cell>
          <cell r="M964" t="str">
            <v>STL-20260908</v>
          </cell>
        </row>
        <row r="965">
          <cell r="K965">
            <v>1799</v>
          </cell>
          <cell r="M965" t="str">
            <v>STL-20260908</v>
          </cell>
        </row>
        <row r="966">
          <cell r="K966">
            <v>4981.3</v>
          </cell>
          <cell r="M966" t="str">
            <v>STL-20260908</v>
          </cell>
        </row>
        <row r="967">
          <cell r="K967">
            <v>3834.38</v>
          </cell>
          <cell r="M967" t="str">
            <v>STL-20260908</v>
          </cell>
        </row>
        <row r="968">
          <cell r="K968">
            <v>499</v>
          </cell>
          <cell r="M968" t="str">
            <v>STL-20260908</v>
          </cell>
        </row>
        <row r="969">
          <cell r="K969">
            <v>1760.79</v>
          </cell>
          <cell r="M969" t="str">
            <v>STL-20260908</v>
          </cell>
        </row>
        <row r="970">
          <cell r="K970">
            <v>798</v>
          </cell>
          <cell r="M970" t="str">
            <v>STL-20260908</v>
          </cell>
        </row>
        <row r="971">
          <cell r="K971">
            <v>586.28</v>
          </cell>
          <cell r="M971" t="str">
            <v>STL-20260908</v>
          </cell>
        </row>
        <row r="972">
          <cell r="K972">
            <v>5976.77</v>
          </cell>
          <cell r="M972" t="str">
            <v>STL-20260908</v>
          </cell>
        </row>
        <row r="973">
          <cell r="K973">
            <v>2788.1</v>
          </cell>
          <cell r="M973" t="str">
            <v>STL-20260908</v>
          </cell>
        </row>
        <row r="974">
          <cell r="K974">
            <v>5492.31</v>
          </cell>
          <cell r="M974" t="str">
            <v>STL-20260908</v>
          </cell>
        </row>
        <row r="975">
          <cell r="K975">
            <v>648</v>
          </cell>
          <cell r="M975" t="str">
            <v>STL-20260908</v>
          </cell>
        </row>
        <row r="976">
          <cell r="K976">
            <v>292.64999999999998</v>
          </cell>
          <cell r="M976" t="str">
            <v>STL-20260908</v>
          </cell>
        </row>
        <row r="977">
          <cell r="K977">
            <v>487.81</v>
          </cell>
          <cell r="M977" t="str">
            <v>STL-20260908</v>
          </cell>
        </row>
        <row r="978">
          <cell r="K978">
            <v>1598</v>
          </cell>
          <cell r="M978" t="str">
            <v>STL-20260908</v>
          </cell>
        </row>
        <row r="979">
          <cell r="K979">
            <v>4413.08</v>
          </cell>
          <cell r="M979" t="str">
            <v>STL-20260908</v>
          </cell>
        </row>
        <row r="980">
          <cell r="K980">
            <v>3585.27</v>
          </cell>
          <cell r="M980" t="str">
            <v>STL-20260908</v>
          </cell>
        </row>
        <row r="981">
          <cell r="K981">
            <v>3235.73</v>
          </cell>
          <cell r="M981" t="str">
            <v>STL-20260908</v>
          </cell>
        </row>
        <row r="982">
          <cell r="K982">
            <v>6773.94</v>
          </cell>
          <cell r="M982" t="str">
            <v>STL-20260908</v>
          </cell>
        </row>
        <row r="983">
          <cell r="K983">
            <v>5485.7</v>
          </cell>
          <cell r="M983" t="str">
            <v>STL-20260908</v>
          </cell>
        </row>
        <row r="984">
          <cell r="K984">
            <v>3584.27</v>
          </cell>
          <cell r="M984" t="str">
            <v>STL-20260908</v>
          </cell>
        </row>
        <row r="985">
          <cell r="K985">
            <v>782.03</v>
          </cell>
          <cell r="M985" t="str">
            <v>STL-20260908</v>
          </cell>
        </row>
        <row r="986">
          <cell r="K986">
            <v>5877.68</v>
          </cell>
          <cell r="M986" t="str">
            <v>STL-20260908</v>
          </cell>
        </row>
        <row r="987">
          <cell r="K987">
            <v>1756.71</v>
          </cell>
          <cell r="M987" t="str">
            <v>STL-20260908</v>
          </cell>
        </row>
        <row r="988">
          <cell r="K988">
            <v>3039.51</v>
          </cell>
          <cell r="M988" t="str">
            <v>STL-20260908</v>
          </cell>
        </row>
        <row r="989">
          <cell r="K989">
            <v>488.4</v>
          </cell>
          <cell r="M989" t="str">
            <v>STL-20260908</v>
          </cell>
        </row>
        <row r="990">
          <cell r="K990">
            <v>1760.79</v>
          </cell>
          <cell r="M990" t="str">
            <v>STL-20260908</v>
          </cell>
        </row>
        <row r="991">
          <cell r="K991">
            <v>8766.86</v>
          </cell>
          <cell r="M991" t="str">
            <v>STL-20260908</v>
          </cell>
        </row>
        <row r="992">
          <cell r="K992">
            <v>3486.61</v>
          </cell>
          <cell r="M992" t="str">
            <v>STL-20260908</v>
          </cell>
        </row>
        <row r="993">
          <cell r="K993">
            <v>4981.3</v>
          </cell>
          <cell r="M993" t="str">
            <v>STL-20260908</v>
          </cell>
        </row>
        <row r="994">
          <cell r="K994">
            <v>488.4</v>
          </cell>
          <cell r="M994" t="str">
            <v>STL-20260908</v>
          </cell>
        </row>
        <row r="995">
          <cell r="K995">
            <v>349</v>
          </cell>
          <cell r="M995" t="str">
            <v>STL-20260908</v>
          </cell>
        </row>
        <row r="996">
          <cell r="K996">
            <v>299</v>
          </cell>
          <cell r="M996" t="str">
            <v>STL-20260908</v>
          </cell>
        </row>
        <row r="997">
          <cell r="K997">
            <v>8467.92</v>
          </cell>
          <cell r="M997" t="str">
            <v>STL-20260908</v>
          </cell>
        </row>
        <row r="998">
          <cell r="K998">
            <v>2232.92</v>
          </cell>
          <cell r="M998" t="str">
            <v>STL-20260908</v>
          </cell>
        </row>
        <row r="999">
          <cell r="K999">
            <v>5776.48</v>
          </cell>
          <cell r="M999" t="str">
            <v>STL-20260908</v>
          </cell>
        </row>
        <row r="1000">
          <cell r="K1000">
            <v>9962.61</v>
          </cell>
          <cell r="M1000" t="str">
            <v>STL-20260908</v>
          </cell>
        </row>
        <row r="1001">
          <cell r="K1001">
            <v>5128.78</v>
          </cell>
          <cell r="M1001" t="str">
            <v>STL-20260908</v>
          </cell>
        </row>
        <row r="1002">
          <cell r="K1002">
            <v>3982.85</v>
          </cell>
          <cell r="M1002" t="str">
            <v>STL-20260908</v>
          </cell>
        </row>
        <row r="1003">
          <cell r="K1003">
            <v>349</v>
          </cell>
          <cell r="M1003" t="str">
            <v>STL-20260908</v>
          </cell>
        </row>
        <row r="1004">
          <cell r="K1004">
            <v>1998</v>
          </cell>
          <cell r="M1004" t="str">
            <v>STL-20260908</v>
          </cell>
        </row>
        <row r="1005">
          <cell r="K1005">
            <v>7838.54</v>
          </cell>
          <cell r="M1005" t="str">
            <v>STL-20260908</v>
          </cell>
        </row>
        <row r="1006">
          <cell r="K1006">
            <v>349</v>
          </cell>
          <cell r="M1006" t="str">
            <v>STL-20260908</v>
          </cell>
        </row>
        <row r="1007">
          <cell r="K1007">
            <v>781.06</v>
          </cell>
          <cell r="M1007" t="str">
            <v>STL-20260908</v>
          </cell>
        </row>
        <row r="1008">
          <cell r="K1008">
            <v>599</v>
          </cell>
          <cell r="M1008" t="str">
            <v>STL-20260908</v>
          </cell>
        </row>
        <row r="1009">
          <cell r="K1009">
            <v>12452.76</v>
          </cell>
          <cell r="M1009" t="str">
            <v>STL-20260908</v>
          </cell>
        </row>
        <row r="1010">
          <cell r="K1010">
            <v>8425.52</v>
          </cell>
          <cell r="M1010" t="str">
            <v>STL-20260908</v>
          </cell>
        </row>
        <row r="1011">
          <cell r="K1011">
            <v>9159.5</v>
          </cell>
          <cell r="M1011" t="str">
            <v>STL-20260908</v>
          </cell>
        </row>
        <row r="1012">
          <cell r="K1012">
            <v>3883.21</v>
          </cell>
          <cell r="M1012" t="str">
            <v>STL-20260908</v>
          </cell>
        </row>
        <row r="1013">
          <cell r="K1013">
            <v>1648</v>
          </cell>
          <cell r="M1013" t="str">
            <v>STL-20260908</v>
          </cell>
        </row>
        <row r="1014">
          <cell r="K1014">
            <v>1498</v>
          </cell>
          <cell r="M1014" t="str">
            <v>STL-20260908</v>
          </cell>
        </row>
        <row r="1015">
          <cell r="K1015">
            <v>683.18</v>
          </cell>
          <cell r="M1015" t="str">
            <v>STL-20260908</v>
          </cell>
        </row>
        <row r="1016">
          <cell r="K1016">
            <v>349</v>
          </cell>
          <cell r="M1016" t="str">
            <v>STL-20260908</v>
          </cell>
        </row>
        <row r="1017">
          <cell r="K1017">
            <v>3529.09</v>
          </cell>
          <cell r="M1017" t="str">
            <v>STL-20260908</v>
          </cell>
        </row>
        <row r="1018">
          <cell r="K1018">
            <v>8318.4500000000007</v>
          </cell>
          <cell r="M1018" t="str">
            <v>STL-20260908</v>
          </cell>
        </row>
        <row r="1019">
          <cell r="K1019">
            <v>3428.81</v>
          </cell>
          <cell r="M1019" t="str">
            <v>STL-20260908</v>
          </cell>
        </row>
        <row r="1020">
          <cell r="K1020">
            <v>8190.39</v>
          </cell>
          <cell r="M1020" t="str">
            <v>STL-20260908</v>
          </cell>
        </row>
        <row r="1021">
          <cell r="K1021">
            <v>1760.79</v>
          </cell>
          <cell r="M1021" t="str">
            <v>STL-20260908</v>
          </cell>
        </row>
        <row r="1022">
          <cell r="K1022">
            <v>292.64999999999998</v>
          </cell>
          <cell r="M1022" t="str">
            <v>STL-20260908</v>
          </cell>
        </row>
        <row r="1023">
          <cell r="K1023">
            <v>3432.94</v>
          </cell>
          <cell r="M1023" t="str">
            <v>STL-20260908</v>
          </cell>
        </row>
        <row r="1024">
          <cell r="K1024">
            <v>7847.98</v>
          </cell>
          <cell r="M1024" t="str">
            <v>STL-20260908</v>
          </cell>
        </row>
        <row r="1025">
          <cell r="K1025">
            <v>1898</v>
          </cell>
          <cell r="M1025" t="str">
            <v>STL-20260908</v>
          </cell>
        </row>
        <row r="1026">
          <cell r="K1026">
            <v>3251.3</v>
          </cell>
          <cell r="M1026" t="str">
            <v>STL-20260908</v>
          </cell>
        </row>
        <row r="1027">
          <cell r="K1027">
            <v>1299</v>
          </cell>
          <cell r="M1027" t="str">
            <v>STL-20260908</v>
          </cell>
        </row>
        <row r="1028">
          <cell r="K1028">
            <v>2389.52</v>
          </cell>
          <cell r="M1028" t="str">
            <v>STL-20260908</v>
          </cell>
        </row>
        <row r="1029">
          <cell r="K1029">
            <v>2988.38</v>
          </cell>
          <cell r="M1029" t="str">
            <v>STL-20260908</v>
          </cell>
        </row>
        <row r="1030">
          <cell r="K1030">
            <v>2988.38</v>
          </cell>
          <cell r="M1030" t="str">
            <v>STL-20260908</v>
          </cell>
        </row>
        <row r="1031">
          <cell r="K1031">
            <v>1798</v>
          </cell>
          <cell r="M1031" t="str">
            <v>STL-20260908</v>
          </cell>
        </row>
        <row r="1032">
          <cell r="K1032">
            <v>7847.98</v>
          </cell>
          <cell r="M1032" t="str">
            <v>STL-20260908</v>
          </cell>
        </row>
        <row r="1033">
          <cell r="K1033">
            <v>3384.98</v>
          </cell>
          <cell r="M1033" t="str">
            <v>STL-20260908</v>
          </cell>
        </row>
        <row r="1034">
          <cell r="K1034">
            <v>782.03</v>
          </cell>
          <cell r="M1034" t="str">
            <v>STL-20260908</v>
          </cell>
        </row>
        <row r="1035">
          <cell r="K1035">
            <v>4981.3</v>
          </cell>
          <cell r="M1035" t="str">
            <v>STL-20260908</v>
          </cell>
        </row>
        <row r="1036">
          <cell r="K1036">
            <v>4331.6099999999997</v>
          </cell>
          <cell r="M1036" t="str">
            <v>STL-20260908</v>
          </cell>
        </row>
        <row r="1037">
          <cell r="K1037">
            <v>1499</v>
          </cell>
          <cell r="M1037" t="str">
            <v>STL-20260908</v>
          </cell>
        </row>
        <row r="1038">
          <cell r="K1038">
            <v>349</v>
          </cell>
          <cell r="M1038" t="str">
            <v>STL-20260908</v>
          </cell>
        </row>
        <row r="1039">
          <cell r="K1039">
            <v>6274.71</v>
          </cell>
          <cell r="M1039" t="str">
            <v>STL-20260908</v>
          </cell>
        </row>
        <row r="1040">
          <cell r="K1040">
            <v>292.64999999999998</v>
          </cell>
          <cell r="M1040" t="str">
            <v>STL-20260908</v>
          </cell>
        </row>
        <row r="1041">
          <cell r="K1041">
            <v>2548.9499999999998</v>
          </cell>
          <cell r="M1041" t="str">
            <v>STL-20260908</v>
          </cell>
        </row>
        <row r="1042">
          <cell r="K1042">
            <v>3784.56</v>
          </cell>
          <cell r="M1042" t="str">
            <v>STL-20260908</v>
          </cell>
        </row>
        <row r="1043">
          <cell r="K1043">
            <v>2289.87</v>
          </cell>
          <cell r="M1043" t="str">
            <v>STL-20260908</v>
          </cell>
        </row>
        <row r="1044">
          <cell r="K1044">
            <v>8190.39</v>
          </cell>
          <cell r="M1044" t="str">
            <v>STL-20260908</v>
          </cell>
        </row>
        <row r="1045">
          <cell r="K1045">
            <v>599</v>
          </cell>
          <cell r="M1045" t="str">
            <v>STL-20260908</v>
          </cell>
        </row>
        <row r="1046">
          <cell r="K1046">
            <v>349</v>
          </cell>
          <cell r="M1046" t="str">
            <v>STL-20260908</v>
          </cell>
        </row>
        <row r="1047">
          <cell r="K1047">
            <v>2938.84</v>
          </cell>
          <cell r="M1047" t="str">
            <v>STL-20260908</v>
          </cell>
        </row>
        <row r="1048">
          <cell r="K1048">
            <v>488.4</v>
          </cell>
          <cell r="M1048" t="str">
            <v>STL-20260908</v>
          </cell>
        </row>
        <row r="1049">
          <cell r="K1049">
            <v>3286.33</v>
          </cell>
          <cell r="M1049" t="str">
            <v>STL-20260908</v>
          </cell>
        </row>
        <row r="1050">
          <cell r="K1050">
            <v>7970.68</v>
          </cell>
          <cell r="M1050" t="str">
            <v>STL-20260908</v>
          </cell>
        </row>
        <row r="1051">
          <cell r="K1051">
            <v>5577.19</v>
          </cell>
          <cell r="M1051" t="str">
            <v>STL-20260908</v>
          </cell>
        </row>
        <row r="1052">
          <cell r="K1052">
            <v>4981.3</v>
          </cell>
          <cell r="M1052" t="str">
            <v>STL-20260908</v>
          </cell>
        </row>
        <row r="1053">
          <cell r="K1053">
            <v>12054.18</v>
          </cell>
          <cell r="M1053" t="str">
            <v>STL-20260908</v>
          </cell>
        </row>
        <row r="1054">
          <cell r="K1054">
            <v>293.7</v>
          </cell>
          <cell r="M1054" t="str">
            <v>STL-20260908</v>
          </cell>
        </row>
        <row r="1055">
          <cell r="K1055">
            <v>6275.71</v>
          </cell>
          <cell r="M1055" t="str">
            <v>STL-20260908</v>
          </cell>
        </row>
        <row r="1056">
          <cell r="K1056">
            <v>1499</v>
          </cell>
          <cell r="M1056" t="str">
            <v>STL-20260908</v>
          </cell>
        </row>
        <row r="1057">
          <cell r="K1057">
            <v>341.59</v>
          </cell>
          <cell r="M1057" t="str">
            <v>STL-20260908</v>
          </cell>
        </row>
        <row r="1058">
          <cell r="K1058">
            <v>7970.68</v>
          </cell>
          <cell r="M1058" t="str">
            <v>STL-20260908</v>
          </cell>
        </row>
        <row r="1059">
          <cell r="K1059">
            <v>10200.709999999999</v>
          </cell>
          <cell r="M1059" t="str">
            <v>STL-20260908</v>
          </cell>
        </row>
        <row r="1060">
          <cell r="K1060">
            <v>1299</v>
          </cell>
          <cell r="M1060" t="str">
            <v>STL-20260908</v>
          </cell>
        </row>
        <row r="1061">
          <cell r="K1061">
            <v>5826.3</v>
          </cell>
          <cell r="M1061" t="str">
            <v>STL-20260908</v>
          </cell>
        </row>
        <row r="1062">
          <cell r="K1062">
            <v>1799</v>
          </cell>
          <cell r="M1062" t="str">
            <v>STL-20260908</v>
          </cell>
        </row>
        <row r="1063">
          <cell r="K1063">
            <v>3627.2</v>
          </cell>
          <cell r="M1063" t="str">
            <v>STL-20260908</v>
          </cell>
        </row>
        <row r="1064">
          <cell r="K1064">
            <v>4413.08</v>
          </cell>
          <cell r="M1064" t="str">
            <v>STL-20260908</v>
          </cell>
        </row>
        <row r="1065">
          <cell r="K1065">
            <v>4981.3</v>
          </cell>
          <cell r="M1065" t="str">
            <v>STL-20260908</v>
          </cell>
        </row>
        <row r="1066">
          <cell r="K1066">
            <v>2988.38</v>
          </cell>
          <cell r="M1066" t="str">
            <v>STL-20260908</v>
          </cell>
        </row>
        <row r="1067">
          <cell r="K1067">
            <v>341.59</v>
          </cell>
          <cell r="M1067" t="str">
            <v>STL-20260908</v>
          </cell>
        </row>
        <row r="1068">
          <cell r="K1068">
            <v>5976.77</v>
          </cell>
          <cell r="M1068" t="str">
            <v>STL-20260908</v>
          </cell>
        </row>
        <row r="1069">
          <cell r="K1069">
            <v>2463.61</v>
          </cell>
          <cell r="M1069" t="str">
            <v>STL-20260908</v>
          </cell>
        </row>
        <row r="1070">
          <cell r="K1070">
            <v>799</v>
          </cell>
          <cell r="M1070" t="str">
            <v>STL-20260908</v>
          </cell>
        </row>
        <row r="1071">
          <cell r="K1071">
            <v>9265.09</v>
          </cell>
          <cell r="M1071" t="str">
            <v>STL-20260908</v>
          </cell>
        </row>
        <row r="1072">
          <cell r="K1072">
            <v>2490.15</v>
          </cell>
          <cell r="M1072" t="str">
            <v>STL-20260908</v>
          </cell>
        </row>
        <row r="1073">
          <cell r="K1073">
            <v>3086.04</v>
          </cell>
          <cell r="M1073" t="str">
            <v>STL-20260908</v>
          </cell>
        </row>
        <row r="1074">
          <cell r="K1074">
            <v>3783.56</v>
          </cell>
          <cell r="M1074" t="str">
            <v>STL-20260908</v>
          </cell>
        </row>
        <row r="1075">
          <cell r="K1075">
            <v>599</v>
          </cell>
          <cell r="M1075" t="str">
            <v>STL-20260908</v>
          </cell>
        </row>
        <row r="1076">
          <cell r="K1076">
            <v>3690.44</v>
          </cell>
          <cell r="M1076" t="str">
            <v>STL-20260908</v>
          </cell>
        </row>
        <row r="1077">
          <cell r="K1077">
            <v>3485.62</v>
          </cell>
          <cell r="M1077" t="str">
            <v>STL-20260908</v>
          </cell>
        </row>
        <row r="1078">
          <cell r="K1078">
            <v>3086.04</v>
          </cell>
          <cell r="M1078" t="str">
            <v>STL-20260908</v>
          </cell>
        </row>
        <row r="1079">
          <cell r="K1079">
            <v>3336.15</v>
          </cell>
          <cell r="M1079" t="str">
            <v>STL-20260908</v>
          </cell>
        </row>
        <row r="1080">
          <cell r="K1080">
            <v>1499</v>
          </cell>
          <cell r="M1080" t="str">
            <v>STL-20260908</v>
          </cell>
        </row>
        <row r="1081">
          <cell r="K1081">
            <v>4981.3</v>
          </cell>
          <cell r="M1081" t="str">
            <v>STL-20260908</v>
          </cell>
        </row>
        <row r="1082">
          <cell r="K1082">
            <v>3449.45</v>
          </cell>
          <cell r="M1082" t="str">
            <v>STL-20260908</v>
          </cell>
        </row>
        <row r="1083">
          <cell r="K1083">
            <v>781.09</v>
          </cell>
          <cell r="M1083" t="str">
            <v>STL-20260908</v>
          </cell>
        </row>
        <row r="1084">
          <cell r="K1084">
            <v>4981.3</v>
          </cell>
          <cell r="M1084" t="str">
            <v>STL-20260908</v>
          </cell>
        </row>
        <row r="1085">
          <cell r="K1085">
            <v>9613.01</v>
          </cell>
          <cell r="M1085" t="str">
            <v>STL-20260908</v>
          </cell>
        </row>
        <row r="1086">
          <cell r="K1086">
            <v>798</v>
          </cell>
          <cell r="M1086" t="str">
            <v>STL-20260908</v>
          </cell>
        </row>
        <row r="1087">
          <cell r="K1087">
            <v>7847.98</v>
          </cell>
          <cell r="M1087" t="str">
            <v>STL-20260908</v>
          </cell>
        </row>
        <row r="1088">
          <cell r="K1088">
            <v>499</v>
          </cell>
          <cell r="M1088" t="str">
            <v>STL-20260908</v>
          </cell>
        </row>
        <row r="1089">
          <cell r="K1089">
            <v>8925.25</v>
          </cell>
          <cell r="M1089" t="str">
            <v>STL-20260908</v>
          </cell>
        </row>
        <row r="1090">
          <cell r="K1090">
            <v>4282.79</v>
          </cell>
          <cell r="M1090" t="str">
            <v>STL-20260908</v>
          </cell>
        </row>
        <row r="1091">
          <cell r="K1091">
            <v>981.31</v>
          </cell>
          <cell r="M1091" t="str">
            <v>STL-20260908</v>
          </cell>
        </row>
        <row r="1092">
          <cell r="K1092">
            <v>-5998</v>
          </cell>
          <cell r="M1092" t="str">
            <v>STL-20260908</v>
          </cell>
        </row>
        <row r="1093">
          <cell r="K1093">
            <v>-3499</v>
          </cell>
          <cell r="M1093" t="str">
            <v>STL-20260908</v>
          </cell>
        </row>
        <row r="1094">
          <cell r="K1094">
            <v>-999</v>
          </cell>
          <cell r="M1094" t="str">
            <v>STL-20260908</v>
          </cell>
        </row>
        <row r="1095">
          <cell r="K1095">
            <v>1598</v>
          </cell>
          <cell r="M1095" t="str">
            <v>STL-20260909</v>
          </cell>
        </row>
        <row r="1096">
          <cell r="K1096">
            <v>490.16</v>
          </cell>
          <cell r="M1096" t="str">
            <v>STL-20260909</v>
          </cell>
        </row>
        <row r="1097">
          <cell r="K1097">
            <v>4981.3</v>
          </cell>
          <cell r="M1097" t="str">
            <v>STL-20260909</v>
          </cell>
        </row>
        <row r="1098">
          <cell r="K1098">
            <v>499</v>
          </cell>
          <cell r="M1098" t="str">
            <v>STL-20260909</v>
          </cell>
        </row>
        <row r="1099">
          <cell r="K1099">
            <v>2463.61</v>
          </cell>
          <cell r="M1099" t="str">
            <v>STL-20260909</v>
          </cell>
        </row>
        <row r="1100">
          <cell r="K1100">
            <v>3983.85</v>
          </cell>
          <cell r="M1100" t="str">
            <v>STL-20260909</v>
          </cell>
        </row>
        <row r="1101">
          <cell r="K1101">
            <v>3399.9</v>
          </cell>
          <cell r="M1101" t="str">
            <v>STL-20260909</v>
          </cell>
        </row>
        <row r="1102">
          <cell r="K1102">
            <v>2451.8200000000002</v>
          </cell>
          <cell r="M1102" t="str">
            <v>STL-20260909</v>
          </cell>
        </row>
        <row r="1103">
          <cell r="K1103">
            <v>349</v>
          </cell>
          <cell r="M1103" t="str">
            <v>STL-20260909</v>
          </cell>
        </row>
        <row r="1104">
          <cell r="K1104">
            <v>4282.79</v>
          </cell>
          <cell r="M1104" t="str">
            <v>STL-20260909</v>
          </cell>
        </row>
        <row r="1105">
          <cell r="K1105">
            <v>7292.26</v>
          </cell>
          <cell r="M1105" t="str">
            <v>STL-20260909</v>
          </cell>
        </row>
        <row r="1106">
          <cell r="K1106">
            <v>5329.07</v>
          </cell>
          <cell r="M1106" t="str">
            <v>STL-20260909</v>
          </cell>
        </row>
        <row r="1107">
          <cell r="K1107">
            <v>7970.68</v>
          </cell>
          <cell r="M1107" t="str">
            <v>STL-20260909</v>
          </cell>
        </row>
        <row r="1108">
          <cell r="K1108">
            <v>1758.67</v>
          </cell>
          <cell r="M1108" t="str">
            <v>STL-20260909</v>
          </cell>
        </row>
        <row r="1109">
          <cell r="K1109">
            <v>2288.87</v>
          </cell>
          <cell r="M1109" t="str">
            <v>STL-20260909</v>
          </cell>
        </row>
        <row r="1110">
          <cell r="K1110">
            <v>488.4</v>
          </cell>
          <cell r="M1110" t="str">
            <v>STL-20260909</v>
          </cell>
        </row>
        <row r="1111">
          <cell r="K1111">
            <v>7970.68</v>
          </cell>
          <cell r="M1111" t="str">
            <v>STL-20260909</v>
          </cell>
        </row>
        <row r="1112">
          <cell r="K1112">
            <v>3087.04</v>
          </cell>
          <cell r="M1112" t="str">
            <v>STL-20260909</v>
          </cell>
        </row>
        <row r="1113">
          <cell r="K1113">
            <v>499</v>
          </cell>
          <cell r="M1113" t="str">
            <v>STL-20260909</v>
          </cell>
        </row>
        <row r="1114">
          <cell r="K1114">
            <v>2254.61</v>
          </cell>
          <cell r="M1114" t="str">
            <v>STL-20260909</v>
          </cell>
        </row>
        <row r="1115">
          <cell r="K1115">
            <v>5976.77</v>
          </cell>
          <cell r="M1115" t="str">
            <v>STL-20260909</v>
          </cell>
        </row>
        <row r="1116">
          <cell r="K1116">
            <v>2987.39</v>
          </cell>
          <cell r="M1116" t="str">
            <v>STL-20260909</v>
          </cell>
        </row>
        <row r="1117">
          <cell r="K1117">
            <v>6178.11</v>
          </cell>
          <cell r="M1117" t="str">
            <v>STL-20260909</v>
          </cell>
        </row>
        <row r="1118">
          <cell r="K1118">
            <v>3332.87</v>
          </cell>
          <cell r="M1118" t="str">
            <v>STL-20260909</v>
          </cell>
        </row>
        <row r="1119">
          <cell r="K1119">
            <v>3086.04</v>
          </cell>
          <cell r="M1119" t="str">
            <v>STL-20260909</v>
          </cell>
        </row>
        <row r="1120">
          <cell r="K1120">
            <v>799</v>
          </cell>
          <cell r="M1120" t="str">
            <v>STL-20260909</v>
          </cell>
        </row>
        <row r="1121">
          <cell r="K1121">
            <v>349</v>
          </cell>
          <cell r="M1121" t="str">
            <v>STL-20260909</v>
          </cell>
        </row>
        <row r="1122">
          <cell r="K1122">
            <v>585.57000000000005</v>
          </cell>
          <cell r="M1122" t="str">
            <v>STL-20260909</v>
          </cell>
        </row>
        <row r="1123">
          <cell r="K1123">
            <v>5478.54</v>
          </cell>
          <cell r="M1123" t="str">
            <v>STL-20260909</v>
          </cell>
        </row>
        <row r="1124">
          <cell r="K1124">
            <v>4928.21</v>
          </cell>
          <cell r="M1124" t="str">
            <v>STL-20260909</v>
          </cell>
        </row>
        <row r="1125">
          <cell r="K1125">
            <v>4981.3</v>
          </cell>
          <cell r="M1125" t="str">
            <v>STL-20260909</v>
          </cell>
        </row>
        <row r="1126">
          <cell r="K1126">
            <v>341.59</v>
          </cell>
          <cell r="M1126" t="str">
            <v>STL-20260909</v>
          </cell>
        </row>
        <row r="1127">
          <cell r="K1127">
            <v>4981.3</v>
          </cell>
          <cell r="M1127" t="str">
            <v>STL-20260909</v>
          </cell>
        </row>
        <row r="1128">
          <cell r="K1128">
            <v>782.03</v>
          </cell>
          <cell r="M1128" t="str">
            <v>STL-20260909</v>
          </cell>
        </row>
        <row r="1129">
          <cell r="K1129">
            <v>4707.41</v>
          </cell>
          <cell r="M1129" t="str">
            <v>STL-20260909</v>
          </cell>
        </row>
        <row r="1130">
          <cell r="K1130">
            <v>599</v>
          </cell>
          <cell r="M1130" t="str">
            <v>STL-20260909</v>
          </cell>
        </row>
        <row r="1131">
          <cell r="K1131">
            <v>10789.38</v>
          </cell>
          <cell r="M1131" t="str">
            <v>STL-20260909</v>
          </cell>
        </row>
        <row r="1132">
          <cell r="K1132">
            <v>490.16</v>
          </cell>
          <cell r="M1132" t="str">
            <v>STL-20260909</v>
          </cell>
        </row>
        <row r="1133">
          <cell r="K1133">
            <v>3744.22</v>
          </cell>
          <cell r="M1133" t="str">
            <v>STL-20260909</v>
          </cell>
        </row>
        <row r="1134">
          <cell r="K1134">
            <v>2588.81</v>
          </cell>
          <cell r="M1134" t="str">
            <v>STL-20260909</v>
          </cell>
        </row>
        <row r="1135">
          <cell r="K1135">
            <v>6963.01</v>
          </cell>
          <cell r="M1135" t="str">
            <v>STL-20260909</v>
          </cell>
        </row>
        <row r="1136">
          <cell r="K1136">
            <v>799</v>
          </cell>
          <cell r="M1136" t="str">
            <v>STL-20260909</v>
          </cell>
        </row>
        <row r="1137">
          <cell r="K1137">
            <v>299</v>
          </cell>
          <cell r="M1137" t="str">
            <v>STL-20260909</v>
          </cell>
        </row>
        <row r="1138">
          <cell r="K1138">
            <v>8337.56</v>
          </cell>
          <cell r="M1138" t="str">
            <v>STL-20260909</v>
          </cell>
        </row>
        <row r="1139">
          <cell r="K1139">
            <v>3726.29</v>
          </cell>
          <cell r="M1139" t="str">
            <v>STL-20260909</v>
          </cell>
        </row>
        <row r="1140">
          <cell r="K1140">
            <v>1418.23</v>
          </cell>
          <cell r="M1140" t="str">
            <v>STL-20260909</v>
          </cell>
        </row>
        <row r="1141">
          <cell r="K1141">
            <v>1465.39</v>
          </cell>
          <cell r="M1141" t="str">
            <v>STL-20260909</v>
          </cell>
        </row>
        <row r="1142">
          <cell r="K1142">
            <v>349</v>
          </cell>
          <cell r="M1142" t="str">
            <v>STL-20260909</v>
          </cell>
        </row>
        <row r="1143">
          <cell r="K1143">
            <v>2183.36</v>
          </cell>
          <cell r="M1143" t="str">
            <v>STL-20260909</v>
          </cell>
        </row>
        <row r="1144">
          <cell r="K1144">
            <v>1499</v>
          </cell>
          <cell r="M1144" t="str">
            <v>STL-20260909</v>
          </cell>
        </row>
        <row r="1145">
          <cell r="K1145">
            <v>11257.01</v>
          </cell>
          <cell r="M1145" t="str">
            <v>STL-20260909</v>
          </cell>
        </row>
        <row r="1146">
          <cell r="K1146">
            <v>10959.07</v>
          </cell>
          <cell r="M1146" t="str">
            <v>STL-20260909</v>
          </cell>
        </row>
        <row r="1147">
          <cell r="K1147">
            <v>1799</v>
          </cell>
          <cell r="M1147" t="str">
            <v>STL-20260909</v>
          </cell>
        </row>
        <row r="1148">
          <cell r="K1148">
            <v>8766.86</v>
          </cell>
          <cell r="M1148" t="str">
            <v>STL-20260909</v>
          </cell>
        </row>
        <row r="1149">
          <cell r="K1149">
            <v>3087.04</v>
          </cell>
          <cell r="M1149" t="str">
            <v>STL-20260909</v>
          </cell>
        </row>
        <row r="1150">
          <cell r="K1150">
            <v>2490.15</v>
          </cell>
          <cell r="M1150" t="str">
            <v>STL-20260909</v>
          </cell>
        </row>
        <row r="1151">
          <cell r="K1151">
            <v>2289.87</v>
          </cell>
          <cell r="M1151" t="str">
            <v>STL-20260909</v>
          </cell>
        </row>
        <row r="1152">
          <cell r="K1152">
            <v>999</v>
          </cell>
          <cell r="M1152" t="str">
            <v>STL-20260909</v>
          </cell>
        </row>
        <row r="1153">
          <cell r="K1153">
            <v>1348</v>
          </cell>
          <cell r="M1153" t="str">
            <v>STL-20260909</v>
          </cell>
        </row>
        <row r="1154">
          <cell r="K1154">
            <v>1499</v>
          </cell>
          <cell r="M1154" t="str">
            <v>STL-20260909</v>
          </cell>
        </row>
        <row r="1155">
          <cell r="K1155">
            <v>798</v>
          </cell>
          <cell r="M1155" t="str">
            <v>STL-20260909</v>
          </cell>
        </row>
        <row r="1156">
          <cell r="K1156">
            <v>2548.9499999999998</v>
          </cell>
          <cell r="M1156" t="str">
            <v>STL-20260909</v>
          </cell>
        </row>
        <row r="1157">
          <cell r="K1157">
            <v>1299</v>
          </cell>
          <cell r="M1157" t="str">
            <v>STL-20260909</v>
          </cell>
        </row>
        <row r="1158">
          <cell r="K1158">
            <v>341.18</v>
          </cell>
          <cell r="M1158" t="str">
            <v>STL-20260909</v>
          </cell>
        </row>
        <row r="1159">
          <cell r="K1159">
            <v>5387.71</v>
          </cell>
          <cell r="M1159" t="str">
            <v>STL-20260909</v>
          </cell>
        </row>
        <row r="1160">
          <cell r="K1160">
            <v>342.82</v>
          </cell>
          <cell r="M1160" t="str">
            <v>STL-20260909</v>
          </cell>
        </row>
        <row r="1161">
          <cell r="K1161">
            <v>4730.0600000000004</v>
          </cell>
          <cell r="M1161" t="str">
            <v>STL-20260909</v>
          </cell>
        </row>
        <row r="1162">
          <cell r="K1162">
            <v>4216.8500000000004</v>
          </cell>
          <cell r="M1162" t="str">
            <v>STL-20260909</v>
          </cell>
        </row>
        <row r="1163">
          <cell r="K1163">
            <v>349</v>
          </cell>
          <cell r="M1163" t="str">
            <v>STL-20260909</v>
          </cell>
        </row>
        <row r="1164">
          <cell r="K1164">
            <v>3872.48</v>
          </cell>
          <cell r="M1164" t="str">
            <v>STL-20260909</v>
          </cell>
        </row>
        <row r="1165">
          <cell r="K1165">
            <v>3086.04</v>
          </cell>
          <cell r="M1165" t="str">
            <v>STL-20260909</v>
          </cell>
        </row>
        <row r="1166">
          <cell r="K1166">
            <v>981.31</v>
          </cell>
          <cell r="M1166" t="str">
            <v>STL-20260909</v>
          </cell>
        </row>
        <row r="1167">
          <cell r="K1167">
            <v>1569.72</v>
          </cell>
          <cell r="M1167" t="str">
            <v>STL-20260909</v>
          </cell>
        </row>
        <row r="1168">
          <cell r="K1168">
            <v>16737.54</v>
          </cell>
          <cell r="M1168" t="str">
            <v>STL-20260909</v>
          </cell>
        </row>
        <row r="1169">
          <cell r="K1169">
            <v>12064.83</v>
          </cell>
          <cell r="M1169" t="str">
            <v>STL-20260909</v>
          </cell>
        </row>
        <row r="1170">
          <cell r="K1170">
            <v>1760.79</v>
          </cell>
          <cell r="M1170" t="str">
            <v>STL-20260909</v>
          </cell>
        </row>
        <row r="1171">
          <cell r="K1171">
            <v>4981.3</v>
          </cell>
          <cell r="M1171" t="str">
            <v>STL-20260909</v>
          </cell>
        </row>
        <row r="1172">
          <cell r="K1172">
            <v>342.82</v>
          </cell>
          <cell r="M1172" t="str">
            <v>STL-20260909</v>
          </cell>
        </row>
        <row r="1173">
          <cell r="K1173">
            <v>1760.79</v>
          </cell>
          <cell r="M1173" t="str">
            <v>STL-20260909</v>
          </cell>
        </row>
        <row r="1174">
          <cell r="K1174">
            <v>341.18</v>
          </cell>
          <cell r="M1174" t="str">
            <v>STL-20260909</v>
          </cell>
        </row>
        <row r="1175">
          <cell r="K1175">
            <v>2090.58</v>
          </cell>
          <cell r="M1175" t="str">
            <v>STL-20260909</v>
          </cell>
        </row>
        <row r="1176">
          <cell r="K1176">
            <v>2942.38</v>
          </cell>
          <cell r="M1176" t="str">
            <v>STL-20260909</v>
          </cell>
        </row>
        <row r="1177">
          <cell r="K1177">
            <v>781.09</v>
          </cell>
          <cell r="M1177" t="str">
            <v>STL-20260909</v>
          </cell>
        </row>
        <row r="1178">
          <cell r="K1178">
            <v>5247.03</v>
          </cell>
          <cell r="M1178" t="str">
            <v>STL-20260909</v>
          </cell>
        </row>
        <row r="1179">
          <cell r="K1179">
            <v>1498</v>
          </cell>
          <cell r="M1179" t="str">
            <v>STL-20260909</v>
          </cell>
        </row>
        <row r="1180">
          <cell r="K1180">
            <v>4898.72</v>
          </cell>
          <cell r="M1180" t="str">
            <v>STL-20260909</v>
          </cell>
        </row>
        <row r="1181">
          <cell r="K1181">
            <v>8267.6299999999992</v>
          </cell>
          <cell r="M1181" t="str">
            <v>STL-20260909</v>
          </cell>
        </row>
        <row r="1182">
          <cell r="K1182">
            <v>586.28</v>
          </cell>
          <cell r="M1182" t="str">
            <v>STL-20260909</v>
          </cell>
        </row>
        <row r="1183">
          <cell r="K1183">
            <v>599</v>
          </cell>
          <cell r="M1183" t="str">
            <v>STL-20260909</v>
          </cell>
        </row>
        <row r="1184">
          <cell r="K1184">
            <v>1760.79</v>
          </cell>
          <cell r="M1184" t="str">
            <v>STL-20260909</v>
          </cell>
        </row>
        <row r="1185">
          <cell r="K1185">
            <v>599</v>
          </cell>
          <cell r="M1185" t="str">
            <v>STL-20260909</v>
          </cell>
        </row>
        <row r="1186">
          <cell r="K1186">
            <v>4211.78</v>
          </cell>
          <cell r="M1186" t="str">
            <v>STL-20260909</v>
          </cell>
        </row>
        <row r="1187">
          <cell r="K1187">
            <v>2942.38</v>
          </cell>
          <cell r="M1187" t="str">
            <v>STL-20260909</v>
          </cell>
        </row>
        <row r="1188">
          <cell r="K1188">
            <v>7970.68</v>
          </cell>
          <cell r="M1188" t="str">
            <v>STL-20260909</v>
          </cell>
        </row>
        <row r="1189">
          <cell r="K1189">
            <v>2942.38</v>
          </cell>
          <cell r="M1189" t="str">
            <v>STL-20260909</v>
          </cell>
        </row>
        <row r="1190">
          <cell r="K1190">
            <v>3384.98</v>
          </cell>
          <cell r="M1190" t="str">
            <v>STL-20260909</v>
          </cell>
        </row>
        <row r="1191">
          <cell r="K1191">
            <v>6275.71</v>
          </cell>
          <cell r="M1191" t="str">
            <v>STL-20260909</v>
          </cell>
        </row>
        <row r="1192">
          <cell r="K1192">
            <v>586.28</v>
          </cell>
          <cell r="M1192" t="str">
            <v>STL-20260909</v>
          </cell>
        </row>
        <row r="1193">
          <cell r="K1193">
            <v>599</v>
          </cell>
          <cell r="M1193" t="str">
            <v>STL-20260909</v>
          </cell>
        </row>
        <row r="1194">
          <cell r="K1194">
            <v>1598</v>
          </cell>
          <cell r="M1194" t="str">
            <v>STL-20260909</v>
          </cell>
        </row>
        <row r="1195">
          <cell r="K1195">
            <v>8966.15</v>
          </cell>
          <cell r="M1195" t="str">
            <v>STL-20260909</v>
          </cell>
        </row>
        <row r="1196">
          <cell r="K1196">
            <v>4781.0200000000004</v>
          </cell>
          <cell r="M1196" t="str">
            <v>STL-20260909</v>
          </cell>
        </row>
        <row r="1197">
          <cell r="K1197">
            <v>1759.82</v>
          </cell>
          <cell r="M1197" t="str">
            <v>STL-20260909</v>
          </cell>
        </row>
        <row r="1198">
          <cell r="K1198">
            <v>4904.62</v>
          </cell>
          <cell r="M1198" t="str">
            <v>STL-20260909</v>
          </cell>
        </row>
        <row r="1199">
          <cell r="K1199">
            <v>4981.3</v>
          </cell>
          <cell r="M1199" t="str">
            <v>STL-20260909</v>
          </cell>
        </row>
        <row r="1200">
          <cell r="K1200">
            <v>349</v>
          </cell>
          <cell r="M1200" t="str">
            <v>STL-20260909</v>
          </cell>
        </row>
        <row r="1201">
          <cell r="K1201">
            <v>3432.94</v>
          </cell>
          <cell r="M1201" t="str">
            <v>STL-20260909</v>
          </cell>
        </row>
        <row r="1202">
          <cell r="K1202">
            <v>3035.85</v>
          </cell>
          <cell r="M1202" t="str">
            <v>STL-20260909</v>
          </cell>
        </row>
        <row r="1203">
          <cell r="K1203">
            <v>3486.61</v>
          </cell>
          <cell r="M1203" t="str">
            <v>STL-20260909</v>
          </cell>
        </row>
        <row r="1204">
          <cell r="K1204">
            <v>2448.87</v>
          </cell>
          <cell r="M1204" t="str">
            <v>STL-20260909</v>
          </cell>
        </row>
        <row r="1205">
          <cell r="K1205">
            <v>4904.62</v>
          </cell>
          <cell r="M1205" t="str">
            <v>STL-20260909</v>
          </cell>
        </row>
        <row r="1206">
          <cell r="K1206">
            <v>2842.31</v>
          </cell>
          <cell r="M1206" t="str">
            <v>STL-20260909</v>
          </cell>
        </row>
        <row r="1207">
          <cell r="K1207">
            <v>9763.32</v>
          </cell>
          <cell r="M1207" t="str">
            <v>STL-20260909</v>
          </cell>
        </row>
        <row r="1208">
          <cell r="K1208">
            <v>488.4</v>
          </cell>
          <cell r="M1208" t="str">
            <v>STL-20260909</v>
          </cell>
        </row>
        <row r="1209">
          <cell r="K1209">
            <v>7970.68</v>
          </cell>
          <cell r="M1209" t="str">
            <v>STL-20260909</v>
          </cell>
        </row>
        <row r="1210">
          <cell r="K1210">
            <v>6474</v>
          </cell>
          <cell r="M1210" t="str">
            <v>STL-20260909</v>
          </cell>
        </row>
        <row r="1211">
          <cell r="K1211">
            <v>4898.72</v>
          </cell>
          <cell r="M1211" t="str">
            <v>STL-20260909</v>
          </cell>
        </row>
        <row r="1212">
          <cell r="K1212">
            <v>349</v>
          </cell>
          <cell r="M1212" t="str">
            <v>STL-20260909</v>
          </cell>
        </row>
        <row r="1213">
          <cell r="K1213">
            <v>2988.38</v>
          </cell>
          <cell r="M1213" t="str">
            <v>STL-20260909</v>
          </cell>
        </row>
        <row r="1214">
          <cell r="K1214">
            <v>11671.72</v>
          </cell>
          <cell r="M1214" t="str">
            <v>STL-20260909</v>
          </cell>
        </row>
        <row r="1215">
          <cell r="K1215">
            <v>3428.81</v>
          </cell>
          <cell r="M1215" t="str">
            <v>STL-20260909</v>
          </cell>
        </row>
        <row r="1216">
          <cell r="K1216">
            <v>1499</v>
          </cell>
          <cell r="M1216" t="str">
            <v>STL-20260909</v>
          </cell>
        </row>
        <row r="1217">
          <cell r="K1217">
            <v>2490.15</v>
          </cell>
          <cell r="M1217" t="str">
            <v>STL-20260909</v>
          </cell>
        </row>
        <row r="1218">
          <cell r="K1218">
            <v>4981.3</v>
          </cell>
          <cell r="M1218" t="str">
            <v>STL-20260909</v>
          </cell>
        </row>
        <row r="1219">
          <cell r="K1219">
            <v>3432.94</v>
          </cell>
          <cell r="M1219" t="str">
            <v>STL-20260909</v>
          </cell>
        </row>
        <row r="1220">
          <cell r="K1220">
            <v>1798</v>
          </cell>
          <cell r="M1220" t="str">
            <v>STL-20260909</v>
          </cell>
        </row>
        <row r="1221">
          <cell r="K1221">
            <v>11279.94</v>
          </cell>
          <cell r="M1221" t="str">
            <v>STL-20260909</v>
          </cell>
        </row>
        <row r="1222">
          <cell r="K1222">
            <v>6464.66</v>
          </cell>
          <cell r="M1222" t="str">
            <v>STL-20260909</v>
          </cell>
        </row>
        <row r="1223">
          <cell r="K1223">
            <v>5279.25</v>
          </cell>
          <cell r="M1223" t="str">
            <v>STL-20260909</v>
          </cell>
        </row>
        <row r="1224">
          <cell r="K1224">
            <v>599</v>
          </cell>
          <cell r="M1224" t="str">
            <v>STL-20260909</v>
          </cell>
        </row>
        <row r="1225">
          <cell r="K1225">
            <v>1998</v>
          </cell>
          <cell r="M1225" t="str">
            <v>STL-20260909</v>
          </cell>
        </row>
        <row r="1226">
          <cell r="K1226">
            <v>5688.53</v>
          </cell>
          <cell r="M1226" t="str">
            <v>STL-20260909</v>
          </cell>
        </row>
        <row r="1227">
          <cell r="K1227">
            <v>6075.42</v>
          </cell>
          <cell r="M1227" t="str">
            <v>STL-20260909</v>
          </cell>
        </row>
        <row r="1228">
          <cell r="K1228">
            <v>3486.61</v>
          </cell>
          <cell r="M1228" t="str">
            <v>STL-20260909</v>
          </cell>
        </row>
        <row r="1229">
          <cell r="K1229">
            <v>499</v>
          </cell>
          <cell r="M1229" t="str">
            <v>STL-20260909</v>
          </cell>
        </row>
        <row r="1230">
          <cell r="K1230">
            <v>1799</v>
          </cell>
          <cell r="M1230" t="str">
            <v>STL-20260909</v>
          </cell>
        </row>
        <row r="1231">
          <cell r="K1231">
            <v>3744.22</v>
          </cell>
          <cell r="M1231" t="str">
            <v>STL-20260909</v>
          </cell>
        </row>
        <row r="1232">
          <cell r="K1232">
            <v>4981.3</v>
          </cell>
          <cell r="M1232" t="str">
            <v>STL-20260909</v>
          </cell>
        </row>
        <row r="1233">
          <cell r="K1233">
            <v>3087.04</v>
          </cell>
          <cell r="M1233" t="str">
            <v>STL-20260909</v>
          </cell>
        </row>
        <row r="1234">
          <cell r="K1234">
            <v>7837.56</v>
          </cell>
          <cell r="M1234" t="str">
            <v>STL-20260909</v>
          </cell>
        </row>
        <row r="1235">
          <cell r="K1235">
            <v>1499</v>
          </cell>
          <cell r="M1235" t="str">
            <v>STL-20260909</v>
          </cell>
        </row>
        <row r="1236">
          <cell r="K1236">
            <v>5491.33</v>
          </cell>
          <cell r="M1236" t="str">
            <v>STL-20260909</v>
          </cell>
        </row>
        <row r="1237">
          <cell r="K1237">
            <v>1611.05</v>
          </cell>
          <cell r="M1237" t="str">
            <v>STL-20260909</v>
          </cell>
        </row>
        <row r="1238">
          <cell r="K1238">
            <v>349</v>
          </cell>
          <cell r="M1238" t="str">
            <v>STL-20260909</v>
          </cell>
        </row>
        <row r="1239">
          <cell r="K1239">
            <v>7847.98</v>
          </cell>
          <cell r="M1239" t="str">
            <v>STL-20260909</v>
          </cell>
        </row>
        <row r="1240">
          <cell r="K1240">
            <v>488.4</v>
          </cell>
          <cell r="M1240" t="str">
            <v>STL-20260909</v>
          </cell>
        </row>
        <row r="1241">
          <cell r="K1241">
            <v>599</v>
          </cell>
          <cell r="M1241" t="str">
            <v>STL-20260909</v>
          </cell>
        </row>
        <row r="1242">
          <cell r="K1242">
            <v>6464.66</v>
          </cell>
          <cell r="M1242" t="str">
            <v>STL-20260909</v>
          </cell>
        </row>
        <row r="1243">
          <cell r="K1243">
            <v>1799</v>
          </cell>
          <cell r="M1243" t="str">
            <v>STL-20260909</v>
          </cell>
        </row>
        <row r="1244">
          <cell r="K1244">
            <v>341.18</v>
          </cell>
          <cell r="M1244" t="str">
            <v>STL-20260909</v>
          </cell>
        </row>
        <row r="1245">
          <cell r="K1245">
            <v>1398</v>
          </cell>
          <cell r="M1245" t="str">
            <v>STL-20260909</v>
          </cell>
        </row>
        <row r="1246">
          <cell r="K1246">
            <v>4981.3</v>
          </cell>
          <cell r="M1246" t="str">
            <v>STL-20260909</v>
          </cell>
        </row>
        <row r="1247">
          <cell r="K1247">
            <v>8965.15</v>
          </cell>
          <cell r="M1247" t="str">
            <v>STL-20260909</v>
          </cell>
        </row>
        <row r="1248">
          <cell r="K1248">
            <v>1271.4100000000001</v>
          </cell>
          <cell r="M1248" t="str">
            <v>STL-20260909</v>
          </cell>
        </row>
        <row r="1249">
          <cell r="K1249">
            <v>3983.85</v>
          </cell>
          <cell r="M1249" t="str">
            <v>STL-20260909</v>
          </cell>
        </row>
        <row r="1250">
          <cell r="K1250">
            <v>4904.62</v>
          </cell>
          <cell r="M1250" t="str">
            <v>STL-20260909</v>
          </cell>
        </row>
        <row r="1251">
          <cell r="K1251">
            <v>1465.39</v>
          </cell>
          <cell r="M1251" t="str">
            <v>STL-20260909</v>
          </cell>
        </row>
        <row r="1252">
          <cell r="K1252">
            <v>10385.530000000001</v>
          </cell>
          <cell r="M1252" t="str">
            <v>STL-20260909</v>
          </cell>
        </row>
        <row r="1253">
          <cell r="K1253">
            <v>1467.16</v>
          </cell>
          <cell r="M1253" t="str">
            <v>STL-20260909</v>
          </cell>
        </row>
        <row r="1254">
          <cell r="K1254">
            <v>7847.98</v>
          </cell>
          <cell r="M1254" t="str">
            <v>STL-20260909</v>
          </cell>
        </row>
        <row r="1255">
          <cell r="K1255">
            <v>1799</v>
          </cell>
          <cell r="M1255" t="str">
            <v>STL-20260909</v>
          </cell>
        </row>
        <row r="1256">
          <cell r="K1256">
            <v>3449.45</v>
          </cell>
          <cell r="M1256" t="str">
            <v>STL-20260909</v>
          </cell>
        </row>
        <row r="1257">
          <cell r="K1257">
            <v>586.28</v>
          </cell>
          <cell r="M1257" t="str">
            <v>STL-20260909</v>
          </cell>
        </row>
        <row r="1258">
          <cell r="K1258">
            <v>11280.92</v>
          </cell>
          <cell r="M1258" t="str">
            <v>STL-20260909</v>
          </cell>
        </row>
        <row r="1259">
          <cell r="K1259">
            <v>342.82</v>
          </cell>
          <cell r="M1259" t="str">
            <v>STL-20260909</v>
          </cell>
        </row>
        <row r="1260">
          <cell r="K1260">
            <v>10111.08</v>
          </cell>
          <cell r="M1260" t="str">
            <v>STL-20260909</v>
          </cell>
        </row>
        <row r="1261">
          <cell r="K1261">
            <v>349</v>
          </cell>
          <cell r="M1261" t="str">
            <v>STL-20260909</v>
          </cell>
        </row>
        <row r="1262">
          <cell r="K1262">
            <v>1799</v>
          </cell>
          <cell r="M1262" t="str">
            <v>STL-20260909</v>
          </cell>
        </row>
        <row r="1263">
          <cell r="K1263">
            <v>1799</v>
          </cell>
          <cell r="M1263" t="str">
            <v>STL-20260909</v>
          </cell>
        </row>
        <row r="1264">
          <cell r="K1264">
            <v>1758.67</v>
          </cell>
          <cell r="M1264" t="str">
            <v>STL-20260909</v>
          </cell>
        </row>
        <row r="1265">
          <cell r="K1265">
            <v>3922.52</v>
          </cell>
          <cell r="M1265" t="str">
            <v>STL-20260909</v>
          </cell>
        </row>
        <row r="1266">
          <cell r="K1266">
            <v>5976.77</v>
          </cell>
          <cell r="M1266" t="str">
            <v>STL-20260909</v>
          </cell>
        </row>
        <row r="1267">
          <cell r="K1267">
            <v>6475</v>
          </cell>
          <cell r="M1267" t="str">
            <v>STL-20260909</v>
          </cell>
        </row>
        <row r="1268">
          <cell r="K1268">
            <v>488.4</v>
          </cell>
          <cell r="M1268" t="str">
            <v>STL-20260909</v>
          </cell>
        </row>
        <row r="1269">
          <cell r="K1269">
            <v>2490.15</v>
          </cell>
          <cell r="M1269" t="str">
            <v>STL-20260909</v>
          </cell>
        </row>
        <row r="1270">
          <cell r="K1270">
            <v>9264.09</v>
          </cell>
          <cell r="M1270" t="str">
            <v>STL-20260909</v>
          </cell>
        </row>
        <row r="1271">
          <cell r="K1271">
            <v>1276</v>
          </cell>
          <cell r="M1271" t="str">
            <v>STL-20260909</v>
          </cell>
        </row>
        <row r="1272">
          <cell r="K1272">
            <v>-2999</v>
          </cell>
          <cell r="M1272" t="str">
            <v>STL-20260909</v>
          </cell>
        </row>
        <row r="1273">
          <cell r="K1273">
            <v>-8498</v>
          </cell>
          <cell r="M1273" t="str">
            <v>STL-20260909</v>
          </cell>
        </row>
        <row r="1274">
          <cell r="K1274">
            <v>-2499</v>
          </cell>
          <cell r="M1274" t="str">
            <v>STL-20260909</v>
          </cell>
        </row>
        <row r="1275">
          <cell r="K1275">
            <v>-1798</v>
          </cell>
          <cell r="M1275" t="str">
            <v>STL-20260909</v>
          </cell>
        </row>
        <row r="1276">
          <cell r="K1276">
            <v>-4298</v>
          </cell>
          <cell r="M1276" t="str">
            <v>STL-20260909</v>
          </cell>
        </row>
        <row r="1277">
          <cell r="K1277">
            <v>-799</v>
          </cell>
          <cell r="M1277" t="str">
            <v>STL-20260909</v>
          </cell>
        </row>
        <row r="1278">
          <cell r="K1278">
            <v>-5097</v>
          </cell>
          <cell r="M1278" t="str">
            <v>STL-20260909</v>
          </cell>
        </row>
        <row r="1279">
          <cell r="K1279">
            <v>-3298</v>
          </cell>
          <cell r="M1279" t="str">
            <v>STL-20260909</v>
          </cell>
        </row>
        <row r="1280">
          <cell r="K1280">
            <v>-1648</v>
          </cell>
          <cell r="M1280" t="str">
            <v>STL-20260909</v>
          </cell>
        </row>
        <row r="1281">
          <cell r="K1281">
            <v>13947.45</v>
          </cell>
          <cell r="M1281" t="str">
            <v>STL-20260910</v>
          </cell>
        </row>
        <row r="1282">
          <cell r="K1282">
            <v>999</v>
          </cell>
          <cell r="M1282" t="str">
            <v>STL-20260910</v>
          </cell>
        </row>
        <row r="1283">
          <cell r="K1283">
            <v>878.93</v>
          </cell>
          <cell r="M1283" t="str">
            <v>STL-20260910</v>
          </cell>
        </row>
        <row r="1284">
          <cell r="K1284">
            <v>2490.15</v>
          </cell>
          <cell r="M1284" t="str">
            <v>STL-20260910</v>
          </cell>
        </row>
        <row r="1285">
          <cell r="K1285">
            <v>1499</v>
          </cell>
          <cell r="M1285" t="str">
            <v>STL-20260910</v>
          </cell>
        </row>
        <row r="1286">
          <cell r="K1286">
            <v>488.4</v>
          </cell>
          <cell r="M1286" t="str">
            <v>STL-20260910</v>
          </cell>
        </row>
        <row r="1287">
          <cell r="K1287">
            <v>7970.68</v>
          </cell>
          <cell r="M1287" t="str">
            <v>STL-20260910</v>
          </cell>
        </row>
        <row r="1288">
          <cell r="K1288">
            <v>999</v>
          </cell>
          <cell r="M1288" t="str">
            <v>STL-20260910</v>
          </cell>
        </row>
        <row r="1289">
          <cell r="K1289">
            <v>499</v>
          </cell>
          <cell r="M1289" t="str">
            <v>STL-20260910</v>
          </cell>
        </row>
        <row r="1290">
          <cell r="K1290">
            <v>2490.15</v>
          </cell>
          <cell r="M1290" t="str">
            <v>STL-20260910</v>
          </cell>
        </row>
        <row r="1291">
          <cell r="K1291">
            <v>3087.04</v>
          </cell>
          <cell r="M1291" t="str">
            <v>STL-20260910</v>
          </cell>
        </row>
        <row r="1292">
          <cell r="K1292">
            <v>799</v>
          </cell>
          <cell r="M1292" t="str">
            <v>STL-20260910</v>
          </cell>
        </row>
        <row r="1293">
          <cell r="K1293">
            <v>2388.52</v>
          </cell>
          <cell r="M1293" t="str">
            <v>STL-20260910</v>
          </cell>
        </row>
        <row r="1294">
          <cell r="K1294">
            <v>586.28</v>
          </cell>
          <cell r="M1294" t="str">
            <v>STL-20260910</v>
          </cell>
        </row>
        <row r="1295">
          <cell r="K1295">
            <v>3922.52</v>
          </cell>
          <cell r="M1295" t="str">
            <v>STL-20260910</v>
          </cell>
        </row>
        <row r="1296">
          <cell r="K1296">
            <v>3132.87</v>
          </cell>
          <cell r="M1296" t="str">
            <v>STL-20260910</v>
          </cell>
        </row>
        <row r="1297">
          <cell r="K1297">
            <v>10789.38</v>
          </cell>
          <cell r="M1297" t="str">
            <v>STL-20260910</v>
          </cell>
        </row>
        <row r="1298">
          <cell r="K1298">
            <v>1269.8800000000001</v>
          </cell>
          <cell r="M1298" t="str">
            <v>STL-20260910</v>
          </cell>
        </row>
        <row r="1299">
          <cell r="K1299">
            <v>2451.8200000000002</v>
          </cell>
          <cell r="M1299" t="str">
            <v>STL-20260910</v>
          </cell>
        </row>
        <row r="1300">
          <cell r="K1300">
            <v>5478.54</v>
          </cell>
          <cell r="M1300" t="str">
            <v>STL-20260910</v>
          </cell>
        </row>
        <row r="1301">
          <cell r="K1301">
            <v>977.78</v>
          </cell>
          <cell r="M1301" t="str">
            <v>STL-20260910</v>
          </cell>
        </row>
        <row r="1302">
          <cell r="K1302">
            <v>5278.25</v>
          </cell>
          <cell r="M1302" t="str">
            <v>STL-20260910</v>
          </cell>
        </row>
        <row r="1303">
          <cell r="K1303">
            <v>698</v>
          </cell>
          <cell r="M1303" t="str">
            <v>STL-20260910</v>
          </cell>
        </row>
        <row r="1304">
          <cell r="K1304">
            <v>799</v>
          </cell>
          <cell r="M1304" t="str">
            <v>STL-20260910</v>
          </cell>
        </row>
        <row r="1305">
          <cell r="K1305">
            <v>1757.69</v>
          </cell>
          <cell r="M1305" t="str">
            <v>STL-20260910</v>
          </cell>
        </row>
        <row r="1306">
          <cell r="K1306">
            <v>1697</v>
          </cell>
          <cell r="M1306" t="str">
            <v>STL-20260910</v>
          </cell>
        </row>
        <row r="1307">
          <cell r="K1307">
            <v>8630.91</v>
          </cell>
          <cell r="M1307" t="str">
            <v>STL-20260910</v>
          </cell>
        </row>
        <row r="1308">
          <cell r="K1308">
            <v>2988.38</v>
          </cell>
          <cell r="M1308" t="str">
            <v>STL-20260910</v>
          </cell>
        </row>
        <row r="1309">
          <cell r="K1309">
            <v>1798</v>
          </cell>
          <cell r="M1309" t="str">
            <v>STL-20260910</v>
          </cell>
        </row>
        <row r="1310">
          <cell r="K1310">
            <v>599</v>
          </cell>
          <cell r="M1310" t="str">
            <v>STL-20260910</v>
          </cell>
        </row>
        <row r="1311">
          <cell r="K1311">
            <v>6274.71</v>
          </cell>
          <cell r="M1311" t="str">
            <v>STL-20260910</v>
          </cell>
        </row>
        <row r="1312">
          <cell r="K1312">
            <v>5329.07</v>
          </cell>
          <cell r="M1312" t="str">
            <v>STL-20260910</v>
          </cell>
        </row>
        <row r="1313">
          <cell r="K1313">
            <v>1126.69</v>
          </cell>
          <cell r="M1313" t="str">
            <v>STL-20260910</v>
          </cell>
        </row>
        <row r="1314">
          <cell r="K1314">
            <v>341.18</v>
          </cell>
          <cell r="M1314" t="str">
            <v>STL-20260910</v>
          </cell>
        </row>
        <row r="1315">
          <cell r="K1315">
            <v>8337.56</v>
          </cell>
          <cell r="M1315" t="str">
            <v>STL-20260910</v>
          </cell>
        </row>
        <row r="1316">
          <cell r="K1316">
            <v>2388.52</v>
          </cell>
          <cell r="M1316" t="str">
            <v>STL-20260910</v>
          </cell>
        </row>
        <row r="1317">
          <cell r="K1317">
            <v>782.03</v>
          </cell>
          <cell r="M1317" t="str">
            <v>STL-20260910</v>
          </cell>
        </row>
        <row r="1318">
          <cell r="K1318">
            <v>2988.38</v>
          </cell>
          <cell r="M1318" t="str">
            <v>STL-20260910</v>
          </cell>
        </row>
        <row r="1319">
          <cell r="K1319">
            <v>3486.61</v>
          </cell>
          <cell r="M1319" t="str">
            <v>STL-20260910</v>
          </cell>
        </row>
        <row r="1320">
          <cell r="K1320">
            <v>2140.4</v>
          </cell>
          <cell r="M1320" t="str">
            <v>STL-20260910</v>
          </cell>
        </row>
        <row r="1321">
          <cell r="K1321">
            <v>799</v>
          </cell>
          <cell r="M1321" t="str">
            <v>STL-20260910</v>
          </cell>
        </row>
        <row r="1322">
          <cell r="K1322">
            <v>4308.79</v>
          </cell>
          <cell r="M1322" t="str">
            <v>STL-20260910</v>
          </cell>
        </row>
        <row r="1323">
          <cell r="K1323">
            <v>2745.17</v>
          </cell>
          <cell r="M1323" t="str">
            <v>STL-20260910</v>
          </cell>
        </row>
        <row r="1324">
          <cell r="K1324">
            <v>488.4</v>
          </cell>
          <cell r="M1324" t="str">
            <v>STL-20260910</v>
          </cell>
        </row>
        <row r="1325">
          <cell r="K1325">
            <v>2451.8200000000002</v>
          </cell>
          <cell r="M1325" t="str">
            <v>STL-20260910</v>
          </cell>
        </row>
        <row r="1326">
          <cell r="K1326">
            <v>2289.87</v>
          </cell>
          <cell r="M1326" t="str">
            <v>STL-20260910</v>
          </cell>
        </row>
        <row r="1327">
          <cell r="K1327">
            <v>299</v>
          </cell>
          <cell r="M1327" t="str">
            <v>STL-20260910</v>
          </cell>
        </row>
        <row r="1328">
          <cell r="K1328">
            <v>499</v>
          </cell>
          <cell r="M1328" t="str">
            <v>STL-20260910</v>
          </cell>
        </row>
        <row r="1329">
          <cell r="K1329">
            <v>1317.78</v>
          </cell>
          <cell r="M1329" t="str">
            <v>STL-20260910</v>
          </cell>
        </row>
        <row r="1330">
          <cell r="K1330">
            <v>4482.08</v>
          </cell>
          <cell r="M1330" t="str">
            <v>STL-20260910</v>
          </cell>
        </row>
        <row r="1331">
          <cell r="K1331">
            <v>2956.53</v>
          </cell>
          <cell r="M1331" t="str">
            <v>STL-20260910</v>
          </cell>
        </row>
        <row r="1332">
          <cell r="K1332">
            <v>12253.47</v>
          </cell>
          <cell r="M1332" t="str">
            <v>STL-20260910</v>
          </cell>
        </row>
        <row r="1333">
          <cell r="K1333">
            <v>3449.45</v>
          </cell>
          <cell r="M1333" t="str">
            <v>STL-20260910</v>
          </cell>
        </row>
        <row r="1334">
          <cell r="K1334">
            <v>3486.61</v>
          </cell>
          <cell r="M1334" t="str">
            <v>STL-20260910</v>
          </cell>
        </row>
        <row r="1335">
          <cell r="K1335">
            <v>9463.3799999999992</v>
          </cell>
          <cell r="M1335" t="str">
            <v>STL-20260910</v>
          </cell>
        </row>
        <row r="1336">
          <cell r="K1336">
            <v>1467.16</v>
          </cell>
          <cell r="M1336" t="str">
            <v>STL-20260910</v>
          </cell>
        </row>
        <row r="1337">
          <cell r="K1337">
            <v>2448.87</v>
          </cell>
          <cell r="M1337" t="str">
            <v>STL-20260910</v>
          </cell>
        </row>
        <row r="1338">
          <cell r="K1338">
            <v>10111.08</v>
          </cell>
          <cell r="M1338" t="str">
            <v>STL-20260910</v>
          </cell>
        </row>
        <row r="1339">
          <cell r="K1339">
            <v>599</v>
          </cell>
          <cell r="M1339" t="str">
            <v>STL-20260910</v>
          </cell>
        </row>
        <row r="1340">
          <cell r="K1340">
            <v>2451.8200000000002</v>
          </cell>
          <cell r="M1340" t="str">
            <v>STL-20260910</v>
          </cell>
        </row>
        <row r="1341">
          <cell r="K1341">
            <v>4504.78</v>
          </cell>
          <cell r="M1341" t="str">
            <v>STL-20260910</v>
          </cell>
        </row>
        <row r="1342">
          <cell r="K1342">
            <v>599</v>
          </cell>
          <cell r="M1342" t="str">
            <v>STL-20260910</v>
          </cell>
        </row>
        <row r="1343">
          <cell r="K1343">
            <v>2254.61</v>
          </cell>
          <cell r="M1343" t="str">
            <v>STL-20260910</v>
          </cell>
        </row>
        <row r="1344">
          <cell r="K1344">
            <v>599</v>
          </cell>
          <cell r="M1344" t="str">
            <v>STL-20260910</v>
          </cell>
        </row>
        <row r="1345">
          <cell r="K1345">
            <v>8190.39</v>
          </cell>
          <cell r="M1345" t="str">
            <v>STL-20260910</v>
          </cell>
        </row>
        <row r="1346">
          <cell r="K1346">
            <v>7970.68</v>
          </cell>
          <cell r="M1346" t="str">
            <v>STL-20260910</v>
          </cell>
        </row>
        <row r="1347">
          <cell r="K1347">
            <v>12950.99</v>
          </cell>
          <cell r="M1347" t="str">
            <v>STL-20260910</v>
          </cell>
        </row>
        <row r="1348">
          <cell r="K1348">
            <v>7885.73</v>
          </cell>
          <cell r="M1348" t="str">
            <v>STL-20260910</v>
          </cell>
        </row>
        <row r="1349">
          <cell r="K1349">
            <v>9856.42</v>
          </cell>
          <cell r="M1349" t="str">
            <v>STL-20260910</v>
          </cell>
        </row>
        <row r="1350">
          <cell r="K1350">
            <v>3486.61</v>
          </cell>
          <cell r="M1350" t="str">
            <v>STL-20260910</v>
          </cell>
        </row>
        <row r="1351">
          <cell r="K1351">
            <v>1955.57</v>
          </cell>
          <cell r="M1351" t="str">
            <v>STL-20260910</v>
          </cell>
        </row>
        <row r="1352">
          <cell r="K1352">
            <v>1499</v>
          </cell>
          <cell r="M1352" t="str">
            <v>STL-20260910</v>
          </cell>
        </row>
        <row r="1353">
          <cell r="K1353">
            <v>2988.38</v>
          </cell>
          <cell r="M1353" t="str">
            <v>STL-20260910</v>
          </cell>
        </row>
        <row r="1354">
          <cell r="K1354">
            <v>1299</v>
          </cell>
          <cell r="M1354" t="str">
            <v>STL-20260910</v>
          </cell>
        </row>
        <row r="1355">
          <cell r="K1355">
            <v>799</v>
          </cell>
          <cell r="M1355" t="str">
            <v>STL-20260910</v>
          </cell>
        </row>
        <row r="1356">
          <cell r="K1356">
            <v>7969.69</v>
          </cell>
          <cell r="M1356" t="str">
            <v>STL-20260910</v>
          </cell>
        </row>
        <row r="1357">
          <cell r="K1357">
            <v>4897.74</v>
          </cell>
          <cell r="M1357" t="str">
            <v>STL-20260910</v>
          </cell>
        </row>
        <row r="1358">
          <cell r="K1358">
            <v>8966.15</v>
          </cell>
          <cell r="M1358" t="str">
            <v>STL-20260910</v>
          </cell>
        </row>
        <row r="1359">
          <cell r="K1359">
            <v>3054.13</v>
          </cell>
          <cell r="M1359" t="str">
            <v>STL-20260910</v>
          </cell>
        </row>
        <row r="1360">
          <cell r="K1360">
            <v>5394.2</v>
          </cell>
          <cell r="M1360" t="str">
            <v>STL-20260910</v>
          </cell>
        </row>
        <row r="1361">
          <cell r="K1361">
            <v>4019.65</v>
          </cell>
          <cell r="M1361" t="str">
            <v>STL-20260910</v>
          </cell>
        </row>
        <row r="1362">
          <cell r="K1362">
            <v>4904.62</v>
          </cell>
          <cell r="M1362" t="str">
            <v>STL-20260910</v>
          </cell>
        </row>
        <row r="1363">
          <cell r="K1363">
            <v>781.06</v>
          </cell>
          <cell r="M1363" t="str">
            <v>STL-20260910</v>
          </cell>
        </row>
        <row r="1364">
          <cell r="K1364">
            <v>3087.04</v>
          </cell>
          <cell r="M1364" t="str">
            <v>STL-20260910</v>
          </cell>
        </row>
        <row r="1365">
          <cell r="K1365">
            <v>2938.84</v>
          </cell>
          <cell r="M1365" t="str">
            <v>STL-20260910</v>
          </cell>
        </row>
        <row r="1366">
          <cell r="K1366">
            <v>15828.1</v>
          </cell>
          <cell r="M1366" t="str">
            <v>STL-20260910</v>
          </cell>
        </row>
        <row r="1367">
          <cell r="K1367">
            <v>4896.76</v>
          </cell>
          <cell r="M1367" t="str">
            <v>STL-20260910</v>
          </cell>
        </row>
        <row r="1368">
          <cell r="K1368">
            <v>4928.21</v>
          </cell>
          <cell r="M1368" t="str">
            <v>STL-20260910</v>
          </cell>
        </row>
        <row r="1369">
          <cell r="K1369">
            <v>8965.15</v>
          </cell>
          <cell r="M1369" t="str">
            <v>STL-20260910</v>
          </cell>
        </row>
        <row r="1370">
          <cell r="K1370">
            <v>12253.47</v>
          </cell>
          <cell r="M1370" t="str">
            <v>STL-20260910</v>
          </cell>
        </row>
        <row r="1371">
          <cell r="K1371">
            <v>1467.16</v>
          </cell>
          <cell r="M1371" t="str">
            <v>STL-20260910</v>
          </cell>
        </row>
        <row r="1372">
          <cell r="K1372">
            <v>848</v>
          </cell>
          <cell r="M1372" t="str">
            <v>STL-20260910</v>
          </cell>
        </row>
        <row r="1373">
          <cell r="K1373">
            <v>6669.65</v>
          </cell>
          <cell r="M1373" t="str">
            <v>STL-20260910</v>
          </cell>
        </row>
        <row r="1374">
          <cell r="K1374">
            <v>2942.38</v>
          </cell>
          <cell r="M1374" t="str">
            <v>STL-20260910</v>
          </cell>
        </row>
        <row r="1375">
          <cell r="K1375">
            <v>3486.61</v>
          </cell>
          <cell r="M1375" t="str">
            <v>STL-20260910</v>
          </cell>
        </row>
        <row r="1376">
          <cell r="K1376">
            <v>3279.86</v>
          </cell>
          <cell r="M1376" t="str">
            <v>STL-20260910</v>
          </cell>
        </row>
        <row r="1377">
          <cell r="K1377">
            <v>3035.85</v>
          </cell>
          <cell r="M1377" t="str">
            <v>STL-20260910</v>
          </cell>
        </row>
        <row r="1378">
          <cell r="K1378">
            <v>2987.39</v>
          </cell>
          <cell r="M1378" t="str">
            <v>STL-20260910</v>
          </cell>
        </row>
        <row r="1379">
          <cell r="K1379">
            <v>349</v>
          </cell>
          <cell r="M1379" t="str">
            <v>STL-20260910</v>
          </cell>
        </row>
        <row r="1380">
          <cell r="K1380">
            <v>1798</v>
          </cell>
          <cell r="M1380" t="str">
            <v>STL-20260910</v>
          </cell>
        </row>
        <row r="1381">
          <cell r="K1381">
            <v>11457.3</v>
          </cell>
          <cell r="M1381" t="str">
            <v>STL-20260910</v>
          </cell>
        </row>
        <row r="1382">
          <cell r="K1382">
            <v>2489.16</v>
          </cell>
          <cell r="M1382" t="str">
            <v>STL-20260910</v>
          </cell>
        </row>
        <row r="1383">
          <cell r="K1383">
            <v>2490.15</v>
          </cell>
          <cell r="M1383" t="str">
            <v>STL-20260910</v>
          </cell>
        </row>
        <row r="1384">
          <cell r="K1384">
            <v>1447</v>
          </cell>
          <cell r="M1384" t="str">
            <v>STL-20260910</v>
          </cell>
        </row>
        <row r="1385">
          <cell r="K1385">
            <v>299</v>
          </cell>
          <cell r="M1385" t="str">
            <v>STL-20260910</v>
          </cell>
        </row>
        <row r="1386">
          <cell r="K1386">
            <v>3530.07</v>
          </cell>
          <cell r="M1386" t="str">
            <v>STL-20260910</v>
          </cell>
        </row>
        <row r="1387">
          <cell r="K1387">
            <v>1799</v>
          </cell>
          <cell r="M1387" t="str">
            <v>STL-20260910</v>
          </cell>
        </row>
        <row r="1388">
          <cell r="K1388">
            <v>4781.0200000000004</v>
          </cell>
          <cell r="M1388" t="str">
            <v>STL-20260910</v>
          </cell>
        </row>
        <row r="1389">
          <cell r="K1389">
            <v>3726.29</v>
          </cell>
          <cell r="M1389" t="str">
            <v>STL-20260910</v>
          </cell>
        </row>
        <row r="1390">
          <cell r="K1390">
            <v>5913.06</v>
          </cell>
          <cell r="M1390" t="str">
            <v>STL-20260910</v>
          </cell>
        </row>
        <row r="1391">
          <cell r="K1391">
            <v>7847.98</v>
          </cell>
          <cell r="M1391" t="str">
            <v>STL-20260910</v>
          </cell>
        </row>
        <row r="1392">
          <cell r="K1392">
            <v>4082.5</v>
          </cell>
          <cell r="M1392" t="str">
            <v>STL-20260910</v>
          </cell>
        </row>
        <row r="1393">
          <cell r="K1393">
            <v>2488.16</v>
          </cell>
          <cell r="M1393" t="str">
            <v>STL-20260910</v>
          </cell>
        </row>
        <row r="1394">
          <cell r="K1394">
            <v>10777.38</v>
          </cell>
          <cell r="M1394" t="str">
            <v>STL-20260910</v>
          </cell>
        </row>
        <row r="1395">
          <cell r="K1395">
            <v>5681.69</v>
          </cell>
          <cell r="M1395" t="str">
            <v>STL-20260910</v>
          </cell>
        </row>
        <row r="1396">
          <cell r="K1396">
            <v>10061.26</v>
          </cell>
          <cell r="M1396" t="str">
            <v>STL-20260910</v>
          </cell>
        </row>
        <row r="1397">
          <cell r="K1397">
            <v>977.78</v>
          </cell>
          <cell r="M1397" t="str">
            <v>STL-20260910</v>
          </cell>
        </row>
        <row r="1398">
          <cell r="K1398">
            <v>5976.77</v>
          </cell>
          <cell r="M1398" t="str">
            <v>STL-20260910</v>
          </cell>
        </row>
        <row r="1399">
          <cell r="K1399">
            <v>4904.62</v>
          </cell>
          <cell r="M1399" t="str">
            <v>STL-20260910</v>
          </cell>
        </row>
        <row r="1400">
          <cell r="K1400">
            <v>4981.3</v>
          </cell>
          <cell r="M1400" t="str">
            <v>STL-20260910</v>
          </cell>
        </row>
        <row r="1401">
          <cell r="K1401">
            <v>2363.06</v>
          </cell>
          <cell r="M1401" t="str">
            <v>STL-20260910</v>
          </cell>
        </row>
        <row r="1402">
          <cell r="K1402">
            <v>11375.89</v>
          </cell>
          <cell r="M1402" t="str">
            <v>STL-20260910</v>
          </cell>
        </row>
        <row r="1403">
          <cell r="K1403">
            <v>3486.61</v>
          </cell>
          <cell r="M1403" t="str">
            <v>STL-20260910</v>
          </cell>
        </row>
        <row r="1404">
          <cell r="K1404">
            <v>1299</v>
          </cell>
          <cell r="M1404" t="str">
            <v>STL-20260910</v>
          </cell>
        </row>
        <row r="1405">
          <cell r="K1405">
            <v>5329.07</v>
          </cell>
          <cell r="M1405" t="str">
            <v>STL-20260910</v>
          </cell>
        </row>
        <row r="1406">
          <cell r="K1406">
            <v>2942.38</v>
          </cell>
          <cell r="M1406" t="str">
            <v>STL-20260910</v>
          </cell>
        </row>
        <row r="1407">
          <cell r="K1407">
            <v>7838.54</v>
          </cell>
          <cell r="M1407" t="str">
            <v>STL-20260910</v>
          </cell>
        </row>
        <row r="1408">
          <cell r="K1408">
            <v>2942.38</v>
          </cell>
          <cell r="M1408" t="str">
            <v>STL-20260910</v>
          </cell>
        </row>
        <row r="1409">
          <cell r="K1409">
            <v>2587.81</v>
          </cell>
          <cell r="M1409" t="str">
            <v>STL-20260910</v>
          </cell>
        </row>
        <row r="1410">
          <cell r="K1410">
            <v>4281.79</v>
          </cell>
          <cell r="M1410" t="str">
            <v>STL-20260910</v>
          </cell>
        </row>
        <row r="1411">
          <cell r="K1411">
            <v>6475</v>
          </cell>
          <cell r="M1411" t="str">
            <v>STL-20260910</v>
          </cell>
        </row>
        <row r="1412">
          <cell r="K1412">
            <v>1499</v>
          </cell>
          <cell r="M1412" t="str">
            <v>STL-20260910</v>
          </cell>
        </row>
        <row r="1413">
          <cell r="K1413">
            <v>1499</v>
          </cell>
          <cell r="M1413" t="str">
            <v>STL-20260910</v>
          </cell>
        </row>
        <row r="1414">
          <cell r="K1414">
            <v>799</v>
          </cell>
          <cell r="M1414" t="str">
            <v>STL-20260910</v>
          </cell>
        </row>
        <row r="1415">
          <cell r="K1415">
            <v>4904.62</v>
          </cell>
          <cell r="M1415" t="str">
            <v>STL-20260910</v>
          </cell>
        </row>
        <row r="1416">
          <cell r="K1416">
            <v>5681.69</v>
          </cell>
          <cell r="M1416" t="str">
            <v>STL-20260910</v>
          </cell>
        </row>
        <row r="1417">
          <cell r="K1417">
            <v>3983.85</v>
          </cell>
          <cell r="M1417" t="str">
            <v>STL-20260910</v>
          </cell>
        </row>
        <row r="1418">
          <cell r="K1418">
            <v>799</v>
          </cell>
          <cell r="M1418" t="str">
            <v>STL-20260910</v>
          </cell>
        </row>
        <row r="1419">
          <cell r="K1419">
            <v>586.28</v>
          </cell>
          <cell r="M1419" t="str">
            <v>STL-20260910</v>
          </cell>
        </row>
        <row r="1420">
          <cell r="K1420">
            <v>2451.8200000000002</v>
          </cell>
          <cell r="M1420" t="str">
            <v>STL-20260910</v>
          </cell>
        </row>
        <row r="1421">
          <cell r="K1421">
            <v>6075.42</v>
          </cell>
          <cell r="M1421" t="str">
            <v>STL-20260910</v>
          </cell>
        </row>
        <row r="1422">
          <cell r="K1422">
            <v>2988.38</v>
          </cell>
          <cell r="M1422" t="str">
            <v>STL-20260910</v>
          </cell>
        </row>
        <row r="1423">
          <cell r="K1423">
            <v>8141.33</v>
          </cell>
          <cell r="M1423" t="str">
            <v>STL-20260910</v>
          </cell>
        </row>
        <row r="1424">
          <cell r="K1424">
            <v>4980.3100000000004</v>
          </cell>
          <cell r="M1424" t="str">
            <v>STL-20260910</v>
          </cell>
        </row>
        <row r="1425">
          <cell r="K1425">
            <v>999</v>
          </cell>
          <cell r="M1425" t="str">
            <v>STL-20260910</v>
          </cell>
        </row>
        <row r="1426">
          <cell r="K1426">
            <v>4904.62</v>
          </cell>
          <cell r="M1426" t="str">
            <v>STL-20260910</v>
          </cell>
        </row>
        <row r="1427">
          <cell r="K1427">
            <v>1499</v>
          </cell>
          <cell r="M1427" t="str">
            <v>STL-20260910</v>
          </cell>
        </row>
        <row r="1428">
          <cell r="K1428">
            <v>6772.94</v>
          </cell>
          <cell r="M1428" t="str">
            <v>STL-20260910</v>
          </cell>
        </row>
        <row r="1429">
          <cell r="K1429">
            <v>1757.69</v>
          </cell>
          <cell r="M1429" t="str">
            <v>STL-20260910</v>
          </cell>
        </row>
        <row r="1430">
          <cell r="K1430">
            <v>2438.34</v>
          </cell>
          <cell r="M1430" t="str">
            <v>STL-20260910</v>
          </cell>
        </row>
        <row r="1431">
          <cell r="K1431">
            <v>11306.83</v>
          </cell>
          <cell r="M1431" t="str">
            <v>STL-20260910</v>
          </cell>
        </row>
        <row r="1432">
          <cell r="K1432">
            <v>782.03</v>
          </cell>
          <cell r="M1432" t="str">
            <v>STL-20260910</v>
          </cell>
        </row>
        <row r="1433">
          <cell r="K1433">
            <v>2942.38</v>
          </cell>
          <cell r="M1433" t="str">
            <v>STL-20260910</v>
          </cell>
        </row>
        <row r="1434">
          <cell r="K1434">
            <v>585.57000000000005</v>
          </cell>
          <cell r="M1434" t="str">
            <v>STL-20260910</v>
          </cell>
        </row>
        <row r="1435">
          <cell r="K1435">
            <v>1798</v>
          </cell>
          <cell r="M1435" t="str">
            <v>STL-20260910</v>
          </cell>
        </row>
        <row r="1436">
          <cell r="K1436">
            <v>4981.3</v>
          </cell>
          <cell r="M1436" t="str">
            <v>STL-20260910</v>
          </cell>
        </row>
        <row r="1437">
          <cell r="K1437">
            <v>13449.22</v>
          </cell>
          <cell r="M1437" t="str">
            <v>STL-20260910</v>
          </cell>
        </row>
        <row r="1438">
          <cell r="K1438">
            <v>3039.51</v>
          </cell>
          <cell r="M1438" t="str">
            <v>STL-20260910</v>
          </cell>
        </row>
        <row r="1439">
          <cell r="K1439">
            <v>1758.67</v>
          </cell>
          <cell r="M1439" t="str">
            <v>STL-20260910</v>
          </cell>
        </row>
        <row r="1440">
          <cell r="K1440">
            <v>585.57000000000005</v>
          </cell>
          <cell r="M1440" t="str">
            <v>STL-20260910</v>
          </cell>
        </row>
        <row r="1441">
          <cell r="K1441">
            <v>3432.94</v>
          </cell>
          <cell r="M1441" t="str">
            <v>STL-20260910</v>
          </cell>
        </row>
        <row r="1442">
          <cell r="K1442">
            <v>2451.8200000000002</v>
          </cell>
          <cell r="M1442" t="str">
            <v>STL-20260910</v>
          </cell>
        </row>
        <row r="1443">
          <cell r="K1443">
            <v>5279.25</v>
          </cell>
          <cell r="M1443" t="str">
            <v>STL-20260910</v>
          </cell>
        </row>
        <row r="1444">
          <cell r="K1444">
            <v>1148</v>
          </cell>
          <cell r="M1444" t="str">
            <v>STL-20260910</v>
          </cell>
        </row>
        <row r="1445">
          <cell r="K1445">
            <v>976.6</v>
          </cell>
          <cell r="M1445" t="str">
            <v>STL-20260910</v>
          </cell>
        </row>
        <row r="1446">
          <cell r="K1446">
            <v>488.4</v>
          </cell>
          <cell r="M1446" t="str">
            <v>STL-20260910</v>
          </cell>
        </row>
        <row r="1447">
          <cell r="K1447">
            <v>4981.3</v>
          </cell>
          <cell r="M1447" t="str">
            <v>STL-20260910</v>
          </cell>
        </row>
        <row r="1448">
          <cell r="K1448">
            <v>3486.61</v>
          </cell>
          <cell r="M1448" t="str">
            <v>STL-20260910</v>
          </cell>
        </row>
        <row r="1449">
          <cell r="K1449">
            <v>2988.38</v>
          </cell>
          <cell r="M1449" t="str">
            <v>STL-20260910</v>
          </cell>
        </row>
        <row r="1450">
          <cell r="K1450">
            <v>1848</v>
          </cell>
          <cell r="M1450" t="str">
            <v>STL-20260910</v>
          </cell>
        </row>
        <row r="1451">
          <cell r="K1451">
            <v>1467.16</v>
          </cell>
          <cell r="M1451" t="str">
            <v>STL-20260910</v>
          </cell>
        </row>
        <row r="1452">
          <cell r="K1452">
            <v>1271.4100000000001</v>
          </cell>
          <cell r="M1452" t="str">
            <v>STL-20260910</v>
          </cell>
        </row>
        <row r="1453">
          <cell r="K1453">
            <v>5736.61</v>
          </cell>
          <cell r="M1453" t="str">
            <v>STL-20260910</v>
          </cell>
        </row>
        <row r="1454">
          <cell r="K1454">
            <v>1760.79</v>
          </cell>
          <cell r="M1454" t="str">
            <v>STL-20260910</v>
          </cell>
        </row>
        <row r="1455">
          <cell r="K1455">
            <v>7970.68</v>
          </cell>
          <cell r="M1455" t="str">
            <v>STL-20260910</v>
          </cell>
        </row>
        <row r="1456">
          <cell r="K1456">
            <v>2988.38</v>
          </cell>
          <cell r="M1456" t="str">
            <v>STL-20260910</v>
          </cell>
        </row>
        <row r="1457">
          <cell r="K1457">
            <v>1271.4100000000001</v>
          </cell>
          <cell r="M1457" t="str">
            <v>STL-20260910</v>
          </cell>
        </row>
        <row r="1458">
          <cell r="K1458">
            <v>349</v>
          </cell>
          <cell r="M1458" t="str">
            <v>STL-20260910</v>
          </cell>
        </row>
        <row r="1459">
          <cell r="K1459">
            <v>2090.58</v>
          </cell>
          <cell r="M1459" t="str">
            <v>STL-20260910</v>
          </cell>
        </row>
        <row r="1460">
          <cell r="K1460">
            <v>3087.04</v>
          </cell>
          <cell r="M1460" t="str">
            <v>STL-20260910</v>
          </cell>
        </row>
        <row r="1461">
          <cell r="K1461">
            <v>7970.68</v>
          </cell>
          <cell r="M1461" t="str">
            <v>STL-20260910</v>
          </cell>
        </row>
        <row r="1462">
          <cell r="K1462">
            <v>2788.1</v>
          </cell>
          <cell r="M1462" t="str">
            <v>STL-20260910</v>
          </cell>
        </row>
        <row r="1463">
          <cell r="K1463">
            <v>293.7</v>
          </cell>
          <cell r="M1463" t="str">
            <v>STL-20260910</v>
          </cell>
        </row>
        <row r="1464">
          <cell r="K1464">
            <v>7970.68</v>
          </cell>
          <cell r="M1464" t="str">
            <v>STL-20260910</v>
          </cell>
        </row>
        <row r="1465">
          <cell r="K1465">
            <v>799</v>
          </cell>
          <cell r="M1465" t="str">
            <v>STL-20260910</v>
          </cell>
        </row>
        <row r="1466">
          <cell r="K1466">
            <v>999</v>
          </cell>
          <cell r="M1466" t="str">
            <v>STL-20260910</v>
          </cell>
        </row>
        <row r="1467">
          <cell r="K1467">
            <v>3486.61</v>
          </cell>
          <cell r="M1467" t="str">
            <v>STL-20260910</v>
          </cell>
        </row>
        <row r="1468">
          <cell r="K1468">
            <v>1499</v>
          </cell>
          <cell r="M1468" t="str">
            <v>STL-20260910</v>
          </cell>
        </row>
        <row r="1469">
          <cell r="K1469">
            <v>2758.38</v>
          </cell>
          <cell r="M1469" t="str">
            <v>STL-20260910</v>
          </cell>
        </row>
        <row r="1470">
          <cell r="K1470">
            <v>488.4</v>
          </cell>
          <cell r="M1470" t="str">
            <v>STL-20260910</v>
          </cell>
        </row>
        <row r="1471">
          <cell r="K1471">
            <v>782.03</v>
          </cell>
          <cell r="M1471" t="str">
            <v>STL-20260910</v>
          </cell>
        </row>
        <row r="1472">
          <cell r="K1472">
            <v>784.85</v>
          </cell>
          <cell r="M1472" t="str">
            <v>STL-20260910</v>
          </cell>
        </row>
        <row r="1473">
          <cell r="K1473">
            <v>299</v>
          </cell>
          <cell r="M1473" t="str">
            <v>STL-20260910</v>
          </cell>
        </row>
        <row r="1474">
          <cell r="K1474">
            <v>585.57000000000005</v>
          </cell>
          <cell r="M1474" t="str">
            <v>STL-20260910</v>
          </cell>
        </row>
        <row r="1475">
          <cell r="K1475">
            <v>2090.58</v>
          </cell>
          <cell r="M1475" t="str">
            <v>STL-20260910</v>
          </cell>
        </row>
        <row r="1476">
          <cell r="K1476">
            <v>4927.22</v>
          </cell>
          <cell r="M1476" t="str">
            <v>STL-20260910</v>
          </cell>
        </row>
        <row r="1477">
          <cell r="K1477">
            <v>10642.21</v>
          </cell>
          <cell r="M1477" t="str">
            <v>STL-20260910</v>
          </cell>
        </row>
        <row r="1478">
          <cell r="K1478">
            <v>11555.95</v>
          </cell>
          <cell r="M1478" t="str">
            <v>STL-20260910</v>
          </cell>
        </row>
        <row r="1479">
          <cell r="K1479">
            <v>999</v>
          </cell>
          <cell r="M1479" t="str">
            <v>STL-20260910</v>
          </cell>
        </row>
        <row r="1480">
          <cell r="K1480">
            <v>4781.0200000000004</v>
          </cell>
          <cell r="M1480" t="str">
            <v>STL-20260910</v>
          </cell>
        </row>
        <row r="1481">
          <cell r="K1481">
            <v>7970.68</v>
          </cell>
          <cell r="M1481" t="str">
            <v>STL-20260910</v>
          </cell>
        </row>
        <row r="1482">
          <cell r="K1482">
            <v>1499</v>
          </cell>
          <cell r="M1482" t="str">
            <v>STL-20260910</v>
          </cell>
        </row>
        <row r="1483">
          <cell r="K1483">
            <v>1760.79</v>
          </cell>
          <cell r="M1483" t="str">
            <v>STL-20260910</v>
          </cell>
        </row>
        <row r="1484">
          <cell r="K1484">
            <v>-698</v>
          </cell>
          <cell r="M1484" t="str">
            <v>STL-20260910</v>
          </cell>
        </row>
        <row r="1485">
          <cell r="K1485">
            <v>-3798</v>
          </cell>
          <cell r="M1485" t="str">
            <v>STL-20260910</v>
          </cell>
        </row>
        <row r="1486">
          <cell r="K1486">
            <v>-1799</v>
          </cell>
          <cell r="M1486" t="str">
            <v>STL-20260910</v>
          </cell>
        </row>
        <row r="1487">
          <cell r="K1487">
            <v>-7999</v>
          </cell>
          <cell r="M1487" t="str">
            <v>STL-20260910</v>
          </cell>
        </row>
        <row r="1488">
          <cell r="K1488">
            <v>-2999</v>
          </cell>
          <cell r="M1488" t="str">
            <v>STL-20260910</v>
          </cell>
        </row>
        <row r="1489">
          <cell r="K1489">
            <v>-3298</v>
          </cell>
          <cell r="M1489" t="str">
            <v>STL-20260910</v>
          </cell>
        </row>
        <row r="1490">
          <cell r="K1490">
            <v>-1647</v>
          </cell>
          <cell r="M1490" t="str">
            <v>STL-20260910</v>
          </cell>
        </row>
        <row r="1491">
          <cell r="K1491">
            <v>3286.33</v>
          </cell>
          <cell r="M1491" t="str">
            <v>STL-20260911</v>
          </cell>
        </row>
        <row r="1492">
          <cell r="K1492">
            <v>1760.79</v>
          </cell>
          <cell r="M1492" t="str">
            <v>STL-20260911</v>
          </cell>
        </row>
        <row r="1493">
          <cell r="K1493">
            <v>499</v>
          </cell>
          <cell r="M1493" t="str">
            <v>STL-20260911</v>
          </cell>
        </row>
        <row r="1494">
          <cell r="K1494">
            <v>8766.86</v>
          </cell>
          <cell r="M1494" t="str">
            <v>STL-20260911</v>
          </cell>
        </row>
        <row r="1495">
          <cell r="K1495">
            <v>7970.68</v>
          </cell>
          <cell r="M1495" t="str">
            <v>STL-20260911</v>
          </cell>
        </row>
        <row r="1496">
          <cell r="K1496">
            <v>1447</v>
          </cell>
          <cell r="M1496" t="str">
            <v>STL-20260911</v>
          </cell>
        </row>
        <row r="1497">
          <cell r="K1497">
            <v>341.59</v>
          </cell>
          <cell r="M1497" t="str">
            <v>STL-20260911</v>
          </cell>
        </row>
        <row r="1498">
          <cell r="K1498">
            <v>1270.44</v>
          </cell>
          <cell r="M1498" t="str">
            <v>STL-20260911</v>
          </cell>
        </row>
        <row r="1499">
          <cell r="K1499">
            <v>9659.26</v>
          </cell>
          <cell r="M1499" t="str">
            <v>STL-20260911</v>
          </cell>
        </row>
        <row r="1500">
          <cell r="K1500">
            <v>4282.79</v>
          </cell>
          <cell r="M1500" t="str">
            <v>STL-20260911</v>
          </cell>
        </row>
        <row r="1501">
          <cell r="K1501">
            <v>3428.81</v>
          </cell>
          <cell r="M1501" t="str">
            <v>STL-20260911</v>
          </cell>
        </row>
        <row r="1502">
          <cell r="K1502">
            <v>1562.18</v>
          </cell>
          <cell r="M1502" t="str">
            <v>STL-20260911</v>
          </cell>
        </row>
        <row r="1503">
          <cell r="K1503">
            <v>4980.3100000000004</v>
          </cell>
          <cell r="M1503" t="str">
            <v>STL-20260911</v>
          </cell>
        </row>
        <row r="1504">
          <cell r="K1504">
            <v>10299.799999999999</v>
          </cell>
          <cell r="M1504" t="str">
            <v>STL-20260911</v>
          </cell>
        </row>
        <row r="1505">
          <cell r="K1505">
            <v>6475</v>
          </cell>
          <cell r="M1505" t="str">
            <v>STL-20260911</v>
          </cell>
        </row>
        <row r="1506">
          <cell r="K1506">
            <v>799</v>
          </cell>
          <cell r="M1506" t="str">
            <v>STL-20260911</v>
          </cell>
        </row>
        <row r="1507">
          <cell r="K1507">
            <v>4928.21</v>
          </cell>
          <cell r="M1507" t="str">
            <v>STL-20260911</v>
          </cell>
        </row>
        <row r="1508">
          <cell r="K1508">
            <v>4482.08</v>
          </cell>
          <cell r="M1508" t="str">
            <v>STL-20260911</v>
          </cell>
        </row>
        <row r="1509">
          <cell r="K1509">
            <v>5688.53</v>
          </cell>
          <cell r="M1509" t="str">
            <v>STL-20260911</v>
          </cell>
        </row>
        <row r="1510">
          <cell r="K1510">
            <v>9612.0300000000007</v>
          </cell>
          <cell r="M1510" t="str">
            <v>STL-20260911</v>
          </cell>
        </row>
        <row r="1511">
          <cell r="K1511">
            <v>2548.9499999999998</v>
          </cell>
          <cell r="M1511" t="str">
            <v>STL-20260911</v>
          </cell>
        </row>
        <row r="1512">
          <cell r="K1512">
            <v>3486.61</v>
          </cell>
          <cell r="M1512" t="str">
            <v>STL-20260911</v>
          </cell>
        </row>
        <row r="1513">
          <cell r="K1513">
            <v>499</v>
          </cell>
          <cell r="M1513" t="str">
            <v>STL-20260911</v>
          </cell>
        </row>
        <row r="1514">
          <cell r="K1514">
            <v>3286.33</v>
          </cell>
          <cell r="M1514" t="str">
            <v>STL-20260911</v>
          </cell>
        </row>
        <row r="1515">
          <cell r="K1515">
            <v>5278.25</v>
          </cell>
          <cell r="M1515" t="str">
            <v>STL-20260911</v>
          </cell>
        </row>
        <row r="1516">
          <cell r="K1516">
            <v>782.03</v>
          </cell>
          <cell r="M1516" t="str">
            <v>STL-20260911</v>
          </cell>
        </row>
        <row r="1517">
          <cell r="K1517">
            <v>1499</v>
          </cell>
          <cell r="M1517" t="str">
            <v>STL-20260911</v>
          </cell>
        </row>
        <row r="1518">
          <cell r="K1518">
            <v>8467.92</v>
          </cell>
          <cell r="M1518" t="str">
            <v>STL-20260911</v>
          </cell>
        </row>
        <row r="1519">
          <cell r="K1519">
            <v>5777.48</v>
          </cell>
          <cell r="M1519" t="str">
            <v>STL-20260911</v>
          </cell>
        </row>
        <row r="1520">
          <cell r="K1520">
            <v>977.78</v>
          </cell>
          <cell r="M1520" t="str">
            <v>STL-20260911</v>
          </cell>
        </row>
        <row r="1521">
          <cell r="K1521">
            <v>5976.77</v>
          </cell>
          <cell r="M1521" t="str">
            <v>STL-20260911</v>
          </cell>
        </row>
        <row r="1522">
          <cell r="K1522">
            <v>341.18</v>
          </cell>
          <cell r="M1522" t="str">
            <v>STL-20260911</v>
          </cell>
        </row>
        <row r="1523">
          <cell r="K1523">
            <v>292.64999999999998</v>
          </cell>
          <cell r="M1523" t="str">
            <v>STL-20260911</v>
          </cell>
        </row>
        <row r="1524">
          <cell r="K1524">
            <v>299</v>
          </cell>
          <cell r="M1524" t="str">
            <v>STL-20260911</v>
          </cell>
        </row>
        <row r="1525">
          <cell r="K1525">
            <v>499</v>
          </cell>
          <cell r="M1525" t="str">
            <v>STL-20260911</v>
          </cell>
        </row>
        <row r="1526">
          <cell r="K1526">
            <v>2988.38</v>
          </cell>
          <cell r="M1526" t="str">
            <v>STL-20260911</v>
          </cell>
        </row>
        <row r="1527">
          <cell r="K1527">
            <v>2090.58</v>
          </cell>
          <cell r="M1527" t="str">
            <v>STL-20260911</v>
          </cell>
        </row>
        <row r="1528">
          <cell r="K1528">
            <v>3720.83</v>
          </cell>
          <cell r="M1528" t="str">
            <v>STL-20260911</v>
          </cell>
        </row>
        <row r="1529">
          <cell r="K1529">
            <v>4981.3</v>
          </cell>
          <cell r="M1529" t="str">
            <v>STL-20260911</v>
          </cell>
        </row>
        <row r="1530">
          <cell r="K1530">
            <v>1759.82</v>
          </cell>
          <cell r="M1530" t="str">
            <v>STL-20260911</v>
          </cell>
        </row>
        <row r="1531">
          <cell r="K1531">
            <v>7969.69</v>
          </cell>
          <cell r="M1531" t="str">
            <v>STL-20260911</v>
          </cell>
        </row>
        <row r="1532">
          <cell r="K1532">
            <v>2942.38</v>
          </cell>
          <cell r="M1532" t="str">
            <v>STL-20260911</v>
          </cell>
        </row>
        <row r="1533">
          <cell r="K1533">
            <v>1348</v>
          </cell>
          <cell r="M1533" t="str">
            <v>STL-20260911</v>
          </cell>
        </row>
        <row r="1534">
          <cell r="K1534">
            <v>5478.54</v>
          </cell>
          <cell r="M1534" t="str">
            <v>STL-20260911</v>
          </cell>
        </row>
        <row r="1535">
          <cell r="K1535">
            <v>4381.4399999999996</v>
          </cell>
          <cell r="M1535" t="str">
            <v>STL-20260911</v>
          </cell>
        </row>
        <row r="1536">
          <cell r="K1536">
            <v>5377.9</v>
          </cell>
          <cell r="M1536" t="str">
            <v>STL-20260911</v>
          </cell>
        </row>
        <row r="1537">
          <cell r="K1537">
            <v>2089.58</v>
          </cell>
          <cell r="M1537" t="str">
            <v>STL-20260911</v>
          </cell>
        </row>
        <row r="1538">
          <cell r="K1538">
            <v>293.7</v>
          </cell>
          <cell r="M1538" t="str">
            <v>STL-20260911</v>
          </cell>
        </row>
        <row r="1539">
          <cell r="K1539">
            <v>5688.53</v>
          </cell>
          <cell r="M1539" t="str">
            <v>STL-20260911</v>
          </cell>
        </row>
        <row r="1540">
          <cell r="K1540">
            <v>3721.81</v>
          </cell>
          <cell r="M1540" t="str">
            <v>STL-20260911</v>
          </cell>
        </row>
        <row r="1541">
          <cell r="K1541">
            <v>3054.13</v>
          </cell>
          <cell r="M1541" t="str">
            <v>STL-20260911</v>
          </cell>
        </row>
        <row r="1542">
          <cell r="K1542">
            <v>2290.86</v>
          </cell>
          <cell r="M1542" t="str">
            <v>STL-20260911</v>
          </cell>
        </row>
        <row r="1543">
          <cell r="K1543">
            <v>1499</v>
          </cell>
          <cell r="M1543" t="str">
            <v>STL-20260911</v>
          </cell>
        </row>
        <row r="1544">
          <cell r="K1544">
            <v>977.78</v>
          </cell>
          <cell r="M1544" t="str">
            <v>STL-20260911</v>
          </cell>
        </row>
        <row r="1545">
          <cell r="K1545">
            <v>4413.08</v>
          </cell>
          <cell r="M1545" t="str">
            <v>STL-20260911</v>
          </cell>
        </row>
        <row r="1546">
          <cell r="K1546">
            <v>3428.81</v>
          </cell>
          <cell r="M1546" t="str">
            <v>STL-20260911</v>
          </cell>
        </row>
        <row r="1547">
          <cell r="K1547">
            <v>2463.61</v>
          </cell>
          <cell r="M1547" t="str">
            <v>STL-20260911</v>
          </cell>
        </row>
        <row r="1548">
          <cell r="K1548">
            <v>2788.1</v>
          </cell>
          <cell r="M1548" t="str">
            <v>STL-20260911</v>
          </cell>
        </row>
        <row r="1549">
          <cell r="K1549">
            <v>1299</v>
          </cell>
          <cell r="M1549" t="str">
            <v>STL-20260911</v>
          </cell>
        </row>
        <row r="1550">
          <cell r="K1550">
            <v>8630.91</v>
          </cell>
          <cell r="M1550" t="str">
            <v>STL-20260911</v>
          </cell>
        </row>
        <row r="1551">
          <cell r="K1551">
            <v>8965.15</v>
          </cell>
          <cell r="M1551" t="str">
            <v>STL-20260911</v>
          </cell>
        </row>
        <row r="1552">
          <cell r="K1552">
            <v>7838.54</v>
          </cell>
          <cell r="M1552" t="str">
            <v>STL-20260911</v>
          </cell>
        </row>
        <row r="1553">
          <cell r="K1553">
            <v>5394.2</v>
          </cell>
          <cell r="M1553" t="str">
            <v>STL-20260911</v>
          </cell>
        </row>
        <row r="1554">
          <cell r="K1554">
            <v>4980.3100000000004</v>
          </cell>
          <cell r="M1554" t="str">
            <v>STL-20260911</v>
          </cell>
        </row>
        <row r="1555">
          <cell r="K1555">
            <v>1955.57</v>
          </cell>
          <cell r="M1555" t="str">
            <v>STL-20260911</v>
          </cell>
        </row>
        <row r="1556">
          <cell r="K1556">
            <v>927.87</v>
          </cell>
          <cell r="M1556" t="str">
            <v>STL-20260911</v>
          </cell>
        </row>
        <row r="1557">
          <cell r="K1557">
            <v>799</v>
          </cell>
          <cell r="M1557" t="str">
            <v>STL-20260911</v>
          </cell>
        </row>
        <row r="1558">
          <cell r="K1558">
            <v>1319.37</v>
          </cell>
          <cell r="M1558" t="str">
            <v>STL-20260911</v>
          </cell>
        </row>
        <row r="1559">
          <cell r="K1559">
            <v>1299</v>
          </cell>
          <cell r="M1559" t="str">
            <v>STL-20260911</v>
          </cell>
        </row>
        <row r="1560">
          <cell r="K1560">
            <v>5478.54</v>
          </cell>
          <cell r="M1560" t="str">
            <v>STL-20260911</v>
          </cell>
        </row>
        <row r="1561">
          <cell r="K1561">
            <v>998</v>
          </cell>
          <cell r="M1561" t="str">
            <v>STL-20260911</v>
          </cell>
        </row>
        <row r="1562">
          <cell r="K1562">
            <v>1123.6199999999999</v>
          </cell>
          <cell r="M1562" t="str">
            <v>STL-20260911</v>
          </cell>
        </row>
        <row r="1563">
          <cell r="K1563">
            <v>3726.29</v>
          </cell>
          <cell r="M1563" t="str">
            <v>STL-20260911</v>
          </cell>
        </row>
        <row r="1564">
          <cell r="K1564">
            <v>599</v>
          </cell>
          <cell r="M1564" t="str">
            <v>STL-20260911</v>
          </cell>
        </row>
        <row r="1565">
          <cell r="K1565">
            <v>1848</v>
          </cell>
          <cell r="M1565" t="str">
            <v>STL-20260911</v>
          </cell>
        </row>
        <row r="1566">
          <cell r="K1566">
            <v>1499</v>
          </cell>
          <cell r="M1566" t="str">
            <v>STL-20260911</v>
          </cell>
        </row>
        <row r="1567">
          <cell r="K1567">
            <v>2938.84</v>
          </cell>
          <cell r="M1567" t="str">
            <v>STL-20260911</v>
          </cell>
        </row>
        <row r="1568">
          <cell r="K1568">
            <v>999</v>
          </cell>
          <cell r="M1568" t="str">
            <v>STL-20260911</v>
          </cell>
        </row>
        <row r="1569">
          <cell r="K1569">
            <v>10385.530000000001</v>
          </cell>
          <cell r="M1569" t="str">
            <v>STL-20260911</v>
          </cell>
        </row>
        <row r="1570">
          <cell r="K1570">
            <v>499</v>
          </cell>
          <cell r="M1570" t="str">
            <v>STL-20260911</v>
          </cell>
        </row>
        <row r="1571">
          <cell r="K1571">
            <v>299</v>
          </cell>
          <cell r="M1571" t="str">
            <v>STL-20260911</v>
          </cell>
        </row>
        <row r="1572">
          <cell r="K1572">
            <v>2451.8200000000002</v>
          </cell>
          <cell r="M1572" t="str">
            <v>STL-20260911</v>
          </cell>
        </row>
        <row r="1573">
          <cell r="K1573">
            <v>977.78</v>
          </cell>
          <cell r="M1573" t="str">
            <v>STL-20260911</v>
          </cell>
        </row>
        <row r="1574">
          <cell r="K1574">
            <v>1098</v>
          </cell>
          <cell r="M1574" t="str">
            <v>STL-20260911</v>
          </cell>
        </row>
        <row r="1575">
          <cell r="K1575">
            <v>4281.79</v>
          </cell>
          <cell r="M1575" t="str">
            <v>STL-20260911</v>
          </cell>
        </row>
        <row r="1576">
          <cell r="K1576">
            <v>12253.47</v>
          </cell>
          <cell r="M1576" t="str">
            <v>STL-20260911</v>
          </cell>
        </row>
        <row r="1577">
          <cell r="K1577">
            <v>999</v>
          </cell>
          <cell r="M1577" t="str">
            <v>STL-20260911</v>
          </cell>
        </row>
        <row r="1578">
          <cell r="K1578">
            <v>999</v>
          </cell>
          <cell r="M1578" t="str">
            <v>STL-20260911</v>
          </cell>
        </row>
        <row r="1579">
          <cell r="K1579">
            <v>1760.79</v>
          </cell>
          <cell r="M1579" t="str">
            <v>STL-20260911</v>
          </cell>
        </row>
        <row r="1580">
          <cell r="K1580">
            <v>13045.95</v>
          </cell>
          <cell r="M1580" t="str">
            <v>STL-20260911</v>
          </cell>
        </row>
        <row r="1581">
          <cell r="K1581">
            <v>2451.8200000000002</v>
          </cell>
          <cell r="M1581" t="str">
            <v>STL-20260911</v>
          </cell>
        </row>
        <row r="1582">
          <cell r="K1582">
            <v>4482.08</v>
          </cell>
          <cell r="M1582" t="str">
            <v>STL-20260911</v>
          </cell>
        </row>
        <row r="1583">
          <cell r="K1583">
            <v>3485.62</v>
          </cell>
          <cell r="M1583" t="str">
            <v>STL-20260911</v>
          </cell>
        </row>
        <row r="1584">
          <cell r="K1584">
            <v>487.81</v>
          </cell>
          <cell r="M1584" t="str">
            <v>STL-20260911</v>
          </cell>
        </row>
        <row r="1585">
          <cell r="K1585">
            <v>349</v>
          </cell>
          <cell r="M1585" t="str">
            <v>STL-20260911</v>
          </cell>
        </row>
        <row r="1586">
          <cell r="K1586">
            <v>1472.46</v>
          </cell>
          <cell r="M1586" t="str">
            <v>STL-20260911</v>
          </cell>
        </row>
        <row r="1587">
          <cell r="K1587">
            <v>5478.54</v>
          </cell>
          <cell r="M1587" t="str">
            <v>STL-20260911</v>
          </cell>
        </row>
        <row r="1588">
          <cell r="K1588">
            <v>1276</v>
          </cell>
          <cell r="M1588" t="str">
            <v>STL-20260911</v>
          </cell>
        </row>
        <row r="1589">
          <cell r="K1589">
            <v>7470.46</v>
          </cell>
          <cell r="M1589" t="str">
            <v>STL-20260911</v>
          </cell>
        </row>
        <row r="1590">
          <cell r="K1590">
            <v>981.31</v>
          </cell>
          <cell r="M1590" t="str">
            <v>STL-20260911</v>
          </cell>
        </row>
        <row r="1591">
          <cell r="K1591">
            <v>5222.9799999999996</v>
          </cell>
          <cell r="M1591" t="str">
            <v>STL-20260911</v>
          </cell>
        </row>
        <row r="1592">
          <cell r="K1592">
            <v>2068.29</v>
          </cell>
          <cell r="M1592" t="str">
            <v>STL-20260911</v>
          </cell>
        </row>
        <row r="1593">
          <cell r="K1593">
            <v>299</v>
          </cell>
          <cell r="M1593" t="str">
            <v>STL-20260911</v>
          </cell>
        </row>
        <row r="1594">
          <cell r="K1594">
            <v>4979.3100000000004</v>
          </cell>
          <cell r="M1594" t="str">
            <v>STL-20260911</v>
          </cell>
        </row>
        <row r="1595">
          <cell r="K1595">
            <v>349</v>
          </cell>
          <cell r="M1595" t="str">
            <v>STL-20260911</v>
          </cell>
        </row>
        <row r="1596">
          <cell r="K1596">
            <v>4780.0200000000004</v>
          </cell>
          <cell r="M1596" t="str">
            <v>STL-20260911</v>
          </cell>
        </row>
        <row r="1597">
          <cell r="K1597">
            <v>3983.85</v>
          </cell>
          <cell r="M1597" t="str">
            <v>STL-20260911</v>
          </cell>
        </row>
        <row r="1598">
          <cell r="K1598">
            <v>7847.98</v>
          </cell>
          <cell r="M1598" t="str">
            <v>STL-20260911</v>
          </cell>
        </row>
        <row r="1599">
          <cell r="K1599">
            <v>981.31</v>
          </cell>
          <cell r="M1599" t="str">
            <v>STL-20260911</v>
          </cell>
        </row>
        <row r="1600">
          <cell r="K1600">
            <v>499</v>
          </cell>
          <cell r="M1600" t="str">
            <v>STL-20260911</v>
          </cell>
        </row>
        <row r="1601">
          <cell r="K1601">
            <v>1467.16</v>
          </cell>
          <cell r="M1601" t="str">
            <v>STL-20260911</v>
          </cell>
        </row>
        <row r="1602">
          <cell r="K1602">
            <v>497.23</v>
          </cell>
          <cell r="M1602" t="str">
            <v>STL-20260911</v>
          </cell>
        </row>
        <row r="1603">
          <cell r="K1603">
            <v>2490.15</v>
          </cell>
          <cell r="M1603" t="str">
            <v>STL-20260911</v>
          </cell>
        </row>
        <row r="1604">
          <cell r="K1604">
            <v>487.81</v>
          </cell>
          <cell r="M1604" t="str">
            <v>STL-20260911</v>
          </cell>
        </row>
        <row r="1605">
          <cell r="K1605">
            <v>3725.31</v>
          </cell>
          <cell r="M1605" t="str">
            <v>STL-20260911</v>
          </cell>
        </row>
        <row r="1606">
          <cell r="K1606">
            <v>10959.07</v>
          </cell>
          <cell r="M1606" t="str">
            <v>STL-20260911</v>
          </cell>
        </row>
        <row r="1607">
          <cell r="K1607">
            <v>4132.32</v>
          </cell>
          <cell r="M1607" t="str">
            <v>STL-20260911</v>
          </cell>
        </row>
        <row r="1608">
          <cell r="K1608">
            <v>8965.15</v>
          </cell>
          <cell r="M1608" t="str">
            <v>STL-20260911</v>
          </cell>
        </row>
        <row r="1609">
          <cell r="K1609">
            <v>2106.4699999999998</v>
          </cell>
          <cell r="M1609" t="str">
            <v>STL-20260911</v>
          </cell>
        </row>
        <row r="1610">
          <cell r="K1610">
            <v>8141.33</v>
          </cell>
          <cell r="M1610" t="str">
            <v>STL-20260911</v>
          </cell>
        </row>
        <row r="1611">
          <cell r="K1611">
            <v>999</v>
          </cell>
          <cell r="M1611" t="str">
            <v>STL-20260911</v>
          </cell>
        </row>
        <row r="1612">
          <cell r="K1612">
            <v>3585.27</v>
          </cell>
          <cell r="M1612" t="str">
            <v>STL-20260911</v>
          </cell>
        </row>
        <row r="1613">
          <cell r="K1613">
            <v>341.59</v>
          </cell>
          <cell r="M1613" t="str">
            <v>STL-20260911</v>
          </cell>
        </row>
        <row r="1614">
          <cell r="K1614">
            <v>1998</v>
          </cell>
          <cell r="M1614" t="str">
            <v>STL-20260911</v>
          </cell>
        </row>
        <row r="1615">
          <cell r="K1615">
            <v>8827.14</v>
          </cell>
          <cell r="M1615" t="str">
            <v>STL-20260911</v>
          </cell>
        </row>
        <row r="1616">
          <cell r="K1616">
            <v>1269.8800000000001</v>
          </cell>
          <cell r="M1616" t="str">
            <v>STL-20260911</v>
          </cell>
        </row>
        <row r="1617">
          <cell r="K1617">
            <v>499</v>
          </cell>
          <cell r="M1617" t="str">
            <v>STL-20260911</v>
          </cell>
        </row>
        <row r="1618">
          <cell r="K1618">
            <v>6475</v>
          </cell>
          <cell r="M1618" t="str">
            <v>STL-20260911</v>
          </cell>
        </row>
        <row r="1619">
          <cell r="K1619">
            <v>1299</v>
          </cell>
          <cell r="M1619" t="str">
            <v>STL-20260911</v>
          </cell>
        </row>
        <row r="1620">
          <cell r="K1620">
            <v>799</v>
          </cell>
          <cell r="M1620" t="str">
            <v>STL-20260911</v>
          </cell>
        </row>
        <row r="1621">
          <cell r="K1621">
            <v>1598</v>
          </cell>
          <cell r="M1621" t="str">
            <v>STL-20260911</v>
          </cell>
        </row>
        <row r="1622">
          <cell r="K1622">
            <v>3231.84</v>
          </cell>
          <cell r="M1622" t="str">
            <v>STL-20260911</v>
          </cell>
        </row>
        <row r="1623">
          <cell r="K1623">
            <v>7347.59</v>
          </cell>
          <cell r="M1623" t="str">
            <v>STL-20260911</v>
          </cell>
        </row>
        <row r="1624">
          <cell r="K1624">
            <v>3486.61</v>
          </cell>
          <cell r="M1624" t="str">
            <v>STL-20260911</v>
          </cell>
        </row>
        <row r="1625">
          <cell r="K1625">
            <v>8141.33</v>
          </cell>
          <cell r="M1625" t="str">
            <v>STL-20260911</v>
          </cell>
        </row>
        <row r="1626">
          <cell r="K1626">
            <v>9762.32</v>
          </cell>
          <cell r="M1626" t="str">
            <v>STL-20260911</v>
          </cell>
        </row>
        <row r="1627">
          <cell r="K1627">
            <v>898</v>
          </cell>
          <cell r="M1627" t="str">
            <v>STL-20260911</v>
          </cell>
        </row>
        <row r="1628">
          <cell r="K1628">
            <v>1499</v>
          </cell>
          <cell r="M1628" t="str">
            <v>STL-20260911</v>
          </cell>
        </row>
        <row r="1629">
          <cell r="K1629">
            <v>10386.51</v>
          </cell>
          <cell r="M1629" t="str">
            <v>STL-20260911</v>
          </cell>
        </row>
        <row r="1630">
          <cell r="K1630">
            <v>6275.71</v>
          </cell>
          <cell r="M1630" t="str">
            <v>STL-20260911</v>
          </cell>
        </row>
        <row r="1631">
          <cell r="K1631">
            <v>1499</v>
          </cell>
          <cell r="M1631" t="str">
            <v>STL-20260911</v>
          </cell>
        </row>
        <row r="1632">
          <cell r="K1632">
            <v>1499</v>
          </cell>
          <cell r="M1632" t="str">
            <v>STL-20260911</v>
          </cell>
        </row>
        <row r="1633">
          <cell r="K1633">
            <v>1848</v>
          </cell>
          <cell r="M1633" t="str">
            <v>STL-20260911</v>
          </cell>
        </row>
        <row r="1634">
          <cell r="K1634">
            <v>585.57000000000005</v>
          </cell>
          <cell r="M1634" t="str">
            <v>STL-20260911</v>
          </cell>
        </row>
        <row r="1635">
          <cell r="K1635">
            <v>4215.87</v>
          </cell>
          <cell r="M1635" t="str">
            <v>STL-20260911</v>
          </cell>
        </row>
        <row r="1636">
          <cell r="K1636">
            <v>4904.62</v>
          </cell>
          <cell r="M1636" t="str">
            <v>STL-20260911</v>
          </cell>
        </row>
        <row r="1637">
          <cell r="K1637">
            <v>4781.0200000000004</v>
          </cell>
          <cell r="M1637" t="str">
            <v>STL-20260911</v>
          </cell>
        </row>
        <row r="1638">
          <cell r="K1638">
            <v>588.39</v>
          </cell>
          <cell r="M1638" t="str">
            <v>STL-20260911</v>
          </cell>
        </row>
        <row r="1639">
          <cell r="K1639">
            <v>3486.61</v>
          </cell>
          <cell r="M1639" t="str">
            <v>STL-20260911</v>
          </cell>
        </row>
        <row r="1640">
          <cell r="K1640">
            <v>782.03</v>
          </cell>
          <cell r="M1640" t="str">
            <v>STL-20260911</v>
          </cell>
        </row>
        <row r="1641">
          <cell r="K1641">
            <v>488.4</v>
          </cell>
          <cell r="M1641" t="str">
            <v>STL-20260911</v>
          </cell>
        </row>
        <row r="1642">
          <cell r="K1642">
            <v>585.57000000000005</v>
          </cell>
          <cell r="M1642" t="str">
            <v>STL-20260911</v>
          </cell>
        </row>
        <row r="1643">
          <cell r="K1643">
            <v>588.39</v>
          </cell>
          <cell r="M1643" t="str">
            <v>STL-20260911</v>
          </cell>
        </row>
        <row r="1644">
          <cell r="K1644">
            <v>2449.86</v>
          </cell>
          <cell r="M1644" t="str">
            <v>STL-20260911</v>
          </cell>
        </row>
        <row r="1645">
          <cell r="K1645">
            <v>798</v>
          </cell>
          <cell r="M1645" t="str">
            <v>STL-20260911</v>
          </cell>
        </row>
        <row r="1646">
          <cell r="K1646">
            <v>5776.48</v>
          </cell>
          <cell r="M1646" t="str">
            <v>STL-20260911</v>
          </cell>
        </row>
        <row r="1647">
          <cell r="K1647">
            <v>6972.23</v>
          </cell>
          <cell r="M1647" t="str">
            <v>STL-20260911</v>
          </cell>
        </row>
        <row r="1648">
          <cell r="K1648">
            <v>3231.84</v>
          </cell>
          <cell r="M1648" t="str">
            <v>STL-20260911</v>
          </cell>
        </row>
        <row r="1649">
          <cell r="K1649">
            <v>599</v>
          </cell>
          <cell r="M1649" t="str">
            <v>STL-20260911</v>
          </cell>
        </row>
        <row r="1650">
          <cell r="K1650">
            <v>2152.9299999999998</v>
          </cell>
          <cell r="M1650" t="str">
            <v>STL-20260911</v>
          </cell>
        </row>
        <row r="1651">
          <cell r="K1651">
            <v>3486.61</v>
          </cell>
          <cell r="M1651" t="str">
            <v>STL-20260911</v>
          </cell>
        </row>
        <row r="1652">
          <cell r="K1652">
            <v>2090.58</v>
          </cell>
          <cell r="M1652" t="str">
            <v>STL-20260911</v>
          </cell>
        </row>
        <row r="1653">
          <cell r="K1653">
            <v>977.78</v>
          </cell>
          <cell r="M1653" t="str">
            <v>STL-20260911</v>
          </cell>
        </row>
        <row r="1654">
          <cell r="K1654">
            <v>1499</v>
          </cell>
          <cell r="M1654" t="str">
            <v>STL-20260911</v>
          </cell>
        </row>
        <row r="1655">
          <cell r="K1655">
            <v>3486.61</v>
          </cell>
          <cell r="M1655" t="str">
            <v>STL-20260911</v>
          </cell>
        </row>
        <row r="1656">
          <cell r="K1656">
            <v>1271.4100000000001</v>
          </cell>
          <cell r="M1656" t="str">
            <v>STL-20260911</v>
          </cell>
        </row>
        <row r="1657">
          <cell r="K1657">
            <v>599</v>
          </cell>
          <cell r="M1657" t="str">
            <v>STL-20260911</v>
          </cell>
        </row>
        <row r="1658">
          <cell r="K1658">
            <v>3834.38</v>
          </cell>
          <cell r="M1658" t="str">
            <v>STL-20260911</v>
          </cell>
        </row>
        <row r="1659">
          <cell r="K1659">
            <v>1147</v>
          </cell>
          <cell r="M1659" t="str">
            <v>STL-20260911</v>
          </cell>
        </row>
        <row r="1660">
          <cell r="K1660">
            <v>2988.38</v>
          </cell>
          <cell r="M1660" t="str">
            <v>STL-20260911</v>
          </cell>
        </row>
        <row r="1661">
          <cell r="K1661">
            <v>341.59</v>
          </cell>
          <cell r="M1661" t="str">
            <v>STL-20260911</v>
          </cell>
        </row>
        <row r="1662">
          <cell r="K1662">
            <v>2942.38</v>
          </cell>
          <cell r="M1662" t="str">
            <v>STL-20260911</v>
          </cell>
        </row>
        <row r="1663">
          <cell r="K1663">
            <v>-6897</v>
          </cell>
          <cell r="M1663" t="str">
            <v>STL-20260911</v>
          </cell>
        </row>
        <row r="1664">
          <cell r="K1664">
            <v>-3798</v>
          </cell>
          <cell r="M1664" t="str">
            <v>STL-20260911</v>
          </cell>
        </row>
        <row r="1665">
          <cell r="K1665">
            <v>-4999</v>
          </cell>
          <cell r="M1665" t="str">
            <v>STL-20260911</v>
          </cell>
        </row>
        <row r="1666">
          <cell r="K1666">
            <v>10460.84</v>
          </cell>
          <cell r="M1666" t="str">
            <v>STL-20260912</v>
          </cell>
        </row>
        <row r="1667">
          <cell r="K1667">
            <v>342.82</v>
          </cell>
          <cell r="M1667" t="str">
            <v>STL-20260912</v>
          </cell>
        </row>
        <row r="1668">
          <cell r="K1668">
            <v>2745.17</v>
          </cell>
          <cell r="M1668" t="str">
            <v>STL-20260912</v>
          </cell>
        </row>
        <row r="1669">
          <cell r="K1669">
            <v>5577.19</v>
          </cell>
          <cell r="M1669" t="str">
            <v>STL-20260912</v>
          </cell>
        </row>
        <row r="1670">
          <cell r="K1670">
            <v>499</v>
          </cell>
          <cell r="M1670" t="str">
            <v>STL-20260912</v>
          </cell>
        </row>
        <row r="1671">
          <cell r="K1671">
            <v>1798</v>
          </cell>
          <cell r="M1671" t="str">
            <v>STL-20260912</v>
          </cell>
        </row>
        <row r="1672">
          <cell r="K1672">
            <v>7071.88</v>
          </cell>
          <cell r="M1672" t="str">
            <v>STL-20260912</v>
          </cell>
        </row>
        <row r="1673">
          <cell r="K1673">
            <v>4981.3</v>
          </cell>
          <cell r="M1673" t="str">
            <v>STL-20260912</v>
          </cell>
        </row>
        <row r="1674">
          <cell r="K1674">
            <v>3834.38</v>
          </cell>
          <cell r="M1674" t="str">
            <v>STL-20260912</v>
          </cell>
        </row>
        <row r="1675">
          <cell r="K1675">
            <v>14445.68</v>
          </cell>
          <cell r="M1675" t="str">
            <v>STL-20260912</v>
          </cell>
        </row>
        <row r="1676">
          <cell r="K1676">
            <v>4701.75</v>
          </cell>
          <cell r="M1676" t="str">
            <v>STL-20260912</v>
          </cell>
        </row>
        <row r="1677">
          <cell r="K1677">
            <v>5420.14</v>
          </cell>
          <cell r="M1677" t="str">
            <v>STL-20260912</v>
          </cell>
        </row>
        <row r="1678">
          <cell r="K1678">
            <v>349</v>
          </cell>
          <cell r="M1678" t="str">
            <v>STL-20260912</v>
          </cell>
        </row>
        <row r="1679">
          <cell r="K1679">
            <v>10151.65</v>
          </cell>
          <cell r="M1679" t="str">
            <v>STL-20260912</v>
          </cell>
        </row>
        <row r="1680">
          <cell r="K1680">
            <v>1760.79</v>
          </cell>
          <cell r="M1680" t="str">
            <v>STL-20260912</v>
          </cell>
        </row>
        <row r="1681">
          <cell r="K1681">
            <v>12751.7</v>
          </cell>
          <cell r="M1681" t="str">
            <v>STL-20260912</v>
          </cell>
        </row>
        <row r="1682">
          <cell r="K1682">
            <v>299</v>
          </cell>
          <cell r="M1682" t="str">
            <v>STL-20260912</v>
          </cell>
        </row>
        <row r="1683">
          <cell r="K1683">
            <v>781.06</v>
          </cell>
          <cell r="M1683" t="str">
            <v>STL-20260912</v>
          </cell>
        </row>
        <row r="1684">
          <cell r="K1684">
            <v>1499</v>
          </cell>
          <cell r="M1684" t="str">
            <v>STL-20260912</v>
          </cell>
        </row>
        <row r="1685">
          <cell r="K1685">
            <v>3584.27</v>
          </cell>
          <cell r="M1685" t="str">
            <v>STL-20260912</v>
          </cell>
        </row>
        <row r="1686">
          <cell r="K1686">
            <v>1276</v>
          </cell>
          <cell r="M1686" t="str">
            <v>STL-20260912</v>
          </cell>
        </row>
        <row r="1687">
          <cell r="K1687">
            <v>3336.15</v>
          </cell>
          <cell r="M1687" t="str">
            <v>STL-20260912</v>
          </cell>
        </row>
        <row r="1688">
          <cell r="K1688">
            <v>10580.41</v>
          </cell>
          <cell r="M1688" t="str">
            <v>STL-20260912</v>
          </cell>
        </row>
        <row r="1689">
          <cell r="K1689">
            <v>5279.25</v>
          </cell>
          <cell r="M1689" t="str">
            <v>STL-20260912</v>
          </cell>
        </row>
        <row r="1690">
          <cell r="K1690">
            <v>4981.3</v>
          </cell>
          <cell r="M1690" t="str">
            <v>STL-20260912</v>
          </cell>
        </row>
        <row r="1691">
          <cell r="K1691">
            <v>299</v>
          </cell>
          <cell r="M1691" t="str">
            <v>STL-20260912</v>
          </cell>
        </row>
        <row r="1692">
          <cell r="K1692">
            <v>341.18</v>
          </cell>
          <cell r="M1692" t="str">
            <v>STL-20260912</v>
          </cell>
        </row>
        <row r="1693">
          <cell r="K1693">
            <v>3431.96</v>
          </cell>
          <cell r="M1693" t="str">
            <v>STL-20260912</v>
          </cell>
        </row>
        <row r="1694">
          <cell r="K1694">
            <v>828.99</v>
          </cell>
          <cell r="M1694" t="str">
            <v>STL-20260912</v>
          </cell>
        </row>
        <row r="1695">
          <cell r="K1695">
            <v>1759.82</v>
          </cell>
          <cell r="M1695" t="str">
            <v>STL-20260912</v>
          </cell>
        </row>
        <row r="1696">
          <cell r="K1696">
            <v>3136.64</v>
          </cell>
          <cell r="M1696" t="str">
            <v>STL-20260912</v>
          </cell>
        </row>
        <row r="1697">
          <cell r="K1697">
            <v>4980.3100000000004</v>
          </cell>
          <cell r="M1697" t="str">
            <v>STL-20260912</v>
          </cell>
        </row>
        <row r="1698">
          <cell r="K1698">
            <v>3486.61</v>
          </cell>
          <cell r="M1698" t="str">
            <v>STL-20260912</v>
          </cell>
        </row>
        <row r="1699">
          <cell r="K1699">
            <v>6475</v>
          </cell>
          <cell r="M1699" t="str">
            <v>STL-20260912</v>
          </cell>
        </row>
        <row r="1700">
          <cell r="K1700">
            <v>2807.67</v>
          </cell>
          <cell r="M1700" t="str">
            <v>STL-20260912</v>
          </cell>
        </row>
        <row r="1701">
          <cell r="K1701">
            <v>4282.79</v>
          </cell>
          <cell r="M1701" t="str">
            <v>STL-20260912</v>
          </cell>
        </row>
        <row r="1702">
          <cell r="K1702">
            <v>1271.4100000000001</v>
          </cell>
          <cell r="M1702" t="str">
            <v>STL-20260912</v>
          </cell>
        </row>
        <row r="1703">
          <cell r="K1703">
            <v>349</v>
          </cell>
          <cell r="M1703" t="str">
            <v>STL-20260912</v>
          </cell>
        </row>
        <row r="1704">
          <cell r="K1704">
            <v>299</v>
          </cell>
          <cell r="M1704" t="str">
            <v>STL-20260912</v>
          </cell>
        </row>
        <row r="1705">
          <cell r="K1705">
            <v>999</v>
          </cell>
          <cell r="M1705" t="str">
            <v>STL-20260912</v>
          </cell>
        </row>
        <row r="1706">
          <cell r="K1706">
            <v>5279.25</v>
          </cell>
          <cell r="M1706" t="str">
            <v>STL-20260912</v>
          </cell>
        </row>
        <row r="1707">
          <cell r="K1707">
            <v>599</v>
          </cell>
          <cell r="M1707" t="str">
            <v>STL-20260912</v>
          </cell>
        </row>
        <row r="1708">
          <cell r="K1708">
            <v>7970.68</v>
          </cell>
          <cell r="M1708" t="str">
            <v>STL-20260912</v>
          </cell>
        </row>
        <row r="1709">
          <cell r="K1709">
            <v>1799</v>
          </cell>
          <cell r="M1709" t="str">
            <v>STL-20260912</v>
          </cell>
        </row>
        <row r="1710">
          <cell r="K1710">
            <v>2090.58</v>
          </cell>
          <cell r="M1710" t="str">
            <v>STL-20260912</v>
          </cell>
        </row>
        <row r="1711">
          <cell r="K1711">
            <v>5329.07</v>
          </cell>
          <cell r="M1711" t="str">
            <v>STL-20260912</v>
          </cell>
        </row>
        <row r="1712">
          <cell r="K1712">
            <v>585.57000000000005</v>
          </cell>
          <cell r="M1712" t="str">
            <v>STL-20260912</v>
          </cell>
        </row>
        <row r="1713">
          <cell r="K1713">
            <v>1799</v>
          </cell>
          <cell r="M1713" t="str">
            <v>STL-20260912</v>
          </cell>
        </row>
        <row r="1714">
          <cell r="K1714">
            <v>5197.97</v>
          </cell>
          <cell r="M1714" t="str">
            <v>STL-20260912</v>
          </cell>
        </row>
        <row r="1715">
          <cell r="K1715">
            <v>3054.13</v>
          </cell>
          <cell r="M1715" t="str">
            <v>STL-20260912</v>
          </cell>
        </row>
        <row r="1716">
          <cell r="K1716">
            <v>3039.51</v>
          </cell>
          <cell r="M1716" t="str">
            <v>STL-20260912</v>
          </cell>
        </row>
        <row r="1717">
          <cell r="K1717">
            <v>2451.8200000000002</v>
          </cell>
          <cell r="M1717" t="str">
            <v>STL-20260912</v>
          </cell>
        </row>
        <row r="1718">
          <cell r="K1718">
            <v>2988.38</v>
          </cell>
          <cell r="M1718" t="str">
            <v>STL-20260912</v>
          </cell>
        </row>
        <row r="1719">
          <cell r="K1719">
            <v>292.64999999999998</v>
          </cell>
          <cell r="M1719" t="str">
            <v>STL-20260912</v>
          </cell>
        </row>
        <row r="1720">
          <cell r="K1720">
            <v>3286.33</v>
          </cell>
          <cell r="M1720" t="str">
            <v>STL-20260912</v>
          </cell>
        </row>
        <row r="1721">
          <cell r="K1721">
            <v>2428.2199999999998</v>
          </cell>
          <cell r="M1721" t="str">
            <v>STL-20260912</v>
          </cell>
        </row>
        <row r="1722">
          <cell r="K1722">
            <v>2451.8200000000002</v>
          </cell>
          <cell r="M1722" t="str">
            <v>STL-20260912</v>
          </cell>
        </row>
        <row r="1723">
          <cell r="K1723">
            <v>1299</v>
          </cell>
          <cell r="M1723" t="str">
            <v>STL-20260912</v>
          </cell>
        </row>
        <row r="1724">
          <cell r="K1724">
            <v>3916.82</v>
          </cell>
          <cell r="M1724" t="str">
            <v>STL-20260912</v>
          </cell>
        </row>
        <row r="1725">
          <cell r="K1725">
            <v>349</v>
          </cell>
          <cell r="M1725" t="str">
            <v>STL-20260912</v>
          </cell>
        </row>
        <row r="1726">
          <cell r="K1726">
            <v>4781.0200000000004</v>
          </cell>
          <cell r="M1726" t="str">
            <v>STL-20260912</v>
          </cell>
        </row>
        <row r="1727">
          <cell r="K1727">
            <v>1898</v>
          </cell>
          <cell r="M1727" t="str">
            <v>STL-20260912</v>
          </cell>
        </row>
        <row r="1728">
          <cell r="K1728">
            <v>927.87</v>
          </cell>
          <cell r="M1728" t="str">
            <v>STL-20260912</v>
          </cell>
        </row>
        <row r="1729">
          <cell r="K1729">
            <v>3486.61</v>
          </cell>
          <cell r="M1729" t="str">
            <v>STL-20260912</v>
          </cell>
        </row>
        <row r="1730">
          <cell r="K1730">
            <v>4981.3</v>
          </cell>
          <cell r="M1730" t="str">
            <v>STL-20260912</v>
          </cell>
        </row>
        <row r="1731">
          <cell r="K1731">
            <v>4381.4399999999996</v>
          </cell>
          <cell r="M1731" t="str">
            <v>STL-20260912</v>
          </cell>
        </row>
        <row r="1732">
          <cell r="K1732">
            <v>2389.52</v>
          </cell>
          <cell r="M1732" t="str">
            <v>STL-20260912</v>
          </cell>
        </row>
        <row r="1733">
          <cell r="K1733">
            <v>3087.04</v>
          </cell>
          <cell r="M1733" t="str">
            <v>STL-20260912</v>
          </cell>
        </row>
        <row r="1734">
          <cell r="K1734">
            <v>490.16</v>
          </cell>
          <cell r="M1734" t="str">
            <v>STL-20260912</v>
          </cell>
        </row>
        <row r="1735">
          <cell r="K1735">
            <v>1598</v>
          </cell>
          <cell r="M1735" t="str">
            <v>STL-20260912</v>
          </cell>
        </row>
        <row r="1736">
          <cell r="K1736">
            <v>1598</v>
          </cell>
          <cell r="M1736" t="str">
            <v>STL-20260912</v>
          </cell>
        </row>
        <row r="1737">
          <cell r="K1737">
            <v>2106.4699999999998</v>
          </cell>
          <cell r="M1737" t="str">
            <v>STL-20260912</v>
          </cell>
        </row>
        <row r="1738">
          <cell r="K1738">
            <v>3087.04</v>
          </cell>
          <cell r="M1738" t="str">
            <v>STL-20260912</v>
          </cell>
        </row>
        <row r="1739">
          <cell r="K1739">
            <v>349</v>
          </cell>
          <cell r="M1739" t="str">
            <v>STL-20260912</v>
          </cell>
        </row>
        <row r="1740">
          <cell r="K1740">
            <v>2788.1</v>
          </cell>
          <cell r="M1740" t="str">
            <v>STL-20260912</v>
          </cell>
        </row>
        <row r="1741">
          <cell r="K1741">
            <v>4904.62</v>
          </cell>
          <cell r="M1741" t="str">
            <v>STL-20260912</v>
          </cell>
        </row>
        <row r="1742">
          <cell r="K1742">
            <v>3486.61</v>
          </cell>
          <cell r="M1742" t="str">
            <v>STL-20260912</v>
          </cell>
        </row>
        <row r="1743">
          <cell r="K1743">
            <v>2758.38</v>
          </cell>
          <cell r="M1743" t="str">
            <v>STL-20260912</v>
          </cell>
        </row>
        <row r="1744">
          <cell r="K1744">
            <v>341.59</v>
          </cell>
          <cell r="M1744" t="str">
            <v>STL-20260912</v>
          </cell>
        </row>
        <row r="1745">
          <cell r="K1745">
            <v>7838.54</v>
          </cell>
          <cell r="M1745" t="str">
            <v>STL-20260912</v>
          </cell>
        </row>
        <row r="1746">
          <cell r="K1746">
            <v>1121.29</v>
          </cell>
          <cell r="M1746" t="str">
            <v>STL-20260912</v>
          </cell>
        </row>
        <row r="1747">
          <cell r="K1747">
            <v>1798</v>
          </cell>
          <cell r="M1747" t="str">
            <v>STL-20260912</v>
          </cell>
        </row>
        <row r="1748">
          <cell r="K1748">
            <v>11083.71</v>
          </cell>
          <cell r="M1748" t="str">
            <v>STL-20260912</v>
          </cell>
        </row>
        <row r="1749">
          <cell r="K1749">
            <v>10808.6</v>
          </cell>
          <cell r="M1749" t="str">
            <v>STL-20260912</v>
          </cell>
        </row>
        <row r="1750">
          <cell r="K1750">
            <v>782.03</v>
          </cell>
          <cell r="M1750" t="str">
            <v>STL-20260912</v>
          </cell>
        </row>
        <row r="1751">
          <cell r="K1751">
            <v>342.82</v>
          </cell>
          <cell r="M1751" t="str">
            <v>STL-20260912</v>
          </cell>
        </row>
        <row r="1752">
          <cell r="K1752">
            <v>1898</v>
          </cell>
          <cell r="M1752" t="str">
            <v>STL-20260912</v>
          </cell>
        </row>
        <row r="1753">
          <cell r="K1753">
            <v>18125.95</v>
          </cell>
          <cell r="M1753" t="str">
            <v>STL-20260912</v>
          </cell>
        </row>
        <row r="1754">
          <cell r="K1754">
            <v>2560.23</v>
          </cell>
          <cell r="M1754" t="str">
            <v>STL-20260912</v>
          </cell>
        </row>
        <row r="1755">
          <cell r="K1755">
            <v>292.64999999999998</v>
          </cell>
          <cell r="M1755" t="str">
            <v>STL-20260912</v>
          </cell>
        </row>
        <row r="1756">
          <cell r="K1756">
            <v>3883.21</v>
          </cell>
          <cell r="M1756" t="str">
            <v>STL-20260912</v>
          </cell>
        </row>
        <row r="1757">
          <cell r="K1757">
            <v>1467.16</v>
          </cell>
          <cell r="M1757" t="str">
            <v>STL-20260912</v>
          </cell>
        </row>
        <row r="1758">
          <cell r="K1758">
            <v>799</v>
          </cell>
          <cell r="M1758" t="str">
            <v>STL-20260912</v>
          </cell>
        </row>
        <row r="1759">
          <cell r="K1759">
            <v>784.85</v>
          </cell>
          <cell r="M1759" t="str">
            <v>STL-20260912</v>
          </cell>
        </row>
        <row r="1760">
          <cell r="K1760">
            <v>981.31</v>
          </cell>
          <cell r="M1760" t="str">
            <v>STL-20260912</v>
          </cell>
        </row>
        <row r="1761">
          <cell r="K1761">
            <v>977.78</v>
          </cell>
          <cell r="M1761" t="str">
            <v>STL-20260912</v>
          </cell>
        </row>
        <row r="1762">
          <cell r="K1762">
            <v>599</v>
          </cell>
          <cell r="M1762" t="str">
            <v>STL-20260912</v>
          </cell>
        </row>
        <row r="1763">
          <cell r="K1763">
            <v>1854.47</v>
          </cell>
          <cell r="M1763" t="str">
            <v>STL-20260912</v>
          </cell>
        </row>
        <row r="1764">
          <cell r="K1764">
            <v>981.31</v>
          </cell>
          <cell r="M1764" t="str">
            <v>STL-20260912</v>
          </cell>
        </row>
        <row r="1765">
          <cell r="K1765">
            <v>9613.01</v>
          </cell>
          <cell r="M1765" t="str">
            <v>STL-20260912</v>
          </cell>
        </row>
        <row r="1766">
          <cell r="K1766">
            <v>4928.21</v>
          </cell>
          <cell r="M1766" t="str">
            <v>STL-20260912</v>
          </cell>
        </row>
        <row r="1767">
          <cell r="K1767">
            <v>4282.79</v>
          </cell>
          <cell r="M1767" t="str">
            <v>STL-20260912</v>
          </cell>
        </row>
        <row r="1768">
          <cell r="K1768">
            <v>2490.15</v>
          </cell>
          <cell r="M1768" t="str">
            <v>STL-20260912</v>
          </cell>
        </row>
        <row r="1769">
          <cell r="K1769">
            <v>4211.78</v>
          </cell>
          <cell r="M1769" t="str">
            <v>STL-20260912</v>
          </cell>
        </row>
        <row r="1770">
          <cell r="K1770">
            <v>5578.19</v>
          </cell>
          <cell r="M1770" t="str">
            <v>STL-20260912</v>
          </cell>
        </row>
        <row r="1771">
          <cell r="K1771">
            <v>2349.89</v>
          </cell>
          <cell r="M1771" t="str">
            <v>STL-20260912</v>
          </cell>
        </row>
        <row r="1772">
          <cell r="K1772">
            <v>3087.04</v>
          </cell>
          <cell r="M1772" t="str">
            <v>STL-20260912</v>
          </cell>
        </row>
        <row r="1773">
          <cell r="K1773">
            <v>2588.81</v>
          </cell>
          <cell r="M1773" t="str">
            <v>STL-20260912</v>
          </cell>
        </row>
        <row r="1774">
          <cell r="K1774">
            <v>9464.3799999999992</v>
          </cell>
          <cell r="M1774" t="str">
            <v>STL-20260912</v>
          </cell>
        </row>
        <row r="1775">
          <cell r="K1775">
            <v>8190.39</v>
          </cell>
          <cell r="M1775" t="str">
            <v>STL-20260912</v>
          </cell>
        </row>
        <row r="1776">
          <cell r="K1776">
            <v>1271.4100000000001</v>
          </cell>
          <cell r="M1776" t="str">
            <v>STL-20260912</v>
          </cell>
        </row>
        <row r="1777">
          <cell r="K1777">
            <v>1269.8800000000001</v>
          </cell>
          <cell r="M1777" t="str">
            <v>STL-20260912</v>
          </cell>
        </row>
        <row r="1778">
          <cell r="K1778">
            <v>7944.13</v>
          </cell>
          <cell r="M1778" t="str">
            <v>STL-20260912</v>
          </cell>
        </row>
        <row r="1779">
          <cell r="K1779">
            <v>2438.34</v>
          </cell>
          <cell r="M1779" t="str">
            <v>STL-20260912</v>
          </cell>
        </row>
        <row r="1780">
          <cell r="K1780">
            <v>11770.5</v>
          </cell>
          <cell r="M1780" t="str">
            <v>STL-20260912</v>
          </cell>
        </row>
        <row r="1781">
          <cell r="K1781">
            <v>2988.38</v>
          </cell>
          <cell r="M1781" t="str">
            <v>STL-20260912</v>
          </cell>
        </row>
        <row r="1782">
          <cell r="K1782">
            <v>9363.5</v>
          </cell>
          <cell r="M1782" t="str">
            <v>STL-20260912</v>
          </cell>
        </row>
        <row r="1783">
          <cell r="K1783">
            <v>599</v>
          </cell>
          <cell r="M1783" t="str">
            <v>STL-20260912</v>
          </cell>
        </row>
        <row r="1784">
          <cell r="K1784">
            <v>5197.97</v>
          </cell>
          <cell r="M1784" t="str">
            <v>STL-20260912</v>
          </cell>
        </row>
        <row r="1785">
          <cell r="K1785">
            <v>1647</v>
          </cell>
          <cell r="M1785" t="str">
            <v>STL-20260912</v>
          </cell>
        </row>
        <row r="1786">
          <cell r="K1786">
            <v>1271.4100000000001</v>
          </cell>
          <cell r="M1786" t="str">
            <v>STL-20260912</v>
          </cell>
        </row>
        <row r="1787">
          <cell r="K1787">
            <v>9464.3799999999992</v>
          </cell>
          <cell r="M1787" t="str">
            <v>STL-20260912</v>
          </cell>
        </row>
        <row r="1788">
          <cell r="K1788">
            <v>3432.94</v>
          </cell>
          <cell r="M1788" t="str">
            <v>STL-20260912</v>
          </cell>
        </row>
        <row r="1789">
          <cell r="K1789">
            <v>1499</v>
          </cell>
          <cell r="M1789" t="str">
            <v>STL-20260912</v>
          </cell>
        </row>
        <row r="1790">
          <cell r="K1790">
            <v>781.09</v>
          </cell>
          <cell r="M1790" t="str">
            <v>STL-20260912</v>
          </cell>
        </row>
        <row r="1791">
          <cell r="K1791">
            <v>7847.98</v>
          </cell>
          <cell r="M1791" t="str">
            <v>STL-20260912</v>
          </cell>
        </row>
        <row r="1792">
          <cell r="K1792">
            <v>7970.68</v>
          </cell>
          <cell r="M1792" t="str">
            <v>STL-20260912</v>
          </cell>
        </row>
        <row r="1793">
          <cell r="K1793">
            <v>8966.15</v>
          </cell>
          <cell r="M1793" t="str">
            <v>STL-20260912</v>
          </cell>
        </row>
        <row r="1794">
          <cell r="K1794">
            <v>2388.52</v>
          </cell>
          <cell r="M1794" t="str">
            <v>STL-20260912</v>
          </cell>
        </row>
        <row r="1795">
          <cell r="K1795">
            <v>4580.7299999999996</v>
          </cell>
          <cell r="M1795" t="str">
            <v>STL-20260912</v>
          </cell>
        </row>
        <row r="1796">
          <cell r="K1796">
            <v>1766.18</v>
          </cell>
          <cell r="M1796" t="str">
            <v>STL-20260912</v>
          </cell>
        </row>
        <row r="1797">
          <cell r="K1797">
            <v>799</v>
          </cell>
          <cell r="M1797" t="str">
            <v>STL-20260912</v>
          </cell>
        </row>
        <row r="1798">
          <cell r="K1798">
            <v>292.64999999999998</v>
          </cell>
          <cell r="M1798" t="str">
            <v>STL-20260912</v>
          </cell>
        </row>
        <row r="1799">
          <cell r="K1799">
            <v>341.18</v>
          </cell>
          <cell r="M1799" t="str">
            <v>STL-20260912</v>
          </cell>
        </row>
        <row r="1800">
          <cell r="K1800">
            <v>5478.54</v>
          </cell>
          <cell r="M1800" t="str">
            <v>STL-20260912</v>
          </cell>
        </row>
        <row r="1801">
          <cell r="K1801">
            <v>4981.3</v>
          </cell>
          <cell r="M1801" t="str">
            <v>STL-20260912</v>
          </cell>
        </row>
        <row r="1802">
          <cell r="K1802">
            <v>299</v>
          </cell>
          <cell r="M1802" t="str">
            <v>STL-20260912</v>
          </cell>
        </row>
        <row r="1803">
          <cell r="K1803">
            <v>1798</v>
          </cell>
          <cell r="M1803" t="str">
            <v>STL-20260912</v>
          </cell>
        </row>
        <row r="1804">
          <cell r="K1804">
            <v>341.59</v>
          </cell>
          <cell r="M1804" t="str">
            <v>STL-20260912</v>
          </cell>
        </row>
        <row r="1805">
          <cell r="K1805">
            <v>4381.4399999999996</v>
          </cell>
          <cell r="M1805" t="str">
            <v>STL-20260912</v>
          </cell>
        </row>
        <row r="1806">
          <cell r="K1806">
            <v>599</v>
          </cell>
          <cell r="M1806" t="str">
            <v>STL-20260912</v>
          </cell>
        </row>
        <row r="1807">
          <cell r="K1807">
            <v>342.82</v>
          </cell>
          <cell r="M1807" t="str">
            <v>STL-20260912</v>
          </cell>
        </row>
        <row r="1808">
          <cell r="K1808">
            <v>2239.0500000000002</v>
          </cell>
          <cell r="M1808" t="str">
            <v>STL-20260912</v>
          </cell>
        </row>
        <row r="1809">
          <cell r="K1809">
            <v>341.59</v>
          </cell>
          <cell r="M1809" t="str">
            <v>STL-20260912</v>
          </cell>
        </row>
        <row r="1810">
          <cell r="K1810">
            <v>3427.83</v>
          </cell>
          <cell r="M1810" t="str">
            <v>STL-20260912</v>
          </cell>
        </row>
        <row r="1811">
          <cell r="K1811">
            <v>6375.32</v>
          </cell>
          <cell r="M1811" t="str">
            <v>STL-20260912</v>
          </cell>
        </row>
        <row r="1812">
          <cell r="K1812">
            <v>1613</v>
          </cell>
          <cell r="M1812" t="str">
            <v>STL-20260912</v>
          </cell>
        </row>
        <row r="1813">
          <cell r="K1813">
            <v>1598</v>
          </cell>
          <cell r="M1813" t="str">
            <v>STL-20260912</v>
          </cell>
        </row>
        <row r="1814">
          <cell r="K1814">
            <v>1648</v>
          </cell>
          <cell r="M1814" t="str">
            <v>STL-20260912</v>
          </cell>
        </row>
        <row r="1815">
          <cell r="K1815">
            <v>499</v>
          </cell>
          <cell r="M1815" t="str">
            <v>STL-20260912</v>
          </cell>
        </row>
        <row r="1816">
          <cell r="K1816">
            <v>2451.8200000000002</v>
          </cell>
          <cell r="M1816" t="str">
            <v>STL-20260912</v>
          </cell>
        </row>
        <row r="1817">
          <cell r="K1817">
            <v>499</v>
          </cell>
          <cell r="M1817" t="str">
            <v>STL-20260912</v>
          </cell>
        </row>
        <row r="1818">
          <cell r="K1818">
            <v>7150.62</v>
          </cell>
          <cell r="M1818" t="str">
            <v>STL-20260912</v>
          </cell>
        </row>
        <row r="1819">
          <cell r="K1819">
            <v>1799</v>
          </cell>
          <cell r="M1819" t="str">
            <v>STL-20260912</v>
          </cell>
        </row>
        <row r="1820">
          <cell r="K1820">
            <v>1767.15</v>
          </cell>
          <cell r="M1820" t="str">
            <v>STL-20260912</v>
          </cell>
        </row>
        <row r="1821">
          <cell r="K1821">
            <v>1271.4100000000001</v>
          </cell>
          <cell r="M1821" t="str">
            <v>STL-20260912</v>
          </cell>
        </row>
        <row r="1822">
          <cell r="K1822">
            <v>977.78</v>
          </cell>
          <cell r="M1822" t="str">
            <v>STL-20260912</v>
          </cell>
        </row>
        <row r="1823">
          <cell r="K1823">
            <v>5884.76</v>
          </cell>
          <cell r="M1823" t="str">
            <v>STL-20260912</v>
          </cell>
        </row>
        <row r="1824">
          <cell r="K1824">
            <v>490.16</v>
          </cell>
          <cell r="M1824" t="str">
            <v>STL-20260912</v>
          </cell>
        </row>
        <row r="1825">
          <cell r="K1825">
            <v>3486.61</v>
          </cell>
          <cell r="M1825" t="str">
            <v>STL-20260912</v>
          </cell>
        </row>
        <row r="1826">
          <cell r="K1826">
            <v>6275.71</v>
          </cell>
          <cell r="M1826" t="str">
            <v>STL-20260912</v>
          </cell>
        </row>
        <row r="1827">
          <cell r="K1827">
            <v>4981.3</v>
          </cell>
          <cell r="M1827" t="str">
            <v>STL-20260912</v>
          </cell>
        </row>
        <row r="1828">
          <cell r="K1828">
            <v>4904.62</v>
          </cell>
          <cell r="M1828" t="str">
            <v>STL-20260912</v>
          </cell>
        </row>
        <row r="1829">
          <cell r="K1829">
            <v>4981.3</v>
          </cell>
          <cell r="M1829" t="str">
            <v>STL-20260912</v>
          </cell>
        </row>
        <row r="1830">
          <cell r="K1830">
            <v>4211.78</v>
          </cell>
          <cell r="M1830" t="str">
            <v>STL-20260912</v>
          </cell>
        </row>
        <row r="1831">
          <cell r="K1831">
            <v>3486.61</v>
          </cell>
          <cell r="M1831" t="str">
            <v>STL-20260912</v>
          </cell>
        </row>
        <row r="1832">
          <cell r="K1832">
            <v>3524.84</v>
          </cell>
          <cell r="M1832" t="str">
            <v>STL-20260912</v>
          </cell>
        </row>
        <row r="1833">
          <cell r="K1833">
            <v>976.6</v>
          </cell>
          <cell r="M1833" t="str">
            <v>STL-20260912</v>
          </cell>
        </row>
        <row r="1834">
          <cell r="K1834">
            <v>1760.79</v>
          </cell>
          <cell r="M1834" t="str">
            <v>STL-20260912</v>
          </cell>
        </row>
        <row r="1835">
          <cell r="K1835">
            <v>1758.67</v>
          </cell>
          <cell r="M1835" t="str">
            <v>STL-20260912</v>
          </cell>
        </row>
        <row r="1836">
          <cell r="K1836">
            <v>5478.54</v>
          </cell>
          <cell r="M1836" t="str">
            <v>STL-20260912</v>
          </cell>
        </row>
        <row r="1837">
          <cell r="K1837">
            <v>7470.46</v>
          </cell>
          <cell r="M1837" t="str">
            <v>STL-20260912</v>
          </cell>
        </row>
        <row r="1838">
          <cell r="K1838">
            <v>1465.39</v>
          </cell>
          <cell r="M1838" t="str">
            <v>STL-20260912</v>
          </cell>
        </row>
        <row r="1839">
          <cell r="K1839">
            <v>3432.94</v>
          </cell>
          <cell r="M1839" t="str">
            <v>STL-20260912</v>
          </cell>
        </row>
        <row r="1840">
          <cell r="K1840">
            <v>2942.38</v>
          </cell>
          <cell r="M1840" t="str">
            <v>STL-20260912</v>
          </cell>
        </row>
        <row r="1841">
          <cell r="K1841">
            <v>599</v>
          </cell>
          <cell r="M1841" t="str">
            <v>STL-20260912</v>
          </cell>
        </row>
        <row r="1842">
          <cell r="K1842">
            <v>799</v>
          </cell>
          <cell r="M1842" t="str">
            <v>STL-20260912</v>
          </cell>
        </row>
        <row r="1843">
          <cell r="K1843">
            <v>1148</v>
          </cell>
          <cell r="M1843" t="str">
            <v>STL-20260912</v>
          </cell>
        </row>
        <row r="1844">
          <cell r="K1844">
            <v>3529.09</v>
          </cell>
          <cell r="M1844" t="str">
            <v>STL-20260912</v>
          </cell>
        </row>
        <row r="1845">
          <cell r="K1845">
            <v>1758.67</v>
          </cell>
          <cell r="M1845" t="str">
            <v>STL-20260912</v>
          </cell>
        </row>
        <row r="1846">
          <cell r="K1846">
            <v>9763.32</v>
          </cell>
          <cell r="M1846" t="str">
            <v>STL-20260912</v>
          </cell>
        </row>
        <row r="1847">
          <cell r="K1847">
            <v>-8598</v>
          </cell>
          <cell r="M1847" t="str">
            <v>STL-20260912</v>
          </cell>
        </row>
        <row r="1848">
          <cell r="K1848">
            <v>-1798</v>
          </cell>
          <cell r="M1848" t="str">
            <v>STL-20260912</v>
          </cell>
        </row>
        <row r="1849">
          <cell r="K1849">
            <v>-8298</v>
          </cell>
          <cell r="M1849" t="str">
            <v>STL-20260912</v>
          </cell>
        </row>
        <row r="1850">
          <cell r="K1850">
            <v>-4297</v>
          </cell>
          <cell r="M1850" t="str">
            <v>STL-20260912</v>
          </cell>
        </row>
        <row r="1851">
          <cell r="K1851">
            <v>-12297</v>
          </cell>
          <cell r="M1851" t="str">
            <v>STL-20260912</v>
          </cell>
        </row>
        <row r="1852">
          <cell r="K1852">
            <v>-7999</v>
          </cell>
          <cell r="M1852" t="str">
            <v>STL-20260912</v>
          </cell>
        </row>
        <row r="1853">
          <cell r="K1853">
            <v>-1299</v>
          </cell>
          <cell r="M1853" t="str">
            <v>STL-20260912</v>
          </cell>
        </row>
        <row r="1854">
          <cell r="K1854">
            <v>-6797</v>
          </cell>
          <cell r="M1854" t="str">
            <v>STL-20260912</v>
          </cell>
        </row>
        <row r="1855">
          <cell r="K1855">
            <v>-7999</v>
          </cell>
          <cell r="M1855" t="str">
            <v>STL-20260912</v>
          </cell>
        </row>
        <row r="1856">
          <cell r="K1856">
            <v>-1098</v>
          </cell>
          <cell r="M1856" t="str">
            <v>STL-20260912</v>
          </cell>
        </row>
        <row r="1857">
          <cell r="K1857">
            <v>-5998</v>
          </cell>
          <cell r="M1857" t="str">
            <v>STL-20260912</v>
          </cell>
        </row>
        <row r="1858">
          <cell r="K1858">
            <v>488.4</v>
          </cell>
          <cell r="M1858" t="str">
            <v>STL-20260913</v>
          </cell>
        </row>
        <row r="1859">
          <cell r="K1859">
            <v>2988.38</v>
          </cell>
          <cell r="M1859" t="str">
            <v>STL-20260913</v>
          </cell>
        </row>
        <row r="1860">
          <cell r="K1860">
            <v>599</v>
          </cell>
          <cell r="M1860" t="str">
            <v>STL-20260913</v>
          </cell>
        </row>
        <row r="1861">
          <cell r="K1861">
            <v>2448.87</v>
          </cell>
          <cell r="M1861" t="str">
            <v>STL-20260913</v>
          </cell>
        </row>
        <row r="1862">
          <cell r="K1862">
            <v>2745.17</v>
          </cell>
          <cell r="M1862" t="str">
            <v>STL-20260913</v>
          </cell>
        </row>
        <row r="1863">
          <cell r="K1863">
            <v>9613.01</v>
          </cell>
          <cell r="M1863" t="str">
            <v>STL-20260913</v>
          </cell>
        </row>
        <row r="1864">
          <cell r="K1864">
            <v>341.18</v>
          </cell>
          <cell r="M1864" t="str">
            <v>STL-20260913</v>
          </cell>
        </row>
        <row r="1865">
          <cell r="K1865">
            <v>8766.86</v>
          </cell>
          <cell r="M1865" t="str">
            <v>STL-20260913</v>
          </cell>
        </row>
        <row r="1866">
          <cell r="K1866">
            <v>5578.19</v>
          </cell>
          <cell r="M1866" t="str">
            <v>STL-20260913</v>
          </cell>
        </row>
        <row r="1867">
          <cell r="K1867">
            <v>6864.9</v>
          </cell>
          <cell r="M1867" t="str">
            <v>STL-20260913</v>
          </cell>
        </row>
        <row r="1868">
          <cell r="K1868">
            <v>6963.01</v>
          </cell>
          <cell r="M1868" t="str">
            <v>STL-20260913</v>
          </cell>
        </row>
        <row r="1869">
          <cell r="K1869">
            <v>1499</v>
          </cell>
          <cell r="M1869" t="str">
            <v>STL-20260913</v>
          </cell>
        </row>
        <row r="1870">
          <cell r="K1870">
            <v>299</v>
          </cell>
          <cell r="M1870" t="str">
            <v>STL-20260913</v>
          </cell>
        </row>
        <row r="1871">
          <cell r="K1871">
            <v>8130.56</v>
          </cell>
          <cell r="M1871" t="str">
            <v>STL-20260913</v>
          </cell>
        </row>
        <row r="1872">
          <cell r="K1872">
            <v>7970.68</v>
          </cell>
          <cell r="M1872" t="str">
            <v>STL-20260913</v>
          </cell>
        </row>
        <row r="1873">
          <cell r="K1873">
            <v>1563.07</v>
          </cell>
          <cell r="M1873" t="str">
            <v>STL-20260913</v>
          </cell>
        </row>
        <row r="1874">
          <cell r="K1874">
            <v>1299</v>
          </cell>
          <cell r="M1874" t="str">
            <v>STL-20260913</v>
          </cell>
        </row>
        <row r="1875">
          <cell r="K1875">
            <v>3185.68</v>
          </cell>
          <cell r="M1875" t="str">
            <v>STL-20260913</v>
          </cell>
        </row>
        <row r="1876">
          <cell r="K1876">
            <v>2451.8200000000002</v>
          </cell>
          <cell r="M1876" t="str">
            <v>STL-20260913</v>
          </cell>
        </row>
        <row r="1877">
          <cell r="K1877">
            <v>799</v>
          </cell>
          <cell r="M1877" t="str">
            <v>STL-20260913</v>
          </cell>
        </row>
        <row r="1878">
          <cell r="K1878">
            <v>2988.38</v>
          </cell>
          <cell r="M1878" t="str">
            <v>STL-20260913</v>
          </cell>
        </row>
        <row r="1879">
          <cell r="K1879">
            <v>8827.14</v>
          </cell>
          <cell r="M1879" t="str">
            <v>STL-20260913</v>
          </cell>
        </row>
        <row r="1880">
          <cell r="K1880">
            <v>9306.49</v>
          </cell>
          <cell r="M1880" t="str">
            <v>STL-20260913</v>
          </cell>
        </row>
        <row r="1881">
          <cell r="K1881">
            <v>1613</v>
          </cell>
          <cell r="M1881" t="str">
            <v>STL-20260913</v>
          </cell>
        </row>
        <row r="1882">
          <cell r="K1882">
            <v>4780.0200000000004</v>
          </cell>
          <cell r="M1882" t="str">
            <v>STL-20260913</v>
          </cell>
        </row>
        <row r="1883">
          <cell r="K1883">
            <v>2448.87</v>
          </cell>
          <cell r="M1883" t="str">
            <v>STL-20260913</v>
          </cell>
        </row>
        <row r="1884">
          <cell r="K1884">
            <v>4928.21</v>
          </cell>
          <cell r="M1884" t="str">
            <v>STL-20260913</v>
          </cell>
        </row>
        <row r="1885">
          <cell r="K1885">
            <v>5478.54</v>
          </cell>
          <cell r="M1885" t="str">
            <v>STL-20260913</v>
          </cell>
        </row>
        <row r="1886">
          <cell r="K1886">
            <v>1098</v>
          </cell>
          <cell r="M1886" t="str">
            <v>STL-20260913</v>
          </cell>
        </row>
        <row r="1887">
          <cell r="K1887">
            <v>7847</v>
          </cell>
          <cell r="M1887" t="str">
            <v>STL-20260913</v>
          </cell>
        </row>
        <row r="1888">
          <cell r="K1888">
            <v>781.09</v>
          </cell>
          <cell r="M1888" t="str">
            <v>STL-20260913</v>
          </cell>
        </row>
        <row r="1889">
          <cell r="K1889">
            <v>499</v>
          </cell>
          <cell r="M1889" t="str">
            <v>STL-20260913</v>
          </cell>
        </row>
        <row r="1890">
          <cell r="K1890">
            <v>3432.94</v>
          </cell>
          <cell r="M1890" t="str">
            <v>STL-20260913</v>
          </cell>
        </row>
        <row r="1891">
          <cell r="K1891">
            <v>1074.68</v>
          </cell>
          <cell r="M1891" t="str">
            <v>STL-20260913</v>
          </cell>
        </row>
        <row r="1892">
          <cell r="K1892">
            <v>2490.15</v>
          </cell>
          <cell r="M1892" t="str">
            <v>STL-20260913</v>
          </cell>
        </row>
        <row r="1893">
          <cell r="K1893">
            <v>1347</v>
          </cell>
          <cell r="M1893" t="str">
            <v>STL-20260913</v>
          </cell>
        </row>
        <row r="1894">
          <cell r="K1894">
            <v>8318.4500000000007</v>
          </cell>
          <cell r="M1894" t="str">
            <v>STL-20260913</v>
          </cell>
        </row>
        <row r="1895">
          <cell r="K1895">
            <v>4510.21</v>
          </cell>
          <cell r="M1895" t="str">
            <v>STL-20260913</v>
          </cell>
        </row>
        <row r="1896">
          <cell r="K1896">
            <v>349</v>
          </cell>
          <cell r="M1896" t="str">
            <v>STL-20260913</v>
          </cell>
        </row>
        <row r="1897">
          <cell r="K1897">
            <v>2490.15</v>
          </cell>
          <cell r="M1897" t="str">
            <v>STL-20260913</v>
          </cell>
        </row>
        <row r="1898">
          <cell r="K1898">
            <v>4981.3</v>
          </cell>
          <cell r="M1898" t="str">
            <v>STL-20260913</v>
          </cell>
        </row>
        <row r="1899">
          <cell r="K1899">
            <v>3525.82</v>
          </cell>
          <cell r="M1899" t="str">
            <v>STL-20260913</v>
          </cell>
        </row>
        <row r="1900">
          <cell r="K1900">
            <v>1799</v>
          </cell>
          <cell r="M1900" t="str">
            <v>STL-20260913</v>
          </cell>
        </row>
        <row r="1901">
          <cell r="K1901">
            <v>999</v>
          </cell>
          <cell r="M1901" t="str">
            <v>STL-20260913</v>
          </cell>
        </row>
        <row r="1902">
          <cell r="K1902">
            <v>4904.62</v>
          </cell>
          <cell r="M1902" t="str">
            <v>STL-20260913</v>
          </cell>
        </row>
        <row r="1903">
          <cell r="K1903">
            <v>2938.84</v>
          </cell>
          <cell r="M1903" t="str">
            <v>STL-20260913</v>
          </cell>
        </row>
        <row r="1904">
          <cell r="K1904">
            <v>5883.78</v>
          </cell>
          <cell r="M1904" t="str">
            <v>STL-20260913</v>
          </cell>
        </row>
        <row r="1905">
          <cell r="K1905">
            <v>6179.09</v>
          </cell>
          <cell r="M1905" t="str">
            <v>STL-20260913</v>
          </cell>
        </row>
        <row r="1906">
          <cell r="K1906">
            <v>1270.44</v>
          </cell>
          <cell r="M1906" t="str">
            <v>STL-20260913</v>
          </cell>
        </row>
        <row r="1907">
          <cell r="K1907">
            <v>6864.9</v>
          </cell>
          <cell r="M1907" t="str">
            <v>STL-20260913</v>
          </cell>
        </row>
        <row r="1908">
          <cell r="K1908">
            <v>3922.52</v>
          </cell>
          <cell r="M1908" t="str">
            <v>STL-20260913</v>
          </cell>
        </row>
        <row r="1909">
          <cell r="K1909">
            <v>10959.07</v>
          </cell>
          <cell r="M1909" t="str">
            <v>STL-20260913</v>
          </cell>
        </row>
        <row r="1910">
          <cell r="K1910">
            <v>2463.61</v>
          </cell>
          <cell r="M1910" t="str">
            <v>STL-20260913</v>
          </cell>
        </row>
        <row r="1911">
          <cell r="K1911">
            <v>5976.77</v>
          </cell>
          <cell r="M1911" t="str">
            <v>STL-20260913</v>
          </cell>
        </row>
        <row r="1912">
          <cell r="K1912">
            <v>5329.07</v>
          </cell>
          <cell r="M1912" t="str">
            <v>STL-20260913</v>
          </cell>
        </row>
        <row r="1913">
          <cell r="K1913">
            <v>5278.25</v>
          </cell>
          <cell r="M1913" t="str">
            <v>STL-20260913</v>
          </cell>
        </row>
        <row r="1914">
          <cell r="K1914">
            <v>7356.44</v>
          </cell>
          <cell r="M1914" t="str">
            <v>STL-20260913</v>
          </cell>
        </row>
        <row r="1915">
          <cell r="K1915">
            <v>999</v>
          </cell>
          <cell r="M1915" t="str">
            <v>STL-20260913</v>
          </cell>
        </row>
        <row r="1916">
          <cell r="K1916">
            <v>2057.41</v>
          </cell>
          <cell r="M1916" t="str">
            <v>STL-20260913</v>
          </cell>
        </row>
        <row r="1917">
          <cell r="K1917">
            <v>5884.76</v>
          </cell>
          <cell r="M1917" t="str">
            <v>STL-20260913</v>
          </cell>
        </row>
        <row r="1918">
          <cell r="K1918">
            <v>299</v>
          </cell>
          <cell r="M1918" t="str">
            <v>STL-20260913</v>
          </cell>
        </row>
        <row r="1919">
          <cell r="K1919">
            <v>599</v>
          </cell>
          <cell r="M1919" t="str">
            <v>STL-20260913</v>
          </cell>
        </row>
        <row r="1920">
          <cell r="K1920">
            <v>9404.48</v>
          </cell>
          <cell r="M1920" t="str">
            <v>STL-20260913</v>
          </cell>
        </row>
        <row r="1921">
          <cell r="K1921">
            <v>1760.79</v>
          </cell>
          <cell r="M1921" t="str">
            <v>STL-20260913</v>
          </cell>
        </row>
        <row r="1922">
          <cell r="K1922">
            <v>349</v>
          </cell>
          <cell r="M1922" t="str">
            <v>STL-20260913</v>
          </cell>
        </row>
        <row r="1923">
          <cell r="K1923">
            <v>7471.46</v>
          </cell>
          <cell r="M1923" t="str">
            <v>STL-20260913</v>
          </cell>
        </row>
        <row r="1924">
          <cell r="K1924">
            <v>781.09</v>
          </cell>
          <cell r="M1924" t="str">
            <v>STL-20260913</v>
          </cell>
        </row>
        <row r="1925">
          <cell r="K1925">
            <v>2942.38</v>
          </cell>
          <cell r="M1925" t="str">
            <v>STL-20260913</v>
          </cell>
        </row>
        <row r="1926">
          <cell r="K1926">
            <v>299</v>
          </cell>
          <cell r="M1926" t="str">
            <v>STL-20260913</v>
          </cell>
        </row>
        <row r="1927">
          <cell r="K1927">
            <v>1269.8800000000001</v>
          </cell>
          <cell r="M1927" t="str">
            <v>STL-20260913</v>
          </cell>
        </row>
        <row r="1928">
          <cell r="K1928">
            <v>488.4</v>
          </cell>
          <cell r="M1928" t="str">
            <v>STL-20260913</v>
          </cell>
        </row>
        <row r="1929">
          <cell r="K1929">
            <v>8068.34</v>
          </cell>
          <cell r="M1929" t="str">
            <v>STL-20260913</v>
          </cell>
        </row>
        <row r="1930">
          <cell r="K1930">
            <v>3235.73</v>
          </cell>
          <cell r="M1930" t="str">
            <v>STL-20260913</v>
          </cell>
        </row>
        <row r="1931">
          <cell r="K1931">
            <v>2451.8200000000002</v>
          </cell>
          <cell r="M1931" t="str">
            <v>STL-20260913</v>
          </cell>
        </row>
        <row r="1932">
          <cell r="K1932">
            <v>798</v>
          </cell>
          <cell r="M1932" t="str">
            <v>STL-20260913</v>
          </cell>
        </row>
        <row r="1933">
          <cell r="K1933">
            <v>499</v>
          </cell>
          <cell r="M1933" t="str">
            <v>STL-20260913</v>
          </cell>
        </row>
        <row r="1934">
          <cell r="K1934">
            <v>7471.46</v>
          </cell>
          <cell r="M1934" t="str">
            <v>STL-20260913</v>
          </cell>
        </row>
        <row r="1935">
          <cell r="K1935">
            <v>999</v>
          </cell>
          <cell r="M1935" t="str">
            <v>STL-20260913</v>
          </cell>
        </row>
        <row r="1936">
          <cell r="K1936">
            <v>5491.33</v>
          </cell>
          <cell r="M1936" t="str">
            <v>STL-20260913</v>
          </cell>
        </row>
        <row r="1937">
          <cell r="K1937">
            <v>1499</v>
          </cell>
          <cell r="M1937" t="str">
            <v>STL-20260913</v>
          </cell>
        </row>
        <row r="1938">
          <cell r="K1938">
            <v>2463.61</v>
          </cell>
          <cell r="M1938" t="str">
            <v>STL-20260913</v>
          </cell>
        </row>
        <row r="1939">
          <cell r="K1939">
            <v>1598</v>
          </cell>
          <cell r="M1939" t="str">
            <v>STL-20260913</v>
          </cell>
        </row>
        <row r="1940">
          <cell r="K1940">
            <v>7885.73</v>
          </cell>
          <cell r="M1940" t="str">
            <v>STL-20260913</v>
          </cell>
        </row>
        <row r="1941">
          <cell r="K1941">
            <v>2837.92</v>
          </cell>
          <cell r="M1941" t="str">
            <v>STL-20260913</v>
          </cell>
        </row>
        <row r="1942">
          <cell r="K1942">
            <v>3336.15</v>
          </cell>
          <cell r="M1942" t="str">
            <v>STL-20260913</v>
          </cell>
        </row>
        <row r="1943">
          <cell r="K1943">
            <v>2637.63</v>
          </cell>
          <cell r="M1943" t="str">
            <v>STL-20260913</v>
          </cell>
        </row>
        <row r="1944">
          <cell r="K1944">
            <v>1271.4100000000001</v>
          </cell>
          <cell r="M1944" t="str">
            <v>STL-20260913</v>
          </cell>
        </row>
        <row r="1945">
          <cell r="K1945">
            <v>3818.82</v>
          </cell>
          <cell r="M1945" t="str">
            <v>STL-20260913</v>
          </cell>
        </row>
        <row r="1946">
          <cell r="K1946">
            <v>1499</v>
          </cell>
          <cell r="M1946" t="str">
            <v>STL-20260913</v>
          </cell>
        </row>
        <row r="1947">
          <cell r="K1947">
            <v>2057.41</v>
          </cell>
          <cell r="M1947" t="str">
            <v>STL-20260913</v>
          </cell>
        </row>
        <row r="1948">
          <cell r="K1948">
            <v>3434.8</v>
          </cell>
          <cell r="M1948" t="str">
            <v>STL-20260913</v>
          </cell>
        </row>
        <row r="1949">
          <cell r="K1949">
            <v>599</v>
          </cell>
          <cell r="M1949" t="str">
            <v>STL-20260913</v>
          </cell>
        </row>
        <row r="1950">
          <cell r="K1950">
            <v>1499</v>
          </cell>
          <cell r="M1950" t="str">
            <v>STL-20260913</v>
          </cell>
        </row>
        <row r="1951">
          <cell r="K1951">
            <v>5777.48</v>
          </cell>
          <cell r="M1951" t="str">
            <v>STL-20260913</v>
          </cell>
        </row>
        <row r="1952">
          <cell r="K1952">
            <v>6125.24</v>
          </cell>
          <cell r="M1952" t="str">
            <v>STL-20260913</v>
          </cell>
        </row>
        <row r="1953">
          <cell r="K1953">
            <v>1467.16</v>
          </cell>
          <cell r="M1953" t="str">
            <v>STL-20260913</v>
          </cell>
        </row>
        <row r="1954">
          <cell r="K1954">
            <v>599</v>
          </cell>
          <cell r="M1954" t="str">
            <v>STL-20260913</v>
          </cell>
        </row>
        <row r="1955">
          <cell r="K1955">
            <v>5196.99</v>
          </cell>
          <cell r="M1955" t="str">
            <v>STL-20260913</v>
          </cell>
        </row>
        <row r="1956">
          <cell r="K1956">
            <v>5420.14</v>
          </cell>
          <cell r="M1956" t="str">
            <v>STL-20260913</v>
          </cell>
        </row>
        <row r="1957">
          <cell r="K1957">
            <v>894.83</v>
          </cell>
          <cell r="M1957" t="str">
            <v>STL-20260913</v>
          </cell>
        </row>
        <row r="1958">
          <cell r="K1958">
            <v>5024.83</v>
          </cell>
          <cell r="M1958" t="str">
            <v>STL-20260913</v>
          </cell>
        </row>
        <row r="1959">
          <cell r="K1959">
            <v>7970.68</v>
          </cell>
          <cell r="M1959" t="str">
            <v>STL-20260913</v>
          </cell>
        </row>
        <row r="1960">
          <cell r="K1960">
            <v>15941.37</v>
          </cell>
          <cell r="M1960" t="str">
            <v>STL-20260913</v>
          </cell>
        </row>
        <row r="1961">
          <cell r="K1961">
            <v>599</v>
          </cell>
          <cell r="M1961" t="str">
            <v>STL-20260913</v>
          </cell>
        </row>
        <row r="1962">
          <cell r="K1962">
            <v>8179.52</v>
          </cell>
          <cell r="M1962" t="str">
            <v>STL-20260913</v>
          </cell>
        </row>
        <row r="1963">
          <cell r="K1963">
            <v>586.28</v>
          </cell>
          <cell r="M1963" t="str">
            <v>STL-20260913</v>
          </cell>
        </row>
        <row r="1964">
          <cell r="K1964">
            <v>2942.38</v>
          </cell>
          <cell r="M1964" t="str">
            <v>STL-20260913</v>
          </cell>
        </row>
        <row r="1965">
          <cell r="K1965">
            <v>2463.61</v>
          </cell>
          <cell r="M1965" t="str">
            <v>STL-20260913</v>
          </cell>
        </row>
        <row r="1966">
          <cell r="K1966">
            <v>1760.79</v>
          </cell>
          <cell r="M1966" t="str">
            <v>STL-20260913</v>
          </cell>
        </row>
        <row r="1967">
          <cell r="K1967">
            <v>2988.38</v>
          </cell>
          <cell r="M1967" t="str">
            <v>STL-20260913</v>
          </cell>
        </row>
        <row r="1968">
          <cell r="K1968">
            <v>2988.38</v>
          </cell>
          <cell r="M1968" t="str">
            <v>STL-20260913</v>
          </cell>
        </row>
        <row r="1969">
          <cell r="K1969">
            <v>341.18</v>
          </cell>
          <cell r="M1969" t="str">
            <v>STL-20260913</v>
          </cell>
        </row>
        <row r="1970">
          <cell r="K1970">
            <v>599</v>
          </cell>
          <cell r="M1970" t="str">
            <v>STL-20260913</v>
          </cell>
        </row>
        <row r="1971">
          <cell r="K1971">
            <v>1466.19</v>
          </cell>
          <cell r="M1971" t="str">
            <v>STL-20260913</v>
          </cell>
        </row>
        <row r="1972">
          <cell r="K1972">
            <v>10979.15</v>
          </cell>
          <cell r="M1972" t="str">
            <v>STL-20260913</v>
          </cell>
        </row>
        <row r="1973">
          <cell r="K1973">
            <v>1298</v>
          </cell>
          <cell r="M1973" t="str">
            <v>STL-20260913</v>
          </cell>
        </row>
        <row r="1974">
          <cell r="K1974">
            <v>341.59</v>
          </cell>
          <cell r="M1974" t="str">
            <v>STL-20260913</v>
          </cell>
        </row>
        <row r="1975">
          <cell r="K1975">
            <v>3336.15</v>
          </cell>
          <cell r="M1975" t="str">
            <v>STL-20260913</v>
          </cell>
        </row>
        <row r="1976">
          <cell r="K1976">
            <v>977.78</v>
          </cell>
          <cell r="M1976" t="str">
            <v>STL-20260913</v>
          </cell>
        </row>
        <row r="1977">
          <cell r="K1977">
            <v>998</v>
          </cell>
          <cell r="M1977" t="str">
            <v>STL-20260913</v>
          </cell>
        </row>
        <row r="1978">
          <cell r="K1978">
            <v>5278.25</v>
          </cell>
          <cell r="M1978" t="str">
            <v>STL-20260913</v>
          </cell>
        </row>
        <row r="1979">
          <cell r="K1979">
            <v>1269.8800000000001</v>
          </cell>
          <cell r="M1979" t="str">
            <v>STL-20260913</v>
          </cell>
        </row>
        <row r="1980">
          <cell r="K1980">
            <v>2988.38</v>
          </cell>
          <cell r="M1980" t="str">
            <v>STL-20260913</v>
          </cell>
        </row>
        <row r="1981">
          <cell r="K1981">
            <v>1299</v>
          </cell>
          <cell r="M1981" t="str">
            <v>STL-20260913</v>
          </cell>
        </row>
        <row r="1982">
          <cell r="K1982">
            <v>648</v>
          </cell>
          <cell r="M1982" t="str">
            <v>STL-20260913</v>
          </cell>
        </row>
        <row r="1983">
          <cell r="K1983">
            <v>2451.8200000000002</v>
          </cell>
          <cell r="M1983" t="str">
            <v>STL-20260913</v>
          </cell>
        </row>
        <row r="1984">
          <cell r="K1984">
            <v>2942.38</v>
          </cell>
          <cell r="M1984" t="str">
            <v>STL-20260913</v>
          </cell>
        </row>
        <row r="1985">
          <cell r="K1985">
            <v>349</v>
          </cell>
          <cell r="M1985" t="str">
            <v>STL-20260913</v>
          </cell>
        </row>
        <row r="1986">
          <cell r="K1986">
            <v>8318.4500000000007</v>
          </cell>
          <cell r="M1986" t="str">
            <v>STL-20260913</v>
          </cell>
        </row>
        <row r="1987">
          <cell r="K1987">
            <v>5589.44</v>
          </cell>
          <cell r="M1987" t="str">
            <v>STL-20260913</v>
          </cell>
        </row>
        <row r="1988">
          <cell r="K1988">
            <v>1366.66</v>
          </cell>
          <cell r="M1988" t="str">
            <v>STL-20260913</v>
          </cell>
        </row>
        <row r="1989">
          <cell r="K1989">
            <v>7970.68</v>
          </cell>
          <cell r="M1989" t="str">
            <v>STL-20260913</v>
          </cell>
        </row>
        <row r="1990">
          <cell r="K1990">
            <v>6623.47</v>
          </cell>
          <cell r="M1990" t="str">
            <v>STL-20260913</v>
          </cell>
        </row>
        <row r="1991">
          <cell r="K1991">
            <v>3431.96</v>
          </cell>
          <cell r="M1991" t="str">
            <v>STL-20260913</v>
          </cell>
        </row>
        <row r="1992">
          <cell r="K1992">
            <v>3486.61</v>
          </cell>
          <cell r="M1992" t="str">
            <v>STL-20260913</v>
          </cell>
        </row>
        <row r="1993">
          <cell r="K1993">
            <v>784.85</v>
          </cell>
          <cell r="M1993" t="str">
            <v>STL-20260913</v>
          </cell>
        </row>
        <row r="1994">
          <cell r="K1994">
            <v>9464.3799999999992</v>
          </cell>
          <cell r="M1994" t="str">
            <v>STL-20260913</v>
          </cell>
        </row>
        <row r="1995">
          <cell r="K1995">
            <v>7970.68</v>
          </cell>
          <cell r="M1995" t="str">
            <v>STL-20260913</v>
          </cell>
        </row>
        <row r="1996">
          <cell r="K1996">
            <v>2490.15</v>
          </cell>
          <cell r="M1996" t="str">
            <v>STL-20260913</v>
          </cell>
        </row>
        <row r="1997">
          <cell r="K1997">
            <v>4898.72</v>
          </cell>
          <cell r="M1997" t="str">
            <v>STL-20260913</v>
          </cell>
        </row>
        <row r="1998">
          <cell r="K1998">
            <v>292.64999999999998</v>
          </cell>
          <cell r="M1998" t="str">
            <v>STL-20260913</v>
          </cell>
        </row>
        <row r="1999">
          <cell r="K1999">
            <v>783.88</v>
          </cell>
          <cell r="M1999" t="str">
            <v>STL-20260913</v>
          </cell>
        </row>
        <row r="2000">
          <cell r="K2000">
            <v>6274.71</v>
          </cell>
          <cell r="M2000" t="str">
            <v>STL-20260913</v>
          </cell>
        </row>
        <row r="2001">
          <cell r="K2001">
            <v>8467.92</v>
          </cell>
          <cell r="M2001" t="str">
            <v>STL-20260913</v>
          </cell>
        </row>
        <row r="2002">
          <cell r="K2002">
            <v>8566.57</v>
          </cell>
          <cell r="M2002" t="str">
            <v>STL-20260913</v>
          </cell>
        </row>
        <row r="2003">
          <cell r="K2003">
            <v>8631.89</v>
          </cell>
          <cell r="M2003" t="str">
            <v>STL-20260913</v>
          </cell>
        </row>
        <row r="2004">
          <cell r="K2004">
            <v>1299</v>
          </cell>
          <cell r="M2004" t="str">
            <v>STL-20260913</v>
          </cell>
        </row>
        <row r="2005">
          <cell r="K2005">
            <v>2987.39</v>
          </cell>
          <cell r="M2005" t="str">
            <v>STL-20260913</v>
          </cell>
        </row>
        <row r="2006">
          <cell r="K2006">
            <v>8467.92</v>
          </cell>
          <cell r="M2006" t="str">
            <v>STL-20260913</v>
          </cell>
        </row>
        <row r="2007">
          <cell r="K2007">
            <v>1799</v>
          </cell>
          <cell r="M2007" t="str">
            <v>STL-20260913</v>
          </cell>
        </row>
        <row r="2008">
          <cell r="K2008">
            <v>2988.38</v>
          </cell>
          <cell r="M2008" t="str">
            <v>STL-20260913</v>
          </cell>
        </row>
        <row r="2009">
          <cell r="K2009">
            <v>999</v>
          </cell>
          <cell r="M2009" t="str">
            <v>STL-20260913</v>
          </cell>
        </row>
        <row r="2010">
          <cell r="K2010">
            <v>1299</v>
          </cell>
          <cell r="M2010" t="str">
            <v>STL-20260913</v>
          </cell>
        </row>
        <row r="2011">
          <cell r="K2011">
            <v>1499</v>
          </cell>
          <cell r="M2011" t="str">
            <v>STL-20260913</v>
          </cell>
        </row>
        <row r="2012">
          <cell r="K2012">
            <v>5478.54</v>
          </cell>
          <cell r="M2012" t="str">
            <v>STL-20260913</v>
          </cell>
        </row>
        <row r="2013">
          <cell r="K2013">
            <v>3286.33</v>
          </cell>
          <cell r="M2013" t="str">
            <v>STL-20260913</v>
          </cell>
        </row>
        <row r="2014">
          <cell r="K2014">
            <v>2987.39</v>
          </cell>
          <cell r="M2014" t="str">
            <v>STL-20260913</v>
          </cell>
        </row>
        <row r="2015">
          <cell r="K2015">
            <v>488.4</v>
          </cell>
          <cell r="M2015" t="str">
            <v>STL-20260913</v>
          </cell>
        </row>
        <row r="2016">
          <cell r="K2016">
            <v>4904.62</v>
          </cell>
          <cell r="M2016" t="str">
            <v>STL-20260913</v>
          </cell>
        </row>
        <row r="2017">
          <cell r="K2017">
            <v>2956.53</v>
          </cell>
          <cell r="M2017" t="str">
            <v>STL-20260913</v>
          </cell>
        </row>
        <row r="2018">
          <cell r="K2018">
            <v>4282.79</v>
          </cell>
          <cell r="M2018" t="str">
            <v>STL-20260913</v>
          </cell>
        </row>
        <row r="2019">
          <cell r="K2019">
            <v>1954.58</v>
          </cell>
          <cell r="M2019" t="str">
            <v>STL-20260913</v>
          </cell>
        </row>
        <row r="2020">
          <cell r="K2020">
            <v>5913.06</v>
          </cell>
          <cell r="M2020" t="str">
            <v>STL-20260913</v>
          </cell>
        </row>
        <row r="2021">
          <cell r="K2021">
            <v>8765.86</v>
          </cell>
          <cell r="M2021" t="str">
            <v>STL-20260913</v>
          </cell>
        </row>
        <row r="2022">
          <cell r="K2022">
            <v>499</v>
          </cell>
          <cell r="M2022" t="str">
            <v>STL-20260913</v>
          </cell>
        </row>
        <row r="2023">
          <cell r="K2023">
            <v>1499</v>
          </cell>
          <cell r="M2023" t="str">
            <v>STL-20260913</v>
          </cell>
        </row>
        <row r="2024">
          <cell r="K2024">
            <v>499</v>
          </cell>
          <cell r="M2024" t="str">
            <v>STL-20260913</v>
          </cell>
        </row>
        <row r="2025">
          <cell r="K2025">
            <v>5279.25</v>
          </cell>
          <cell r="M2025" t="str">
            <v>STL-20260913</v>
          </cell>
        </row>
        <row r="2026">
          <cell r="K2026">
            <v>292.64999999999998</v>
          </cell>
          <cell r="M2026" t="str">
            <v>STL-20260913</v>
          </cell>
        </row>
        <row r="2027">
          <cell r="K2027">
            <v>999</v>
          </cell>
          <cell r="M2027" t="str">
            <v>STL-20260913</v>
          </cell>
        </row>
        <row r="2028">
          <cell r="K2028">
            <v>292.3</v>
          </cell>
          <cell r="M2028" t="str">
            <v>STL-20260913</v>
          </cell>
        </row>
        <row r="2029">
          <cell r="K2029">
            <v>299</v>
          </cell>
          <cell r="M2029" t="str">
            <v>STL-20260913</v>
          </cell>
        </row>
        <row r="2030">
          <cell r="K2030">
            <v>349</v>
          </cell>
          <cell r="M2030" t="str">
            <v>STL-20260913</v>
          </cell>
        </row>
        <row r="2031">
          <cell r="K2031">
            <v>3486.61</v>
          </cell>
          <cell r="M2031" t="str">
            <v>STL-20260913</v>
          </cell>
        </row>
        <row r="2032">
          <cell r="K2032">
            <v>6366.67</v>
          </cell>
          <cell r="M2032" t="str">
            <v>STL-20260913</v>
          </cell>
        </row>
        <row r="2033">
          <cell r="K2033">
            <v>3726.29</v>
          </cell>
          <cell r="M2033" t="str">
            <v>STL-20260913</v>
          </cell>
        </row>
        <row r="2034">
          <cell r="K2034">
            <v>780.11</v>
          </cell>
          <cell r="M2034" t="str">
            <v>STL-20260913</v>
          </cell>
        </row>
        <row r="2035">
          <cell r="K2035">
            <v>599</v>
          </cell>
          <cell r="M2035" t="str">
            <v>STL-20260913</v>
          </cell>
        </row>
        <row r="2036">
          <cell r="K2036">
            <v>13045.95</v>
          </cell>
          <cell r="M2036" t="str">
            <v>STL-20260913</v>
          </cell>
        </row>
        <row r="2037">
          <cell r="K2037">
            <v>1767.15</v>
          </cell>
          <cell r="M2037" t="str">
            <v>STL-20260913</v>
          </cell>
        </row>
        <row r="2038">
          <cell r="K2038">
            <v>1799</v>
          </cell>
          <cell r="M2038" t="str">
            <v>STL-20260913</v>
          </cell>
        </row>
        <row r="2039">
          <cell r="K2039">
            <v>293.7</v>
          </cell>
          <cell r="M2039" t="str">
            <v>STL-20260913</v>
          </cell>
        </row>
        <row r="2040">
          <cell r="K2040">
            <v>585.57000000000005</v>
          </cell>
          <cell r="M2040" t="str">
            <v>STL-20260913</v>
          </cell>
        </row>
        <row r="2041">
          <cell r="K2041">
            <v>4904.62</v>
          </cell>
          <cell r="M2041" t="str">
            <v>STL-20260913</v>
          </cell>
        </row>
        <row r="2042">
          <cell r="K2042">
            <v>4981.3</v>
          </cell>
          <cell r="M2042" t="str">
            <v>STL-20260913</v>
          </cell>
        </row>
        <row r="2043">
          <cell r="K2043">
            <v>1598</v>
          </cell>
          <cell r="M2043" t="str">
            <v>STL-20260913</v>
          </cell>
        </row>
        <row r="2044">
          <cell r="K2044">
            <v>1299</v>
          </cell>
          <cell r="M2044" t="str">
            <v>STL-20260913</v>
          </cell>
        </row>
        <row r="2045">
          <cell r="K2045">
            <v>1759.82</v>
          </cell>
          <cell r="M2045" t="str">
            <v>STL-20260913</v>
          </cell>
        </row>
        <row r="2046">
          <cell r="K2046">
            <v>3529.09</v>
          </cell>
          <cell r="M2046" t="str">
            <v>STL-20260913</v>
          </cell>
        </row>
        <row r="2047">
          <cell r="K2047">
            <v>7847.98</v>
          </cell>
          <cell r="M2047" t="str">
            <v>STL-20260913</v>
          </cell>
        </row>
        <row r="2048">
          <cell r="K2048">
            <v>999</v>
          </cell>
          <cell r="M2048" t="str">
            <v>STL-20260913</v>
          </cell>
        </row>
        <row r="2049">
          <cell r="K2049">
            <v>3428.81</v>
          </cell>
          <cell r="M2049" t="str">
            <v>STL-20260913</v>
          </cell>
        </row>
        <row r="2050">
          <cell r="K2050">
            <v>3775.35</v>
          </cell>
          <cell r="M2050" t="str">
            <v>STL-20260913</v>
          </cell>
        </row>
        <row r="2051">
          <cell r="K2051">
            <v>2988.38</v>
          </cell>
          <cell r="M2051" t="str">
            <v>STL-20260913</v>
          </cell>
        </row>
        <row r="2052">
          <cell r="K2052">
            <v>6276.23</v>
          </cell>
          <cell r="M2052" t="str">
            <v>STL-20260913</v>
          </cell>
        </row>
        <row r="2053">
          <cell r="K2053">
            <v>2451.8200000000002</v>
          </cell>
          <cell r="M2053" t="str">
            <v>STL-20260913</v>
          </cell>
        </row>
        <row r="2054">
          <cell r="K2054">
            <v>3235.73</v>
          </cell>
          <cell r="M2054" t="str">
            <v>STL-20260913</v>
          </cell>
        </row>
        <row r="2055">
          <cell r="K2055">
            <v>5000.7700000000004</v>
          </cell>
          <cell r="M2055" t="str">
            <v>STL-20260913</v>
          </cell>
        </row>
        <row r="2056">
          <cell r="K2056">
            <v>349</v>
          </cell>
          <cell r="M2056" t="str">
            <v>STL-20260913</v>
          </cell>
        </row>
        <row r="2057">
          <cell r="K2057">
            <v>1499</v>
          </cell>
          <cell r="M2057" t="str">
            <v>STL-20260913</v>
          </cell>
        </row>
        <row r="2058">
          <cell r="K2058">
            <v>585.29999999999995</v>
          </cell>
          <cell r="M2058" t="str">
            <v>STL-20260913</v>
          </cell>
        </row>
        <row r="2059">
          <cell r="K2059">
            <v>299</v>
          </cell>
          <cell r="M2059" t="str">
            <v>STL-20260913</v>
          </cell>
        </row>
        <row r="2060">
          <cell r="K2060">
            <v>2941.4</v>
          </cell>
          <cell r="M2060" t="str">
            <v>STL-20260913</v>
          </cell>
        </row>
        <row r="2061">
          <cell r="K2061">
            <v>341.59</v>
          </cell>
          <cell r="M2061" t="str">
            <v>STL-20260913</v>
          </cell>
        </row>
        <row r="2062">
          <cell r="K2062">
            <v>2489.16</v>
          </cell>
          <cell r="M2062" t="str">
            <v>STL-20260913</v>
          </cell>
        </row>
        <row r="2063">
          <cell r="K2063">
            <v>-4999</v>
          </cell>
          <cell r="M2063" t="str">
            <v>STL-20260913</v>
          </cell>
        </row>
        <row r="2064">
          <cell r="K2064">
            <v>-1499</v>
          </cell>
          <cell r="M2064" t="str">
            <v>STL-20260913</v>
          </cell>
        </row>
        <row r="2065">
          <cell r="K2065">
            <v>-6797</v>
          </cell>
          <cell r="M2065" t="str">
            <v>STL-20260913</v>
          </cell>
        </row>
        <row r="2066">
          <cell r="K2066">
            <v>-9998</v>
          </cell>
          <cell r="M2066" t="str">
            <v>STL-20260913</v>
          </cell>
        </row>
        <row r="2067">
          <cell r="K2067">
            <v>-349</v>
          </cell>
          <cell r="M2067" t="str">
            <v>STL-20260913</v>
          </cell>
        </row>
        <row r="2068">
          <cell r="K2068">
            <v>-299</v>
          </cell>
          <cell r="M2068" t="str">
            <v>STL-20260913</v>
          </cell>
        </row>
        <row r="2069">
          <cell r="K2069">
            <v>-3499</v>
          </cell>
          <cell r="M2069" t="str">
            <v>STL-20260913</v>
          </cell>
        </row>
        <row r="2070">
          <cell r="K2070">
            <v>-5348</v>
          </cell>
          <cell r="M2070" t="str">
            <v>STL-20260913</v>
          </cell>
        </row>
        <row r="2071">
          <cell r="K2071">
            <v>-1198</v>
          </cell>
          <cell r="M2071" t="str">
            <v>STL-20260913</v>
          </cell>
        </row>
        <row r="2072">
          <cell r="K2072">
            <v>-7297</v>
          </cell>
          <cell r="M2072" t="str">
            <v>STL-20260913</v>
          </cell>
        </row>
        <row r="2073">
          <cell r="K2073">
            <v>-9798</v>
          </cell>
          <cell r="M2073" t="str">
            <v>STL-20260913</v>
          </cell>
        </row>
        <row r="2074">
          <cell r="K2074">
            <v>-1798</v>
          </cell>
          <cell r="M2074" t="str">
            <v>STL-20260913</v>
          </cell>
        </row>
        <row r="2075">
          <cell r="K2075">
            <v>349</v>
          </cell>
          <cell r="M2075" t="str">
            <v>STL-20260914</v>
          </cell>
        </row>
        <row r="2076">
          <cell r="K2076">
            <v>2938.84</v>
          </cell>
          <cell r="M2076" t="str">
            <v>STL-20260914</v>
          </cell>
        </row>
        <row r="2077">
          <cell r="K2077">
            <v>4282.79</v>
          </cell>
          <cell r="M2077" t="str">
            <v>STL-20260914</v>
          </cell>
        </row>
        <row r="2078">
          <cell r="K2078">
            <v>3525.82</v>
          </cell>
          <cell r="M2078" t="str">
            <v>STL-20260914</v>
          </cell>
        </row>
        <row r="2079">
          <cell r="K2079">
            <v>1074.68</v>
          </cell>
          <cell r="M2079" t="str">
            <v>STL-20260914</v>
          </cell>
        </row>
        <row r="2080">
          <cell r="K2080">
            <v>299</v>
          </cell>
          <cell r="M2080" t="str">
            <v>STL-20260914</v>
          </cell>
        </row>
        <row r="2081">
          <cell r="K2081">
            <v>5393.22</v>
          </cell>
          <cell r="M2081" t="str">
            <v>STL-20260914</v>
          </cell>
        </row>
        <row r="2082">
          <cell r="K2082">
            <v>3784.56</v>
          </cell>
          <cell r="M2082" t="str">
            <v>STL-20260914</v>
          </cell>
        </row>
        <row r="2083">
          <cell r="K2083">
            <v>9812.14</v>
          </cell>
          <cell r="M2083" t="str">
            <v>STL-20260914</v>
          </cell>
        </row>
        <row r="2084">
          <cell r="K2084">
            <v>1276</v>
          </cell>
          <cell r="M2084" t="str">
            <v>STL-20260914</v>
          </cell>
        </row>
        <row r="2085">
          <cell r="K2085">
            <v>2941.4</v>
          </cell>
          <cell r="M2085" t="str">
            <v>STL-20260914</v>
          </cell>
        </row>
        <row r="2086">
          <cell r="K2086">
            <v>3286.33</v>
          </cell>
          <cell r="M2086" t="str">
            <v>STL-20260914</v>
          </cell>
        </row>
        <row r="2087">
          <cell r="K2087">
            <v>2987.39</v>
          </cell>
          <cell r="M2087" t="str">
            <v>STL-20260914</v>
          </cell>
        </row>
        <row r="2088">
          <cell r="K2088">
            <v>3427.83</v>
          </cell>
          <cell r="M2088" t="str">
            <v>STL-20260914</v>
          </cell>
        </row>
        <row r="2089">
          <cell r="K2089">
            <v>1799</v>
          </cell>
          <cell r="M2089" t="str">
            <v>STL-20260914</v>
          </cell>
        </row>
        <row r="2090">
          <cell r="K2090">
            <v>1499</v>
          </cell>
          <cell r="M2090" t="str">
            <v>STL-20260914</v>
          </cell>
        </row>
        <row r="2091">
          <cell r="K2091">
            <v>1270.44</v>
          </cell>
          <cell r="M2091" t="str">
            <v>STL-20260914</v>
          </cell>
        </row>
        <row r="2092">
          <cell r="K2092">
            <v>1276</v>
          </cell>
          <cell r="M2092" t="str">
            <v>STL-20260914</v>
          </cell>
        </row>
        <row r="2093">
          <cell r="K2093">
            <v>5736.61</v>
          </cell>
          <cell r="M2093" t="str">
            <v>STL-20260914</v>
          </cell>
        </row>
        <row r="2094">
          <cell r="K2094">
            <v>2587.81</v>
          </cell>
          <cell r="M2094" t="str">
            <v>STL-20260914</v>
          </cell>
        </row>
        <row r="2095">
          <cell r="K2095">
            <v>1499</v>
          </cell>
          <cell r="M2095" t="str">
            <v>STL-20260914</v>
          </cell>
        </row>
        <row r="2096">
          <cell r="K2096">
            <v>2794.23</v>
          </cell>
          <cell r="M2096" t="str">
            <v>STL-20260914</v>
          </cell>
        </row>
        <row r="2097">
          <cell r="K2097">
            <v>299</v>
          </cell>
          <cell r="M2097" t="str">
            <v>STL-20260914</v>
          </cell>
        </row>
        <row r="2098">
          <cell r="K2098">
            <v>488.4</v>
          </cell>
          <cell r="M2098" t="str">
            <v>STL-20260914</v>
          </cell>
        </row>
        <row r="2099">
          <cell r="K2099">
            <v>599</v>
          </cell>
          <cell r="M2099" t="str">
            <v>STL-20260914</v>
          </cell>
        </row>
        <row r="2100">
          <cell r="K2100">
            <v>5279.25</v>
          </cell>
          <cell r="M2100" t="str">
            <v>STL-20260914</v>
          </cell>
        </row>
        <row r="2101">
          <cell r="K2101">
            <v>2788.1</v>
          </cell>
          <cell r="M2101" t="str">
            <v>STL-20260914</v>
          </cell>
        </row>
        <row r="2102">
          <cell r="K2102">
            <v>497.23</v>
          </cell>
          <cell r="M2102" t="str">
            <v>STL-20260914</v>
          </cell>
        </row>
        <row r="2103">
          <cell r="K2103">
            <v>8966.15</v>
          </cell>
          <cell r="M2103" t="str">
            <v>STL-20260914</v>
          </cell>
        </row>
        <row r="2104">
          <cell r="K2104">
            <v>2090.58</v>
          </cell>
          <cell r="M2104" t="str">
            <v>STL-20260914</v>
          </cell>
        </row>
        <row r="2105">
          <cell r="K2105">
            <v>1799</v>
          </cell>
          <cell r="M2105" t="str">
            <v>STL-20260914</v>
          </cell>
        </row>
        <row r="2106">
          <cell r="K2106">
            <v>977.78</v>
          </cell>
          <cell r="M2106" t="str">
            <v>STL-20260914</v>
          </cell>
        </row>
        <row r="2107">
          <cell r="K2107">
            <v>5884.76</v>
          </cell>
          <cell r="M2107" t="str">
            <v>STL-20260914</v>
          </cell>
        </row>
        <row r="2108">
          <cell r="K2108">
            <v>8318.4500000000007</v>
          </cell>
          <cell r="M2108" t="str">
            <v>STL-20260914</v>
          </cell>
        </row>
        <row r="2109">
          <cell r="K2109">
            <v>8965.15</v>
          </cell>
          <cell r="M2109" t="str">
            <v>STL-20260914</v>
          </cell>
        </row>
        <row r="2110">
          <cell r="K2110">
            <v>5491.33</v>
          </cell>
          <cell r="M2110" t="str">
            <v>STL-20260914</v>
          </cell>
        </row>
        <row r="2111">
          <cell r="K2111">
            <v>11057.72</v>
          </cell>
          <cell r="M2111" t="str">
            <v>STL-20260914</v>
          </cell>
        </row>
        <row r="2112">
          <cell r="K2112">
            <v>1760.79</v>
          </cell>
          <cell r="M2112" t="str">
            <v>STL-20260914</v>
          </cell>
        </row>
        <row r="2113">
          <cell r="K2113">
            <v>1799</v>
          </cell>
          <cell r="M2113" t="str">
            <v>STL-20260914</v>
          </cell>
        </row>
        <row r="2114">
          <cell r="K2114">
            <v>2490.15</v>
          </cell>
          <cell r="M2114" t="str">
            <v>STL-20260914</v>
          </cell>
        </row>
        <row r="2115">
          <cell r="K2115">
            <v>349</v>
          </cell>
          <cell r="M2115" t="str">
            <v>STL-20260914</v>
          </cell>
        </row>
        <row r="2116">
          <cell r="K2116">
            <v>1499</v>
          </cell>
          <cell r="M2116" t="str">
            <v>STL-20260914</v>
          </cell>
        </row>
        <row r="2117">
          <cell r="K2117">
            <v>2490.15</v>
          </cell>
          <cell r="M2117" t="str">
            <v>STL-20260914</v>
          </cell>
        </row>
        <row r="2118">
          <cell r="K2118">
            <v>7970.68</v>
          </cell>
          <cell r="M2118" t="str">
            <v>STL-20260914</v>
          </cell>
        </row>
        <row r="2119">
          <cell r="K2119">
            <v>1767.15</v>
          </cell>
          <cell r="M2119" t="str">
            <v>STL-20260914</v>
          </cell>
        </row>
        <row r="2120">
          <cell r="K2120">
            <v>1299</v>
          </cell>
          <cell r="M2120" t="str">
            <v>STL-20260914</v>
          </cell>
        </row>
        <row r="2121">
          <cell r="K2121">
            <v>292.64999999999998</v>
          </cell>
          <cell r="M2121" t="str">
            <v>STL-20260914</v>
          </cell>
        </row>
        <row r="2122">
          <cell r="K2122">
            <v>3486.61</v>
          </cell>
          <cell r="M2122" t="str">
            <v>STL-20260914</v>
          </cell>
        </row>
        <row r="2123">
          <cell r="K2123">
            <v>3235.73</v>
          </cell>
          <cell r="M2123" t="str">
            <v>STL-20260914</v>
          </cell>
        </row>
        <row r="2124">
          <cell r="K2124">
            <v>4981.3</v>
          </cell>
          <cell r="M2124" t="str">
            <v>STL-20260914</v>
          </cell>
        </row>
        <row r="2125">
          <cell r="K2125">
            <v>4981.3</v>
          </cell>
          <cell r="M2125" t="str">
            <v>STL-20260914</v>
          </cell>
        </row>
        <row r="2126">
          <cell r="K2126">
            <v>341.59</v>
          </cell>
          <cell r="M2126" t="str">
            <v>STL-20260914</v>
          </cell>
        </row>
        <row r="2127">
          <cell r="K2127">
            <v>799</v>
          </cell>
          <cell r="M2127" t="str">
            <v>STL-20260914</v>
          </cell>
        </row>
        <row r="2128">
          <cell r="K2128">
            <v>599</v>
          </cell>
          <cell r="M2128" t="str">
            <v>STL-20260914</v>
          </cell>
        </row>
        <row r="2129">
          <cell r="K2129">
            <v>488.4</v>
          </cell>
          <cell r="M2129" t="str">
            <v>STL-20260914</v>
          </cell>
        </row>
        <row r="2130">
          <cell r="K2130">
            <v>292.64999999999998</v>
          </cell>
          <cell r="M2130" t="str">
            <v>STL-20260914</v>
          </cell>
        </row>
        <row r="2131">
          <cell r="K2131">
            <v>1848</v>
          </cell>
          <cell r="M2131" t="str">
            <v>STL-20260914</v>
          </cell>
        </row>
        <row r="2132">
          <cell r="K2132">
            <v>2352.7199999999998</v>
          </cell>
          <cell r="M2132" t="str">
            <v>STL-20260914</v>
          </cell>
        </row>
        <row r="2133">
          <cell r="K2133">
            <v>5976.77</v>
          </cell>
          <cell r="M2133" t="str">
            <v>STL-20260914</v>
          </cell>
        </row>
        <row r="2134">
          <cell r="K2134">
            <v>999</v>
          </cell>
          <cell r="M2134" t="str">
            <v>STL-20260914</v>
          </cell>
        </row>
        <row r="2135">
          <cell r="K2135">
            <v>2251.9</v>
          </cell>
          <cell r="M2135" t="str">
            <v>STL-20260914</v>
          </cell>
        </row>
        <row r="2136">
          <cell r="K2136">
            <v>7847.98</v>
          </cell>
          <cell r="M2136" t="str">
            <v>STL-20260914</v>
          </cell>
        </row>
        <row r="2137">
          <cell r="K2137">
            <v>3039.51</v>
          </cell>
          <cell r="M2137" t="str">
            <v>STL-20260914</v>
          </cell>
        </row>
        <row r="2138">
          <cell r="K2138">
            <v>3332.87</v>
          </cell>
          <cell r="M2138" t="str">
            <v>STL-20260914</v>
          </cell>
        </row>
        <row r="2139">
          <cell r="K2139">
            <v>1270.44</v>
          </cell>
          <cell r="M2139" t="str">
            <v>STL-20260914</v>
          </cell>
        </row>
        <row r="2140">
          <cell r="K2140">
            <v>1269.8800000000001</v>
          </cell>
          <cell r="M2140" t="str">
            <v>STL-20260914</v>
          </cell>
        </row>
        <row r="2141">
          <cell r="K2141">
            <v>2942.38</v>
          </cell>
          <cell r="M2141" t="str">
            <v>STL-20260914</v>
          </cell>
        </row>
        <row r="2142">
          <cell r="K2142">
            <v>8766.86</v>
          </cell>
          <cell r="M2142" t="str">
            <v>STL-20260914</v>
          </cell>
        </row>
        <row r="2143">
          <cell r="K2143">
            <v>976.6</v>
          </cell>
          <cell r="M2143" t="str">
            <v>STL-20260914</v>
          </cell>
        </row>
        <row r="2144">
          <cell r="K2144">
            <v>999</v>
          </cell>
          <cell r="M2144" t="str">
            <v>STL-20260914</v>
          </cell>
        </row>
        <row r="2145">
          <cell r="K2145">
            <v>7970.68</v>
          </cell>
          <cell r="M2145" t="str">
            <v>STL-20260914</v>
          </cell>
        </row>
        <row r="2146">
          <cell r="K2146">
            <v>828.99</v>
          </cell>
          <cell r="M2146" t="str">
            <v>STL-20260914</v>
          </cell>
        </row>
        <row r="2147">
          <cell r="K2147">
            <v>5876.13</v>
          </cell>
          <cell r="M2147" t="str">
            <v>STL-20260914</v>
          </cell>
        </row>
        <row r="2148">
          <cell r="K2148">
            <v>1171.1400000000001</v>
          </cell>
          <cell r="M2148" t="str">
            <v>STL-20260914</v>
          </cell>
        </row>
        <row r="2149">
          <cell r="K2149">
            <v>17439.990000000002</v>
          </cell>
          <cell r="M2149" t="str">
            <v>STL-20260914</v>
          </cell>
        </row>
        <row r="2150">
          <cell r="K2150">
            <v>2155.52</v>
          </cell>
          <cell r="M2150" t="str">
            <v>STL-20260914</v>
          </cell>
        </row>
        <row r="2151">
          <cell r="K2151">
            <v>4928.21</v>
          </cell>
          <cell r="M2151" t="str">
            <v>STL-20260914</v>
          </cell>
        </row>
        <row r="2152">
          <cell r="K2152">
            <v>1271.4100000000001</v>
          </cell>
          <cell r="M2152" t="str">
            <v>STL-20260914</v>
          </cell>
        </row>
        <row r="2153">
          <cell r="K2153">
            <v>8425.52</v>
          </cell>
          <cell r="M2153" t="str">
            <v>STL-20260914</v>
          </cell>
        </row>
        <row r="2154">
          <cell r="K2154">
            <v>1912.53</v>
          </cell>
          <cell r="M2154" t="str">
            <v>STL-20260914</v>
          </cell>
        </row>
        <row r="2155">
          <cell r="K2155">
            <v>6972.23</v>
          </cell>
          <cell r="M2155" t="str">
            <v>STL-20260914</v>
          </cell>
        </row>
        <row r="2156">
          <cell r="K2156">
            <v>292.64999999999998</v>
          </cell>
          <cell r="M2156" t="str">
            <v>STL-20260914</v>
          </cell>
        </row>
        <row r="2157">
          <cell r="K2157">
            <v>487.81</v>
          </cell>
          <cell r="M2157" t="str">
            <v>STL-20260914</v>
          </cell>
        </row>
        <row r="2158">
          <cell r="K2158">
            <v>292.3</v>
          </cell>
          <cell r="M2158" t="str">
            <v>STL-20260914</v>
          </cell>
        </row>
        <row r="2159">
          <cell r="K2159">
            <v>1499</v>
          </cell>
          <cell r="M2159" t="str">
            <v>STL-20260914</v>
          </cell>
        </row>
        <row r="2160">
          <cell r="K2160">
            <v>6075.42</v>
          </cell>
          <cell r="M2160" t="str">
            <v>STL-20260914</v>
          </cell>
        </row>
        <row r="2161">
          <cell r="K2161">
            <v>1499</v>
          </cell>
          <cell r="M2161" t="str">
            <v>STL-20260914</v>
          </cell>
        </row>
        <row r="2162">
          <cell r="K2162">
            <v>3823.43</v>
          </cell>
          <cell r="M2162" t="str">
            <v>STL-20260914</v>
          </cell>
        </row>
        <row r="2163">
          <cell r="K2163">
            <v>3428.81</v>
          </cell>
          <cell r="M2163" t="str">
            <v>STL-20260914</v>
          </cell>
        </row>
        <row r="2164">
          <cell r="K2164">
            <v>976.6</v>
          </cell>
          <cell r="M2164" t="str">
            <v>STL-20260914</v>
          </cell>
        </row>
        <row r="2165">
          <cell r="K2165">
            <v>4904.62</v>
          </cell>
          <cell r="M2165" t="str">
            <v>STL-20260914</v>
          </cell>
        </row>
        <row r="2166">
          <cell r="K2166">
            <v>5877.68</v>
          </cell>
          <cell r="M2166" t="str">
            <v>STL-20260914</v>
          </cell>
        </row>
        <row r="2167">
          <cell r="K2167">
            <v>6171.66</v>
          </cell>
          <cell r="M2167" t="str">
            <v>STL-20260914</v>
          </cell>
        </row>
        <row r="2168">
          <cell r="K2168">
            <v>599</v>
          </cell>
          <cell r="M2168" t="str">
            <v>STL-20260914</v>
          </cell>
        </row>
        <row r="2169">
          <cell r="K2169">
            <v>3286.33</v>
          </cell>
          <cell r="M2169" t="str">
            <v>STL-20260914</v>
          </cell>
        </row>
        <row r="2170">
          <cell r="K2170">
            <v>4898.72</v>
          </cell>
          <cell r="M2170" t="str">
            <v>STL-20260914</v>
          </cell>
        </row>
        <row r="2171">
          <cell r="K2171">
            <v>2389.52</v>
          </cell>
          <cell r="M2171" t="str">
            <v>STL-20260914</v>
          </cell>
        </row>
        <row r="2172">
          <cell r="K2172">
            <v>1758.67</v>
          </cell>
          <cell r="M2172" t="str">
            <v>STL-20260914</v>
          </cell>
        </row>
        <row r="2173">
          <cell r="K2173">
            <v>12752.6</v>
          </cell>
          <cell r="M2173" t="str">
            <v>STL-20260914</v>
          </cell>
        </row>
        <row r="2174">
          <cell r="K2174">
            <v>2490.15</v>
          </cell>
          <cell r="M2174" t="str">
            <v>STL-20260914</v>
          </cell>
        </row>
        <row r="2175">
          <cell r="K2175">
            <v>1465.39</v>
          </cell>
          <cell r="M2175" t="str">
            <v>STL-20260914</v>
          </cell>
        </row>
        <row r="2176">
          <cell r="K2176">
            <v>2938.84</v>
          </cell>
          <cell r="M2176" t="str">
            <v>STL-20260914</v>
          </cell>
        </row>
        <row r="2177">
          <cell r="K2177">
            <v>488.4</v>
          </cell>
          <cell r="M2177" t="str">
            <v>STL-20260914</v>
          </cell>
        </row>
        <row r="2178">
          <cell r="K2178">
            <v>848</v>
          </cell>
          <cell r="M2178" t="str">
            <v>STL-20260914</v>
          </cell>
        </row>
        <row r="2179">
          <cell r="K2179">
            <v>6865.88</v>
          </cell>
          <cell r="M2179" t="str">
            <v>STL-20260914</v>
          </cell>
        </row>
        <row r="2180">
          <cell r="K2180">
            <v>2489.16</v>
          </cell>
          <cell r="M2180" t="str">
            <v>STL-20260914</v>
          </cell>
        </row>
        <row r="2181">
          <cell r="K2181">
            <v>1299</v>
          </cell>
          <cell r="M2181" t="str">
            <v>STL-20260914</v>
          </cell>
        </row>
        <row r="2182">
          <cell r="K2182">
            <v>12261.06</v>
          </cell>
          <cell r="M2182" t="str">
            <v>STL-20260914</v>
          </cell>
        </row>
        <row r="2183">
          <cell r="K2183">
            <v>5976.77</v>
          </cell>
          <cell r="M2183" t="str">
            <v>STL-20260914</v>
          </cell>
        </row>
        <row r="2184">
          <cell r="K2184">
            <v>490.16</v>
          </cell>
          <cell r="M2184" t="str">
            <v>STL-20260914</v>
          </cell>
        </row>
        <row r="2185">
          <cell r="K2185">
            <v>2942.38</v>
          </cell>
          <cell r="M2185" t="str">
            <v>STL-20260914</v>
          </cell>
        </row>
        <row r="2186">
          <cell r="K2186">
            <v>297.94</v>
          </cell>
          <cell r="M2186" t="str">
            <v>STL-20260914</v>
          </cell>
        </row>
        <row r="2187">
          <cell r="K2187">
            <v>4981.3</v>
          </cell>
          <cell r="M2187" t="str">
            <v>STL-20260914</v>
          </cell>
        </row>
        <row r="2188">
          <cell r="K2188">
            <v>349</v>
          </cell>
          <cell r="M2188" t="str">
            <v>STL-20260914</v>
          </cell>
        </row>
        <row r="2189">
          <cell r="K2189">
            <v>3486.61</v>
          </cell>
          <cell r="M2189" t="str">
            <v>STL-20260914</v>
          </cell>
        </row>
        <row r="2190">
          <cell r="K2190">
            <v>981.31</v>
          </cell>
          <cell r="M2190" t="str">
            <v>STL-20260914</v>
          </cell>
        </row>
        <row r="2191">
          <cell r="K2191">
            <v>7970.68</v>
          </cell>
          <cell r="M2191" t="str">
            <v>STL-20260914</v>
          </cell>
        </row>
        <row r="2192">
          <cell r="K2192">
            <v>5976.77</v>
          </cell>
          <cell r="M2192" t="str">
            <v>STL-20260914</v>
          </cell>
        </row>
        <row r="2193">
          <cell r="K2193">
            <v>2058.39</v>
          </cell>
          <cell r="M2193" t="str">
            <v>STL-20260914</v>
          </cell>
        </row>
        <row r="2194">
          <cell r="K2194">
            <v>3725.31</v>
          </cell>
          <cell r="M2194" t="str">
            <v>STL-20260914</v>
          </cell>
        </row>
        <row r="2195">
          <cell r="K2195">
            <v>1499</v>
          </cell>
          <cell r="M2195" t="str">
            <v>STL-20260914</v>
          </cell>
        </row>
        <row r="2196">
          <cell r="K2196">
            <v>8141.33</v>
          </cell>
          <cell r="M2196" t="str">
            <v>STL-20260914</v>
          </cell>
        </row>
        <row r="2197">
          <cell r="K2197">
            <v>2067.31</v>
          </cell>
          <cell r="M2197" t="str">
            <v>STL-20260914</v>
          </cell>
        </row>
        <row r="2198">
          <cell r="K2198">
            <v>4904.62</v>
          </cell>
          <cell r="M2198" t="str">
            <v>STL-20260914</v>
          </cell>
        </row>
        <row r="2199">
          <cell r="K2199">
            <v>1271.4100000000001</v>
          </cell>
          <cell r="M2199" t="str">
            <v>STL-20260914</v>
          </cell>
        </row>
        <row r="2200">
          <cell r="K2200">
            <v>2490.15</v>
          </cell>
          <cell r="M2200" t="str">
            <v>STL-20260914</v>
          </cell>
        </row>
        <row r="2201">
          <cell r="K2201">
            <v>3432.94</v>
          </cell>
          <cell r="M2201" t="str">
            <v>STL-20260914</v>
          </cell>
        </row>
        <row r="2202">
          <cell r="K2202">
            <v>7453.57</v>
          </cell>
          <cell r="M2202" t="str">
            <v>STL-20260914</v>
          </cell>
        </row>
        <row r="2203">
          <cell r="K2203">
            <v>1098</v>
          </cell>
          <cell r="M2203" t="str">
            <v>STL-20260914</v>
          </cell>
        </row>
        <row r="2204">
          <cell r="K2204">
            <v>8828.1200000000008</v>
          </cell>
          <cell r="M2204" t="str">
            <v>STL-20260914</v>
          </cell>
        </row>
        <row r="2205">
          <cell r="K2205">
            <v>4927.22</v>
          </cell>
          <cell r="M2205" t="str">
            <v>STL-20260914</v>
          </cell>
        </row>
        <row r="2206">
          <cell r="K2206">
            <v>292.64999999999998</v>
          </cell>
          <cell r="M2206" t="str">
            <v>STL-20260914</v>
          </cell>
        </row>
        <row r="2207">
          <cell r="K2207">
            <v>8141.33</v>
          </cell>
          <cell r="M2207" t="str">
            <v>STL-20260914</v>
          </cell>
        </row>
        <row r="2208">
          <cell r="K2208">
            <v>2490.15</v>
          </cell>
          <cell r="M2208" t="str">
            <v>STL-20260914</v>
          </cell>
        </row>
        <row r="2209">
          <cell r="K2209">
            <v>898</v>
          </cell>
          <cell r="M2209" t="str">
            <v>STL-20260914</v>
          </cell>
        </row>
        <row r="2210">
          <cell r="K2210">
            <v>2288.87</v>
          </cell>
          <cell r="M2210" t="str">
            <v>STL-20260914</v>
          </cell>
        </row>
        <row r="2211">
          <cell r="K2211">
            <v>1564.06</v>
          </cell>
          <cell r="M2211" t="str">
            <v>STL-20260914</v>
          </cell>
        </row>
        <row r="2212">
          <cell r="K2212">
            <v>2058.39</v>
          </cell>
          <cell r="M2212" t="str">
            <v>STL-20260914</v>
          </cell>
        </row>
        <row r="2213">
          <cell r="K2213">
            <v>5278.25</v>
          </cell>
          <cell r="M2213" t="str">
            <v>STL-20260914</v>
          </cell>
        </row>
        <row r="2214">
          <cell r="K2214">
            <v>1472.46</v>
          </cell>
          <cell r="M2214" t="str">
            <v>STL-20260914</v>
          </cell>
        </row>
        <row r="2215">
          <cell r="K2215">
            <v>9955.43</v>
          </cell>
          <cell r="M2215" t="str">
            <v>STL-20260914</v>
          </cell>
        </row>
        <row r="2216">
          <cell r="K2216">
            <v>2490.15</v>
          </cell>
          <cell r="M2216" t="str">
            <v>STL-20260914</v>
          </cell>
        </row>
        <row r="2217">
          <cell r="K2217">
            <v>1074.68</v>
          </cell>
          <cell r="M2217" t="str">
            <v>STL-20260914</v>
          </cell>
        </row>
        <row r="2218">
          <cell r="K2218">
            <v>4211.78</v>
          </cell>
          <cell r="M2218" t="str">
            <v>STL-20260914</v>
          </cell>
        </row>
        <row r="2219">
          <cell r="K2219">
            <v>3432.94</v>
          </cell>
          <cell r="M2219" t="str">
            <v>STL-20260914</v>
          </cell>
        </row>
        <row r="2220">
          <cell r="K2220">
            <v>11279.94</v>
          </cell>
          <cell r="M2220" t="str">
            <v>STL-20260914</v>
          </cell>
        </row>
        <row r="2221">
          <cell r="K2221">
            <v>3235.73</v>
          </cell>
          <cell r="M2221" t="str">
            <v>STL-20260914</v>
          </cell>
        </row>
        <row r="2222">
          <cell r="K2222">
            <v>499</v>
          </cell>
          <cell r="M2222" t="str">
            <v>STL-20260914</v>
          </cell>
        </row>
        <row r="2223">
          <cell r="K2223">
            <v>499</v>
          </cell>
          <cell r="M2223" t="str">
            <v>STL-20260914</v>
          </cell>
        </row>
        <row r="2224">
          <cell r="K2224">
            <v>6125.24</v>
          </cell>
          <cell r="M2224" t="str">
            <v>STL-20260914</v>
          </cell>
        </row>
        <row r="2225">
          <cell r="K2225">
            <v>11457.3</v>
          </cell>
          <cell r="M2225" t="str">
            <v>STL-20260914</v>
          </cell>
        </row>
        <row r="2226">
          <cell r="K2226">
            <v>799</v>
          </cell>
          <cell r="M2226" t="str">
            <v>STL-20260914</v>
          </cell>
        </row>
        <row r="2227">
          <cell r="K2227">
            <v>299</v>
          </cell>
          <cell r="M2227" t="str">
            <v>STL-20260914</v>
          </cell>
        </row>
        <row r="2228">
          <cell r="K2228">
            <v>3486.61</v>
          </cell>
          <cell r="M2228" t="str">
            <v>STL-20260914</v>
          </cell>
        </row>
        <row r="2229">
          <cell r="K2229">
            <v>1299</v>
          </cell>
          <cell r="M2229" t="str">
            <v>STL-20260914</v>
          </cell>
        </row>
        <row r="2230">
          <cell r="K2230">
            <v>1757.69</v>
          </cell>
          <cell r="M2230" t="str">
            <v>STL-20260914</v>
          </cell>
        </row>
        <row r="2231">
          <cell r="K2231">
            <v>1767.15</v>
          </cell>
          <cell r="M2231" t="str">
            <v>STL-20260914</v>
          </cell>
        </row>
        <row r="2232">
          <cell r="K2232">
            <v>2451.8200000000002</v>
          </cell>
          <cell r="M2232" t="str">
            <v>STL-20260914</v>
          </cell>
        </row>
        <row r="2233">
          <cell r="K2233">
            <v>2448.87</v>
          </cell>
          <cell r="M2233" t="str">
            <v>STL-20260914</v>
          </cell>
        </row>
        <row r="2234">
          <cell r="K2234">
            <v>4981.3</v>
          </cell>
          <cell r="M2234" t="str">
            <v>STL-20260914</v>
          </cell>
        </row>
        <row r="2235">
          <cell r="K2235">
            <v>7970.68</v>
          </cell>
          <cell r="M2235" t="str">
            <v>STL-20260914</v>
          </cell>
        </row>
        <row r="2236">
          <cell r="K2236">
            <v>4381.4399999999996</v>
          </cell>
          <cell r="M2236" t="str">
            <v>STL-20260914</v>
          </cell>
        </row>
        <row r="2237">
          <cell r="K2237">
            <v>4281.79</v>
          </cell>
          <cell r="M2237" t="str">
            <v>STL-20260914</v>
          </cell>
        </row>
        <row r="2238">
          <cell r="K2238">
            <v>7838.54</v>
          </cell>
          <cell r="M2238" t="str">
            <v>STL-20260914</v>
          </cell>
        </row>
        <row r="2239">
          <cell r="K2239">
            <v>7159.23</v>
          </cell>
          <cell r="M2239" t="str">
            <v>STL-20260914</v>
          </cell>
        </row>
        <row r="2240">
          <cell r="K2240">
            <v>12951.99</v>
          </cell>
          <cell r="M2240" t="str">
            <v>STL-20260914</v>
          </cell>
        </row>
        <row r="2241">
          <cell r="K2241">
            <v>7970.68</v>
          </cell>
          <cell r="M2241" t="str">
            <v>STL-20260914</v>
          </cell>
        </row>
        <row r="2242">
          <cell r="K2242">
            <v>488.4</v>
          </cell>
          <cell r="M2242" t="str">
            <v>STL-20260914</v>
          </cell>
        </row>
        <row r="2243">
          <cell r="K2243">
            <v>5279.25</v>
          </cell>
          <cell r="M2243" t="str">
            <v>STL-20260914</v>
          </cell>
        </row>
        <row r="2244">
          <cell r="K2244">
            <v>490.16</v>
          </cell>
          <cell r="M2244" t="str">
            <v>STL-20260914</v>
          </cell>
        </row>
        <row r="2245">
          <cell r="K2245">
            <v>828.99</v>
          </cell>
          <cell r="M2245" t="str">
            <v>STL-20260914</v>
          </cell>
        </row>
        <row r="2246">
          <cell r="K2246">
            <v>799</v>
          </cell>
          <cell r="M2246" t="str">
            <v>STL-20260914</v>
          </cell>
        </row>
        <row r="2247">
          <cell r="K2247">
            <v>11457.3</v>
          </cell>
          <cell r="M2247" t="str">
            <v>STL-20260914</v>
          </cell>
        </row>
        <row r="2248">
          <cell r="K2248">
            <v>586.28</v>
          </cell>
          <cell r="M2248" t="str">
            <v>STL-20260914</v>
          </cell>
        </row>
        <row r="2249">
          <cell r="K2249">
            <v>-1499</v>
          </cell>
          <cell r="M2249" t="str">
            <v>STL-20260914</v>
          </cell>
        </row>
        <row r="2250">
          <cell r="K2250">
            <v>-3447</v>
          </cell>
          <cell r="M2250" t="str">
            <v>STL-20260914</v>
          </cell>
        </row>
        <row r="2251">
          <cell r="K2251">
            <v>-3499</v>
          </cell>
          <cell r="M2251" t="str">
            <v>STL-20260914</v>
          </cell>
        </row>
        <row r="2252">
          <cell r="K2252">
            <v>-2097</v>
          </cell>
          <cell r="M2252" t="str">
            <v>STL-20260914</v>
          </cell>
        </row>
        <row r="2253">
          <cell r="K2253">
            <v>-1798</v>
          </cell>
          <cell r="M2253" t="str">
            <v>STL-20260914</v>
          </cell>
        </row>
        <row r="2254">
          <cell r="K2254">
            <v>-3098</v>
          </cell>
          <cell r="M2254" t="str">
            <v>STL-20260914</v>
          </cell>
        </row>
        <row r="2255">
          <cell r="K2255">
            <v>-798</v>
          </cell>
          <cell r="M2255" t="str">
            <v>STL-20260914</v>
          </cell>
        </row>
        <row r="2256">
          <cell r="K2256">
            <v>-4498</v>
          </cell>
          <cell r="M2256" t="str">
            <v>STL-20260914</v>
          </cell>
        </row>
        <row r="2257">
          <cell r="K2257">
            <v>-2098</v>
          </cell>
          <cell r="M2257" t="str">
            <v>STL-20260914</v>
          </cell>
        </row>
        <row r="2258">
          <cell r="K2258">
            <v>977.78</v>
          </cell>
          <cell r="M2258" t="str">
            <v>STL-20260915</v>
          </cell>
        </row>
        <row r="2259">
          <cell r="K2259">
            <v>341.18</v>
          </cell>
          <cell r="M2259" t="str">
            <v>STL-20260915</v>
          </cell>
        </row>
        <row r="2260">
          <cell r="K2260">
            <v>2988.38</v>
          </cell>
          <cell r="M2260" t="str">
            <v>STL-20260915</v>
          </cell>
        </row>
        <row r="2261">
          <cell r="K2261">
            <v>999</v>
          </cell>
          <cell r="M2261" t="str">
            <v>STL-20260915</v>
          </cell>
        </row>
        <row r="2262">
          <cell r="K2262">
            <v>3086.04</v>
          </cell>
          <cell r="M2262" t="str">
            <v>STL-20260915</v>
          </cell>
        </row>
        <row r="2263">
          <cell r="K2263">
            <v>7970.68</v>
          </cell>
          <cell r="M2263" t="str">
            <v>STL-20260915</v>
          </cell>
        </row>
        <row r="2264">
          <cell r="K2264">
            <v>15940.37</v>
          </cell>
          <cell r="M2264" t="str">
            <v>STL-20260915</v>
          </cell>
        </row>
        <row r="2265">
          <cell r="K2265">
            <v>8630.91</v>
          </cell>
          <cell r="M2265" t="str">
            <v>STL-20260915</v>
          </cell>
        </row>
        <row r="2266">
          <cell r="K2266">
            <v>2489.16</v>
          </cell>
          <cell r="M2266" t="str">
            <v>STL-20260915</v>
          </cell>
        </row>
        <row r="2267">
          <cell r="K2267">
            <v>2254.61</v>
          </cell>
          <cell r="M2267" t="str">
            <v>STL-20260915</v>
          </cell>
        </row>
        <row r="2268">
          <cell r="K2268">
            <v>4781.0200000000004</v>
          </cell>
          <cell r="M2268" t="str">
            <v>STL-20260915</v>
          </cell>
        </row>
        <row r="2269">
          <cell r="K2269">
            <v>3087.04</v>
          </cell>
          <cell r="M2269" t="str">
            <v>STL-20260915</v>
          </cell>
        </row>
        <row r="2270">
          <cell r="K2270">
            <v>596.88</v>
          </cell>
          <cell r="M2270" t="str">
            <v>STL-20260915</v>
          </cell>
        </row>
        <row r="2271">
          <cell r="K2271">
            <v>1299</v>
          </cell>
          <cell r="M2271" t="str">
            <v>STL-20260915</v>
          </cell>
        </row>
        <row r="2272">
          <cell r="K2272">
            <v>2451.8200000000002</v>
          </cell>
          <cell r="M2272" t="str">
            <v>STL-20260915</v>
          </cell>
        </row>
        <row r="2273">
          <cell r="K2273">
            <v>3634.09</v>
          </cell>
          <cell r="M2273" t="str">
            <v>STL-20260915</v>
          </cell>
        </row>
        <row r="2274">
          <cell r="K2274">
            <v>1760.79</v>
          </cell>
          <cell r="M2274" t="str">
            <v>STL-20260915</v>
          </cell>
        </row>
        <row r="2275">
          <cell r="K2275">
            <v>4282.79</v>
          </cell>
          <cell r="M2275" t="str">
            <v>STL-20260915</v>
          </cell>
        </row>
        <row r="2276">
          <cell r="K2276">
            <v>2107.44</v>
          </cell>
          <cell r="M2276" t="str">
            <v>STL-20260915</v>
          </cell>
        </row>
        <row r="2277">
          <cell r="K2277">
            <v>7970.68</v>
          </cell>
          <cell r="M2277" t="str">
            <v>STL-20260915</v>
          </cell>
        </row>
        <row r="2278">
          <cell r="K2278">
            <v>3486.61</v>
          </cell>
          <cell r="M2278" t="str">
            <v>STL-20260915</v>
          </cell>
        </row>
        <row r="2279">
          <cell r="K2279">
            <v>4781.0200000000004</v>
          </cell>
          <cell r="M2279" t="str">
            <v>STL-20260915</v>
          </cell>
        </row>
        <row r="2280">
          <cell r="K2280">
            <v>7969.69</v>
          </cell>
          <cell r="M2280" t="str">
            <v>STL-20260915</v>
          </cell>
        </row>
        <row r="2281">
          <cell r="K2281">
            <v>2489.16</v>
          </cell>
          <cell r="M2281" t="str">
            <v>STL-20260915</v>
          </cell>
        </row>
        <row r="2282">
          <cell r="K2282">
            <v>7970.68</v>
          </cell>
          <cell r="M2282" t="str">
            <v>STL-20260915</v>
          </cell>
        </row>
        <row r="2283">
          <cell r="K2283">
            <v>6274.71</v>
          </cell>
          <cell r="M2283" t="str">
            <v>STL-20260915</v>
          </cell>
        </row>
        <row r="2284">
          <cell r="K2284">
            <v>2988.38</v>
          </cell>
          <cell r="M2284" t="str">
            <v>STL-20260915</v>
          </cell>
        </row>
        <row r="2285">
          <cell r="K2285">
            <v>2839.91</v>
          </cell>
          <cell r="M2285" t="str">
            <v>STL-20260915</v>
          </cell>
        </row>
        <row r="2286">
          <cell r="K2286">
            <v>4980.3100000000004</v>
          </cell>
          <cell r="M2286" t="str">
            <v>STL-20260915</v>
          </cell>
        </row>
        <row r="2287">
          <cell r="K2287">
            <v>3486.61</v>
          </cell>
          <cell r="M2287" t="str">
            <v>STL-20260915</v>
          </cell>
        </row>
        <row r="2288">
          <cell r="K2288">
            <v>4781.0200000000004</v>
          </cell>
          <cell r="M2288" t="str">
            <v>STL-20260915</v>
          </cell>
        </row>
        <row r="2289">
          <cell r="K2289">
            <v>1299</v>
          </cell>
          <cell r="M2289" t="str">
            <v>STL-20260915</v>
          </cell>
        </row>
        <row r="2290">
          <cell r="K2290">
            <v>349</v>
          </cell>
          <cell r="M2290" t="str">
            <v>STL-20260915</v>
          </cell>
        </row>
        <row r="2291">
          <cell r="K2291">
            <v>8925.25</v>
          </cell>
          <cell r="M2291" t="str">
            <v>STL-20260915</v>
          </cell>
        </row>
        <row r="2292">
          <cell r="K2292">
            <v>7470.46</v>
          </cell>
          <cell r="M2292" t="str">
            <v>STL-20260915</v>
          </cell>
        </row>
        <row r="2293">
          <cell r="K2293">
            <v>799</v>
          </cell>
          <cell r="M2293" t="str">
            <v>STL-20260915</v>
          </cell>
        </row>
        <row r="2294">
          <cell r="K2294">
            <v>7847.98</v>
          </cell>
          <cell r="M2294" t="str">
            <v>STL-20260915</v>
          </cell>
        </row>
        <row r="2295">
          <cell r="K2295">
            <v>12951.99</v>
          </cell>
          <cell r="M2295" t="str">
            <v>STL-20260915</v>
          </cell>
        </row>
        <row r="2296">
          <cell r="K2296">
            <v>8718.52</v>
          </cell>
          <cell r="M2296" t="str">
            <v>STL-20260915</v>
          </cell>
        </row>
        <row r="2297">
          <cell r="K2297">
            <v>2587.81</v>
          </cell>
          <cell r="M2297" t="str">
            <v>STL-20260915</v>
          </cell>
        </row>
        <row r="2298">
          <cell r="K2298">
            <v>9961.61</v>
          </cell>
          <cell r="M2298" t="str">
            <v>STL-20260915</v>
          </cell>
        </row>
        <row r="2299">
          <cell r="K2299">
            <v>7970.68</v>
          </cell>
          <cell r="M2299" t="str">
            <v>STL-20260915</v>
          </cell>
        </row>
        <row r="2300">
          <cell r="K2300">
            <v>4282.79</v>
          </cell>
          <cell r="M2300" t="str">
            <v>STL-20260915</v>
          </cell>
        </row>
        <row r="2301">
          <cell r="K2301">
            <v>349</v>
          </cell>
          <cell r="M2301" t="str">
            <v>STL-20260915</v>
          </cell>
        </row>
        <row r="2302">
          <cell r="K2302">
            <v>3332.87</v>
          </cell>
          <cell r="M2302" t="str">
            <v>STL-20260915</v>
          </cell>
        </row>
        <row r="2303">
          <cell r="K2303">
            <v>2490.15</v>
          </cell>
          <cell r="M2303" t="str">
            <v>STL-20260915</v>
          </cell>
        </row>
        <row r="2304">
          <cell r="K2304">
            <v>2588.81</v>
          </cell>
          <cell r="M2304" t="str">
            <v>STL-20260915</v>
          </cell>
        </row>
        <row r="2305">
          <cell r="K2305">
            <v>2463.61</v>
          </cell>
          <cell r="M2305" t="str">
            <v>STL-20260915</v>
          </cell>
        </row>
        <row r="2306">
          <cell r="K2306">
            <v>2787.1</v>
          </cell>
          <cell r="M2306" t="str">
            <v>STL-20260915</v>
          </cell>
        </row>
        <row r="2307">
          <cell r="K2307">
            <v>3286.33</v>
          </cell>
          <cell r="M2307" t="str">
            <v>STL-20260915</v>
          </cell>
        </row>
        <row r="2308">
          <cell r="K2308">
            <v>2490.15</v>
          </cell>
          <cell r="M2308" t="str">
            <v>STL-20260915</v>
          </cell>
        </row>
        <row r="2309">
          <cell r="K2309">
            <v>1564.06</v>
          </cell>
          <cell r="M2309" t="str">
            <v>STL-20260915</v>
          </cell>
        </row>
        <row r="2310">
          <cell r="K2310">
            <v>3336.15</v>
          </cell>
          <cell r="M2310" t="str">
            <v>STL-20260915</v>
          </cell>
        </row>
        <row r="2311">
          <cell r="K2311">
            <v>3428.81</v>
          </cell>
          <cell r="M2311" t="str">
            <v>STL-20260915</v>
          </cell>
        </row>
        <row r="2312">
          <cell r="K2312">
            <v>848</v>
          </cell>
          <cell r="M2312" t="str">
            <v>STL-20260915</v>
          </cell>
        </row>
        <row r="2313">
          <cell r="K2313">
            <v>11755.24</v>
          </cell>
          <cell r="M2313" t="str">
            <v>STL-20260915</v>
          </cell>
        </row>
        <row r="2314">
          <cell r="K2314">
            <v>1467.16</v>
          </cell>
          <cell r="M2314" t="str">
            <v>STL-20260915</v>
          </cell>
        </row>
        <row r="2315">
          <cell r="K2315">
            <v>3432.94</v>
          </cell>
          <cell r="M2315" t="str">
            <v>STL-20260915</v>
          </cell>
        </row>
        <row r="2316">
          <cell r="K2316">
            <v>1319.37</v>
          </cell>
          <cell r="M2316" t="str">
            <v>STL-20260915</v>
          </cell>
        </row>
        <row r="2317">
          <cell r="K2317">
            <v>3775.35</v>
          </cell>
          <cell r="M2317" t="str">
            <v>STL-20260915</v>
          </cell>
        </row>
        <row r="2318">
          <cell r="K2318">
            <v>1098</v>
          </cell>
          <cell r="M2318" t="str">
            <v>STL-20260915</v>
          </cell>
        </row>
        <row r="2319">
          <cell r="K2319">
            <v>1098</v>
          </cell>
          <cell r="M2319" t="str">
            <v>STL-20260915</v>
          </cell>
        </row>
        <row r="2320">
          <cell r="K2320">
            <v>1499</v>
          </cell>
          <cell r="M2320" t="str">
            <v>STL-20260915</v>
          </cell>
        </row>
        <row r="2321">
          <cell r="K2321">
            <v>799</v>
          </cell>
          <cell r="M2321" t="str">
            <v>STL-20260915</v>
          </cell>
        </row>
        <row r="2322">
          <cell r="K2322">
            <v>1998</v>
          </cell>
          <cell r="M2322" t="str">
            <v>STL-20260915</v>
          </cell>
        </row>
        <row r="2323">
          <cell r="K2323">
            <v>9763.32</v>
          </cell>
          <cell r="M2323" t="str">
            <v>STL-20260915</v>
          </cell>
        </row>
        <row r="2324">
          <cell r="K2324">
            <v>2988.38</v>
          </cell>
          <cell r="M2324" t="str">
            <v>STL-20260915</v>
          </cell>
        </row>
        <row r="2325">
          <cell r="K2325">
            <v>293.7</v>
          </cell>
          <cell r="M2325" t="str">
            <v>STL-20260915</v>
          </cell>
        </row>
        <row r="2326">
          <cell r="K2326">
            <v>2058.39</v>
          </cell>
          <cell r="M2326" t="str">
            <v>STL-20260915</v>
          </cell>
        </row>
        <row r="2327">
          <cell r="K2327">
            <v>487.81</v>
          </cell>
          <cell r="M2327" t="str">
            <v>STL-20260915</v>
          </cell>
        </row>
        <row r="2328">
          <cell r="K2328">
            <v>1098</v>
          </cell>
          <cell r="M2328" t="str">
            <v>STL-20260915</v>
          </cell>
        </row>
        <row r="2329">
          <cell r="K2329">
            <v>1799</v>
          </cell>
          <cell r="M2329" t="str">
            <v>STL-20260915</v>
          </cell>
        </row>
        <row r="2330">
          <cell r="K2330">
            <v>1271.4100000000001</v>
          </cell>
          <cell r="M2330" t="str">
            <v>STL-20260915</v>
          </cell>
        </row>
        <row r="2331">
          <cell r="K2331">
            <v>1299</v>
          </cell>
          <cell r="M2331" t="str">
            <v>STL-20260915</v>
          </cell>
        </row>
        <row r="2332">
          <cell r="K2332">
            <v>585.57000000000005</v>
          </cell>
          <cell r="M2332" t="str">
            <v>STL-20260915</v>
          </cell>
        </row>
        <row r="2333">
          <cell r="K2333">
            <v>299</v>
          </cell>
          <cell r="M2333" t="str">
            <v>STL-20260915</v>
          </cell>
        </row>
        <row r="2334">
          <cell r="K2334">
            <v>999</v>
          </cell>
          <cell r="M2334" t="str">
            <v>STL-20260915</v>
          </cell>
        </row>
        <row r="2335">
          <cell r="K2335">
            <v>499</v>
          </cell>
          <cell r="M2335" t="str">
            <v>STL-20260915</v>
          </cell>
        </row>
        <row r="2336">
          <cell r="K2336">
            <v>1766.18</v>
          </cell>
          <cell r="M2336" t="str">
            <v>STL-20260915</v>
          </cell>
        </row>
        <row r="2337">
          <cell r="K2337">
            <v>1299</v>
          </cell>
          <cell r="M2337" t="str">
            <v>STL-20260915</v>
          </cell>
        </row>
        <row r="2338">
          <cell r="K2338">
            <v>1767.15</v>
          </cell>
          <cell r="M2338" t="str">
            <v>STL-20260915</v>
          </cell>
        </row>
        <row r="2339">
          <cell r="K2339">
            <v>1299</v>
          </cell>
          <cell r="M2339" t="str">
            <v>STL-20260915</v>
          </cell>
        </row>
        <row r="2340">
          <cell r="K2340">
            <v>3486.61</v>
          </cell>
          <cell r="M2340" t="str">
            <v>STL-20260915</v>
          </cell>
        </row>
        <row r="2341">
          <cell r="K2341">
            <v>596.88</v>
          </cell>
          <cell r="M2341" t="str">
            <v>STL-20260915</v>
          </cell>
        </row>
        <row r="2342">
          <cell r="K2342">
            <v>2448.87</v>
          </cell>
          <cell r="M2342" t="str">
            <v>STL-20260915</v>
          </cell>
        </row>
        <row r="2343">
          <cell r="K2343">
            <v>1270.44</v>
          </cell>
          <cell r="M2343" t="str">
            <v>STL-20260915</v>
          </cell>
        </row>
        <row r="2344">
          <cell r="K2344">
            <v>6075.42</v>
          </cell>
          <cell r="M2344" t="str">
            <v>STL-20260915</v>
          </cell>
        </row>
        <row r="2345">
          <cell r="K2345">
            <v>5876.13</v>
          </cell>
          <cell r="M2345" t="str">
            <v>STL-20260915</v>
          </cell>
        </row>
        <row r="2346">
          <cell r="K2346">
            <v>4904.62</v>
          </cell>
          <cell r="M2346" t="str">
            <v>STL-20260915</v>
          </cell>
        </row>
        <row r="2347">
          <cell r="K2347">
            <v>2140.4</v>
          </cell>
          <cell r="M2347" t="str">
            <v>STL-20260915</v>
          </cell>
        </row>
        <row r="2348">
          <cell r="K2348">
            <v>4981.3</v>
          </cell>
          <cell r="M2348" t="str">
            <v>STL-20260915</v>
          </cell>
        </row>
        <row r="2349">
          <cell r="K2349">
            <v>5776.48</v>
          </cell>
          <cell r="M2349" t="str">
            <v>STL-20260915</v>
          </cell>
        </row>
        <row r="2350">
          <cell r="K2350">
            <v>8180.53</v>
          </cell>
          <cell r="M2350" t="str">
            <v>STL-20260915</v>
          </cell>
        </row>
        <row r="2351">
          <cell r="K2351">
            <v>5478.54</v>
          </cell>
          <cell r="M2351" t="str">
            <v>STL-20260915</v>
          </cell>
        </row>
        <row r="2352">
          <cell r="K2352">
            <v>9962.61</v>
          </cell>
          <cell r="M2352" t="str">
            <v>STL-20260915</v>
          </cell>
        </row>
        <row r="2353">
          <cell r="K2353">
            <v>2988.38</v>
          </cell>
          <cell r="M2353" t="str">
            <v>STL-20260915</v>
          </cell>
        </row>
        <row r="2354">
          <cell r="K2354">
            <v>1799</v>
          </cell>
          <cell r="M2354" t="str">
            <v>STL-20260915</v>
          </cell>
        </row>
        <row r="2355">
          <cell r="K2355">
            <v>2490.15</v>
          </cell>
          <cell r="M2355" t="str">
            <v>STL-20260915</v>
          </cell>
        </row>
        <row r="2356">
          <cell r="K2356">
            <v>4014.81</v>
          </cell>
          <cell r="M2356" t="str">
            <v>STL-20260915</v>
          </cell>
        </row>
        <row r="2357">
          <cell r="K2357">
            <v>2058.39</v>
          </cell>
          <cell r="M2357" t="str">
            <v>STL-20260915</v>
          </cell>
        </row>
        <row r="2358">
          <cell r="K2358">
            <v>2837.92</v>
          </cell>
          <cell r="M2358" t="str">
            <v>STL-20260915</v>
          </cell>
        </row>
        <row r="2359">
          <cell r="K2359">
            <v>9165.36</v>
          </cell>
          <cell r="M2359" t="str">
            <v>STL-20260915</v>
          </cell>
        </row>
        <row r="2360">
          <cell r="K2360">
            <v>349</v>
          </cell>
          <cell r="M2360" t="str">
            <v>STL-20260915</v>
          </cell>
        </row>
        <row r="2361">
          <cell r="K2361">
            <v>2490.15</v>
          </cell>
          <cell r="M2361" t="str">
            <v>STL-20260915</v>
          </cell>
        </row>
        <row r="2362">
          <cell r="K2362">
            <v>1499</v>
          </cell>
          <cell r="M2362" t="str">
            <v>STL-20260915</v>
          </cell>
        </row>
        <row r="2363">
          <cell r="K2363">
            <v>6773.94</v>
          </cell>
          <cell r="M2363" t="str">
            <v>STL-20260915</v>
          </cell>
        </row>
        <row r="2364">
          <cell r="K2364">
            <v>977.78</v>
          </cell>
          <cell r="M2364" t="str">
            <v>STL-20260915</v>
          </cell>
        </row>
        <row r="2365">
          <cell r="K2365">
            <v>7970.68</v>
          </cell>
          <cell r="M2365" t="str">
            <v>STL-20260915</v>
          </cell>
        </row>
        <row r="2366">
          <cell r="K2366">
            <v>1848</v>
          </cell>
          <cell r="M2366" t="str">
            <v>STL-20260915</v>
          </cell>
        </row>
        <row r="2367">
          <cell r="K2367">
            <v>4216.8500000000004</v>
          </cell>
          <cell r="M2367" t="str">
            <v>STL-20260915</v>
          </cell>
        </row>
        <row r="2368">
          <cell r="K2368">
            <v>5196.99</v>
          </cell>
          <cell r="M2368" t="str">
            <v>STL-20260915</v>
          </cell>
        </row>
        <row r="2369">
          <cell r="K2369">
            <v>586.28</v>
          </cell>
          <cell r="M2369" t="str">
            <v>STL-20260915</v>
          </cell>
        </row>
        <row r="2370">
          <cell r="K2370">
            <v>349</v>
          </cell>
          <cell r="M2370" t="str">
            <v>STL-20260915</v>
          </cell>
        </row>
        <row r="2371">
          <cell r="K2371">
            <v>898</v>
          </cell>
          <cell r="M2371" t="str">
            <v>STL-20260915</v>
          </cell>
        </row>
        <row r="2372">
          <cell r="K2372">
            <v>488.4</v>
          </cell>
          <cell r="M2372" t="str">
            <v>STL-20260915</v>
          </cell>
        </row>
        <row r="2373">
          <cell r="K2373">
            <v>6475</v>
          </cell>
          <cell r="M2373" t="str">
            <v>STL-20260915</v>
          </cell>
        </row>
        <row r="2374">
          <cell r="K2374">
            <v>4082.5</v>
          </cell>
          <cell r="M2374" t="str">
            <v>STL-20260915</v>
          </cell>
        </row>
        <row r="2375">
          <cell r="K2375">
            <v>9165.36</v>
          </cell>
          <cell r="M2375" t="str">
            <v>STL-20260915</v>
          </cell>
        </row>
        <row r="2376">
          <cell r="K2376">
            <v>3038.53</v>
          </cell>
          <cell r="M2376" t="str">
            <v>STL-20260915</v>
          </cell>
        </row>
        <row r="2377">
          <cell r="K2377">
            <v>299</v>
          </cell>
          <cell r="M2377" t="str">
            <v>STL-20260915</v>
          </cell>
        </row>
        <row r="2378">
          <cell r="K2378">
            <v>499</v>
          </cell>
          <cell r="M2378" t="str">
            <v>STL-20260915</v>
          </cell>
        </row>
        <row r="2379">
          <cell r="K2379">
            <v>1499</v>
          </cell>
          <cell r="M2379" t="str">
            <v>STL-20260915</v>
          </cell>
        </row>
        <row r="2380">
          <cell r="K2380">
            <v>487.81</v>
          </cell>
          <cell r="M2380" t="str">
            <v>STL-20260915</v>
          </cell>
        </row>
        <row r="2381">
          <cell r="K2381">
            <v>10789.38</v>
          </cell>
          <cell r="M2381" t="str">
            <v>STL-20260915</v>
          </cell>
        </row>
        <row r="2382">
          <cell r="K2382">
            <v>7970.68</v>
          </cell>
          <cell r="M2382" t="str">
            <v>STL-20260915</v>
          </cell>
        </row>
        <row r="2383">
          <cell r="K2383">
            <v>1078.57</v>
          </cell>
          <cell r="M2383" t="str">
            <v>STL-20260915</v>
          </cell>
        </row>
        <row r="2384">
          <cell r="K2384">
            <v>7838.54</v>
          </cell>
          <cell r="M2384" t="str">
            <v>STL-20260915</v>
          </cell>
        </row>
        <row r="2385">
          <cell r="K2385">
            <v>487.81</v>
          </cell>
          <cell r="M2385" t="str">
            <v>STL-20260915</v>
          </cell>
        </row>
        <row r="2386">
          <cell r="K2386">
            <v>2463.61</v>
          </cell>
          <cell r="M2386" t="str">
            <v>STL-20260915</v>
          </cell>
        </row>
        <row r="2387">
          <cell r="K2387">
            <v>1373.26</v>
          </cell>
          <cell r="M2387" t="str">
            <v>STL-20260915</v>
          </cell>
        </row>
        <row r="2388">
          <cell r="K2388">
            <v>10642.21</v>
          </cell>
          <cell r="M2388" t="str">
            <v>STL-20260915</v>
          </cell>
        </row>
        <row r="2389">
          <cell r="K2389">
            <v>7847.98</v>
          </cell>
          <cell r="M2389" t="str">
            <v>STL-20260915</v>
          </cell>
        </row>
        <row r="2390">
          <cell r="K2390">
            <v>349</v>
          </cell>
          <cell r="M2390" t="str">
            <v>STL-20260915</v>
          </cell>
        </row>
        <row r="2391">
          <cell r="K2391">
            <v>299</v>
          </cell>
          <cell r="M2391" t="str">
            <v>STL-20260915</v>
          </cell>
        </row>
        <row r="2392">
          <cell r="K2392">
            <v>999</v>
          </cell>
          <cell r="M2392" t="str">
            <v>STL-20260915</v>
          </cell>
        </row>
        <row r="2393">
          <cell r="K2393">
            <v>2462.62</v>
          </cell>
          <cell r="M2393" t="str">
            <v>STL-20260915</v>
          </cell>
        </row>
        <row r="2394">
          <cell r="K2394">
            <v>499</v>
          </cell>
          <cell r="M2394" t="str">
            <v>STL-20260915</v>
          </cell>
        </row>
        <row r="2395">
          <cell r="K2395">
            <v>6772.94</v>
          </cell>
          <cell r="M2395" t="str">
            <v>STL-20260915</v>
          </cell>
        </row>
        <row r="2396">
          <cell r="K2396">
            <v>6178.11</v>
          </cell>
          <cell r="M2396" t="str">
            <v>STL-20260915</v>
          </cell>
        </row>
        <row r="2397">
          <cell r="K2397">
            <v>2988.38</v>
          </cell>
          <cell r="M2397" t="str">
            <v>STL-20260915</v>
          </cell>
        </row>
        <row r="2398">
          <cell r="K2398">
            <v>341.59</v>
          </cell>
          <cell r="M2398" t="str">
            <v>STL-20260915</v>
          </cell>
        </row>
        <row r="2399">
          <cell r="K2399">
            <v>7970.68</v>
          </cell>
          <cell r="M2399" t="str">
            <v>STL-20260915</v>
          </cell>
        </row>
        <row r="2400">
          <cell r="K2400">
            <v>4434.3</v>
          </cell>
          <cell r="M2400" t="str">
            <v>STL-20260915</v>
          </cell>
        </row>
        <row r="2401">
          <cell r="K2401">
            <v>488.4</v>
          </cell>
          <cell r="M2401" t="str">
            <v>STL-20260915</v>
          </cell>
        </row>
        <row r="2402">
          <cell r="K2402">
            <v>2545.88</v>
          </cell>
          <cell r="M2402" t="str">
            <v>STL-20260915</v>
          </cell>
        </row>
        <row r="2403">
          <cell r="K2403">
            <v>7885.73</v>
          </cell>
          <cell r="M2403" t="str">
            <v>STL-20260915</v>
          </cell>
        </row>
        <row r="2404">
          <cell r="K2404">
            <v>292.3</v>
          </cell>
          <cell r="M2404" t="str">
            <v>STL-20260915</v>
          </cell>
        </row>
        <row r="2405">
          <cell r="K2405">
            <v>7271.17</v>
          </cell>
          <cell r="M2405" t="str">
            <v>STL-20260915</v>
          </cell>
        </row>
        <row r="2406">
          <cell r="K2406">
            <v>8870.58</v>
          </cell>
          <cell r="M2406" t="str">
            <v>STL-20260915</v>
          </cell>
        </row>
        <row r="2407">
          <cell r="K2407">
            <v>1271.4100000000001</v>
          </cell>
          <cell r="M2407" t="str">
            <v>STL-20260915</v>
          </cell>
        </row>
        <row r="2408">
          <cell r="K2408">
            <v>4981.3</v>
          </cell>
          <cell r="M2408" t="str">
            <v>STL-20260915</v>
          </cell>
        </row>
        <row r="2409">
          <cell r="K2409">
            <v>7847.98</v>
          </cell>
          <cell r="M2409" t="str">
            <v>STL-20260915</v>
          </cell>
        </row>
        <row r="2410">
          <cell r="K2410">
            <v>2058.39</v>
          </cell>
          <cell r="M2410" t="str">
            <v>STL-20260915</v>
          </cell>
        </row>
        <row r="2411">
          <cell r="K2411">
            <v>9762.32</v>
          </cell>
          <cell r="M2411" t="str">
            <v>STL-20260915</v>
          </cell>
        </row>
        <row r="2412">
          <cell r="K2412">
            <v>799</v>
          </cell>
          <cell r="M2412" t="str">
            <v>STL-20260915</v>
          </cell>
        </row>
        <row r="2413">
          <cell r="K2413">
            <v>2987.39</v>
          </cell>
          <cell r="M2413" t="str">
            <v>STL-20260915</v>
          </cell>
        </row>
        <row r="2414">
          <cell r="K2414">
            <v>4701.75</v>
          </cell>
          <cell r="M2414" t="str">
            <v>STL-20260915</v>
          </cell>
        </row>
        <row r="2415">
          <cell r="K2415">
            <v>12054.18</v>
          </cell>
          <cell r="M2415" t="str">
            <v>STL-20260915</v>
          </cell>
        </row>
        <row r="2416">
          <cell r="K2416">
            <v>3721.81</v>
          </cell>
          <cell r="M2416" t="str">
            <v>STL-20260915</v>
          </cell>
        </row>
        <row r="2417">
          <cell r="K2417">
            <v>2788.1</v>
          </cell>
          <cell r="M2417" t="str">
            <v>STL-20260915</v>
          </cell>
        </row>
        <row r="2418">
          <cell r="K2418">
            <v>2490.15</v>
          </cell>
          <cell r="M2418" t="str">
            <v>STL-20260915</v>
          </cell>
        </row>
        <row r="2419">
          <cell r="K2419">
            <v>7970.68</v>
          </cell>
          <cell r="M2419" t="str">
            <v>STL-20260915</v>
          </cell>
        </row>
        <row r="2420">
          <cell r="K2420">
            <v>10102.59</v>
          </cell>
          <cell r="M2420" t="str">
            <v>STL-20260915</v>
          </cell>
        </row>
        <row r="2421">
          <cell r="K2421">
            <v>487.81</v>
          </cell>
          <cell r="M2421" t="str">
            <v>STL-20260915</v>
          </cell>
        </row>
        <row r="2422">
          <cell r="K2422">
            <v>2837.92</v>
          </cell>
          <cell r="M2422" t="str">
            <v>STL-20260915</v>
          </cell>
        </row>
        <row r="2423">
          <cell r="K2423">
            <v>499</v>
          </cell>
          <cell r="M2423" t="str">
            <v>STL-20260915</v>
          </cell>
        </row>
        <row r="2424">
          <cell r="K2424">
            <v>4904.62</v>
          </cell>
          <cell r="M2424" t="str">
            <v>STL-20260915</v>
          </cell>
        </row>
        <row r="2425">
          <cell r="K2425">
            <v>3922.52</v>
          </cell>
          <cell r="M2425" t="str">
            <v>STL-20260915</v>
          </cell>
        </row>
        <row r="2426">
          <cell r="K2426">
            <v>1799</v>
          </cell>
          <cell r="M2426" t="str">
            <v>STL-20260915</v>
          </cell>
        </row>
        <row r="2427">
          <cell r="K2427">
            <v>6773.94</v>
          </cell>
          <cell r="M2427" t="str">
            <v>STL-20260915</v>
          </cell>
        </row>
        <row r="2428">
          <cell r="K2428">
            <v>7847.98</v>
          </cell>
          <cell r="M2428" t="str">
            <v>STL-20260915</v>
          </cell>
        </row>
        <row r="2429">
          <cell r="K2429">
            <v>2942.38</v>
          </cell>
          <cell r="M2429" t="str">
            <v>STL-20260915</v>
          </cell>
        </row>
        <row r="2430">
          <cell r="K2430">
            <v>3086.04</v>
          </cell>
          <cell r="M2430" t="str">
            <v>STL-20260915</v>
          </cell>
        </row>
        <row r="2431">
          <cell r="K2431">
            <v>292.3</v>
          </cell>
          <cell r="M2431" t="str">
            <v>STL-20260915</v>
          </cell>
        </row>
        <row r="2432">
          <cell r="K2432">
            <v>977.78</v>
          </cell>
          <cell r="M2432" t="str">
            <v>STL-20260915</v>
          </cell>
        </row>
        <row r="2433">
          <cell r="K2433">
            <v>3921.54</v>
          </cell>
          <cell r="M2433" t="str">
            <v>STL-20260915</v>
          </cell>
        </row>
        <row r="2434">
          <cell r="K2434">
            <v>898</v>
          </cell>
          <cell r="M2434" t="str">
            <v>STL-20260915</v>
          </cell>
        </row>
        <row r="2435">
          <cell r="K2435">
            <v>4980.3100000000004</v>
          </cell>
          <cell r="M2435" t="str">
            <v>STL-20260915</v>
          </cell>
        </row>
        <row r="2436">
          <cell r="K2436">
            <v>2988.38</v>
          </cell>
          <cell r="M2436" t="str">
            <v>STL-20260915</v>
          </cell>
        </row>
        <row r="2437">
          <cell r="K2437">
            <v>3432.94</v>
          </cell>
          <cell r="M2437" t="str">
            <v>STL-20260915</v>
          </cell>
        </row>
        <row r="2438">
          <cell r="K2438">
            <v>1467.16</v>
          </cell>
          <cell r="M2438" t="str">
            <v>STL-20260915</v>
          </cell>
        </row>
        <row r="2439">
          <cell r="K2439">
            <v>7356.44</v>
          </cell>
          <cell r="M2439" t="str">
            <v>STL-20260915</v>
          </cell>
        </row>
        <row r="2440">
          <cell r="K2440">
            <v>3823.43</v>
          </cell>
          <cell r="M2440" t="str">
            <v>STL-20260915</v>
          </cell>
        </row>
        <row r="2441">
          <cell r="K2441">
            <v>7970.68</v>
          </cell>
          <cell r="M2441" t="str">
            <v>STL-20260915</v>
          </cell>
        </row>
        <row r="2442">
          <cell r="K2442">
            <v>293.7</v>
          </cell>
          <cell r="M2442" t="str">
            <v>STL-20260915</v>
          </cell>
        </row>
        <row r="2443">
          <cell r="K2443">
            <v>10777.38</v>
          </cell>
          <cell r="M2443" t="str">
            <v>STL-20260915</v>
          </cell>
        </row>
        <row r="2444">
          <cell r="K2444">
            <v>4904.62</v>
          </cell>
          <cell r="M2444" t="str">
            <v>STL-20260915</v>
          </cell>
        </row>
        <row r="2445">
          <cell r="K2445">
            <v>5197.97</v>
          </cell>
          <cell r="M2445" t="str">
            <v>STL-20260915</v>
          </cell>
        </row>
        <row r="2446">
          <cell r="K2446">
            <v>1499</v>
          </cell>
          <cell r="M2446" t="str">
            <v>STL-20260915</v>
          </cell>
        </row>
        <row r="2447">
          <cell r="K2447">
            <v>2987.39</v>
          </cell>
          <cell r="M2447" t="str">
            <v>STL-20260915</v>
          </cell>
        </row>
        <row r="2448">
          <cell r="K2448">
            <v>4904.62</v>
          </cell>
          <cell r="M2448" t="str">
            <v>STL-20260915</v>
          </cell>
        </row>
        <row r="2449">
          <cell r="K2449">
            <v>596.88</v>
          </cell>
          <cell r="M2449" t="str">
            <v>STL-20260915</v>
          </cell>
        </row>
        <row r="2450">
          <cell r="K2450">
            <v>5478.54</v>
          </cell>
          <cell r="M2450" t="str">
            <v>STL-20260915</v>
          </cell>
        </row>
        <row r="2451">
          <cell r="K2451">
            <v>341.18</v>
          </cell>
          <cell r="M2451" t="str">
            <v>STL-20260915</v>
          </cell>
        </row>
        <row r="2452">
          <cell r="K2452">
            <v>8267.6299999999992</v>
          </cell>
          <cell r="M2452" t="str">
            <v>STL-20260915</v>
          </cell>
        </row>
        <row r="2453">
          <cell r="K2453">
            <v>499</v>
          </cell>
          <cell r="M2453" t="str">
            <v>STL-20260915</v>
          </cell>
        </row>
        <row r="2454">
          <cell r="K2454">
            <v>10298.82</v>
          </cell>
          <cell r="M2454" t="str">
            <v>STL-20260915</v>
          </cell>
        </row>
        <row r="2455">
          <cell r="K2455">
            <v>2490.15</v>
          </cell>
          <cell r="M2455" t="str">
            <v>STL-20260915</v>
          </cell>
        </row>
        <row r="2456">
          <cell r="K2456">
            <v>3232.83</v>
          </cell>
          <cell r="M2456" t="str">
            <v>STL-20260915</v>
          </cell>
        </row>
        <row r="2457">
          <cell r="K2457">
            <v>5884.76</v>
          </cell>
          <cell r="M2457" t="str">
            <v>STL-20260915</v>
          </cell>
        </row>
        <row r="2458">
          <cell r="K2458">
            <v>799</v>
          </cell>
          <cell r="M2458" t="str">
            <v>STL-20260915</v>
          </cell>
        </row>
        <row r="2459">
          <cell r="K2459">
            <v>799</v>
          </cell>
          <cell r="M2459" t="str">
            <v>STL-20260915</v>
          </cell>
        </row>
        <row r="2460">
          <cell r="K2460">
            <v>1268.9000000000001</v>
          </cell>
          <cell r="M2460" t="str">
            <v>STL-20260915</v>
          </cell>
        </row>
        <row r="2461">
          <cell r="K2461">
            <v>999</v>
          </cell>
          <cell r="M2461" t="str">
            <v>STL-20260915</v>
          </cell>
        </row>
        <row r="2462">
          <cell r="K2462">
            <v>599</v>
          </cell>
          <cell r="M2462" t="str">
            <v>STL-20260915</v>
          </cell>
        </row>
        <row r="2463">
          <cell r="K2463">
            <v>4898.72</v>
          </cell>
          <cell r="M2463" t="str">
            <v>STL-20260915</v>
          </cell>
        </row>
        <row r="2464">
          <cell r="K2464">
            <v>6865.88</v>
          </cell>
          <cell r="M2464" t="str">
            <v>STL-20260915</v>
          </cell>
        </row>
        <row r="2465">
          <cell r="K2465">
            <v>4981.3</v>
          </cell>
          <cell r="M2465" t="str">
            <v>STL-20260915</v>
          </cell>
        </row>
        <row r="2466">
          <cell r="K2466">
            <v>2988.38</v>
          </cell>
          <cell r="M2466" t="str">
            <v>STL-20260915</v>
          </cell>
        </row>
        <row r="2467">
          <cell r="K2467">
            <v>2139.4</v>
          </cell>
          <cell r="M2467" t="str">
            <v>STL-20260915</v>
          </cell>
        </row>
        <row r="2468">
          <cell r="K2468">
            <v>4879.67</v>
          </cell>
          <cell r="M2468" t="str">
            <v>STL-20260915</v>
          </cell>
        </row>
        <row r="2469">
          <cell r="K2469">
            <v>4904.62</v>
          </cell>
          <cell r="M2469" t="str">
            <v>STL-20260915</v>
          </cell>
        </row>
        <row r="2470">
          <cell r="K2470">
            <v>-3499</v>
          </cell>
          <cell r="M2470" t="str">
            <v>STL-20260915</v>
          </cell>
        </row>
        <row r="2471">
          <cell r="K2471">
            <v>-1799</v>
          </cell>
          <cell r="M2471" t="str">
            <v>STL-20260915</v>
          </cell>
        </row>
        <row r="2472">
          <cell r="K2472">
            <v>-999</v>
          </cell>
          <cell r="M2472" t="str">
            <v>STL-20260915</v>
          </cell>
        </row>
        <row r="2473">
          <cell r="K2473">
            <v>-948</v>
          </cell>
          <cell r="M2473" t="str">
            <v>STL-20260915</v>
          </cell>
        </row>
        <row r="2474">
          <cell r="K2474">
            <v>-799</v>
          </cell>
          <cell r="M2474" t="str">
            <v>STL-20260915</v>
          </cell>
        </row>
        <row r="2475">
          <cell r="K2475">
            <v>-999</v>
          </cell>
          <cell r="M2475" t="str">
            <v>STL-20260915</v>
          </cell>
        </row>
        <row r="2476">
          <cell r="K2476">
            <v>-2147</v>
          </cell>
          <cell r="M2476" t="str">
            <v>STL-20260915</v>
          </cell>
        </row>
        <row r="2477">
          <cell r="K2477">
            <v>-3098</v>
          </cell>
          <cell r="M2477" t="str">
            <v>STL-20260915</v>
          </cell>
        </row>
        <row r="2478">
          <cell r="K2478">
            <v>-2298</v>
          </cell>
          <cell r="M2478" t="str">
            <v>STL-20260915</v>
          </cell>
        </row>
        <row r="2479">
          <cell r="K2479">
            <v>-1799</v>
          </cell>
          <cell r="M2479" t="str">
            <v>STL-20260915</v>
          </cell>
        </row>
        <row r="2480">
          <cell r="K2480">
            <v>-5348</v>
          </cell>
          <cell r="M2480" t="str">
            <v>STL-20260915</v>
          </cell>
        </row>
        <row r="2481">
          <cell r="K2481">
            <v>9318.68</v>
          </cell>
          <cell r="M2481" t="str">
            <v>STL-20260916</v>
          </cell>
        </row>
        <row r="2482">
          <cell r="K2482">
            <v>1799</v>
          </cell>
          <cell r="M2482" t="str">
            <v>STL-20260916</v>
          </cell>
        </row>
        <row r="2483">
          <cell r="K2483">
            <v>585.57000000000005</v>
          </cell>
          <cell r="M2483" t="str">
            <v>STL-20260916</v>
          </cell>
        </row>
        <row r="2484">
          <cell r="K2484">
            <v>4928.21</v>
          </cell>
          <cell r="M2484" t="str">
            <v>STL-20260916</v>
          </cell>
        </row>
        <row r="2485">
          <cell r="K2485">
            <v>3834.38</v>
          </cell>
          <cell r="M2485" t="str">
            <v>STL-20260916</v>
          </cell>
        </row>
        <row r="2486">
          <cell r="K2486">
            <v>599</v>
          </cell>
          <cell r="M2486" t="str">
            <v>STL-20260916</v>
          </cell>
        </row>
        <row r="2487">
          <cell r="K2487">
            <v>7847.98</v>
          </cell>
          <cell r="M2487" t="str">
            <v>STL-20260916</v>
          </cell>
        </row>
        <row r="2488">
          <cell r="K2488">
            <v>8467.92</v>
          </cell>
          <cell r="M2488" t="str">
            <v>STL-20260916</v>
          </cell>
        </row>
        <row r="2489">
          <cell r="K2489">
            <v>10287.41</v>
          </cell>
          <cell r="M2489" t="str">
            <v>STL-20260916</v>
          </cell>
        </row>
        <row r="2490">
          <cell r="K2490">
            <v>4904.62</v>
          </cell>
          <cell r="M2490" t="str">
            <v>STL-20260916</v>
          </cell>
        </row>
        <row r="2491">
          <cell r="K2491">
            <v>1855.45</v>
          </cell>
          <cell r="M2491" t="str">
            <v>STL-20260916</v>
          </cell>
        </row>
        <row r="2492">
          <cell r="K2492">
            <v>1499</v>
          </cell>
          <cell r="M2492" t="str">
            <v>STL-20260916</v>
          </cell>
        </row>
        <row r="2493">
          <cell r="K2493">
            <v>798</v>
          </cell>
          <cell r="M2493" t="str">
            <v>STL-20260916</v>
          </cell>
        </row>
        <row r="2494">
          <cell r="K2494">
            <v>5975.77</v>
          </cell>
          <cell r="M2494" t="str">
            <v>STL-20260916</v>
          </cell>
        </row>
        <row r="2495">
          <cell r="K2495">
            <v>4281.79</v>
          </cell>
          <cell r="M2495" t="str">
            <v>STL-20260916</v>
          </cell>
        </row>
        <row r="2496">
          <cell r="K2496">
            <v>8630.91</v>
          </cell>
          <cell r="M2496" t="str">
            <v>STL-20260916</v>
          </cell>
        </row>
        <row r="2497">
          <cell r="K2497">
            <v>3883.21</v>
          </cell>
          <cell r="M2497" t="str">
            <v>STL-20260916</v>
          </cell>
        </row>
        <row r="2498">
          <cell r="K2498">
            <v>1799</v>
          </cell>
          <cell r="M2498" t="str">
            <v>STL-20260916</v>
          </cell>
        </row>
        <row r="2499">
          <cell r="K2499">
            <v>10260.549999999999</v>
          </cell>
          <cell r="M2499" t="str">
            <v>STL-20260916</v>
          </cell>
        </row>
        <row r="2500">
          <cell r="K2500">
            <v>1799</v>
          </cell>
          <cell r="M2500" t="str">
            <v>STL-20260916</v>
          </cell>
        </row>
        <row r="2501">
          <cell r="K2501">
            <v>3432.94</v>
          </cell>
          <cell r="M2501" t="str">
            <v>STL-20260916</v>
          </cell>
        </row>
        <row r="2502">
          <cell r="K2502">
            <v>799</v>
          </cell>
          <cell r="M2502" t="str">
            <v>STL-20260916</v>
          </cell>
        </row>
        <row r="2503">
          <cell r="K2503">
            <v>3431.96</v>
          </cell>
          <cell r="M2503" t="str">
            <v>STL-20260916</v>
          </cell>
        </row>
        <row r="2504">
          <cell r="K2504">
            <v>349</v>
          </cell>
          <cell r="M2504" t="str">
            <v>STL-20260916</v>
          </cell>
        </row>
        <row r="2505">
          <cell r="K2505">
            <v>499</v>
          </cell>
          <cell r="M2505" t="str">
            <v>STL-20260916</v>
          </cell>
        </row>
        <row r="2506">
          <cell r="K2506">
            <v>5877.68</v>
          </cell>
          <cell r="M2506" t="str">
            <v>STL-20260916</v>
          </cell>
        </row>
        <row r="2507">
          <cell r="K2507">
            <v>4898.72</v>
          </cell>
          <cell r="M2507" t="str">
            <v>STL-20260916</v>
          </cell>
        </row>
        <row r="2508">
          <cell r="K2508">
            <v>4981.3</v>
          </cell>
          <cell r="M2508" t="str">
            <v>STL-20260916</v>
          </cell>
        </row>
        <row r="2509">
          <cell r="K2509">
            <v>6772.94</v>
          </cell>
          <cell r="M2509" t="str">
            <v>STL-20260916</v>
          </cell>
        </row>
        <row r="2510">
          <cell r="K2510">
            <v>4981.3</v>
          </cell>
          <cell r="M2510" t="str">
            <v>STL-20260916</v>
          </cell>
        </row>
        <row r="2511">
          <cell r="K2511">
            <v>1799</v>
          </cell>
          <cell r="M2511" t="str">
            <v>STL-20260916</v>
          </cell>
        </row>
        <row r="2512">
          <cell r="K2512">
            <v>14943.91</v>
          </cell>
          <cell r="M2512" t="str">
            <v>STL-20260916</v>
          </cell>
        </row>
        <row r="2513">
          <cell r="K2513">
            <v>3384.98</v>
          </cell>
          <cell r="M2513" t="str">
            <v>STL-20260916</v>
          </cell>
        </row>
        <row r="2514">
          <cell r="K2514">
            <v>299</v>
          </cell>
          <cell r="M2514" t="str">
            <v>STL-20260916</v>
          </cell>
        </row>
        <row r="2515">
          <cell r="K2515">
            <v>999</v>
          </cell>
          <cell r="M2515" t="str">
            <v>STL-20260916</v>
          </cell>
        </row>
        <row r="2516">
          <cell r="K2516">
            <v>1808.75</v>
          </cell>
          <cell r="M2516" t="str">
            <v>STL-20260916</v>
          </cell>
        </row>
        <row r="2517">
          <cell r="K2517">
            <v>598</v>
          </cell>
          <cell r="M2517" t="str">
            <v>STL-20260916</v>
          </cell>
        </row>
        <row r="2518">
          <cell r="K2518">
            <v>2451.8200000000002</v>
          </cell>
          <cell r="M2518" t="str">
            <v>STL-20260916</v>
          </cell>
        </row>
        <row r="2519">
          <cell r="K2519">
            <v>599</v>
          </cell>
          <cell r="M2519" t="str">
            <v>STL-20260916</v>
          </cell>
        </row>
        <row r="2520">
          <cell r="K2520">
            <v>6475</v>
          </cell>
          <cell r="M2520" t="str">
            <v>STL-20260916</v>
          </cell>
        </row>
        <row r="2521">
          <cell r="K2521">
            <v>1299</v>
          </cell>
          <cell r="M2521" t="str">
            <v>STL-20260916</v>
          </cell>
        </row>
        <row r="2522">
          <cell r="K2522">
            <v>2448.87</v>
          </cell>
          <cell r="M2522" t="str">
            <v>STL-20260916</v>
          </cell>
        </row>
        <row r="2523">
          <cell r="K2523">
            <v>490.16</v>
          </cell>
          <cell r="M2523" t="str">
            <v>STL-20260916</v>
          </cell>
        </row>
        <row r="2524">
          <cell r="K2524">
            <v>7970.68</v>
          </cell>
          <cell r="M2524" t="str">
            <v>STL-20260916</v>
          </cell>
        </row>
        <row r="2525">
          <cell r="K2525">
            <v>2490.15</v>
          </cell>
          <cell r="M2525" t="str">
            <v>STL-20260916</v>
          </cell>
        </row>
        <row r="2526">
          <cell r="K2526">
            <v>1759.82</v>
          </cell>
          <cell r="M2526" t="str">
            <v>STL-20260916</v>
          </cell>
        </row>
        <row r="2527">
          <cell r="K2527">
            <v>341.59</v>
          </cell>
          <cell r="M2527" t="str">
            <v>STL-20260916</v>
          </cell>
        </row>
        <row r="2528">
          <cell r="K2528">
            <v>7470.46</v>
          </cell>
          <cell r="M2528" t="str">
            <v>STL-20260916</v>
          </cell>
        </row>
        <row r="2529">
          <cell r="K2529">
            <v>3432.94</v>
          </cell>
          <cell r="M2529" t="str">
            <v>STL-20260916</v>
          </cell>
        </row>
        <row r="2530">
          <cell r="K2530">
            <v>1760.79</v>
          </cell>
          <cell r="M2530" t="str">
            <v>STL-20260916</v>
          </cell>
        </row>
        <row r="2531">
          <cell r="K2531">
            <v>782.03</v>
          </cell>
          <cell r="M2531" t="str">
            <v>STL-20260916</v>
          </cell>
        </row>
        <row r="2532">
          <cell r="K2532">
            <v>499</v>
          </cell>
          <cell r="M2532" t="str">
            <v>STL-20260916</v>
          </cell>
        </row>
        <row r="2533">
          <cell r="K2533">
            <v>299</v>
          </cell>
          <cell r="M2533" t="str">
            <v>STL-20260916</v>
          </cell>
        </row>
        <row r="2534">
          <cell r="K2534">
            <v>798</v>
          </cell>
          <cell r="M2534" t="str">
            <v>STL-20260916</v>
          </cell>
        </row>
        <row r="2535">
          <cell r="K2535">
            <v>586.28</v>
          </cell>
          <cell r="M2535" t="str">
            <v>STL-20260916</v>
          </cell>
        </row>
        <row r="2536">
          <cell r="K2536">
            <v>3285.33</v>
          </cell>
          <cell r="M2536" t="str">
            <v>STL-20260916</v>
          </cell>
        </row>
        <row r="2537">
          <cell r="K2537">
            <v>6075.42</v>
          </cell>
          <cell r="M2537" t="str">
            <v>STL-20260916</v>
          </cell>
        </row>
        <row r="2538">
          <cell r="K2538">
            <v>1598</v>
          </cell>
          <cell r="M2538" t="str">
            <v>STL-20260916</v>
          </cell>
        </row>
        <row r="2539">
          <cell r="K2539">
            <v>1074.68</v>
          </cell>
          <cell r="M2539" t="str">
            <v>STL-20260916</v>
          </cell>
        </row>
        <row r="2540">
          <cell r="K2540">
            <v>782.03</v>
          </cell>
          <cell r="M2540" t="str">
            <v>STL-20260916</v>
          </cell>
        </row>
        <row r="2541">
          <cell r="K2541">
            <v>1073.3900000000001</v>
          </cell>
          <cell r="M2541" t="str">
            <v>STL-20260916</v>
          </cell>
        </row>
        <row r="2542">
          <cell r="K2542">
            <v>3486.61</v>
          </cell>
          <cell r="M2542" t="str">
            <v>STL-20260916</v>
          </cell>
        </row>
        <row r="2543">
          <cell r="K2543">
            <v>2956.53</v>
          </cell>
          <cell r="M2543" t="str">
            <v>STL-20260916</v>
          </cell>
        </row>
        <row r="2544">
          <cell r="K2544">
            <v>3725.31</v>
          </cell>
          <cell r="M2544" t="str">
            <v>STL-20260916</v>
          </cell>
        </row>
        <row r="2545">
          <cell r="K2545">
            <v>1998</v>
          </cell>
          <cell r="M2545" t="str">
            <v>STL-20260916</v>
          </cell>
        </row>
        <row r="2546">
          <cell r="K2546">
            <v>2490.15</v>
          </cell>
          <cell r="M2546" t="str">
            <v>STL-20260916</v>
          </cell>
        </row>
        <row r="2547">
          <cell r="K2547">
            <v>782.03</v>
          </cell>
          <cell r="M2547" t="str">
            <v>STL-20260916</v>
          </cell>
        </row>
        <row r="2548">
          <cell r="K2548">
            <v>2956.53</v>
          </cell>
          <cell r="M2548" t="str">
            <v>STL-20260916</v>
          </cell>
        </row>
        <row r="2549">
          <cell r="K2549">
            <v>977.78</v>
          </cell>
          <cell r="M2549" t="str">
            <v>STL-20260916</v>
          </cell>
        </row>
        <row r="2550">
          <cell r="K2550">
            <v>5190.74</v>
          </cell>
          <cell r="M2550" t="str">
            <v>STL-20260916</v>
          </cell>
        </row>
        <row r="2551">
          <cell r="K2551">
            <v>1269.8800000000001</v>
          </cell>
          <cell r="M2551" t="str">
            <v>STL-20260916</v>
          </cell>
        </row>
        <row r="2552">
          <cell r="K2552">
            <v>5279.25</v>
          </cell>
          <cell r="M2552" t="str">
            <v>STL-20260916</v>
          </cell>
        </row>
        <row r="2553">
          <cell r="K2553">
            <v>3922.52</v>
          </cell>
          <cell r="M2553" t="str">
            <v>STL-20260916</v>
          </cell>
        </row>
        <row r="2554">
          <cell r="K2554">
            <v>586.28</v>
          </cell>
          <cell r="M2554" t="str">
            <v>STL-20260916</v>
          </cell>
        </row>
        <row r="2555">
          <cell r="K2555">
            <v>292.3</v>
          </cell>
          <cell r="M2555" t="str">
            <v>STL-20260916</v>
          </cell>
        </row>
        <row r="2556">
          <cell r="K2556">
            <v>2449.86</v>
          </cell>
          <cell r="M2556" t="str">
            <v>STL-20260916</v>
          </cell>
        </row>
        <row r="2557">
          <cell r="K2557">
            <v>2837.92</v>
          </cell>
          <cell r="M2557" t="str">
            <v>STL-20260916</v>
          </cell>
        </row>
        <row r="2558">
          <cell r="K2558">
            <v>4082.5</v>
          </cell>
          <cell r="M2558" t="str">
            <v>STL-20260916</v>
          </cell>
        </row>
        <row r="2559">
          <cell r="K2559">
            <v>3135.86</v>
          </cell>
          <cell r="M2559" t="str">
            <v>STL-20260916</v>
          </cell>
        </row>
        <row r="2560">
          <cell r="K2560">
            <v>6864.9</v>
          </cell>
          <cell r="M2560" t="str">
            <v>STL-20260916</v>
          </cell>
        </row>
        <row r="2561">
          <cell r="K2561">
            <v>1798</v>
          </cell>
          <cell r="M2561" t="str">
            <v>STL-20260916</v>
          </cell>
        </row>
        <row r="2562">
          <cell r="K2562">
            <v>1569.72</v>
          </cell>
          <cell r="M2562" t="str">
            <v>STL-20260916</v>
          </cell>
        </row>
        <row r="2563">
          <cell r="K2563">
            <v>4781.0200000000004</v>
          </cell>
          <cell r="M2563" t="str">
            <v>STL-20260916</v>
          </cell>
        </row>
        <row r="2564">
          <cell r="K2564">
            <v>6864.9</v>
          </cell>
          <cell r="M2564" t="str">
            <v>STL-20260916</v>
          </cell>
        </row>
        <row r="2565">
          <cell r="K2565">
            <v>15828.1</v>
          </cell>
          <cell r="M2565" t="str">
            <v>STL-20260916</v>
          </cell>
        </row>
        <row r="2566">
          <cell r="K2566">
            <v>490.16</v>
          </cell>
          <cell r="M2566" t="str">
            <v>STL-20260916</v>
          </cell>
        </row>
        <row r="2567">
          <cell r="K2567">
            <v>1276</v>
          </cell>
          <cell r="M2567" t="str">
            <v>STL-20260916</v>
          </cell>
        </row>
        <row r="2568">
          <cell r="K2568">
            <v>2588.81</v>
          </cell>
          <cell r="M2568" t="str">
            <v>STL-20260916</v>
          </cell>
        </row>
        <row r="2569">
          <cell r="K2569">
            <v>1864.41</v>
          </cell>
          <cell r="M2569" t="str">
            <v>STL-20260916</v>
          </cell>
        </row>
        <row r="2570">
          <cell r="K2570">
            <v>3384.98</v>
          </cell>
          <cell r="M2570" t="str">
            <v>STL-20260916</v>
          </cell>
        </row>
        <row r="2571">
          <cell r="K2571">
            <v>7689.59</v>
          </cell>
          <cell r="M2571" t="str">
            <v>STL-20260916</v>
          </cell>
        </row>
        <row r="2572">
          <cell r="K2572">
            <v>4980.3100000000004</v>
          </cell>
          <cell r="M2572" t="str">
            <v>STL-20260916</v>
          </cell>
        </row>
        <row r="2573">
          <cell r="K2573">
            <v>8817.5</v>
          </cell>
          <cell r="M2573" t="str">
            <v>STL-20260916</v>
          </cell>
        </row>
        <row r="2574">
          <cell r="K2574">
            <v>999</v>
          </cell>
          <cell r="M2574" t="str">
            <v>STL-20260916</v>
          </cell>
        </row>
        <row r="2575">
          <cell r="K2575">
            <v>2988.38</v>
          </cell>
          <cell r="M2575" t="str">
            <v>STL-20260916</v>
          </cell>
        </row>
        <row r="2576">
          <cell r="K2576">
            <v>599</v>
          </cell>
          <cell r="M2576" t="str">
            <v>STL-20260916</v>
          </cell>
        </row>
        <row r="2577">
          <cell r="K2577">
            <v>2448.87</v>
          </cell>
          <cell r="M2577" t="str">
            <v>STL-20260916</v>
          </cell>
        </row>
        <row r="2578">
          <cell r="K2578">
            <v>2788.1</v>
          </cell>
          <cell r="M2578" t="str">
            <v>STL-20260916</v>
          </cell>
        </row>
        <row r="2579">
          <cell r="K2579">
            <v>1998</v>
          </cell>
          <cell r="M2579" t="str">
            <v>STL-20260916</v>
          </cell>
        </row>
        <row r="2580">
          <cell r="K2580">
            <v>497.23</v>
          </cell>
          <cell r="M2580" t="str">
            <v>STL-20260916</v>
          </cell>
        </row>
        <row r="2581">
          <cell r="K2581">
            <v>2448.87</v>
          </cell>
          <cell r="M2581" t="str">
            <v>STL-20260916</v>
          </cell>
        </row>
        <row r="2582">
          <cell r="K2582">
            <v>3784.56</v>
          </cell>
          <cell r="M2582" t="str">
            <v>STL-20260916</v>
          </cell>
        </row>
        <row r="2583">
          <cell r="K2583">
            <v>9763.32</v>
          </cell>
          <cell r="M2583" t="str">
            <v>STL-20260916</v>
          </cell>
        </row>
        <row r="2584">
          <cell r="K2584">
            <v>4981.3</v>
          </cell>
          <cell r="M2584" t="str">
            <v>STL-20260916</v>
          </cell>
        </row>
        <row r="2585">
          <cell r="K2585">
            <v>499</v>
          </cell>
          <cell r="M2585" t="str">
            <v>STL-20260916</v>
          </cell>
        </row>
        <row r="2586">
          <cell r="K2586">
            <v>292.64999999999998</v>
          </cell>
          <cell r="M2586" t="str">
            <v>STL-20260916</v>
          </cell>
        </row>
        <row r="2587">
          <cell r="K2587">
            <v>1499</v>
          </cell>
          <cell r="M2587" t="str">
            <v>STL-20260916</v>
          </cell>
        </row>
        <row r="2588">
          <cell r="K2588">
            <v>2090.58</v>
          </cell>
          <cell r="M2588" t="str">
            <v>STL-20260916</v>
          </cell>
        </row>
        <row r="2589">
          <cell r="K2589">
            <v>3793.51</v>
          </cell>
          <cell r="M2589" t="str">
            <v>STL-20260916</v>
          </cell>
        </row>
        <row r="2590">
          <cell r="K2590">
            <v>3726.29</v>
          </cell>
          <cell r="M2590" t="str">
            <v>STL-20260916</v>
          </cell>
        </row>
        <row r="2591">
          <cell r="K2591">
            <v>1848</v>
          </cell>
          <cell r="M2591" t="str">
            <v>STL-20260916</v>
          </cell>
        </row>
        <row r="2592">
          <cell r="K2592">
            <v>1271.4100000000001</v>
          </cell>
          <cell r="M2592" t="str">
            <v>STL-20260916</v>
          </cell>
        </row>
        <row r="2593">
          <cell r="K2593">
            <v>1467.16</v>
          </cell>
          <cell r="M2593" t="str">
            <v>STL-20260916</v>
          </cell>
        </row>
        <row r="2594">
          <cell r="K2594">
            <v>2788.1</v>
          </cell>
          <cell r="M2594" t="str">
            <v>STL-20260916</v>
          </cell>
        </row>
        <row r="2595">
          <cell r="K2595">
            <v>4553.78</v>
          </cell>
          <cell r="M2595" t="str">
            <v>STL-20260916</v>
          </cell>
        </row>
        <row r="2596">
          <cell r="K2596">
            <v>3432.94</v>
          </cell>
          <cell r="M2596" t="str">
            <v>STL-20260916</v>
          </cell>
        </row>
        <row r="2597">
          <cell r="K2597">
            <v>1074.68</v>
          </cell>
          <cell r="M2597" t="str">
            <v>STL-20260916</v>
          </cell>
        </row>
        <row r="2598">
          <cell r="K2598">
            <v>7347.59</v>
          </cell>
          <cell r="M2598" t="str">
            <v>STL-20260916</v>
          </cell>
        </row>
        <row r="2599">
          <cell r="K2599">
            <v>1799</v>
          </cell>
          <cell r="M2599" t="str">
            <v>STL-20260916</v>
          </cell>
        </row>
        <row r="2600">
          <cell r="K2600">
            <v>349</v>
          </cell>
          <cell r="M2600" t="str">
            <v>STL-20260916</v>
          </cell>
        </row>
        <row r="2601">
          <cell r="K2601">
            <v>6275.71</v>
          </cell>
          <cell r="M2601" t="str">
            <v>STL-20260916</v>
          </cell>
        </row>
        <row r="2602">
          <cell r="K2602">
            <v>3634.09</v>
          </cell>
          <cell r="M2602" t="str">
            <v>STL-20260916</v>
          </cell>
        </row>
        <row r="2603">
          <cell r="K2603">
            <v>1848</v>
          </cell>
          <cell r="M2603" t="str">
            <v>STL-20260916</v>
          </cell>
        </row>
        <row r="2604">
          <cell r="K2604">
            <v>299</v>
          </cell>
          <cell r="M2604" t="str">
            <v>STL-20260916</v>
          </cell>
        </row>
        <row r="2605">
          <cell r="K2605">
            <v>1857.69</v>
          </cell>
          <cell r="M2605" t="str">
            <v>STL-20260916</v>
          </cell>
        </row>
        <row r="2606">
          <cell r="K2606">
            <v>1299</v>
          </cell>
          <cell r="M2606" t="str">
            <v>STL-20260916</v>
          </cell>
        </row>
        <row r="2607">
          <cell r="K2607">
            <v>981.31</v>
          </cell>
          <cell r="M2607" t="str">
            <v>STL-20260916</v>
          </cell>
        </row>
        <row r="2608">
          <cell r="K2608">
            <v>6604.51</v>
          </cell>
          <cell r="M2608" t="str">
            <v>STL-20260916</v>
          </cell>
        </row>
        <row r="2609">
          <cell r="K2609">
            <v>9763.32</v>
          </cell>
          <cell r="M2609" t="str">
            <v>STL-20260916</v>
          </cell>
        </row>
        <row r="2610">
          <cell r="K2610">
            <v>3983.85</v>
          </cell>
          <cell r="M2610" t="str">
            <v>STL-20260916</v>
          </cell>
        </row>
        <row r="2611">
          <cell r="K2611">
            <v>2490.15</v>
          </cell>
          <cell r="M2611" t="str">
            <v>STL-20260916</v>
          </cell>
        </row>
        <row r="2612">
          <cell r="K2612">
            <v>5387.71</v>
          </cell>
          <cell r="M2612" t="str">
            <v>STL-20260916</v>
          </cell>
        </row>
        <row r="2613">
          <cell r="K2613">
            <v>3983.85</v>
          </cell>
          <cell r="M2613" t="str">
            <v>STL-20260916</v>
          </cell>
        </row>
        <row r="2614">
          <cell r="K2614">
            <v>4981.3</v>
          </cell>
          <cell r="M2614" t="str">
            <v>STL-20260916</v>
          </cell>
        </row>
        <row r="2615">
          <cell r="K2615">
            <v>499</v>
          </cell>
          <cell r="M2615" t="str">
            <v>STL-20260916</v>
          </cell>
        </row>
        <row r="2616">
          <cell r="K2616">
            <v>1269.8800000000001</v>
          </cell>
          <cell r="M2616" t="str">
            <v>STL-20260916</v>
          </cell>
        </row>
        <row r="2617">
          <cell r="K2617">
            <v>8766.86</v>
          </cell>
          <cell r="M2617" t="str">
            <v>STL-20260916</v>
          </cell>
        </row>
        <row r="2618">
          <cell r="K2618">
            <v>1198</v>
          </cell>
          <cell r="M2618" t="str">
            <v>STL-20260916</v>
          </cell>
        </row>
        <row r="2619">
          <cell r="K2619">
            <v>3286.33</v>
          </cell>
          <cell r="M2619" t="str">
            <v>STL-20260916</v>
          </cell>
        </row>
        <row r="2620">
          <cell r="K2620">
            <v>2463.61</v>
          </cell>
          <cell r="M2620" t="str">
            <v>STL-20260916</v>
          </cell>
        </row>
        <row r="2621">
          <cell r="K2621">
            <v>5776.48</v>
          </cell>
          <cell r="M2621" t="str">
            <v>STL-20260916</v>
          </cell>
        </row>
        <row r="2622">
          <cell r="K2622">
            <v>6772.94</v>
          </cell>
          <cell r="M2622" t="str">
            <v>STL-20260916</v>
          </cell>
        </row>
        <row r="2623">
          <cell r="K2623">
            <v>799</v>
          </cell>
          <cell r="M2623" t="str">
            <v>STL-20260916</v>
          </cell>
        </row>
        <row r="2624">
          <cell r="K2624">
            <v>7970.68</v>
          </cell>
          <cell r="M2624" t="str">
            <v>STL-20260916</v>
          </cell>
        </row>
        <row r="2625">
          <cell r="K2625">
            <v>4088.28</v>
          </cell>
          <cell r="M2625" t="str">
            <v>STL-20260916</v>
          </cell>
        </row>
        <row r="2626">
          <cell r="K2626">
            <v>2836.92</v>
          </cell>
          <cell r="M2626" t="str">
            <v>STL-20260916</v>
          </cell>
        </row>
        <row r="2627">
          <cell r="K2627">
            <v>2451.8200000000002</v>
          </cell>
          <cell r="M2627" t="str">
            <v>STL-20260916</v>
          </cell>
        </row>
        <row r="2628">
          <cell r="K2628">
            <v>7847.98</v>
          </cell>
          <cell r="M2628" t="str">
            <v>STL-20260916</v>
          </cell>
        </row>
        <row r="2629">
          <cell r="K2629">
            <v>999</v>
          </cell>
          <cell r="M2629" t="str">
            <v>STL-20260916</v>
          </cell>
        </row>
        <row r="2630">
          <cell r="K2630">
            <v>2451.8200000000002</v>
          </cell>
          <cell r="M2630" t="str">
            <v>STL-20260916</v>
          </cell>
        </row>
        <row r="2631">
          <cell r="K2631">
            <v>1270.44</v>
          </cell>
          <cell r="M2631" t="str">
            <v>STL-20260916</v>
          </cell>
        </row>
        <row r="2632">
          <cell r="K2632">
            <v>1467.16</v>
          </cell>
          <cell r="M2632" t="str">
            <v>STL-20260916</v>
          </cell>
        </row>
        <row r="2633">
          <cell r="K2633">
            <v>488.4</v>
          </cell>
          <cell r="M2633" t="str">
            <v>STL-20260916</v>
          </cell>
        </row>
        <row r="2634">
          <cell r="K2634">
            <v>3432.94</v>
          </cell>
          <cell r="M2634" t="str">
            <v>STL-20260916</v>
          </cell>
        </row>
        <row r="2635">
          <cell r="K2635">
            <v>487.81</v>
          </cell>
          <cell r="M2635" t="str">
            <v>STL-20260916</v>
          </cell>
        </row>
        <row r="2636">
          <cell r="K2636">
            <v>299</v>
          </cell>
          <cell r="M2636" t="str">
            <v>STL-20260916</v>
          </cell>
        </row>
        <row r="2637">
          <cell r="K2637">
            <v>3285.33</v>
          </cell>
          <cell r="M2637" t="str">
            <v>STL-20260916</v>
          </cell>
        </row>
        <row r="2638">
          <cell r="K2638">
            <v>11457.3</v>
          </cell>
          <cell r="M2638" t="str">
            <v>STL-20260916</v>
          </cell>
        </row>
        <row r="2639">
          <cell r="K2639">
            <v>2446.91</v>
          </cell>
          <cell r="M2639" t="str">
            <v>STL-20260916</v>
          </cell>
        </row>
        <row r="2640">
          <cell r="K2640">
            <v>1798</v>
          </cell>
          <cell r="M2640" t="str">
            <v>STL-20260916</v>
          </cell>
        </row>
        <row r="2641">
          <cell r="K2641">
            <v>292.64999999999998</v>
          </cell>
          <cell r="M2641" t="str">
            <v>STL-20260916</v>
          </cell>
        </row>
        <row r="2642">
          <cell r="K2642">
            <v>8267.6299999999992</v>
          </cell>
          <cell r="M2642" t="str">
            <v>STL-20260916</v>
          </cell>
        </row>
        <row r="2643">
          <cell r="K2643">
            <v>8190.39</v>
          </cell>
          <cell r="M2643" t="str">
            <v>STL-20260916</v>
          </cell>
        </row>
        <row r="2644">
          <cell r="K2644">
            <v>10287.41</v>
          </cell>
          <cell r="M2644" t="str">
            <v>STL-20260916</v>
          </cell>
        </row>
        <row r="2645">
          <cell r="K2645">
            <v>2055.91</v>
          </cell>
          <cell r="M2645" t="str">
            <v>STL-20260916</v>
          </cell>
        </row>
        <row r="2646">
          <cell r="K2646">
            <v>599</v>
          </cell>
          <cell r="M2646" t="str">
            <v>STL-20260916</v>
          </cell>
        </row>
        <row r="2647">
          <cell r="K2647">
            <v>7838.54</v>
          </cell>
          <cell r="M2647" t="str">
            <v>STL-20260916</v>
          </cell>
        </row>
        <row r="2648">
          <cell r="K2648">
            <v>3449.45</v>
          </cell>
          <cell r="M2648" t="str">
            <v>STL-20260916</v>
          </cell>
        </row>
        <row r="2649">
          <cell r="K2649">
            <v>3432.94</v>
          </cell>
          <cell r="M2649" t="str">
            <v>STL-20260916</v>
          </cell>
        </row>
        <row r="2650">
          <cell r="K2650">
            <v>1467.16</v>
          </cell>
          <cell r="M2650" t="str">
            <v>STL-20260916</v>
          </cell>
        </row>
        <row r="2651">
          <cell r="K2651">
            <v>499</v>
          </cell>
          <cell r="M2651" t="str">
            <v>STL-20260916</v>
          </cell>
        </row>
        <row r="2652">
          <cell r="K2652">
            <v>1098</v>
          </cell>
          <cell r="M2652" t="str">
            <v>STL-20260916</v>
          </cell>
        </row>
        <row r="2653">
          <cell r="K2653">
            <v>8827.14</v>
          </cell>
          <cell r="M2653" t="str">
            <v>STL-20260916</v>
          </cell>
        </row>
        <row r="2654">
          <cell r="K2654">
            <v>5196.99</v>
          </cell>
          <cell r="M2654" t="str">
            <v>STL-20260916</v>
          </cell>
        </row>
        <row r="2655">
          <cell r="K2655">
            <v>4981.3</v>
          </cell>
          <cell r="M2655" t="str">
            <v>STL-20260916</v>
          </cell>
        </row>
        <row r="2656">
          <cell r="K2656">
            <v>3038.53</v>
          </cell>
          <cell r="M2656" t="str">
            <v>STL-20260916</v>
          </cell>
        </row>
        <row r="2657">
          <cell r="K2657">
            <v>3087.04</v>
          </cell>
          <cell r="M2657" t="str">
            <v>STL-20260916</v>
          </cell>
        </row>
        <row r="2658">
          <cell r="K2658">
            <v>2988.38</v>
          </cell>
          <cell r="M2658" t="str">
            <v>STL-20260916</v>
          </cell>
        </row>
        <row r="2659">
          <cell r="K2659">
            <v>499</v>
          </cell>
          <cell r="M2659" t="str">
            <v>STL-20260916</v>
          </cell>
        </row>
        <row r="2660">
          <cell r="K2660">
            <v>5000.7700000000004</v>
          </cell>
          <cell r="M2660" t="str">
            <v>STL-20260916</v>
          </cell>
        </row>
        <row r="2661">
          <cell r="K2661">
            <v>342.82</v>
          </cell>
          <cell r="M2661" t="str">
            <v>STL-20260916</v>
          </cell>
        </row>
        <row r="2662">
          <cell r="K2662">
            <v>4928.21</v>
          </cell>
          <cell r="M2662" t="str">
            <v>STL-20260916</v>
          </cell>
        </row>
        <row r="2663">
          <cell r="K2663">
            <v>1298</v>
          </cell>
          <cell r="M2663" t="str">
            <v>STL-20260916</v>
          </cell>
        </row>
        <row r="2664">
          <cell r="K2664">
            <v>3784.56</v>
          </cell>
          <cell r="M2664" t="str">
            <v>STL-20260916</v>
          </cell>
        </row>
        <row r="2665">
          <cell r="K2665">
            <v>7769.4</v>
          </cell>
          <cell r="M2665" t="str">
            <v>STL-20260916</v>
          </cell>
        </row>
        <row r="2666">
          <cell r="K2666">
            <v>4780.0200000000004</v>
          </cell>
          <cell r="M2666" t="str">
            <v>STL-20260916</v>
          </cell>
        </row>
        <row r="2667">
          <cell r="K2667">
            <v>3432.94</v>
          </cell>
          <cell r="M2667" t="str">
            <v>STL-20260916</v>
          </cell>
        </row>
        <row r="2668">
          <cell r="K2668">
            <v>3524.84</v>
          </cell>
          <cell r="M2668" t="str">
            <v>STL-20260916</v>
          </cell>
        </row>
        <row r="2669">
          <cell r="K2669">
            <v>1799</v>
          </cell>
          <cell r="M2669" t="str">
            <v>STL-20260916</v>
          </cell>
        </row>
        <row r="2670">
          <cell r="K2670">
            <v>4083.5</v>
          </cell>
          <cell r="M2670" t="str">
            <v>STL-20260916</v>
          </cell>
        </row>
        <row r="2671">
          <cell r="K2671">
            <v>3285.33</v>
          </cell>
          <cell r="M2671" t="str">
            <v>STL-20260916</v>
          </cell>
        </row>
        <row r="2672">
          <cell r="K2672">
            <v>3983.85</v>
          </cell>
          <cell r="M2672" t="str">
            <v>STL-20260916</v>
          </cell>
        </row>
        <row r="2673">
          <cell r="K2673">
            <v>976.6</v>
          </cell>
          <cell r="M2673" t="str">
            <v>STL-20260916</v>
          </cell>
        </row>
        <row r="2674">
          <cell r="K2674">
            <v>8765.86</v>
          </cell>
          <cell r="M2674" t="str">
            <v>STL-20260916</v>
          </cell>
        </row>
        <row r="2675">
          <cell r="K2675">
            <v>-3098</v>
          </cell>
          <cell r="M2675" t="str">
            <v>STL-20260916</v>
          </cell>
        </row>
        <row r="2676">
          <cell r="K2676">
            <v>-10097</v>
          </cell>
          <cell r="M2676" t="str">
            <v>STL-20260916</v>
          </cell>
        </row>
        <row r="2677">
          <cell r="K2677">
            <v>-7999</v>
          </cell>
          <cell r="M2677" t="str">
            <v>STL-20260916</v>
          </cell>
        </row>
        <row r="2678">
          <cell r="K2678">
            <v>-12997</v>
          </cell>
          <cell r="M2678" t="str">
            <v>STL-20260916</v>
          </cell>
        </row>
        <row r="2679">
          <cell r="K2679">
            <v>-12998</v>
          </cell>
          <cell r="M2679" t="str">
            <v>STL-20260916</v>
          </cell>
        </row>
        <row r="2680">
          <cell r="K2680">
            <v>-2499</v>
          </cell>
          <cell r="M2680" t="str">
            <v>STL-20260916</v>
          </cell>
        </row>
        <row r="2681">
          <cell r="K2681">
            <v>-3798</v>
          </cell>
          <cell r="M2681" t="str">
            <v>STL-20260916</v>
          </cell>
        </row>
        <row r="2682">
          <cell r="K2682">
            <v>-1299</v>
          </cell>
          <cell r="M2682" t="str">
            <v>STL-20260916</v>
          </cell>
        </row>
        <row r="2683">
          <cell r="K2683">
            <v>-999</v>
          </cell>
          <cell r="M2683" t="str">
            <v>STL-20260916</v>
          </cell>
        </row>
        <row r="2684">
          <cell r="K2684">
            <v>9463.3799999999992</v>
          </cell>
          <cell r="M2684" t="str">
            <v>STL-20260917</v>
          </cell>
        </row>
        <row r="2685">
          <cell r="K2685">
            <v>599</v>
          </cell>
          <cell r="M2685" t="str">
            <v>STL-20260917</v>
          </cell>
        </row>
        <row r="2686">
          <cell r="K2686">
            <v>10260.549999999999</v>
          </cell>
          <cell r="M2686" t="str">
            <v>STL-20260917</v>
          </cell>
        </row>
        <row r="2687">
          <cell r="K2687">
            <v>2837.92</v>
          </cell>
          <cell r="M2687" t="str">
            <v>STL-20260917</v>
          </cell>
        </row>
        <row r="2688">
          <cell r="K2688">
            <v>5478.54</v>
          </cell>
          <cell r="M2688" t="str">
            <v>STL-20260917</v>
          </cell>
        </row>
        <row r="2689">
          <cell r="K2689">
            <v>4780.0200000000004</v>
          </cell>
          <cell r="M2689" t="str">
            <v>STL-20260917</v>
          </cell>
        </row>
        <row r="2690">
          <cell r="K2690">
            <v>1467.16</v>
          </cell>
          <cell r="M2690" t="str">
            <v>STL-20260917</v>
          </cell>
        </row>
        <row r="2691">
          <cell r="K2691">
            <v>999</v>
          </cell>
          <cell r="M2691" t="str">
            <v>STL-20260917</v>
          </cell>
        </row>
        <row r="2692">
          <cell r="K2692">
            <v>1799</v>
          </cell>
          <cell r="M2692" t="str">
            <v>STL-20260917</v>
          </cell>
        </row>
        <row r="2693">
          <cell r="K2693">
            <v>3726.29</v>
          </cell>
          <cell r="M2693" t="str">
            <v>STL-20260917</v>
          </cell>
        </row>
        <row r="2694">
          <cell r="K2694">
            <v>4781.0200000000004</v>
          </cell>
          <cell r="M2694" t="str">
            <v>STL-20260917</v>
          </cell>
        </row>
        <row r="2695">
          <cell r="K2695">
            <v>4730.0600000000004</v>
          </cell>
          <cell r="M2695" t="str">
            <v>STL-20260917</v>
          </cell>
        </row>
        <row r="2696">
          <cell r="K2696">
            <v>799</v>
          </cell>
          <cell r="M2696" t="str">
            <v>STL-20260917</v>
          </cell>
        </row>
        <row r="2697">
          <cell r="K2697">
            <v>8631.89</v>
          </cell>
          <cell r="M2697" t="str">
            <v>STL-20260917</v>
          </cell>
        </row>
        <row r="2698">
          <cell r="K2698">
            <v>299</v>
          </cell>
          <cell r="M2698" t="str">
            <v>STL-20260917</v>
          </cell>
        </row>
        <row r="2699">
          <cell r="K2699">
            <v>599</v>
          </cell>
          <cell r="M2699" t="str">
            <v>STL-20260917</v>
          </cell>
        </row>
        <row r="2700">
          <cell r="K2700">
            <v>499</v>
          </cell>
          <cell r="M2700" t="str">
            <v>STL-20260917</v>
          </cell>
        </row>
        <row r="2701">
          <cell r="K2701">
            <v>4413.08</v>
          </cell>
          <cell r="M2701" t="str">
            <v>STL-20260917</v>
          </cell>
        </row>
        <row r="2702">
          <cell r="K2702">
            <v>1760.79</v>
          </cell>
          <cell r="M2702" t="str">
            <v>STL-20260917</v>
          </cell>
        </row>
        <row r="2703">
          <cell r="K2703">
            <v>4981.3</v>
          </cell>
          <cell r="M2703" t="str">
            <v>STL-20260917</v>
          </cell>
        </row>
        <row r="2704">
          <cell r="K2704">
            <v>7885.73</v>
          </cell>
          <cell r="M2704" t="str">
            <v>STL-20260917</v>
          </cell>
        </row>
        <row r="2705">
          <cell r="K2705">
            <v>1564.06</v>
          </cell>
          <cell r="M2705" t="str">
            <v>STL-20260917</v>
          </cell>
        </row>
        <row r="2706">
          <cell r="K2706">
            <v>2745.17</v>
          </cell>
          <cell r="M2706" t="str">
            <v>STL-20260917</v>
          </cell>
        </row>
        <row r="2707">
          <cell r="K2707">
            <v>8666.2099999999991</v>
          </cell>
          <cell r="M2707" t="str">
            <v>STL-20260917</v>
          </cell>
        </row>
        <row r="2708">
          <cell r="K2708">
            <v>4904.62</v>
          </cell>
          <cell r="M2708" t="str">
            <v>STL-20260917</v>
          </cell>
        </row>
        <row r="2709">
          <cell r="K2709">
            <v>9464.3799999999992</v>
          </cell>
          <cell r="M2709" t="str">
            <v>STL-20260917</v>
          </cell>
        </row>
        <row r="2710">
          <cell r="K2710">
            <v>3486.61</v>
          </cell>
          <cell r="M2710" t="str">
            <v>STL-20260917</v>
          </cell>
        </row>
        <row r="2711">
          <cell r="K2711">
            <v>7121.7</v>
          </cell>
          <cell r="M2711" t="str">
            <v>STL-20260917</v>
          </cell>
        </row>
        <row r="2712">
          <cell r="K2712">
            <v>3783.56</v>
          </cell>
          <cell r="M2712" t="str">
            <v>STL-20260917</v>
          </cell>
        </row>
        <row r="2713">
          <cell r="K2713">
            <v>599</v>
          </cell>
          <cell r="M2713" t="str">
            <v>STL-20260917</v>
          </cell>
        </row>
        <row r="2714">
          <cell r="K2714">
            <v>5387.71</v>
          </cell>
          <cell r="M2714" t="str">
            <v>STL-20260917</v>
          </cell>
        </row>
        <row r="2715">
          <cell r="K2715">
            <v>5478.54</v>
          </cell>
          <cell r="M2715" t="str">
            <v>STL-20260917</v>
          </cell>
        </row>
        <row r="2716">
          <cell r="K2716">
            <v>5884.76</v>
          </cell>
          <cell r="M2716" t="str">
            <v>STL-20260917</v>
          </cell>
        </row>
        <row r="2717">
          <cell r="K2717">
            <v>3235.73</v>
          </cell>
          <cell r="M2717" t="str">
            <v>STL-20260917</v>
          </cell>
        </row>
        <row r="2718">
          <cell r="K2718">
            <v>1997</v>
          </cell>
          <cell r="M2718" t="str">
            <v>STL-20260917</v>
          </cell>
        </row>
        <row r="2719">
          <cell r="K2719">
            <v>8815.68</v>
          </cell>
          <cell r="M2719" t="str">
            <v>STL-20260917</v>
          </cell>
        </row>
        <row r="2720">
          <cell r="K2720">
            <v>3486.61</v>
          </cell>
          <cell r="M2720" t="str">
            <v>STL-20260917</v>
          </cell>
        </row>
        <row r="2721">
          <cell r="K2721">
            <v>6170.68</v>
          </cell>
          <cell r="M2721" t="str">
            <v>STL-20260917</v>
          </cell>
        </row>
        <row r="2722">
          <cell r="K2722">
            <v>2289.87</v>
          </cell>
          <cell r="M2722" t="str">
            <v>STL-20260917</v>
          </cell>
        </row>
        <row r="2723">
          <cell r="K2723">
            <v>6464.66</v>
          </cell>
          <cell r="M2723" t="str">
            <v>STL-20260917</v>
          </cell>
        </row>
        <row r="2724">
          <cell r="K2724">
            <v>12064.83</v>
          </cell>
          <cell r="M2724" t="str">
            <v>STL-20260917</v>
          </cell>
        </row>
        <row r="2725">
          <cell r="K2725">
            <v>299</v>
          </cell>
          <cell r="M2725" t="str">
            <v>STL-20260917</v>
          </cell>
        </row>
        <row r="2726">
          <cell r="K2726">
            <v>977.78</v>
          </cell>
          <cell r="M2726" t="str">
            <v>STL-20260917</v>
          </cell>
        </row>
        <row r="2727">
          <cell r="K2727">
            <v>3485.62</v>
          </cell>
          <cell r="M2727" t="str">
            <v>STL-20260917</v>
          </cell>
        </row>
        <row r="2728">
          <cell r="K2728">
            <v>1275.03</v>
          </cell>
          <cell r="M2728" t="str">
            <v>STL-20260917</v>
          </cell>
        </row>
        <row r="2729">
          <cell r="K2729">
            <v>1612.01</v>
          </cell>
          <cell r="M2729" t="str">
            <v>STL-20260917</v>
          </cell>
        </row>
        <row r="2730">
          <cell r="K2730">
            <v>8190.39</v>
          </cell>
          <cell r="M2730" t="str">
            <v>STL-20260917</v>
          </cell>
        </row>
        <row r="2731">
          <cell r="K2731">
            <v>1299</v>
          </cell>
          <cell r="M2731" t="str">
            <v>STL-20260917</v>
          </cell>
        </row>
        <row r="2732">
          <cell r="K2732">
            <v>3484.62</v>
          </cell>
          <cell r="M2732" t="str">
            <v>STL-20260917</v>
          </cell>
        </row>
        <row r="2733">
          <cell r="K2733">
            <v>3784.56</v>
          </cell>
          <cell r="M2733" t="str">
            <v>STL-20260917</v>
          </cell>
        </row>
        <row r="2734">
          <cell r="K2734">
            <v>3486.61</v>
          </cell>
          <cell r="M2734" t="str">
            <v>STL-20260917</v>
          </cell>
        </row>
        <row r="2735">
          <cell r="K2735">
            <v>4707.41</v>
          </cell>
          <cell r="M2735" t="str">
            <v>STL-20260917</v>
          </cell>
        </row>
        <row r="2736">
          <cell r="K2736">
            <v>7838.54</v>
          </cell>
          <cell r="M2736" t="str">
            <v>STL-20260917</v>
          </cell>
        </row>
        <row r="2737">
          <cell r="K2737">
            <v>977.78</v>
          </cell>
          <cell r="M2737" t="str">
            <v>STL-20260917</v>
          </cell>
        </row>
        <row r="2738">
          <cell r="K2738">
            <v>1758.67</v>
          </cell>
          <cell r="M2738" t="str">
            <v>STL-20260917</v>
          </cell>
        </row>
        <row r="2739">
          <cell r="K2739">
            <v>3744.22</v>
          </cell>
          <cell r="M2739" t="str">
            <v>STL-20260917</v>
          </cell>
        </row>
        <row r="2740">
          <cell r="K2740">
            <v>1269.8800000000001</v>
          </cell>
          <cell r="M2740" t="str">
            <v>STL-20260917</v>
          </cell>
        </row>
        <row r="2741">
          <cell r="K2741">
            <v>9464.3799999999992</v>
          </cell>
          <cell r="M2741" t="str">
            <v>STL-20260917</v>
          </cell>
        </row>
        <row r="2742">
          <cell r="K2742">
            <v>4216.8500000000004</v>
          </cell>
          <cell r="M2742" t="str">
            <v>STL-20260917</v>
          </cell>
        </row>
        <row r="2743">
          <cell r="K2743">
            <v>2490.15</v>
          </cell>
          <cell r="M2743" t="str">
            <v>STL-20260917</v>
          </cell>
        </row>
        <row r="2744">
          <cell r="K2744">
            <v>6700.76</v>
          </cell>
          <cell r="M2744" t="str">
            <v>STL-20260917</v>
          </cell>
        </row>
        <row r="2745">
          <cell r="K2745">
            <v>292.64999999999998</v>
          </cell>
          <cell r="M2745" t="str">
            <v>STL-20260917</v>
          </cell>
        </row>
        <row r="2746">
          <cell r="K2746">
            <v>7969.69</v>
          </cell>
          <cell r="M2746" t="str">
            <v>STL-20260917</v>
          </cell>
        </row>
        <row r="2747">
          <cell r="K2747">
            <v>3585.27</v>
          </cell>
          <cell r="M2747" t="str">
            <v>STL-20260917</v>
          </cell>
        </row>
        <row r="2748">
          <cell r="K2748">
            <v>3486.61</v>
          </cell>
          <cell r="M2748" t="str">
            <v>STL-20260917</v>
          </cell>
        </row>
        <row r="2749">
          <cell r="K2749">
            <v>7071.88</v>
          </cell>
          <cell r="M2749" t="str">
            <v>STL-20260917</v>
          </cell>
        </row>
        <row r="2750">
          <cell r="K2750">
            <v>8424.5400000000009</v>
          </cell>
          <cell r="M2750" t="str">
            <v>STL-20260917</v>
          </cell>
        </row>
        <row r="2751">
          <cell r="K2751">
            <v>586.28</v>
          </cell>
          <cell r="M2751" t="str">
            <v>STL-20260917</v>
          </cell>
        </row>
        <row r="2752">
          <cell r="K2752">
            <v>7847.98</v>
          </cell>
          <cell r="M2752" t="str">
            <v>STL-20260917</v>
          </cell>
        </row>
        <row r="2753">
          <cell r="K2753">
            <v>1499</v>
          </cell>
          <cell r="M2753" t="str">
            <v>STL-20260917</v>
          </cell>
        </row>
        <row r="2754">
          <cell r="K2754">
            <v>2988.38</v>
          </cell>
          <cell r="M2754" t="str">
            <v>STL-20260917</v>
          </cell>
        </row>
        <row r="2755">
          <cell r="K2755">
            <v>3721.81</v>
          </cell>
          <cell r="M2755" t="str">
            <v>STL-20260917</v>
          </cell>
        </row>
        <row r="2756">
          <cell r="K2756">
            <v>10874.39</v>
          </cell>
          <cell r="M2756" t="str">
            <v>STL-20260917</v>
          </cell>
        </row>
        <row r="2757">
          <cell r="K2757">
            <v>5578.19</v>
          </cell>
          <cell r="M2757" t="str">
            <v>STL-20260917</v>
          </cell>
        </row>
        <row r="2758">
          <cell r="K2758">
            <v>10299.799999999999</v>
          </cell>
          <cell r="M2758" t="str">
            <v>STL-20260917</v>
          </cell>
        </row>
        <row r="2759">
          <cell r="K2759">
            <v>349</v>
          </cell>
          <cell r="M2759" t="str">
            <v>STL-20260917</v>
          </cell>
        </row>
        <row r="2760">
          <cell r="K2760">
            <v>5000.7700000000004</v>
          </cell>
          <cell r="M2760" t="str">
            <v>STL-20260917</v>
          </cell>
        </row>
        <row r="2761">
          <cell r="K2761">
            <v>299</v>
          </cell>
          <cell r="M2761" t="str">
            <v>STL-20260917</v>
          </cell>
        </row>
        <row r="2762">
          <cell r="K2762">
            <v>488.4</v>
          </cell>
          <cell r="M2762" t="str">
            <v>STL-20260917</v>
          </cell>
        </row>
        <row r="2763">
          <cell r="K2763">
            <v>4580.7299999999996</v>
          </cell>
          <cell r="M2763" t="str">
            <v>STL-20260917</v>
          </cell>
        </row>
        <row r="2764">
          <cell r="K2764">
            <v>7838.54</v>
          </cell>
          <cell r="M2764" t="str">
            <v>STL-20260917</v>
          </cell>
        </row>
        <row r="2765">
          <cell r="K2765">
            <v>9122.4500000000007</v>
          </cell>
          <cell r="M2765" t="str">
            <v>STL-20260917</v>
          </cell>
        </row>
        <row r="2766">
          <cell r="K2766">
            <v>3427.83</v>
          </cell>
          <cell r="M2766" t="str">
            <v>STL-20260917</v>
          </cell>
        </row>
        <row r="2767">
          <cell r="K2767">
            <v>999</v>
          </cell>
          <cell r="M2767" t="str">
            <v>STL-20260917</v>
          </cell>
        </row>
        <row r="2768">
          <cell r="K2768">
            <v>2058.39</v>
          </cell>
          <cell r="M2768" t="str">
            <v>STL-20260917</v>
          </cell>
        </row>
        <row r="2769">
          <cell r="K2769">
            <v>799</v>
          </cell>
          <cell r="M2769" t="str">
            <v>STL-20260917</v>
          </cell>
        </row>
        <row r="2770">
          <cell r="K2770">
            <v>3486.61</v>
          </cell>
          <cell r="M2770" t="str">
            <v>STL-20260917</v>
          </cell>
        </row>
        <row r="2771">
          <cell r="K2771">
            <v>799</v>
          </cell>
          <cell r="M2771" t="str">
            <v>STL-20260917</v>
          </cell>
        </row>
        <row r="2772">
          <cell r="K2772">
            <v>1122.6300000000001</v>
          </cell>
          <cell r="M2772" t="str">
            <v>STL-20260917</v>
          </cell>
        </row>
        <row r="2773">
          <cell r="K2773">
            <v>8765.86</v>
          </cell>
          <cell r="M2773" t="str">
            <v>STL-20260917</v>
          </cell>
        </row>
        <row r="2774">
          <cell r="K2774">
            <v>1598</v>
          </cell>
          <cell r="M2774" t="str">
            <v>STL-20260917</v>
          </cell>
        </row>
        <row r="2775">
          <cell r="K2775">
            <v>1499</v>
          </cell>
          <cell r="M2775" t="str">
            <v>STL-20260917</v>
          </cell>
        </row>
        <row r="2776">
          <cell r="K2776">
            <v>4981.3</v>
          </cell>
          <cell r="M2776" t="str">
            <v>STL-20260917</v>
          </cell>
        </row>
        <row r="2777">
          <cell r="K2777">
            <v>2389.52</v>
          </cell>
          <cell r="M2777" t="str">
            <v>STL-20260917</v>
          </cell>
        </row>
        <row r="2778">
          <cell r="K2778">
            <v>3486.61</v>
          </cell>
          <cell r="M2778" t="str">
            <v>STL-20260917</v>
          </cell>
        </row>
        <row r="2779">
          <cell r="K2779">
            <v>10298.82</v>
          </cell>
          <cell r="M2779" t="str">
            <v>STL-20260917</v>
          </cell>
        </row>
        <row r="2780">
          <cell r="K2780">
            <v>3486.61</v>
          </cell>
          <cell r="M2780" t="str">
            <v>STL-20260917</v>
          </cell>
        </row>
        <row r="2781">
          <cell r="K2781">
            <v>1271.4100000000001</v>
          </cell>
          <cell r="M2781" t="str">
            <v>STL-20260917</v>
          </cell>
        </row>
        <row r="2782">
          <cell r="K2782">
            <v>796.17</v>
          </cell>
          <cell r="M2782" t="str">
            <v>STL-20260917</v>
          </cell>
        </row>
        <row r="2783">
          <cell r="K2783">
            <v>490.16</v>
          </cell>
          <cell r="M2783" t="str">
            <v>STL-20260917</v>
          </cell>
        </row>
        <row r="2784">
          <cell r="K2784">
            <v>6973.23</v>
          </cell>
          <cell r="M2784" t="str">
            <v>STL-20260917</v>
          </cell>
        </row>
        <row r="2785">
          <cell r="K2785">
            <v>999</v>
          </cell>
          <cell r="M2785" t="str">
            <v>STL-20260917</v>
          </cell>
        </row>
        <row r="2786">
          <cell r="K2786">
            <v>499</v>
          </cell>
          <cell r="M2786" t="str">
            <v>STL-20260917</v>
          </cell>
        </row>
        <row r="2787">
          <cell r="K2787">
            <v>2490.15</v>
          </cell>
          <cell r="M2787" t="str">
            <v>STL-20260917</v>
          </cell>
        </row>
        <row r="2788">
          <cell r="K2788">
            <v>349</v>
          </cell>
          <cell r="M2788" t="str">
            <v>STL-20260917</v>
          </cell>
        </row>
        <row r="2789">
          <cell r="K2789">
            <v>585.29999999999995</v>
          </cell>
          <cell r="M2789" t="str">
            <v>STL-20260917</v>
          </cell>
        </row>
        <row r="2790">
          <cell r="K2790">
            <v>293.7</v>
          </cell>
          <cell r="M2790" t="str">
            <v>STL-20260917</v>
          </cell>
        </row>
        <row r="2791">
          <cell r="K2791">
            <v>299</v>
          </cell>
          <cell r="M2791" t="str">
            <v>STL-20260917</v>
          </cell>
        </row>
        <row r="2792">
          <cell r="K2792">
            <v>1299</v>
          </cell>
          <cell r="M2792" t="str">
            <v>STL-20260917</v>
          </cell>
        </row>
        <row r="2793">
          <cell r="K2793">
            <v>599</v>
          </cell>
          <cell r="M2793" t="str">
            <v>STL-20260917</v>
          </cell>
        </row>
        <row r="2794">
          <cell r="K2794">
            <v>13732.74</v>
          </cell>
          <cell r="M2794" t="str">
            <v>STL-20260917</v>
          </cell>
        </row>
        <row r="2795">
          <cell r="K2795">
            <v>2090.58</v>
          </cell>
          <cell r="M2795" t="str">
            <v>STL-20260917</v>
          </cell>
        </row>
        <row r="2796">
          <cell r="K2796">
            <v>1799</v>
          </cell>
          <cell r="M2796" t="str">
            <v>STL-20260917</v>
          </cell>
        </row>
        <row r="2797">
          <cell r="K2797">
            <v>1299</v>
          </cell>
          <cell r="M2797" t="str">
            <v>STL-20260917</v>
          </cell>
        </row>
        <row r="2798">
          <cell r="K2798">
            <v>1465.39</v>
          </cell>
          <cell r="M2798" t="str">
            <v>STL-20260917</v>
          </cell>
        </row>
        <row r="2799">
          <cell r="K2799">
            <v>1299</v>
          </cell>
          <cell r="M2799" t="str">
            <v>STL-20260917</v>
          </cell>
        </row>
        <row r="2800">
          <cell r="K2800">
            <v>292.3</v>
          </cell>
          <cell r="M2800" t="str">
            <v>STL-20260917</v>
          </cell>
        </row>
        <row r="2801">
          <cell r="K2801">
            <v>3398.2</v>
          </cell>
          <cell r="M2801" t="str">
            <v>STL-20260917</v>
          </cell>
        </row>
        <row r="2802">
          <cell r="K2802">
            <v>3485.62</v>
          </cell>
          <cell r="M2802" t="str">
            <v>STL-20260917</v>
          </cell>
        </row>
        <row r="2803">
          <cell r="K2803">
            <v>2914.06</v>
          </cell>
          <cell r="M2803" t="str">
            <v>STL-20260917</v>
          </cell>
        </row>
        <row r="2804">
          <cell r="K2804">
            <v>2090.58</v>
          </cell>
          <cell r="M2804" t="str">
            <v>STL-20260917</v>
          </cell>
        </row>
        <row r="2805">
          <cell r="K2805">
            <v>9464.3799999999992</v>
          </cell>
          <cell r="M2805" t="str">
            <v>STL-20260917</v>
          </cell>
        </row>
        <row r="2806">
          <cell r="K2806">
            <v>1799</v>
          </cell>
          <cell r="M2806" t="str">
            <v>STL-20260917</v>
          </cell>
        </row>
        <row r="2807">
          <cell r="K2807">
            <v>1797</v>
          </cell>
          <cell r="M2807" t="str">
            <v>STL-20260917</v>
          </cell>
        </row>
        <row r="2808">
          <cell r="K2808">
            <v>5197.97</v>
          </cell>
          <cell r="M2808" t="str">
            <v>STL-20260917</v>
          </cell>
        </row>
        <row r="2809">
          <cell r="K2809">
            <v>4510.21</v>
          </cell>
          <cell r="M2809" t="str">
            <v>STL-20260917</v>
          </cell>
        </row>
        <row r="2810">
          <cell r="K2810">
            <v>977.78</v>
          </cell>
          <cell r="M2810" t="str">
            <v>STL-20260917</v>
          </cell>
        </row>
        <row r="2811">
          <cell r="K2811">
            <v>5240.71</v>
          </cell>
          <cell r="M2811" t="str">
            <v>STL-20260917</v>
          </cell>
        </row>
        <row r="2812">
          <cell r="K2812">
            <v>948</v>
          </cell>
          <cell r="M2812" t="str">
            <v>STL-20260917</v>
          </cell>
        </row>
        <row r="2813">
          <cell r="K2813">
            <v>2987.39</v>
          </cell>
          <cell r="M2813" t="str">
            <v>STL-20260917</v>
          </cell>
        </row>
        <row r="2814">
          <cell r="K2814">
            <v>2938.84</v>
          </cell>
          <cell r="M2814" t="str">
            <v>STL-20260917</v>
          </cell>
        </row>
        <row r="2815">
          <cell r="K2815">
            <v>3486.61</v>
          </cell>
          <cell r="M2815" t="str">
            <v>STL-20260917</v>
          </cell>
        </row>
        <row r="2816">
          <cell r="K2816">
            <v>341.59</v>
          </cell>
          <cell r="M2816" t="str">
            <v>STL-20260917</v>
          </cell>
        </row>
        <row r="2817">
          <cell r="K2817">
            <v>1799</v>
          </cell>
          <cell r="M2817" t="str">
            <v>STL-20260917</v>
          </cell>
        </row>
        <row r="2818">
          <cell r="K2818">
            <v>1757.69</v>
          </cell>
          <cell r="M2818" t="str">
            <v>STL-20260917</v>
          </cell>
        </row>
        <row r="2819">
          <cell r="K2819">
            <v>349</v>
          </cell>
          <cell r="M2819" t="str">
            <v>STL-20260917</v>
          </cell>
        </row>
        <row r="2820">
          <cell r="K2820">
            <v>4981.3</v>
          </cell>
          <cell r="M2820" t="str">
            <v>STL-20260917</v>
          </cell>
        </row>
        <row r="2821">
          <cell r="K2821">
            <v>1799</v>
          </cell>
          <cell r="M2821" t="str">
            <v>STL-20260917</v>
          </cell>
        </row>
        <row r="2822">
          <cell r="K2822">
            <v>5884.76</v>
          </cell>
          <cell r="M2822" t="str">
            <v>STL-20260917</v>
          </cell>
        </row>
        <row r="2823">
          <cell r="K2823">
            <v>799</v>
          </cell>
          <cell r="M2823" t="str">
            <v>STL-20260917</v>
          </cell>
        </row>
        <row r="2824">
          <cell r="K2824">
            <v>2451.8200000000002</v>
          </cell>
          <cell r="M2824" t="str">
            <v>STL-20260917</v>
          </cell>
        </row>
        <row r="2825">
          <cell r="K2825">
            <v>3038.53</v>
          </cell>
          <cell r="M2825" t="str">
            <v>STL-20260917</v>
          </cell>
        </row>
        <row r="2826">
          <cell r="K2826">
            <v>3585.27</v>
          </cell>
          <cell r="M2826" t="str">
            <v>STL-20260917</v>
          </cell>
        </row>
        <row r="2827">
          <cell r="K2827">
            <v>1499</v>
          </cell>
          <cell r="M2827" t="str">
            <v>STL-20260917</v>
          </cell>
        </row>
        <row r="2828">
          <cell r="K2828">
            <v>10959.07</v>
          </cell>
          <cell r="M2828" t="str">
            <v>STL-20260917</v>
          </cell>
        </row>
        <row r="2829">
          <cell r="K2829">
            <v>6178.11</v>
          </cell>
          <cell r="M2829" t="str">
            <v>STL-20260917</v>
          </cell>
        </row>
        <row r="2830">
          <cell r="K2830">
            <v>6872.59</v>
          </cell>
          <cell r="M2830" t="str">
            <v>STL-20260917</v>
          </cell>
        </row>
        <row r="2831">
          <cell r="K2831">
            <v>2058.39</v>
          </cell>
          <cell r="M2831" t="str">
            <v>STL-20260917</v>
          </cell>
        </row>
        <row r="2832">
          <cell r="K2832">
            <v>4898.72</v>
          </cell>
          <cell r="M2832" t="str">
            <v>STL-20260917</v>
          </cell>
        </row>
        <row r="2833">
          <cell r="K2833">
            <v>799</v>
          </cell>
          <cell r="M2833" t="str">
            <v>STL-20260917</v>
          </cell>
        </row>
        <row r="2834">
          <cell r="K2834">
            <v>3286.33</v>
          </cell>
          <cell r="M2834" t="str">
            <v>STL-20260917</v>
          </cell>
        </row>
        <row r="2835">
          <cell r="K2835">
            <v>2548.9499999999998</v>
          </cell>
          <cell r="M2835" t="str">
            <v>STL-20260917</v>
          </cell>
        </row>
        <row r="2836">
          <cell r="K2836">
            <v>1299</v>
          </cell>
          <cell r="M2836" t="str">
            <v>STL-20260917</v>
          </cell>
        </row>
        <row r="2837">
          <cell r="K2837">
            <v>599</v>
          </cell>
          <cell r="M2837" t="str">
            <v>STL-20260917</v>
          </cell>
        </row>
        <row r="2838">
          <cell r="K2838">
            <v>499</v>
          </cell>
          <cell r="M2838" t="str">
            <v>STL-20260917</v>
          </cell>
        </row>
        <row r="2839">
          <cell r="K2839">
            <v>999</v>
          </cell>
          <cell r="M2839" t="str">
            <v>STL-20260917</v>
          </cell>
        </row>
        <row r="2840">
          <cell r="K2840">
            <v>2787.1</v>
          </cell>
          <cell r="M2840" t="str">
            <v>STL-20260917</v>
          </cell>
        </row>
        <row r="2841">
          <cell r="K2841">
            <v>2104.91</v>
          </cell>
          <cell r="M2841" t="str">
            <v>STL-20260917</v>
          </cell>
        </row>
        <row r="2842">
          <cell r="K2842">
            <v>782.03</v>
          </cell>
          <cell r="M2842" t="str">
            <v>STL-20260917</v>
          </cell>
        </row>
        <row r="2843">
          <cell r="K2843">
            <v>1798</v>
          </cell>
          <cell r="M2843" t="str">
            <v>STL-20260917</v>
          </cell>
        </row>
        <row r="2844">
          <cell r="K2844">
            <v>7885.73</v>
          </cell>
          <cell r="M2844" t="str">
            <v>STL-20260917</v>
          </cell>
        </row>
        <row r="2845">
          <cell r="K2845">
            <v>7970.68</v>
          </cell>
          <cell r="M2845" t="str">
            <v>STL-20260917</v>
          </cell>
        </row>
        <row r="2846">
          <cell r="K2846">
            <v>799</v>
          </cell>
          <cell r="M2846" t="str">
            <v>STL-20260917</v>
          </cell>
        </row>
        <row r="2847">
          <cell r="K2847">
            <v>11805.06</v>
          </cell>
          <cell r="M2847" t="str">
            <v>STL-20260917</v>
          </cell>
        </row>
        <row r="2848">
          <cell r="K2848">
            <v>7847</v>
          </cell>
          <cell r="M2848" t="str">
            <v>STL-20260917</v>
          </cell>
        </row>
        <row r="2849">
          <cell r="K2849">
            <v>1465.39</v>
          </cell>
          <cell r="M2849" t="str">
            <v>STL-20260917</v>
          </cell>
        </row>
        <row r="2850">
          <cell r="K2850">
            <v>4928.21</v>
          </cell>
          <cell r="M2850" t="str">
            <v>STL-20260917</v>
          </cell>
        </row>
        <row r="2851">
          <cell r="K2851">
            <v>1499</v>
          </cell>
          <cell r="M2851" t="str">
            <v>STL-20260917</v>
          </cell>
        </row>
        <row r="2852">
          <cell r="K2852">
            <v>499</v>
          </cell>
          <cell r="M2852" t="str">
            <v>STL-20260917</v>
          </cell>
        </row>
        <row r="2853">
          <cell r="K2853">
            <v>2313.77</v>
          </cell>
          <cell r="M2853" t="str">
            <v>STL-20260917</v>
          </cell>
        </row>
        <row r="2854">
          <cell r="K2854">
            <v>781.09</v>
          </cell>
          <cell r="M2854" t="str">
            <v>STL-20260917</v>
          </cell>
        </row>
        <row r="2855">
          <cell r="K2855">
            <v>781.09</v>
          </cell>
          <cell r="M2855" t="str">
            <v>STL-20260917</v>
          </cell>
        </row>
        <row r="2856">
          <cell r="K2856">
            <v>5492.31</v>
          </cell>
          <cell r="M2856" t="str">
            <v>STL-20260917</v>
          </cell>
        </row>
        <row r="2857">
          <cell r="K2857">
            <v>799</v>
          </cell>
          <cell r="M2857" t="str">
            <v>STL-20260917</v>
          </cell>
        </row>
        <row r="2858">
          <cell r="K2858">
            <v>1905.64</v>
          </cell>
          <cell r="M2858" t="str">
            <v>STL-20260917</v>
          </cell>
        </row>
        <row r="2859">
          <cell r="K2859">
            <v>8925.25</v>
          </cell>
          <cell r="M2859" t="str">
            <v>STL-20260917</v>
          </cell>
        </row>
        <row r="2860">
          <cell r="K2860">
            <v>9318.68</v>
          </cell>
          <cell r="M2860" t="str">
            <v>STL-20260917</v>
          </cell>
        </row>
        <row r="2861">
          <cell r="K2861">
            <v>4981.3</v>
          </cell>
          <cell r="M2861" t="str">
            <v>STL-20260917</v>
          </cell>
        </row>
        <row r="2862">
          <cell r="K2862">
            <v>5976.77</v>
          </cell>
          <cell r="M2862" t="str">
            <v>STL-20260917</v>
          </cell>
        </row>
        <row r="2863">
          <cell r="K2863">
            <v>1848</v>
          </cell>
          <cell r="M2863" t="str">
            <v>STL-20260917</v>
          </cell>
        </row>
        <row r="2864">
          <cell r="K2864">
            <v>3486.61</v>
          </cell>
          <cell r="M2864" t="str">
            <v>STL-20260917</v>
          </cell>
        </row>
        <row r="2865">
          <cell r="K2865">
            <v>1499</v>
          </cell>
          <cell r="M2865" t="str">
            <v>STL-20260917</v>
          </cell>
        </row>
        <row r="2866">
          <cell r="K2866">
            <v>4904.62</v>
          </cell>
          <cell r="M2866" t="str">
            <v>STL-20260917</v>
          </cell>
        </row>
        <row r="2867">
          <cell r="K2867">
            <v>6668.67</v>
          </cell>
          <cell r="M2867" t="str">
            <v>STL-20260917</v>
          </cell>
        </row>
        <row r="2868">
          <cell r="K2868">
            <v>3585.27</v>
          </cell>
          <cell r="M2868" t="str">
            <v>STL-20260917</v>
          </cell>
        </row>
        <row r="2869">
          <cell r="K2869">
            <v>1697</v>
          </cell>
          <cell r="M2869" t="str">
            <v>STL-20260917</v>
          </cell>
        </row>
        <row r="2870">
          <cell r="K2870">
            <v>5913.06</v>
          </cell>
          <cell r="M2870" t="str">
            <v>STL-20260917</v>
          </cell>
        </row>
        <row r="2871">
          <cell r="K2871">
            <v>682.35</v>
          </cell>
          <cell r="M2871" t="str">
            <v>STL-20260917</v>
          </cell>
        </row>
        <row r="2872">
          <cell r="K2872">
            <v>1465.39</v>
          </cell>
          <cell r="M2872" t="str">
            <v>STL-20260917</v>
          </cell>
        </row>
        <row r="2873">
          <cell r="K2873">
            <v>1648</v>
          </cell>
          <cell r="M2873" t="str">
            <v>STL-20260917</v>
          </cell>
        </row>
        <row r="2874">
          <cell r="K2874">
            <v>-599</v>
          </cell>
          <cell r="M2874" t="str">
            <v>STL-20260917</v>
          </cell>
        </row>
        <row r="2875">
          <cell r="K2875">
            <v>-2499</v>
          </cell>
          <cell r="M2875" t="str">
            <v>STL-20260917</v>
          </cell>
        </row>
        <row r="2876">
          <cell r="K2876">
            <v>-2499</v>
          </cell>
          <cell r="M2876" t="str">
            <v>STL-20260917</v>
          </cell>
        </row>
        <row r="2877">
          <cell r="K2877">
            <v>-3499</v>
          </cell>
          <cell r="M2877" t="str">
            <v>STL-20260917</v>
          </cell>
        </row>
        <row r="2878">
          <cell r="K2878">
            <v>-599</v>
          </cell>
          <cell r="M2878" t="str">
            <v>STL-20260917</v>
          </cell>
        </row>
        <row r="2879">
          <cell r="K2879">
            <v>-1798</v>
          </cell>
          <cell r="M2879" t="str">
            <v>STL-20260917</v>
          </cell>
        </row>
        <row r="2880">
          <cell r="K2880">
            <v>-999</v>
          </cell>
          <cell r="M2880" t="str">
            <v>STL-20260917</v>
          </cell>
        </row>
        <row r="2881">
          <cell r="K2881">
            <v>-1799</v>
          </cell>
          <cell r="M2881" t="str">
            <v>STL-20260917</v>
          </cell>
        </row>
        <row r="2882">
          <cell r="K2882">
            <v>-1898</v>
          </cell>
          <cell r="M2882" t="str">
            <v>STL-20260917</v>
          </cell>
        </row>
        <row r="2883">
          <cell r="K2883">
            <v>-1598</v>
          </cell>
          <cell r="M2883" t="str">
            <v>STL-20260917</v>
          </cell>
        </row>
        <row r="2884">
          <cell r="K2884">
            <v>-2999</v>
          </cell>
          <cell r="M2884" t="str">
            <v>STL-20260917</v>
          </cell>
        </row>
        <row r="2885">
          <cell r="K2885">
            <v>-299</v>
          </cell>
          <cell r="M2885" t="str">
            <v>STL-20260917</v>
          </cell>
        </row>
        <row r="2886">
          <cell r="K2886">
            <v>-499</v>
          </cell>
          <cell r="M2886" t="str">
            <v>STL-20260917</v>
          </cell>
        </row>
        <row r="2887">
          <cell r="K2887">
            <v>1098</v>
          </cell>
          <cell r="M2887" t="str">
            <v>STL-20260918</v>
          </cell>
        </row>
        <row r="2888">
          <cell r="K2888">
            <v>349</v>
          </cell>
          <cell r="M2888" t="str">
            <v>STL-20260918</v>
          </cell>
        </row>
        <row r="2889">
          <cell r="K2889">
            <v>4216.8500000000004</v>
          </cell>
          <cell r="M2889" t="str">
            <v>STL-20260918</v>
          </cell>
        </row>
        <row r="2890">
          <cell r="K2890">
            <v>1465.39</v>
          </cell>
          <cell r="M2890" t="str">
            <v>STL-20260918</v>
          </cell>
        </row>
        <row r="2891">
          <cell r="K2891">
            <v>3983.85</v>
          </cell>
          <cell r="M2891" t="str">
            <v>STL-20260918</v>
          </cell>
        </row>
        <row r="2892">
          <cell r="K2892">
            <v>586.28</v>
          </cell>
          <cell r="M2892" t="str">
            <v>STL-20260918</v>
          </cell>
        </row>
        <row r="2893">
          <cell r="K2893">
            <v>599</v>
          </cell>
          <cell r="M2893" t="str">
            <v>STL-20260918</v>
          </cell>
        </row>
        <row r="2894">
          <cell r="K2894">
            <v>2758.38</v>
          </cell>
          <cell r="M2894" t="str">
            <v>STL-20260918</v>
          </cell>
        </row>
        <row r="2895">
          <cell r="K2895">
            <v>349</v>
          </cell>
          <cell r="M2895" t="str">
            <v>STL-20260918</v>
          </cell>
        </row>
        <row r="2896">
          <cell r="K2896">
            <v>799</v>
          </cell>
          <cell r="M2896" t="str">
            <v>STL-20260918</v>
          </cell>
        </row>
        <row r="2897">
          <cell r="K2897">
            <v>2490.15</v>
          </cell>
          <cell r="M2897" t="str">
            <v>STL-20260918</v>
          </cell>
        </row>
        <row r="2898">
          <cell r="K2898">
            <v>1760.79</v>
          </cell>
          <cell r="M2898" t="str">
            <v>STL-20260918</v>
          </cell>
        </row>
        <row r="2899">
          <cell r="K2899">
            <v>977.78</v>
          </cell>
          <cell r="M2899" t="str">
            <v>STL-20260918</v>
          </cell>
        </row>
        <row r="2900">
          <cell r="K2900">
            <v>598</v>
          </cell>
          <cell r="M2900" t="str">
            <v>STL-20260918</v>
          </cell>
        </row>
        <row r="2901">
          <cell r="K2901">
            <v>1898</v>
          </cell>
          <cell r="M2901" t="str">
            <v>STL-20260918</v>
          </cell>
        </row>
        <row r="2902">
          <cell r="K2902">
            <v>2451.8200000000002</v>
          </cell>
          <cell r="M2902" t="str">
            <v>STL-20260918</v>
          </cell>
        </row>
        <row r="2903">
          <cell r="K2903">
            <v>977.78</v>
          </cell>
          <cell r="M2903" t="str">
            <v>STL-20260918</v>
          </cell>
        </row>
        <row r="2904">
          <cell r="K2904">
            <v>6661.63</v>
          </cell>
          <cell r="M2904" t="str">
            <v>STL-20260918</v>
          </cell>
        </row>
        <row r="2905">
          <cell r="K2905">
            <v>2942.38</v>
          </cell>
          <cell r="M2905" t="str">
            <v>STL-20260918</v>
          </cell>
        </row>
        <row r="2906">
          <cell r="K2906">
            <v>3634.09</v>
          </cell>
          <cell r="M2906" t="str">
            <v>STL-20260918</v>
          </cell>
        </row>
        <row r="2907">
          <cell r="K2907">
            <v>7453.57</v>
          </cell>
          <cell r="M2907" t="str">
            <v>STL-20260918</v>
          </cell>
        </row>
        <row r="2908">
          <cell r="K2908">
            <v>898</v>
          </cell>
          <cell r="M2908" t="str">
            <v>STL-20260918</v>
          </cell>
        </row>
        <row r="2909">
          <cell r="K2909">
            <v>499</v>
          </cell>
          <cell r="M2909" t="str">
            <v>STL-20260918</v>
          </cell>
        </row>
        <row r="2910">
          <cell r="K2910">
            <v>7071.88</v>
          </cell>
          <cell r="M2910" t="str">
            <v>STL-20260918</v>
          </cell>
        </row>
        <row r="2911">
          <cell r="K2911">
            <v>349</v>
          </cell>
          <cell r="M2911" t="str">
            <v>STL-20260918</v>
          </cell>
        </row>
        <row r="2912">
          <cell r="K2912">
            <v>9122.4500000000007</v>
          </cell>
          <cell r="M2912" t="str">
            <v>STL-20260918</v>
          </cell>
        </row>
        <row r="2913">
          <cell r="K2913">
            <v>11755.24</v>
          </cell>
          <cell r="M2913" t="str">
            <v>STL-20260918</v>
          </cell>
        </row>
        <row r="2914">
          <cell r="K2914">
            <v>2942.38</v>
          </cell>
          <cell r="M2914" t="str">
            <v>STL-20260918</v>
          </cell>
        </row>
        <row r="2915">
          <cell r="K2915">
            <v>2588.81</v>
          </cell>
          <cell r="M2915" t="str">
            <v>STL-20260918</v>
          </cell>
        </row>
        <row r="2916">
          <cell r="K2916">
            <v>9600.4699999999993</v>
          </cell>
          <cell r="M2916" t="str">
            <v>STL-20260918</v>
          </cell>
        </row>
        <row r="2917">
          <cell r="K2917">
            <v>7847.98</v>
          </cell>
          <cell r="M2917" t="str">
            <v>STL-20260918</v>
          </cell>
        </row>
        <row r="2918">
          <cell r="K2918">
            <v>3428.81</v>
          </cell>
          <cell r="M2918" t="str">
            <v>STL-20260918</v>
          </cell>
        </row>
        <row r="2919">
          <cell r="K2919">
            <v>7970.68</v>
          </cell>
          <cell r="M2919" t="str">
            <v>STL-20260918</v>
          </cell>
        </row>
        <row r="2920">
          <cell r="K2920">
            <v>3235.73</v>
          </cell>
          <cell r="M2920" t="str">
            <v>STL-20260918</v>
          </cell>
        </row>
        <row r="2921">
          <cell r="K2921">
            <v>1269.8800000000001</v>
          </cell>
          <cell r="M2921" t="str">
            <v>STL-20260918</v>
          </cell>
        </row>
        <row r="2922">
          <cell r="K2922">
            <v>599</v>
          </cell>
          <cell r="M2922" t="str">
            <v>STL-20260918</v>
          </cell>
        </row>
        <row r="2923">
          <cell r="K2923">
            <v>292.3</v>
          </cell>
          <cell r="M2923" t="str">
            <v>STL-20260918</v>
          </cell>
        </row>
        <row r="2924">
          <cell r="K2924">
            <v>4412.1000000000004</v>
          </cell>
          <cell r="M2924" t="str">
            <v>STL-20260918</v>
          </cell>
        </row>
        <row r="2925">
          <cell r="K2925">
            <v>2448.87</v>
          </cell>
          <cell r="M2925" t="str">
            <v>STL-20260918</v>
          </cell>
        </row>
        <row r="2926">
          <cell r="K2926">
            <v>9961.61</v>
          </cell>
          <cell r="M2926" t="str">
            <v>STL-20260918</v>
          </cell>
        </row>
        <row r="2927">
          <cell r="K2927">
            <v>799</v>
          </cell>
          <cell r="M2927" t="str">
            <v>STL-20260918</v>
          </cell>
        </row>
        <row r="2928">
          <cell r="K2928">
            <v>2588.81</v>
          </cell>
          <cell r="M2928" t="str">
            <v>STL-20260918</v>
          </cell>
        </row>
        <row r="2929">
          <cell r="K2929">
            <v>2490.15</v>
          </cell>
          <cell r="M2929" t="str">
            <v>STL-20260918</v>
          </cell>
        </row>
        <row r="2930">
          <cell r="K2930">
            <v>3585.27</v>
          </cell>
          <cell r="M2930" t="str">
            <v>STL-20260918</v>
          </cell>
        </row>
        <row r="2931">
          <cell r="K2931">
            <v>11555.95</v>
          </cell>
          <cell r="M2931" t="str">
            <v>STL-20260918</v>
          </cell>
        </row>
        <row r="2932">
          <cell r="K2932">
            <v>8337.56</v>
          </cell>
          <cell r="M2932" t="str">
            <v>STL-20260918</v>
          </cell>
        </row>
        <row r="2933">
          <cell r="K2933">
            <v>4210.8</v>
          </cell>
          <cell r="M2933" t="str">
            <v>STL-20260918</v>
          </cell>
        </row>
        <row r="2934">
          <cell r="K2934">
            <v>977.78</v>
          </cell>
          <cell r="M2934" t="str">
            <v>STL-20260918</v>
          </cell>
        </row>
        <row r="2935">
          <cell r="K2935">
            <v>13242.18</v>
          </cell>
          <cell r="M2935" t="str">
            <v>STL-20260918</v>
          </cell>
        </row>
        <row r="2936">
          <cell r="K2936">
            <v>2637.63</v>
          </cell>
          <cell r="M2936" t="str">
            <v>STL-20260918</v>
          </cell>
        </row>
        <row r="2937">
          <cell r="K2937">
            <v>341.18</v>
          </cell>
          <cell r="M2937" t="str">
            <v>STL-20260918</v>
          </cell>
        </row>
        <row r="2938">
          <cell r="K2938">
            <v>2988.38</v>
          </cell>
          <cell r="M2938" t="str">
            <v>STL-20260918</v>
          </cell>
        </row>
        <row r="2939">
          <cell r="K2939">
            <v>1467.16</v>
          </cell>
          <cell r="M2939" t="str">
            <v>STL-20260918</v>
          </cell>
        </row>
        <row r="2940">
          <cell r="K2940">
            <v>5577.19</v>
          </cell>
          <cell r="M2940" t="str">
            <v>STL-20260918</v>
          </cell>
        </row>
        <row r="2941">
          <cell r="K2941">
            <v>5329.07</v>
          </cell>
          <cell r="M2941" t="str">
            <v>STL-20260918</v>
          </cell>
        </row>
        <row r="2942">
          <cell r="K2942">
            <v>1466.19</v>
          </cell>
          <cell r="M2942" t="str">
            <v>STL-20260918</v>
          </cell>
        </row>
        <row r="2943">
          <cell r="K2943">
            <v>1271.4100000000001</v>
          </cell>
          <cell r="M2943" t="str">
            <v>STL-20260918</v>
          </cell>
        </row>
        <row r="2944">
          <cell r="K2944">
            <v>2490.15</v>
          </cell>
          <cell r="M2944" t="str">
            <v>STL-20260918</v>
          </cell>
        </row>
        <row r="2945">
          <cell r="K2945">
            <v>499</v>
          </cell>
          <cell r="M2945" t="str">
            <v>STL-20260918</v>
          </cell>
        </row>
        <row r="2946">
          <cell r="K2946">
            <v>11457.3</v>
          </cell>
          <cell r="M2946" t="str">
            <v>STL-20260918</v>
          </cell>
        </row>
        <row r="2947">
          <cell r="K2947">
            <v>4904.62</v>
          </cell>
          <cell r="M2947" t="str">
            <v>STL-20260918</v>
          </cell>
        </row>
        <row r="2948">
          <cell r="K2948">
            <v>799</v>
          </cell>
          <cell r="M2948" t="str">
            <v>STL-20260918</v>
          </cell>
        </row>
        <row r="2949">
          <cell r="K2949">
            <v>299</v>
          </cell>
          <cell r="M2949" t="str">
            <v>STL-20260918</v>
          </cell>
        </row>
        <row r="2950">
          <cell r="K2950">
            <v>1467.16</v>
          </cell>
          <cell r="M2950" t="str">
            <v>STL-20260918</v>
          </cell>
        </row>
        <row r="2951">
          <cell r="K2951">
            <v>5976.77</v>
          </cell>
          <cell r="M2951" t="str">
            <v>STL-20260918</v>
          </cell>
        </row>
        <row r="2952">
          <cell r="K2952">
            <v>4904.62</v>
          </cell>
          <cell r="M2952" t="str">
            <v>STL-20260918</v>
          </cell>
        </row>
        <row r="2953">
          <cell r="K2953">
            <v>12752.6</v>
          </cell>
          <cell r="M2953" t="str">
            <v>STL-20260918</v>
          </cell>
        </row>
        <row r="2954">
          <cell r="K2954">
            <v>4897.74</v>
          </cell>
          <cell r="M2954" t="str">
            <v>STL-20260918</v>
          </cell>
        </row>
        <row r="2955">
          <cell r="K2955">
            <v>499</v>
          </cell>
          <cell r="M2955" t="str">
            <v>STL-20260918</v>
          </cell>
        </row>
        <row r="2956">
          <cell r="K2956">
            <v>341.59</v>
          </cell>
          <cell r="M2956" t="str">
            <v>STL-20260918</v>
          </cell>
        </row>
        <row r="2957">
          <cell r="K2957">
            <v>2253.63</v>
          </cell>
          <cell r="M2957" t="str">
            <v>STL-20260918</v>
          </cell>
        </row>
        <row r="2958">
          <cell r="K2958">
            <v>2090.58</v>
          </cell>
          <cell r="M2958" t="str">
            <v>STL-20260918</v>
          </cell>
        </row>
        <row r="2959">
          <cell r="K2959">
            <v>1799</v>
          </cell>
          <cell r="M2959" t="str">
            <v>STL-20260918</v>
          </cell>
        </row>
        <row r="2960">
          <cell r="K2960">
            <v>1467.16</v>
          </cell>
          <cell r="M2960" t="str">
            <v>STL-20260918</v>
          </cell>
        </row>
        <row r="2961">
          <cell r="K2961">
            <v>7970.68</v>
          </cell>
          <cell r="M2961" t="str">
            <v>STL-20260918</v>
          </cell>
        </row>
        <row r="2962">
          <cell r="K2962">
            <v>10111.08</v>
          </cell>
          <cell r="M2962" t="str">
            <v>STL-20260918</v>
          </cell>
        </row>
        <row r="2963">
          <cell r="K2963">
            <v>599</v>
          </cell>
          <cell r="M2963" t="str">
            <v>STL-20260918</v>
          </cell>
        </row>
        <row r="2964">
          <cell r="K2964">
            <v>4898.72</v>
          </cell>
          <cell r="M2964" t="str">
            <v>STL-20260918</v>
          </cell>
        </row>
        <row r="2965">
          <cell r="K2965">
            <v>490.16</v>
          </cell>
          <cell r="M2965" t="str">
            <v>STL-20260918</v>
          </cell>
        </row>
        <row r="2966">
          <cell r="K2966">
            <v>2597.0300000000002</v>
          </cell>
          <cell r="M2966" t="str">
            <v>STL-20260918</v>
          </cell>
        </row>
        <row r="2967">
          <cell r="K2967">
            <v>4904.62</v>
          </cell>
          <cell r="M2967" t="str">
            <v>STL-20260918</v>
          </cell>
        </row>
        <row r="2968">
          <cell r="K2968">
            <v>8966.15</v>
          </cell>
          <cell r="M2968" t="str">
            <v>STL-20260918</v>
          </cell>
        </row>
        <row r="2969">
          <cell r="K2969">
            <v>5578.19</v>
          </cell>
          <cell r="M2969" t="str">
            <v>STL-20260918</v>
          </cell>
        </row>
        <row r="2970">
          <cell r="K2970">
            <v>293.7</v>
          </cell>
          <cell r="M2970" t="str">
            <v>STL-20260918</v>
          </cell>
        </row>
        <row r="2971">
          <cell r="K2971">
            <v>5884.76</v>
          </cell>
          <cell r="M2971" t="str">
            <v>STL-20260918</v>
          </cell>
        </row>
        <row r="2972">
          <cell r="K2972">
            <v>4216.8500000000004</v>
          </cell>
          <cell r="M2972" t="str">
            <v>STL-20260918</v>
          </cell>
        </row>
        <row r="2973">
          <cell r="K2973">
            <v>999</v>
          </cell>
          <cell r="M2973" t="str">
            <v>STL-20260918</v>
          </cell>
        </row>
        <row r="2974">
          <cell r="K2974">
            <v>1299</v>
          </cell>
          <cell r="M2974" t="str">
            <v>STL-20260918</v>
          </cell>
        </row>
        <row r="2975">
          <cell r="K2975">
            <v>7970.68</v>
          </cell>
          <cell r="M2975" t="str">
            <v>STL-20260918</v>
          </cell>
        </row>
        <row r="2976">
          <cell r="K2976">
            <v>488.4</v>
          </cell>
          <cell r="M2976" t="str">
            <v>STL-20260918</v>
          </cell>
        </row>
        <row r="2977">
          <cell r="K2977">
            <v>4981.3</v>
          </cell>
          <cell r="M2977" t="str">
            <v>STL-20260918</v>
          </cell>
        </row>
        <row r="2978">
          <cell r="K2978">
            <v>299</v>
          </cell>
          <cell r="M2978" t="str">
            <v>STL-20260918</v>
          </cell>
        </row>
        <row r="2979">
          <cell r="K2979">
            <v>3432.94</v>
          </cell>
          <cell r="M2979" t="str">
            <v>STL-20260918</v>
          </cell>
        </row>
        <row r="2980">
          <cell r="K2980">
            <v>2489.16</v>
          </cell>
          <cell r="M2980" t="str">
            <v>STL-20260918</v>
          </cell>
        </row>
        <row r="2981">
          <cell r="K2981">
            <v>1998</v>
          </cell>
          <cell r="M2981" t="str">
            <v>STL-20260918</v>
          </cell>
        </row>
        <row r="2982">
          <cell r="K2982">
            <v>299</v>
          </cell>
          <cell r="M2982" t="str">
            <v>STL-20260918</v>
          </cell>
        </row>
        <row r="2983">
          <cell r="K2983">
            <v>1760.79</v>
          </cell>
          <cell r="M2983" t="str">
            <v>STL-20260918</v>
          </cell>
        </row>
        <row r="2984">
          <cell r="K2984">
            <v>1299</v>
          </cell>
          <cell r="M2984" t="str">
            <v>STL-20260918</v>
          </cell>
        </row>
        <row r="2985">
          <cell r="K2985">
            <v>1767.15</v>
          </cell>
          <cell r="M2985" t="str">
            <v>STL-20260918</v>
          </cell>
        </row>
        <row r="2986">
          <cell r="K2986">
            <v>1711.85</v>
          </cell>
          <cell r="M2986" t="str">
            <v>STL-20260918</v>
          </cell>
        </row>
        <row r="2987">
          <cell r="K2987">
            <v>2490.15</v>
          </cell>
          <cell r="M2987" t="str">
            <v>STL-20260918</v>
          </cell>
        </row>
        <row r="2988">
          <cell r="K2988">
            <v>7885.73</v>
          </cell>
          <cell r="M2988" t="str">
            <v>STL-20260918</v>
          </cell>
        </row>
        <row r="2989">
          <cell r="K2989">
            <v>948</v>
          </cell>
          <cell r="M2989" t="str">
            <v>STL-20260918</v>
          </cell>
        </row>
        <row r="2990">
          <cell r="K2990">
            <v>5577.19</v>
          </cell>
          <cell r="M2990" t="str">
            <v>STL-20260918</v>
          </cell>
        </row>
        <row r="2991">
          <cell r="K2991">
            <v>8467.92</v>
          </cell>
          <cell r="M2991" t="str">
            <v>STL-20260918</v>
          </cell>
        </row>
        <row r="2992">
          <cell r="K2992">
            <v>7970.68</v>
          </cell>
          <cell r="M2992" t="str">
            <v>STL-20260918</v>
          </cell>
        </row>
        <row r="2993">
          <cell r="K2993">
            <v>5078.96</v>
          </cell>
          <cell r="M2993" t="str">
            <v>STL-20260918</v>
          </cell>
        </row>
        <row r="2994">
          <cell r="K2994">
            <v>586.28</v>
          </cell>
          <cell r="M2994" t="str">
            <v>STL-20260918</v>
          </cell>
        </row>
        <row r="2995">
          <cell r="K2995">
            <v>4019.65</v>
          </cell>
          <cell r="M2995" t="str">
            <v>STL-20260918</v>
          </cell>
        </row>
        <row r="2996">
          <cell r="K2996">
            <v>490.16</v>
          </cell>
          <cell r="M2996" t="str">
            <v>STL-20260918</v>
          </cell>
        </row>
        <row r="2997">
          <cell r="K2997">
            <v>13226.25</v>
          </cell>
          <cell r="M2997" t="str">
            <v>STL-20260918</v>
          </cell>
        </row>
        <row r="2998">
          <cell r="K2998">
            <v>8377.66</v>
          </cell>
          <cell r="M2998" t="str">
            <v>STL-20260918</v>
          </cell>
        </row>
        <row r="2999">
          <cell r="K2999">
            <v>490.16</v>
          </cell>
          <cell r="M2999" t="str">
            <v>STL-20260918</v>
          </cell>
        </row>
        <row r="3000">
          <cell r="K3000">
            <v>1299</v>
          </cell>
          <cell r="M3000" t="str">
            <v>STL-20260918</v>
          </cell>
        </row>
        <row r="3001">
          <cell r="K3001">
            <v>1564.06</v>
          </cell>
          <cell r="M3001" t="str">
            <v>STL-20260918</v>
          </cell>
        </row>
        <row r="3002">
          <cell r="K3002">
            <v>487.81</v>
          </cell>
          <cell r="M3002" t="str">
            <v>STL-20260918</v>
          </cell>
        </row>
        <row r="3003">
          <cell r="K3003">
            <v>1758.67</v>
          </cell>
          <cell r="M3003" t="str">
            <v>STL-20260918</v>
          </cell>
        </row>
        <row r="3004">
          <cell r="K3004">
            <v>9612.0300000000007</v>
          </cell>
          <cell r="M3004" t="str">
            <v>STL-20260918</v>
          </cell>
        </row>
        <row r="3005">
          <cell r="K3005">
            <v>3336.15</v>
          </cell>
          <cell r="M3005" t="str">
            <v>STL-20260918</v>
          </cell>
        </row>
        <row r="3006">
          <cell r="K3006">
            <v>1499</v>
          </cell>
          <cell r="M3006" t="str">
            <v>STL-20260918</v>
          </cell>
        </row>
        <row r="3007">
          <cell r="K3007">
            <v>4804.55</v>
          </cell>
          <cell r="M3007" t="str">
            <v>STL-20260918</v>
          </cell>
        </row>
        <row r="3008">
          <cell r="K3008">
            <v>784.85</v>
          </cell>
          <cell r="M3008" t="str">
            <v>STL-20260918</v>
          </cell>
        </row>
        <row r="3009">
          <cell r="K3009">
            <v>5688.53</v>
          </cell>
          <cell r="M3009" t="str">
            <v>STL-20260918</v>
          </cell>
        </row>
        <row r="3010">
          <cell r="K3010">
            <v>499</v>
          </cell>
          <cell r="M3010" t="str">
            <v>STL-20260918</v>
          </cell>
        </row>
        <row r="3011">
          <cell r="K3011">
            <v>2942.38</v>
          </cell>
          <cell r="M3011" t="str">
            <v>STL-20260918</v>
          </cell>
        </row>
        <row r="3012">
          <cell r="K3012">
            <v>7970.68</v>
          </cell>
          <cell r="M3012" t="str">
            <v>STL-20260918</v>
          </cell>
        </row>
        <row r="3013">
          <cell r="K3013">
            <v>4083.5</v>
          </cell>
          <cell r="M3013" t="str">
            <v>STL-20260918</v>
          </cell>
        </row>
        <row r="3014">
          <cell r="K3014">
            <v>4630.55</v>
          </cell>
          <cell r="M3014" t="str">
            <v>STL-20260918</v>
          </cell>
        </row>
        <row r="3015">
          <cell r="K3015">
            <v>4701.75</v>
          </cell>
          <cell r="M3015" t="str">
            <v>STL-20260918</v>
          </cell>
        </row>
        <row r="3016">
          <cell r="K3016">
            <v>3485.62</v>
          </cell>
          <cell r="M3016" t="str">
            <v>STL-20260918</v>
          </cell>
        </row>
        <row r="3017">
          <cell r="K3017">
            <v>1271.4100000000001</v>
          </cell>
          <cell r="M3017" t="str">
            <v>STL-20260918</v>
          </cell>
        </row>
        <row r="3018">
          <cell r="K3018">
            <v>7847.98</v>
          </cell>
          <cell r="M3018" t="str">
            <v>STL-20260918</v>
          </cell>
        </row>
        <row r="3019">
          <cell r="K3019">
            <v>599</v>
          </cell>
          <cell r="M3019" t="str">
            <v>STL-20260918</v>
          </cell>
        </row>
        <row r="3020">
          <cell r="K3020">
            <v>1466.19</v>
          </cell>
          <cell r="M3020" t="str">
            <v>STL-20260918</v>
          </cell>
        </row>
        <row r="3021">
          <cell r="K3021">
            <v>1467.16</v>
          </cell>
          <cell r="M3021" t="str">
            <v>STL-20260918</v>
          </cell>
        </row>
        <row r="3022">
          <cell r="K3022">
            <v>2388.52</v>
          </cell>
          <cell r="M3022" t="str">
            <v>STL-20260918</v>
          </cell>
        </row>
        <row r="3023">
          <cell r="K3023">
            <v>3428.81</v>
          </cell>
          <cell r="M3023" t="str">
            <v>STL-20260918</v>
          </cell>
        </row>
        <row r="3024">
          <cell r="K3024">
            <v>1799</v>
          </cell>
          <cell r="M3024" t="str">
            <v>STL-20260918</v>
          </cell>
        </row>
        <row r="3025">
          <cell r="K3025">
            <v>7970.68</v>
          </cell>
          <cell r="M3025" t="str">
            <v>STL-20260918</v>
          </cell>
        </row>
        <row r="3026">
          <cell r="K3026">
            <v>5197.97</v>
          </cell>
          <cell r="M3026" t="str">
            <v>STL-20260918</v>
          </cell>
        </row>
        <row r="3027">
          <cell r="K3027">
            <v>1799</v>
          </cell>
          <cell r="M3027" t="str">
            <v>STL-20260918</v>
          </cell>
        </row>
        <row r="3028">
          <cell r="K3028">
            <v>6208.82</v>
          </cell>
          <cell r="M3028" t="str">
            <v>STL-20260918</v>
          </cell>
        </row>
        <row r="3029">
          <cell r="K3029">
            <v>1947</v>
          </cell>
          <cell r="M3029" t="str">
            <v>STL-20260918</v>
          </cell>
        </row>
        <row r="3030">
          <cell r="K3030">
            <v>2988.38</v>
          </cell>
          <cell r="M3030" t="str">
            <v>STL-20260918</v>
          </cell>
        </row>
        <row r="3031">
          <cell r="K3031">
            <v>3784.56</v>
          </cell>
          <cell r="M3031" t="str">
            <v>STL-20260918</v>
          </cell>
        </row>
        <row r="3032">
          <cell r="K3032">
            <v>976.6</v>
          </cell>
          <cell r="M3032" t="str">
            <v>STL-20260918</v>
          </cell>
        </row>
        <row r="3033">
          <cell r="K3033">
            <v>4482.08</v>
          </cell>
          <cell r="M3033" t="str">
            <v>STL-20260918</v>
          </cell>
        </row>
        <row r="3034">
          <cell r="K3034">
            <v>1299</v>
          </cell>
          <cell r="M3034" t="str">
            <v>STL-20260918</v>
          </cell>
        </row>
        <row r="3035">
          <cell r="K3035">
            <v>2560.23</v>
          </cell>
          <cell r="M3035" t="str">
            <v>STL-20260918</v>
          </cell>
        </row>
        <row r="3036">
          <cell r="K3036">
            <v>7969.69</v>
          </cell>
          <cell r="M3036" t="str">
            <v>STL-20260918</v>
          </cell>
        </row>
        <row r="3037">
          <cell r="K3037">
            <v>7968.69</v>
          </cell>
          <cell r="M3037" t="str">
            <v>STL-20260918</v>
          </cell>
        </row>
        <row r="3038">
          <cell r="K3038">
            <v>1299</v>
          </cell>
          <cell r="M3038" t="str">
            <v>STL-20260918</v>
          </cell>
        </row>
        <row r="3039">
          <cell r="K3039">
            <v>1898</v>
          </cell>
          <cell r="M3039" t="str">
            <v>STL-20260918</v>
          </cell>
        </row>
        <row r="3040">
          <cell r="K3040">
            <v>1299</v>
          </cell>
          <cell r="M3040" t="str">
            <v>STL-20260918</v>
          </cell>
        </row>
        <row r="3041">
          <cell r="K3041">
            <v>1270.44</v>
          </cell>
          <cell r="M3041" t="str">
            <v>STL-20260918</v>
          </cell>
        </row>
        <row r="3042">
          <cell r="K3042">
            <v>3336.15</v>
          </cell>
          <cell r="M3042" t="str">
            <v>STL-20260918</v>
          </cell>
        </row>
        <row r="3043">
          <cell r="K3043">
            <v>5884.76</v>
          </cell>
          <cell r="M3043" t="str">
            <v>STL-20260918</v>
          </cell>
        </row>
        <row r="3044">
          <cell r="K3044">
            <v>3054.13</v>
          </cell>
          <cell r="M3044" t="str">
            <v>STL-20260918</v>
          </cell>
        </row>
        <row r="3045">
          <cell r="K3045">
            <v>11574.27</v>
          </cell>
          <cell r="M3045" t="str">
            <v>STL-20260918</v>
          </cell>
        </row>
        <row r="3046">
          <cell r="K3046">
            <v>1815.29</v>
          </cell>
          <cell r="M3046" t="str">
            <v>STL-20260918</v>
          </cell>
        </row>
        <row r="3047">
          <cell r="K3047">
            <v>648</v>
          </cell>
          <cell r="M3047" t="str">
            <v>STL-20260918</v>
          </cell>
        </row>
        <row r="3048">
          <cell r="K3048">
            <v>976.6</v>
          </cell>
          <cell r="M3048" t="str">
            <v>STL-20260918</v>
          </cell>
        </row>
        <row r="3049">
          <cell r="K3049">
            <v>5078.96</v>
          </cell>
          <cell r="M3049" t="str">
            <v>STL-20260918</v>
          </cell>
        </row>
        <row r="3050">
          <cell r="K3050">
            <v>1997</v>
          </cell>
          <cell r="M3050" t="str">
            <v>STL-20260918</v>
          </cell>
        </row>
        <row r="3051">
          <cell r="K3051">
            <v>2587.81</v>
          </cell>
          <cell r="M3051" t="str">
            <v>STL-20260918</v>
          </cell>
        </row>
        <row r="3052">
          <cell r="K3052">
            <v>5776.48</v>
          </cell>
          <cell r="M3052" t="str">
            <v>STL-20260918</v>
          </cell>
        </row>
        <row r="3053">
          <cell r="K3053">
            <v>-2848</v>
          </cell>
          <cell r="M3053" t="str">
            <v>STL-20260918</v>
          </cell>
        </row>
        <row r="3054">
          <cell r="K3054">
            <v>-299</v>
          </cell>
          <cell r="M3054" t="str">
            <v>STL-20260918</v>
          </cell>
        </row>
        <row r="3055">
          <cell r="K3055">
            <v>-2499</v>
          </cell>
          <cell r="M3055" t="str">
            <v>STL-20260918</v>
          </cell>
        </row>
        <row r="3056">
          <cell r="K3056">
            <v>-2798</v>
          </cell>
          <cell r="M3056" t="str">
            <v>STL-20260918</v>
          </cell>
        </row>
        <row r="3057">
          <cell r="K3057">
            <v>7885.73</v>
          </cell>
          <cell r="M3057" t="str">
            <v>STL-20260919</v>
          </cell>
        </row>
        <row r="3058">
          <cell r="K3058">
            <v>9809.24</v>
          </cell>
          <cell r="M3058" t="str">
            <v>STL-20260919</v>
          </cell>
        </row>
        <row r="3059">
          <cell r="K3059">
            <v>1271.4100000000001</v>
          </cell>
          <cell r="M3059" t="str">
            <v>STL-20260919</v>
          </cell>
        </row>
        <row r="3060">
          <cell r="K3060">
            <v>1271.4100000000001</v>
          </cell>
          <cell r="M3060" t="str">
            <v>STL-20260919</v>
          </cell>
        </row>
        <row r="3061">
          <cell r="K3061">
            <v>8679.9699999999993</v>
          </cell>
          <cell r="M3061" t="str">
            <v>STL-20260919</v>
          </cell>
        </row>
        <row r="3062">
          <cell r="K3062">
            <v>999</v>
          </cell>
          <cell r="M3062" t="str">
            <v>STL-20260919</v>
          </cell>
        </row>
        <row r="3063">
          <cell r="K3063">
            <v>7838.54</v>
          </cell>
          <cell r="M3063" t="str">
            <v>STL-20260919</v>
          </cell>
        </row>
        <row r="3064">
          <cell r="K3064">
            <v>3784.56</v>
          </cell>
          <cell r="M3064" t="str">
            <v>STL-20260919</v>
          </cell>
        </row>
        <row r="3065">
          <cell r="K3065">
            <v>3726.29</v>
          </cell>
          <cell r="M3065" t="str">
            <v>STL-20260919</v>
          </cell>
        </row>
        <row r="3066">
          <cell r="K3066">
            <v>1365.68</v>
          </cell>
          <cell r="M3066" t="str">
            <v>STL-20260919</v>
          </cell>
        </row>
        <row r="3067">
          <cell r="K3067">
            <v>299</v>
          </cell>
          <cell r="M3067" t="str">
            <v>STL-20260919</v>
          </cell>
        </row>
        <row r="3068">
          <cell r="K3068">
            <v>7970.68</v>
          </cell>
          <cell r="M3068" t="str">
            <v>STL-20260919</v>
          </cell>
        </row>
        <row r="3069">
          <cell r="K3069">
            <v>586.28</v>
          </cell>
          <cell r="M3069" t="str">
            <v>STL-20260919</v>
          </cell>
        </row>
        <row r="3070">
          <cell r="K3070">
            <v>7838.54</v>
          </cell>
          <cell r="M3070" t="str">
            <v>STL-20260919</v>
          </cell>
        </row>
        <row r="3071">
          <cell r="K3071">
            <v>5687.55</v>
          </cell>
          <cell r="M3071" t="str">
            <v>STL-20260919</v>
          </cell>
        </row>
        <row r="3072">
          <cell r="K3072">
            <v>5278.25</v>
          </cell>
          <cell r="M3072" t="str">
            <v>STL-20260919</v>
          </cell>
        </row>
        <row r="3073">
          <cell r="K3073">
            <v>3286.33</v>
          </cell>
          <cell r="M3073" t="str">
            <v>STL-20260919</v>
          </cell>
        </row>
        <row r="3074">
          <cell r="K3074">
            <v>8141.33</v>
          </cell>
          <cell r="M3074" t="str">
            <v>STL-20260919</v>
          </cell>
        </row>
        <row r="3075">
          <cell r="K3075">
            <v>7847.98</v>
          </cell>
          <cell r="M3075" t="str">
            <v>STL-20260919</v>
          </cell>
        </row>
        <row r="3076">
          <cell r="K3076">
            <v>1298</v>
          </cell>
          <cell r="M3076" t="str">
            <v>STL-20260919</v>
          </cell>
        </row>
        <row r="3077">
          <cell r="K3077">
            <v>341.59</v>
          </cell>
          <cell r="M3077" t="str">
            <v>STL-20260919</v>
          </cell>
        </row>
        <row r="3078">
          <cell r="K3078">
            <v>6227.17</v>
          </cell>
          <cell r="M3078" t="str">
            <v>STL-20260919</v>
          </cell>
        </row>
        <row r="3079">
          <cell r="K3079">
            <v>3428.81</v>
          </cell>
          <cell r="M3079" t="str">
            <v>STL-20260919</v>
          </cell>
        </row>
        <row r="3080">
          <cell r="K3080">
            <v>2598.9899999999998</v>
          </cell>
          <cell r="M3080" t="str">
            <v>STL-20260919</v>
          </cell>
        </row>
        <row r="3081">
          <cell r="K3081">
            <v>5884.76</v>
          </cell>
          <cell r="M3081" t="str">
            <v>STL-20260919</v>
          </cell>
        </row>
        <row r="3082">
          <cell r="K3082">
            <v>1271.4100000000001</v>
          </cell>
          <cell r="M3082" t="str">
            <v>STL-20260919</v>
          </cell>
        </row>
        <row r="3083">
          <cell r="K3083">
            <v>1467.16</v>
          </cell>
          <cell r="M3083" t="str">
            <v>STL-20260919</v>
          </cell>
        </row>
        <row r="3084">
          <cell r="K3084">
            <v>1647</v>
          </cell>
          <cell r="M3084" t="str">
            <v>STL-20260919</v>
          </cell>
        </row>
        <row r="3085">
          <cell r="K3085">
            <v>10593.15</v>
          </cell>
          <cell r="M3085" t="str">
            <v>STL-20260919</v>
          </cell>
        </row>
        <row r="3086">
          <cell r="K3086">
            <v>7838.54</v>
          </cell>
          <cell r="M3086" t="str">
            <v>STL-20260919</v>
          </cell>
        </row>
        <row r="3087">
          <cell r="K3087">
            <v>648</v>
          </cell>
          <cell r="M3087" t="str">
            <v>STL-20260919</v>
          </cell>
        </row>
        <row r="3088">
          <cell r="K3088">
            <v>2254.61</v>
          </cell>
          <cell r="M3088" t="str">
            <v>STL-20260919</v>
          </cell>
        </row>
        <row r="3089">
          <cell r="K3089">
            <v>2490.15</v>
          </cell>
          <cell r="M3089" t="str">
            <v>STL-20260919</v>
          </cell>
        </row>
        <row r="3090">
          <cell r="K3090">
            <v>8268.6299999999992</v>
          </cell>
          <cell r="M3090" t="str">
            <v>STL-20260919</v>
          </cell>
        </row>
        <row r="3091">
          <cell r="K3091">
            <v>1998</v>
          </cell>
          <cell r="M3091" t="str">
            <v>STL-20260919</v>
          </cell>
        </row>
        <row r="3092">
          <cell r="K3092">
            <v>487.81</v>
          </cell>
          <cell r="M3092" t="str">
            <v>STL-20260919</v>
          </cell>
        </row>
        <row r="3093">
          <cell r="K3093">
            <v>487.81</v>
          </cell>
          <cell r="M3093" t="str">
            <v>STL-20260919</v>
          </cell>
        </row>
        <row r="3094">
          <cell r="K3094">
            <v>698</v>
          </cell>
          <cell r="M3094" t="str">
            <v>STL-20260919</v>
          </cell>
        </row>
        <row r="3095">
          <cell r="K3095">
            <v>7885.73</v>
          </cell>
          <cell r="M3095" t="str">
            <v>STL-20260919</v>
          </cell>
        </row>
        <row r="3096">
          <cell r="K3096">
            <v>4730.0600000000004</v>
          </cell>
          <cell r="M3096" t="str">
            <v>STL-20260919</v>
          </cell>
        </row>
        <row r="3097">
          <cell r="K3097">
            <v>4412.1000000000004</v>
          </cell>
          <cell r="M3097" t="str">
            <v>STL-20260919</v>
          </cell>
        </row>
        <row r="3098">
          <cell r="K3098">
            <v>1498</v>
          </cell>
          <cell r="M3098" t="str">
            <v>STL-20260919</v>
          </cell>
        </row>
        <row r="3099">
          <cell r="K3099">
            <v>1798</v>
          </cell>
          <cell r="M3099" t="str">
            <v>STL-20260919</v>
          </cell>
        </row>
        <row r="3100">
          <cell r="K3100">
            <v>4902.66</v>
          </cell>
          <cell r="M3100" t="str">
            <v>STL-20260919</v>
          </cell>
        </row>
        <row r="3101">
          <cell r="K3101">
            <v>1472.46</v>
          </cell>
          <cell r="M3101" t="str">
            <v>STL-20260919</v>
          </cell>
        </row>
        <row r="3102">
          <cell r="K3102">
            <v>4281.79</v>
          </cell>
          <cell r="M3102" t="str">
            <v>STL-20260919</v>
          </cell>
        </row>
        <row r="3103">
          <cell r="K3103">
            <v>349</v>
          </cell>
          <cell r="M3103" t="str">
            <v>STL-20260919</v>
          </cell>
        </row>
        <row r="3104">
          <cell r="K3104">
            <v>3867.82</v>
          </cell>
          <cell r="M3104" t="str">
            <v>STL-20260919</v>
          </cell>
        </row>
        <row r="3105">
          <cell r="K3105">
            <v>4981.3</v>
          </cell>
          <cell r="M3105" t="str">
            <v>STL-20260919</v>
          </cell>
        </row>
        <row r="3106">
          <cell r="K3106">
            <v>3336.15</v>
          </cell>
          <cell r="M3106" t="str">
            <v>STL-20260919</v>
          </cell>
        </row>
        <row r="3107">
          <cell r="K3107">
            <v>7284.68</v>
          </cell>
          <cell r="M3107" t="str">
            <v>STL-20260919</v>
          </cell>
        </row>
        <row r="3108">
          <cell r="K3108">
            <v>586.28</v>
          </cell>
          <cell r="M3108" t="str">
            <v>STL-20260919</v>
          </cell>
        </row>
        <row r="3109">
          <cell r="K3109">
            <v>2490.15</v>
          </cell>
          <cell r="M3109" t="str">
            <v>STL-20260919</v>
          </cell>
        </row>
        <row r="3110">
          <cell r="K3110">
            <v>5876.13</v>
          </cell>
          <cell r="M3110" t="str">
            <v>STL-20260919</v>
          </cell>
        </row>
        <row r="3111">
          <cell r="K3111">
            <v>6075.42</v>
          </cell>
          <cell r="M3111" t="str">
            <v>STL-20260919</v>
          </cell>
        </row>
        <row r="3112">
          <cell r="K3112">
            <v>1759.82</v>
          </cell>
          <cell r="M3112" t="str">
            <v>STL-20260919</v>
          </cell>
        </row>
        <row r="3113">
          <cell r="K3113">
            <v>782.03</v>
          </cell>
          <cell r="M3113" t="str">
            <v>STL-20260919</v>
          </cell>
        </row>
        <row r="3114">
          <cell r="K3114">
            <v>3087.04</v>
          </cell>
          <cell r="M3114" t="str">
            <v>STL-20260919</v>
          </cell>
        </row>
        <row r="3115">
          <cell r="K3115">
            <v>6475</v>
          </cell>
          <cell r="M3115" t="str">
            <v>STL-20260919</v>
          </cell>
        </row>
        <row r="3116">
          <cell r="K3116">
            <v>9762.32</v>
          </cell>
          <cell r="M3116" t="str">
            <v>STL-20260919</v>
          </cell>
        </row>
        <row r="3117">
          <cell r="K3117">
            <v>2451.8200000000002</v>
          </cell>
          <cell r="M3117" t="str">
            <v>STL-20260919</v>
          </cell>
        </row>
        <row r="3118">
          <cell r="K3118">
            <v>4902.66</v>
          </cell>
          <cell r="M3118" t="str">
            <v>STL-20260919</v>
          </cell>
        </row>
        <row r="3119">
          <cell r="K3119">
            <v>11457.3</v>
          </cell>
          <cell r="M3119" t="str">
            <v>STL-20260919</v>
          </cell>
        </row>
        <row r="3120">
          <cell r="K3120">
            <v>12752.6</v>
          </cell>
          <cell r="M3120" t="str">
            <v>STL-20260919</v>
          </cell>
        </row>
        <row r="3121">
          <cell r="K3121">
            <v>1299</v>
          </cell>
          <cell r="M3121" t="str">
            <v>STL-20260919</v>
          </cell>
        </row>
        <row r="3122">
          <cell r="K3122">
            <v>799</v>
          </cell>
          <cell r="M3122" t="str">
            <v>STL-20260919</v>
          </cell>
        </row>
        <row r="3123">
          <cell r="K3123">
            <v>299</v>
          </cell>
          <cell r="M3123" t="str">
            <v>STL-20260919</v>
          </cell>
        </row>
        <row r="3124">
          <cell r="K3124">
            <v>2956.53</v>
          </cell>
          <cell r="M3124" t="str">
            <v>STL-20260919</v>
          </cell>
        </row>
        <row r="3125">
          <cell r="K3125">
            <v>999</v>
          </cell>
          <cell r="M3125" t="str">
            <v>STL-20260919</v>
          </cell>
        </row>
        <row r="3126">
          <cell r="K3126">
            <v>8765.86</v>
          </cell>
          <cell r="M3126" t="str">
            <v>STL-20260919</v>
          </cell>
        </row>
        <row r="3127">
          <cell r="K3127">
            <v>1760.79</v>
          </cell>
          <cell r="M3127" t="str">
            <v>STL-20260919</v>
          </cell>
        </row>
        <row r="3128">
          <cell r="K3128">
            <v>341.59</v>
          </cell>
          <cell r="M3128" t="str">
            <v>STL-20260919</v>
          </cell>
        </row>
        <row r="3129">
          <cell r="K3129">
            <v>1799</v>
          </cell>
          <cell r="M3129" t="str">
            <v>STL-20260919</v>
          </cell>
        </row>
        <row r="3130">
          <cell r="K3130">
            <v>1647</v>
          </cell>
          <cell r="M3130" t="str">
            <v>STL-20260919</v>
          </cell>
        </row>
        <row r="3131">
          <cell r="K3131">
            <v>977.78</v>
          </cell>
          <cell r="M3131" t="str">
            <v>STL-20260919</v>
          </cell>
        </row>
        <row r="3132">
          <cell r="K3132">
            <v>1467.16</v>
          </cell>
          <cell r="M3132" t="str">
            <v>STL-20260919</v>
          </cell>
        </row>
        <row r="3133">
          <cell r="K3133">
            <v>2090.58</v>
          </cell>
          <cell r="M3133" t="str">
            <v>STL-20260919</v>
          </cell>
        </row>
        <row r="3134">
          <cell r="K3134">
            <v>2451.8200000000002</v>
          </cell>
          <cell r="M3134" t="str">
            <v>STL-20260919</v>
          </cell>
        </row>
        <row r="3135">
          <cell r="K3135">
            <v>9265.09</v>
          </cell>
          <cell r="M3135" t="str">
            <v>STL-20260919</v>
          </cell>
        </row>
        <row r="3136">
          <cell r="K3136">
            <v>1598</v>
          </cell>
          <cell r="M3136" t="str">
            <v>STL-20260919</v>
          </cell>
        </row>
        <row r="3137">
          <cell r="K3137">
            <v>784.85</v>
          </cell>
          <cell r="M3137" t="str">
            <v>STL-20260919</v>
          </cell>
        </row>
        <row r="3138">
          <cell r="K3138">
            <v>599</v>
          </cell>
          <cell r="M3138" t="str">
            <v>STL-20260919</v>
          </cell>
        </row>
        <row r="3139">
          <cell r="K3139">
            <v>4216.8500000000004</v>
          </cell>
          <cell r="M3139" t="str">
            <v>STL-20260919</v>
          </cell>
        </row>
        <row r="3140">
          <cell r="K3140">
            <v>1499</v>
          </cell>
          <cell r="M3140" t="str">
            <v>STL-20260919</v>
          </cell>
        </row>
        <row r="3141">
          <cell r="K3141">
            <v>5420.14</v>
          </cell>
          <cell r="M3141" t="str">
            <v>STL-20260919</v>
          </cell>
        </row>
        <row r="3142">
          <cell r="K3142">
            <v>8467.92</v>
          </cell>
          <cell r="M3142" t="str">
            <v>STL-20260919</v>
          </cell>
        </row>
        <row r="3143">
          <cell r="K3143">
            <v>4117.76</v>
          </cell>
          <cell r="M3143" t="str">
            <v>STL-20260919</v>
          </cell>
        </row>
        <row r="3144">
          <cell r="K3144">
            <v>293.7</v>
          </cell>
          <cell r="M3144" t="str">
            <v>STL-20260919</v>
          </cell>
        </row>
        <row r="3145">
          <cell r="K3145">
            <v>3486.61</v>
          </cell>
          <cell r="M3145" t="str">
            <v>STL-20260919</v>
          </cell>
        </row>
        <row r="3146">
          <cell r="K3146">
            <v>9317.7000000000007</v>
          </cell>
          <cell r="M3146" t="str">
            <v>STL-20260919</v>
          </cell>
        </row>
        <row r="3147">
          <cell r="K3147">
            <v>3872.48</v>
          </cell>
          <cell r="M3147" t="str">
            <v>STL-20260919</v>
          </cell>
        </row>
        <row r="3148">
          <cell r="K3148">
            <v>1268.9000000000001</v>
          </cell>
          <cell r="M3148" t="str">
            <v>STL-20260919</v>
          </cell>
        </row>
        <row r="3149">
          <cell r="K3149">
            <v>7838.54</v>
          </cell>
          <cell r="M3149" t="str">
            <v>STL-20260919</v>
          </cell>
        </row>
        <row r="3150">
          <cell r="K3150">
            <v>4980.3100000000004</v>
          </cell>
          <cell r="M3150" t="str">
            <v>STL-20260919</v>
          </cell>
        </row>
        <row r="3151">
          <cell r="K3151">
            <v>1299</v>
          </cell>
          <cell r="M3151" t="str">
            <v>STL-20260919</v>
          </cell>
        </row>
        <row r="3152">
          <cell r="K3152">
            <v>648</v>
          </cell>
          <cell r="M3152" t="str">
            <v>STL-20260919</v>
          </cell>
        </row>
        <row r="3153">
          <cell r="K3153">
            <v>299</v>
          </cell>
          <cell r="M3153" t="str">
            <v>STL-20260919</v>
          </cell>
        </row>
        <row r="3154">
          <cell r="K3154">
            <v>585.57000000000005</v>
          </cell>
          <cell r="M3154" t="str">
            <v>STL-20260919</v>
          </cell>
        </row>
        <row r="3155">
          <cell r="K3155">
            <v>1766.18</v>
          </cell>
          <cell r="M3155" t="str">
            <v>STL-20260919</v>
          </cell>
        </row>
        <row r="3156">
          <cell r="K3156">
            <v>6274.71</v>
          </cell>
          <cell r="M3156" t="str">
            <v>STL-20260919</v>
          </cell>
        </row>
        <row r="3157">
          <cell r="K3157">
            <v>5688.53</v>
          </cell>
          <cell r="M3157" t="str">
            <v>STL-20260919</v>
          </cell>
        </row>
        <row r="3158">
          <cell r="K3158">
            <v>9894.4500000000007</v>
          </cell>
          <cell r="M3158" t="str">
            <v>STL-20260919</v>
          </cell>
        </row>
        <row r="3159">
          <cell r="K3159">
            <v>2988.38</v>
          </cell>
          <cell r="M3159" t="str">
            <v>STL-20260919</v>
          </cell>
        </row>
        <row r="3160">
          <cell r="K3160">
            <v>7471.46</v>
          </cell>
          <cell r="M3160" t="str">
            <v>STL-20260919</v>
          </cell>
        </row>
        <row r="3161">
          <cell r="K3161">
            <v>2289.87</v>
          </cell>
          <cell r="M3161" t="str">
            <v>STL-20260919</v>
          </cell>
        </row>
        <row r="3162">
          <cell r="K3162">
            <v>3286.33</v>
          </cell>
          <cell r="M3162" t="str">
            <v>STL-20260919</v>
          </cell>
        </row>
        <row r="3163">
          <cell r="K3163">
            <v>12951.99</v>
          </cell>
          <cell r="M3163" t="str">
            <v>STL-20260919</v>
          </cell>
        </row>
        <row r="3164">
          <cell r="K3164">
            <v>1299</v>
          </cell>
          <cell r="M3164" t="str">
            <v>STL-20260919</v>
          </cell>
        </row>
        <row r="3165">
          <cell r="K3165">
            <v>10789.38</v>
          </cell>
          <cell r="M3165" t="str">
            <v>STL-20260919</v>
          </cell>
        </row>
        <row r="3166">
          <cell r="K3166">
            <v>4019.65</v>
          </cell>
          <cell r="M3166" t="str">
            <v>STL-20260919</v>
          </cell>
        </row>
        <row r="3167">
          <cell r="K3167">
            <v>2490.15</v>
          </cell>
          <cell r="M3167" t="str">
            <v>STL-20260919</v>
          </cell>
        </row>
        <row r="3168">
          <cell r="K3168">
            <v>4980.3100000000004</v>
          </cell>
          <cell r="M3168" t="str">
            <v>STL-20260919</v>
          </cell>
        </row>
        <row r="3169">
          <cell r="K3169">
            <v>977.78</v>
          </cell>
          <cell r="M3169" t="str">
            <v>STL-20260919</v>
          </cell>
        </row>
        <row r="3170">
          <cell r="K3170">
            <v>7970.68</v>
          </cell>
          <cell r="M3170" t="str">
            <v>STL-20260919</v>
          </cell>
        </row>
        <row r="3171">
          <cell r="K3171">
            <v>1798</v>
          </cell>
          <cell r="M3171" t="str">
            <v>STL-20260919</v>
          </cell>
        </row>
        <row r="3172">
          <cell r="K3172">
            <v>1299</v>
          </cell>
          <cell r="M3172" t="str">
            <v>STL-20260919</v>
          </cell>
        </row>
        <row r="3173">
          <cell r="K3173">
            <v>3039.51</v>
          </cell>
          <cell r="M3173" t="str">
            <v>STL-20260919</v>
          </cell>
        </row>
        <row r="3174">
          <cell r="K3174">
            <v>2490.15</v>
          </cell>
          <cell r="M3174" t="str">
            <v>STL-20260919</v>
          </cell>
        </row>
        <row r="3175">
          <cell r="K3175">
            <v>1799</v>
          </cell>
          <cell r="M3175" t="str">
            <v>STL-20260919</v>
          </cell>
        </row>
        <row r="3176">
          <cell r="K3176">
            <v>999</v>
          </cell>
          <cell r="M3176" t="str">
            <v>STL-20260919</v>
          </cell>
        </row>
        <row r="3177">
          <cell r="K3177">
            <v>4904.62</v>
          </cell>
          <cell r="M3177" t="str">
            <v>STL-20260919</v>
          </cell>
        </row>
        <row r="3178">
          <cell r="K3178">
            <v>2794.23</v>
          </cell>
          <cell r="M3178" t="str">
            <v>STL-20260919</v>
          </cell>
        </row>
        <row r="3179">
          <cell r="K3179">
            <v>4981.3</v>
          </cell>
          <cell r="M3179" t="str">
            <v>STL-20260919</v>
          </cell>
        </row>
        <row r="3180">
          <cell r="K3180">
            <v>488.4</v>
          </cell>
          <cell r="M3180" t="str">
            <v>STL-20260919</v>
          </cell>
        </row>
        <row r="3181">
          <cell r="K3181">
            <v>4580.7299999999996</v>
          </cell>
          <cell r="M3181" t="str">
            <v>STL-20260919</v>
          </cell>
        </row>
        <row r="3182">
          <cell r="K3182">
            <v>5478.54</v>
          </cell>
          <cell r="M3182" t="str">
            <v>STL-20260919</v>
          </cell>
        </row>
        <row r="3183">
          <cell r="K3183">
            <v>10396.93</v>
          </cell>
          <cell r="M3183" t="str">
            <v>STL-20260919</v>
          </cell>
        </row>
        <row r="3184">
          <cell r="K3184">
            <v>1397</v>
          </cell>
          <cell r="M3184" t="str">
            <v>STL-20260919</v>
          </cell>
        </row>
        <row r="3185">
          <cell r="K3185">
            <v>4904.62</v>
          </cell>
          <cell r="M3185" t="str">
            <v>STL-20260919</v>
          </cell>
        </row>
        <row r="3186">
          <cell r="K3186">
            <v>499</v>
          </cell>
          <cell r="M3186" t="str">
            <v>STL-20260919</v>
          </cell>
        </row>
        <row r="3187">
          <cell r="K3187">
            <v>1299</v>
          </cell>
          <cell r="M3187" t="str">
            <v>STL-20260919</v>
          </cell>
        </row>
        <row r="3188">
          <cell r="K3188">
            <v>4904.62</v>
          </cell>
          <cell r="M3188" t="str">
            <v>STL-20260919</v>
          </cell>
        </row>
        <row r="3189">
          <cell r="K3189">
            <v>6474</v>
          </cell>
          <cell r="M3189" t="str">
            <v>STL-20260919</v>
          </cell>
        </row>
        <row r="3190">
          <cell r="K3190">
            <v>588.39</v>
          </cell>
          <cell r="M3190" t="str">
            <v>STL-20260919</v>
          </cell>
        </row>
        <row r="3191">
          <cell r="K3191">
            <v>3449.45</v>
          </cell>
          <cell r="M3191" t="str">
            <v>STL-20260919</v>
          </cell>
        </row>
        <row r="3192">
          <cell r="K3192">
            <v>999</v>
          </cell>
          <cell r="M3192" t="str">
            <v>STL-20260919</v>
          </cell>
        </row>
        <row r="3193">
          <cell r="K3193">
            <v>2987.39</v>
          </cell>
          <cell r="M3193" t="str">
            <v>STL-20260919</v>
          </cell>
        </row>
        <row r="3194">
          <cell r="K3194">
            <v>1299</v>
          </cell>
          <cell r="M3194" t="str">
            <v>STL-20260919</v>
          </cell>
        </row>
        <row r="3195">
          <cell r="K3195">
            <v>4981.3</v>
          </cell>
          <cell r="M3195" t="str">
            <v>STL-20260919</v>
          </cell>
        </row>
        <row r="3196">
          <cell r="K3196">
            <v>4559.2700000000004</v>
          </cell>
          <cell r="M3196" t="str">
            <v>STL-20260919</v>
          </cell>
        </row>
        <row r="3197">
          <cell r="K3197">
            <v>2490.15</v>
          </cell>
          <cell r="M3197" t="str">
            <v>STL-20260919</v>
          </cell>
        </row>
        <row r="3198">
          <cell r="K3198">
            <v>2956.53</v>
          </cell>
          <cell r="M3198" t="str">
            <v>STL-20260919</v>
          </cell>
        </row>
        <row r="3199">
          <cell r="K3199">
            <v>782.03</v>
          </cell>
          <cell r="M3199" t="str">
            <v>STL-20260919</v>
          </cell>
        </row>
        <row r="3200">
          <cell r="K3200">
            <v>3428.81</v>
          </cell>
          <cell r="M3200" t="str">
            <v>STL-20260919</v>
          </cell>
        </row>
        <row r="3201">
          <cell r="K3201">
            <v>7970.68</v>
          </cell>
          <cell r="M3201" t="str">
            <v>STL-20260919</v>
          </cell>
        </row>
        <row r="3202">
          <cell r="K3202">
            <v>5222</v>
          </cell>
          <cell r="M3202" t="str">
            <v>STL-20260919</v>
          </cell>
        </row>
        <row r="3203">
          <cell r="K3203">
            <v>4014.81</v>
          </cell>
          <cell r="M3203" t="str">
            <v>STL-20260919</v>
          </cell>
        </row>
        <row r="3204">
          <cell r="K3204">
            <v>3585.27</v>
          </cell>
          <cell r="M3204" t="str">
            <v>STL-20260919</v>
          </cell>
        </row>
        <row r="3205">
          <cell r="K3205">
            <v>3286.33</v>
          </cell>
          <cell r="M3205" t="str">
            <v>STL-20260919</v>
          </cell>
        </row>
        <row r="3206">
          <cell r="K3206">
            <v>9962.61</v>
          </cell>
          <cell r="M3206" t="str">
            <v>STL-20260919</v>
          </cell>
        </row>
        <row r="3207">
          <cell r="K3207">
            <v>2265.46</v>
          </cell>
          <cell r="M3207" t="str">
            <v>STL-20260919</v>
          </cell>
        </row>
        <row r="3208">
          <cell r="K3208">
            <v>2451.8200000000002</v>
          </cell>
          <cell r="M3208" t="str">
            <v>STL-20260919</v>
          </cell>
        </row>
        <row r="3209">
          <cell r="K3209">
            <v>1271.4100000000001</v>
          </cell>
          <cell r="M3209" t="str">
            <v>STL-20260919</v>
          </cell>
        </row>
        <row r="3210">
          <cell r="K3210">
            <v>6375.32</v>
          </cell>
          <cell r="M3210" t="str">
            <v>STL-20260919</v>
          </cell>
        </row>
        <row r="3211">
          <cell r="K3211">
            <v>1465.39</v>
          </cell>
          <cell r="M3211" t="str">
            <v>STL-20260919</v>
          </cell>
        </row>
        <row r="3212">
          <cell r="K3212">
            <v>7847.98</v>
          </cell>
          <cell r="M3212" t="str">
            <v>STL-20260919</v>
          </cell>
        </row>
        <row r="3213">
          <cell r="K3213">
            <v>1465.39</v>
          </cell>
          <cell r="M3213" t="str">
            <v>STL-20260919</v>
          </cell>
        </row>
        <row r="3214">
          <cell r="K3214">
            <v>3231.84</v>
          </cell>
          <cell r="M3214" t="str">
            <v>STL-20260919</v>
          </cell>
        </row>
        <row r="3215">
          <cell r="K3215">
            <v>1760.79</v>
          </cell>
          <cell r="M3215" t="str">
            <v>STL-20260919</v>
          </cell>
        </row>
        <row r="3216">
          <cell r="K3216">
            <v>1499</v>
          </cell>
          <cell r="M3216" t="str">
            <v>STL-20260919</v>
          </cell>
        </row>
        <row r="3217">
          <cell r="K3217">
            <v>349</v>
          </cell>
          <cell r="M3217" t="str">
            <v>STL-20260919</v>
          </cell>
        </row>
        <row r="3218">
          <cell r="K3218">
            <v>1270.44</v>
          </cell>
          <cell r="M3218" t="str">
            <v>STL-20260919</v>
          </cell>
        </row>
        <row r="3219">
          <cell r="K3219">
            <v>9962.61</v>
          </cell>
          <cell r="M3219" t="str">
            <v>STL-20260919</v>
          </cell>
        </row>
        <row r="3220">
          <cell r="K3220">
            <v>7970.68</v>
          </cell>
          <cell r="M3220" t="str">
            <v>STL-20260919</v>
          </cell>
        </row>
        <row r="3221">
          <cell r="K3221">
            <v>12951.99</v>
          </cell>
          <cell r="M3221" t="str">
            <v>STL-20260919</v>
          </cell>
        </row>
        <row r="3222">
          <cell r="K3222">
            <v>1998</v>
          </cell>
          <cell r="M3222" t="str">
            <v>STL-20260919</v>
          </cell>
        </row>
        <row r="3223">
          <cell r="K3223">
            <v>1270.44</v>
          </cell>
          <cell r="M3223" t="str">
            <v>STL-20260919</v>
          </cell>
        </row>
        <row r="3224">
          <cell r="K3224">
            <v>-4897</v>
          </cell>
          <cell r="M3224" t="str">
            <v>STL-20260919</v>
          </cell>
        </row>
        <row r="3225">
          <cell r="K3225">
            <v>-3348</v>
          </cell>
          <cell r="M3225" t="str">
            <v>STL-20260919</v>
          </cell>
        </row>
        <row r="3226">
          <cell r="K3226">
            <v>-11597</v>
          </cell>
          <cell r="M3226" t="str">
            <v>STL-20260919</v>
          </cell>
        </row>
        <row r="3227">
          <cell r="K3227">
            <v>-1299</v>
          </cell>
          <cell r="M3227" t="str">
            <v>STL-20260919</v>
          </cell>
        </row>
        <row r="3228">
          <cell r="K3228">
            <v>-599</v>
          </cell>
          <cell r="M3228" t="str">
            <v>STL-20260919</v>
          </cell>
        </row>
        <row r="3229">
          <cell r="K3229">
            <v>-7998</v>
          </cell>
          <cell r="M3229" t="str">
            <v>STL-20260919</v>
          </cell>
        </row>
        <row r="3230">
          <cell r="K3230">
            <v>-4097</v>
          </cell>
          <cell r="M3230" t="str">
            <v>STL-20260919</v>
          </cell>
        </row>
        <row r="3231">
          <cell r="K3231">
            <v>-1798</v>
          </cell>
          <cell r="M3231" t="str">
            <v>STL-20260919</v>
          </cell>
        </row>
        <row r="3232">
          <cell r="K3232">
            <v>-1499</v>
          </cell>
          <cell r="M3232" t="str">
            <v>STL-20260919</v>
          </cell>
        </row>
        <row r="3233">
          <cell r="K3233">
            <v>2058.39</v>
          </cell>
          <cell r="M3233" t="str">
            <v>STL-20260920</v>
          </cell>
        </row>
        <row r="3234">
          <cell r="K3234">
            <v>1299</v>
          </cell>
          <cell r="M3234" t="str">
            <v>STL-20260920</v>
          </cell>
        </row>
        <row r="3235">
          <cell r="K3235">
            <v>3428.81</v>
          </cell>
          <cell r="M3235" t="str">
            <v>STL-20260920</v>
          </cell>
        </row>
        <row r="3236">
          <cell r="K3236">
            <v>3432.94</v>
          </cell>
          <cell r="M3236" t="str">
            <v>STL-20260920</v>
          </cell>
        </row>
        <row r="3237">
          <cell r="K3237">
            <v>1806.57</v>
          </cell>
          <cell r="M3237" t="str">
            <v>STL-20260920</v>
          </cell>
        </row>
        <row r="3238">
          <cell r="K3238">
            <v>2451.8200000000002</v>
          </cell>
          <cell r="M3238" t="str">
            <v>STL-20260920</v>
          </cell>
        </row>
        <row r="3239">
          <cell r="K3239">
            <v>8870.58</v>
          </cell>
          <cell r="M3239" t="str">
            <v>STL-20260920</v>
          </cell>
        </row>
        <row r="3240">
          <cell r="K3240">
            <v>4904.62</v>
          </cell>
          <cell r="M3240" t="str">
            <v>STL-20260920</v>
          </cell>
        </row>
        <row r="3241">
          <cell r="K3241">
            <v>4137.58</v>
          </cell>
          <cell r="M3241" t="str">
            <v>STL-20260920</v>
          </cell>
        </row>
        <row r="3242">
          <cell r="K3242">
            <v>3872.48</v>
          </cell>
          <cell r="M3242" t="str">
            <v>STL-20260920</v>
          </cell>
        </row>
        <row r="3243">
          <cell r="K3243">
            <v>293.7</v>
          </cell>
          <cell r="M3243" t="str">
            <v>STL-20260920</v>
          </cell>
        </row>
        <row r="3244">
          <cell r="K3244">
            <v>2842.31</v>
          </cell>
          <cell r="M3244" t="str">
            <v>STL-20260920</v>
          </cell>
        </row>
        <row r="3245">
          <cell r="K3245">
            <v>1648</v>
          </cell>
          <cell r="M3245" t="str">
            <v>STL-20260920</v>
          </cell>
        </row>
        <row r="3246">
          <cell r="K3246">
            <v>1499</v>
          </cell>
          <cell r="M3246" t="str">
            <v>STL-20260920</v>
          </cell>
        </row>
        <row r="3247">
          <cell r="K3247">
            <v>2794.23</v>
          </cell>
          <cell r="M3247" t="str">
            <v>STL-20260920</v>
          </cell>
        </row>
        <row r="3248">
          <cell r="K3248">
            <v>2067.31</v>
          </cell>
          <cell r="M3248" t="str">
            <v>STL-20260920</v>
          </cell>
        </row>
        <row r="3249">
          <cell r="K3249">
            <v>2942.38</v>
          </cell>
          <cell r="M3249" t="str">
            <v>STL-20260920</v>
          </cell>
        </row>
        <row r="3250">
          <cell r="K3250">
            <v>5776.48</v>
          </cell>
          <cell r="M3250" t="str">
            <v>STL-20260920</v>
          </cell>
        </row>
        <row r="3251">
          <cell r="K3251">
            <v>1499</v>
          </cell>
          <cell r="M3251" t="str">
            <v>STL-20260920</v>
          </cell>
        </row>
        <row r="3252">
          <cell r="K3252">
            <v>10559.49</v>
          </cell>
          <cell r="M3252" t="str">
            <v>STL-20260920</v>
          </cell>
        </row>
        <row r="3253">
          <cell r="K3253">
            <v>2988.38</v>
          </cell>
          <cell r="M3253" t="str">
            <v>STL-20260920</v>
          </cell>
        </row>
        <row r="3254">
          <cell r="K3254">
            <v>4981.3</v>
          </cell>
          <cell r="M3254" t="str">
            <v>STL-20260920</v>
          </cell>
        </row>
        <row r="3255">
          <cell r="K3255">
            <v>1760.79</v>
          </cell>
          <cell r="M3255" t="str">
            <v>STL-20260920</v>
          </cell>
        </row>
        <row r="3256">
          <cell r="K3256">
            <v>3784.56</v>
          </cell>
          <cell r="M3256" t="str">
            <v>STL-20260920</v>
          </cell>
        </row>
        <row r="3257">
          <cell r="K3257">
            <v>299</v>
          </cell>
          <cell r="M3257" t="str">
            <v>STL-20260920</v>
          </cell>
        </row>
        <row r="3258">
          <cell r="K3258">
            <v>5688.53</v>
          </cell>
          <cell r="M3258" t="str">
            <v>STL-20260920</v>
          </cell>
        </row>
        <row r="3259">
          <cell r="K3259">
            <v>585.57000000000005</v>
          </cell>
          <cell r="M3259" t="str">
            <v>STL-20260920</v>
          </cell>
        </row>
        <row r="3260">
          <cell r="K3260">
            <v>586.28</v>
          </cell>
          <cell r="M3260" t="str">
            <v>STL-20260920</v>
          </cell>
        </row>
        <row r="3261">
          <cell r="K3261">
            <v>3793.51</v>
          </cell>
          <cell r="M3261" t="str">
            <v>STL-20260920</v>
          </cell>
        </row>
        <row r="3262">
          <cell r="K3262">
            <v>6475</v>
          </cell>
          <cell r="M3262" t="str">
            <v>STL-20260920</v>
          </cell>
        </row>
        <row r="3263">
          <cell r="K3263">
            <v>4904.62</v>
          </cell>
          <cell r="M3263" t="str">
            <v>STL-20260920</v>
          </cell>
        </row>
        <row r="3264">
          <cell r="K3264">
            <v>1799</v>
          </cell>
          <cell r="M3264" t="str">
            <v>STL-20260920</v>
          </cell>
        </row>
        <row r="3265">
          <cell r="K3265">
            <v>6125.24</v>
          </cell>
          <cell r="M3265" t="str">
            <v>STL-20260920</v>
          </cell>
        </row>
        <row r="3266">
          <cell r="K3266">
            <v>2988.38</v>
          </cell>
          <cell r="M3266" t="str">
            <v>STL-20260920</v>
          </cell>
        </row>
        <row r="3267">
          <cell r="K3267">
            <v>2058.39</v>
          </cell>
          <cell r="M3267" t="str">
            <v>STL-20260920</v>
          </cell>
        </row>
        <row r="3268">
          <cell r="K3268">
            <v>683.18</v>
          </cell>
          <cell r="M3268" t="str">
            <v>STL-20260920</v>
          </cell>
        </row>
        <row r="3269">
          <cell r="K3269">
            <v>999</v>
          </cell>
          <cell r="M3269" t="str">
            <v>STL-20260920</v>
          </cell>
        </row>
        <row r="3270">
          <cell r="K3270">
            <v>7970.68</v>
          </cell>
          <cell r="M3270" t="str">
            <v>STL-20260920</v>
          </cell>
        </row>
        <row r="3271">
          <cell r="K3271">
            <v>1648</v>
          </cell>
          <cell r="M3271" t="str">
            <v>STL-20260920</v>
          </cell>
        </row>
        <row r="3272">
          <cell r="K3272">
            <v>4898.72</v>
          </cell>
          <cell r="M3272" t="str">
            <v>STL-20260920</v>
          </cell>
        </row>
        <row r="3273">
          <cell r="K3273">
            <v>4904.62</v>
          </cell>
          <cell r="M3273" t="str">
            <v>STL-20260920</v>
          </cell>
        </row>
        <row r="3274">
          <cell r="K3274">
            <v>799</v>
          </cell>
          <cell r="M3274" t="str">
            <v>STL-20260920</v>
          </cell>
        </row>
        <row r="3275">
          <cell r="K3275">
            <v>2490.15</v>
          </cell>
          <cell r="M3275" t="str">
            <v>STL-20260920</v>
          </cell>
        </row>
        <row r="3276">
          <cell r="K3276">
            <v>2956.53</v>
          </cell>
          <cell r="M3276" t="str">
            <v>STL-20260920</v>
          </cell>
        </row>
        <row r="3277">
          <cell r="K3277">
            <v>1299</v>
          </cell>
          <cell r="M3277" t="str">
            <v>STL-20260920</v>
          </cell>
        </row>
        <row r="3278">
          <cell r="K3278">
            <v>1799</v>
          </cell>
          <cell r="M3278" t="str">
            <v>STL-20260920</v>
          </cell>
        </row>
        <row r="3279">
          <cell r="K3279">
            <v>1499</v>
          </cell>
          <cell r="M3279" t="str">
            <v>STL-20260920</v>
          </cell>
        </row>
        <row r="3280">
          <cell r="K3280">
            <v>2251.9</v>
          </cell>
          <cell r="M3280" t="str">
            <v>STL-20260920</v>
          </cell>
        </row>
        <row r="3281">
          <cell r="K3281">
            <v>4039.97</v>
          </cell>
          <cell r="M3281" t="str">
            <v>STL-20260920</v>
          </cell>
        </row>
        <row r="3282">
          <cell r="K3282">
            <v>2490.15</v>
          </cell>
          <cell r="M3282" t="str">
            <v>STL-20260920</v>
          </cell>
        </row>
        <row r="3283">
          <cell r="K3283">
            <v>3784.56</v>
          </cell>
          <cell r="M3283" t="str">
            <v>STL-20260920</v>
          </cell>
        </row>
        <row r="3284">
          <cell r="K3284">
            <v>2058.39</v>
          </cell>
          <cell r="M3284" t="str">
            <v>STL-20260920</v>
          </cell>
        </row>
        <row r="3285">
          <cell r="K3285">
            <v>8435.67</v>
          </cell>
          <cell r="M3285" t="str">
            <v>STL-20260920</v>
          </cell>
        </row>
        <row r="3286">
          <cell r="K3286">
            <v>1171.57</v>
          </cell>
          <cell r="M3286" t="str">
            <v>STL-20260920</v>
          </cell>
        </row>
        <row r="3287">
          <cell r="K3287">
            <v>4182.1400000000003</v>
          </cell>
          <cell r="M3287" t="str">
            <v>STL-20260920</v>
          </cell>
        </row>
        <row r="3288">
          <cell r="K3288">
            <v>3941.38</v>
          </cell>
          <cell r="M3288" t="str">
            <v>STL-20260920</v>
          </cell>
        </row>
        <row r="3289">
          <cell r="K3289">
            <v>4780.0200000000004</v>
          </cell>
          <cell r="M3289" t="str">
            <v>STL-20260920</v>
          </cell>
        </row>
        <row r="3290">
          <cell r="K3290">
            <v>3087.04</v>
          </cell>
          <cell r="M3290" t="str">
            <v>STL-20260920</v>
          </cell>
        </row>
        <row r="3291">
          <cell r="K3291">
            <v>2490.15</v>
          </cell>
          <cell r="M3291" t="str">
            <v>STL-20260920</v>
          </cell>
        </row>
        <row r="3292">
          <cell r="K3292">
            <v>299</v>
          </cell>
          <cell r="M3292" t="str">
            <v>STL-20260920</v>
          </cell>
        </row>
        <row r="3293">
          <cell r="K3293">
            <v>341.59</v>
          </cell>
          <cell r="M3293" t="str">
            <v>STL-20260920</v>
          </cell>
        </row>
        <row r="3294">
          <cell r="K3294">
            <v>2988.38</v>
          </cell>
          <cell r="M3294" t="str">
            <v>STL-20260920</v>
          </cell>
        </row>
        <row r="3295">
          <cell r="K3295">
            <v>2988.38</v>
          </cell>
          <cell r="M3295" t="str">
            <v>STL-20260920</v>
          </cell>
        </row>
        <row r="3296">
          <cell r="K3296">
            <v>586.28</v>
          </cell>
          <cell r="M3296" t="str">
            <v>STL-20260920</v>
          </cell>
        </row>
        <row r="3297">
          <cell r="K3297">
            <v>2451.8200000000002</v>
          </cell>
          <cell r="M3297" t="str">
            <v>STL-20260920</v>
          </cell>
        </row>
        <row r="3298">
          <cell r="K3298">
            <v>2490.15</v>
          </cell>
          <cell r="M3298" t="str">
            <v>STL-20260920</v>
          </cell>
        </row>
        <row r="3299">
          <cell r="K3299">
            <v>6963.01</v>
          </cell>
          <cell r="M3299" t="str">
            <v>STL-20260920</v>
          </cell>
        </row>
        <row r="3300">
          <cell r="K3300">
            <v>5394.2</v>
          </cell>
          <cell r="M3300" t="str">
            <v>STL-20260920</v>
          </cell>
        </row>
        <row r="3301">
          <cell r="K3301">
            <v>499</v>
          </cell>
          <cell r="M3301" t="str">
            <v>STL-20260920</v>
          </cell>
        </row>
        <row r="3302">
          <cell r="K3302">
            <v>586.28</v>
          </cell>
          <cell r="M3302" t="str">
            <v>STL-20260920</v>
          </cell>
        </row>
        <row r="3303">
          <cell r="K3303">
            <v>1398</v>
          </cell>
          <cell r="M3303" t="str">
            <v>STL-20260920</v>
          </cell>
        </row>
        <row r="3304">
          <cell r="K3304">
            <v>2942.38</v>
          </cell>
          <cell r="M3304" t="str">
            <v>STL-20260920</v>
          </cell>
        </row>
        <row r="3305">
          <cell r="K3305">
            <v>3431.96</v>
          </cell>
          <cell r="M3305" t="str">
            <v>STL-20260920</v>
          </cell>
        </row>
        <row r="3306">
          <cell r="K3306">
            <v>8434.69</v>
          </cell>
          <cell r="M3306" t="str">
            <v>STL-20260920</v>
          </cell>
        </row>
        <row r="3307">
          <cell r="K3307">
            <v>2490.15</v>
          </cell>
          <cell r="M3307" t="str">
            <v>STL-20260920</v>
          </cell>
        </row>
        <row r="3308">
          <cell r="K3308">
            <v>4082.5</v>
          </cell>
          <cell r="M3308" t="str">
            <v>STL-20260920</v>
          </cell>
        </row>
        <row r="3309">
          <cell r="K3309">
            <v>1472.46</v>
          </cell>
          <cell r="M3309" t="str">
            <v>STL-20260920</v>
          </cell>
        </row>
        <row r="3310">
          <cell r="K3310">
            <v>3432.94</v>
          </cell>
          <cell r="M3310" t="str">
            <v>STL-20260920</v>
          </cell>
        </row>
        <row r="3311">
          <cell r="K3311">
            <v>6773.94</v>
          </cell>
          <cell r="M3311" t="str">
            <v>STL-20260920</v>
          </cell>
        </row>
        <row r="3312">
          <cell r="K3312">
            <v>3683.91</v>
          </cell>
          <cell r="M3312" t="str">
            <v>STL-20260920</v>
          </cell>
        </row>
        <row r="3313">
          <cell r="K3313">
            <v>1348</v>
          </cell>
          <cell r="M3313" t="str">
            <v>STL-20260920</v>
          </cell>
        </row>
        <row r="3314">
          <cell r="K3314">
            <v>3234.75</v>
          </cell>
          <cell r="M3314" t="str">
            <v>STL-20260920</v>
          </cell>
        </row>
        <row r="3315">
          <cell r="K3315">
            <v>4580.7299999999996</v>
          </cell>
          <cell r="M3315" t="str">
            <v>STL-20260920</v>
          </cell>
        </row>
        <row r="3316">
          <cell r="K3316">
            <v>3784.56</v>
          </cell>
          <cell r="M3316" t="str">
            <v>STL-20260920</v>
          </cell>
        </row>
        <row r="3317">
          <cell r="K3317">
            <v>5420.14</v>
          </cell>
          <cell r="M3317" t="str">
            <v>STL-20260920</v>
          </cell>
        </row>
        <row r="3318">
          <cell r="K3318">
            <v>3486.61</v>
          </cell>
          <cell r="M3318" t="str">
            <v>STL-20260920</v>
          </cell>
        </row>
        <row r="3319">
          <cell r="K3319">
            <v>5577.19</v>
          </cell>
          <cell r="M3319" t="str">
            <v>STL-20260920</v>
          </cell>
        </row>
        <row r="3320">
          <cell r="K3320">
            <v>2588.81</v>
          </cell>
          <cell r="M3320" t="str">
            <v>STL-20260920</v>
          </cell>
        </row>
        <row r="3321">
          <cell r="K3321">
            <v>3486.61</v>
          </cell>
          <cell r="M3321" t="str">
            <v>STL-20260920</v>
          </cell>
        </row>
        <row r="3322">
          <cell r="K3322">
            <v>599</v>
          </cell>
          <cell r="M3322" t="str">
            <v>STL-20260920</v>
          </cell>
        </row>
        <row r="3323">
          <cell r="K3323">
            <v>11279.94</v>
          </cell>
          <cell r="M3323" t="str">
            <v>STL-20260920</v>
          </cell>
        </row>
        <row r="3324">
          <cell r="K3324">
            <v>7970.68</v>
          </cell>
          <cell r="M3324" t="str">
            <v>STL-20260920</v>
          </cell>
        </row>
        <row r="3325">
          <cell r="K3325">
            <v>2988.38</v>
          </cell>
          <cell r="M3325" t="str">
            <v>STL-20260920</v>
          </cell>
        </row>
        <row r="3326">
          <cell r="K3326">
            <v>488.4</v>
          </cell>
          <cell r="M3326" t="str">
            <v>STL-20260920</v>
          </cell>
        </row>
        <row r="3327">
          <cell r="K3327">
            <v>878.93</v>
          </cell>
          <cell r="M3327" t="str">
            <v>STL-20260920</v>
          </cell>
        </row>
        <row r="3328">
          <cell r="K3328">
            <v>2745.17</v>
          </cell>
          <cell r="M3328" t="str">
            <v>STL-20260920</v>
          </cell>
        </row>
        <row r="3329">
          <cell r="K3329">
            <v>6773.94</v>
          </cell>
          <cell r="M3329" t="str">
            <v>STL-20260920</v>
          </cell>
        </row>
        <row r="3330">
          <cell r="K3330">
            <v>5278.25</v>
          </cell>
          <cell r="M3330" t="str">
            <v>STL-20260920</v>
          </cell>
        </row>
        <row r="3331">
          <cell r="K3331">
            <v>7071.88</v>
          </cell>
          <cell r="M3331" t="str">
            <v>STL-20260920</v>
          </cell>
        </row>
        <row r="3332">
          <cell r="K3332">
            <v>3235.73</v>
          </cell>
          <cell r="M3332" t="str">
            <v>STL-20260920</v>
          </cell>
        </row>
        <row r="3333">
          <cell r="K3333">
            <v>976.6</v>
          </cell>
          <cell r="M3333" t="str">
            <v>STL-20260920</v>
          </cell>
        </row>
        <row r="3334">
          <cell r="K3334">
            <v>499</v>
          </cell>
          <cell r="M3334" t="str">
            <v>STL-20260920</v>
          </cell>
        </row>
        <row r="3335">
          <cell r="K3335">
            <v>1269.8800000000001</v>
          </cell>
          <cell r="M3335" t="str">
            <v>STL-20260920</v>
          </cell>
        </row>
        <row r="3336">
          <cell r="K3336">
            <v>2057.41</v>
          </cell>
          <cell r="M3336" t="str">
            <v>STL-20260920</v>
          </cell>
        </row>
        <row r="3337">
          <cell r="K3337">
            <v>2451.8200000000002</v>
          </cell>
          <cell r="M3337" t="str">
            <v>STL-20260920</v>
          </cell>
        </row>
        <row r="3338">
          <cell r="K3338">
            <v>3448.46</v>
          </cell>
          <cell r="M3338" t="str">
            <v>STL-20260920</v>
          </cell>
        </row>
        <row r="3339">
          <cell r="K3339">
            <v>599</v>
          </cell>
          <cell r="M3339" t="str">
            <v>STL-20260920</v>
          </cell>
        </row>
        <row r="3340">
          <cell r="K3340">
            <v>3584.27</v>
          </cell>
          <cell r="M3340" t="str">
            <v>STL-20260920</v>
          </cell>
        </row>
        <row r="3341">
          <cell r="K3341">
            <v>3231.84</v>
          </cell>
          <cell r="M3341" t="str">
            <v>STL-20260920</v>
          </cell>
        </row>
        <row r="3342">
          <cell r="K3342">
            <v>2490.15</v>
          </cell>
          <cell r="M3342" t="str">
            <v>STL-20260920</v>
          </cell>
        </row>
        <row r="3343">
          <cell r="K3343">
            <v>299</v>
          </cell>
          <cell r="M3343" t="str">
            <v>STL-20260920</v>
          </cell>
        </row>
        <row r="3344">
          <cell r="K3344">
            <v>599</v>
          </cell>
          <cell r="M3344" t="str">
            <v>STL-20260920</v>
          </cell>
        </row>
        <row r="3345">
          <cell r="K3345">
            <v>4015.79</v>
          </cell>
          <cell r="M3345" t="str">
            <v>STL-20260920</v>
          </cell>
        </row>
        <row r="3346">
          <cell r="K3346">
            <v>3983.85</v>
          </cell>
          <cell r="M3346" t="str">
            <v>STL-20260920</v>
          </cell>
        </row>
        <row r="3347">
          <cell r="K3347">
            <v>10959.07</v>
          </cell>
          <cell r="M3347" t="str">
            <v>STL-20260920</v>
          </cell>
        </row>
        <row r="3348">
          <cell r="K3348">
            <v>7847.98</v>
          </cell>
          <cell r="M3348" t="str">
            <v>STL-20260920</v>
          </cell>
        </row>
        <row r="3349">
          <cell r="K3349">
            <v>4580.7299999999996</v>
          </cell>
          <cell r="M3349" t="str">
            <v>STL-20260920</v>
          </cell>
        </row>
        <row r="3350">
          <cell r="K3350">
            <v>499</v>
          </cell>
          <cell r="M3350" t="str">
            <v>STL-20260920</v>
          </cell>
        </row>
        <row r="3351">
          <cell r="K3351">
            <v>4897.74</v>
          </cell>
          <cell r="M3351" t="str">
            <v>STL-20260920</v>
          </cell>
        </row>
        <row r="3352">
          <cell r="K3352">
            <v>5976.77</v>
          </cell>
          <cell r="M3352" t="str">
            <v>STL-20260920</v>
          </cell>
        </row>
        <row r="3353">
          <cell r="K3353">
            <v>2914.06</v>
          </cell>
          <cell r="M3353" t="str">
            <v>STL-20260920</v>
          </cell>
        </row>
        <row r="3354">
          <cell r="K3354">
            <v>3690.44</v>
          </cell>
          <cell r="M3354" t="str">
            <v>STL-20260920</v>
          </cell>
        </row>
        <row r="3355">
          <cell r="K3355">
            <v>2988.38</v>
          </cell>
          <cell r="M3355" t="str">
            <v>STL-20260920</v>
          </cell>
        </row>
        <row r="3356">
          <cell r="K3356">
            <v>9121.4699999999993</v>
          </cell>
          <cell r="M3356" t="str">
            <v>STL-20260920</v>
          </cell>
        </row>
        <row r="3357">
          <cell r="K3357">
            <v>8190.39</v>
          </cell>
          <cell r="M3357" t="str">
            <v>STL-20260920</v>
          </cell>
        </row>
        <row r="3358">
          <cell r="K3358">
            <v>11456.3</v>
          </cell>
          <cell r="M3358" t="str">
            <v>STL-20260920</v>
          </cell>
        </row>
        <row r="3359">
          <cell r="K3359">
            <v>2490.15</v>
          </cell>
          <cell r="M3359" t="str">
            <v>STL-20260920</v>
          </cell>
        </row>
        <row r="3360">
          <cell r="K3360">
            <v>3486.61</v>
          </cell>
          <cell r="M3360" t="str">
            <v>STL-20260920</v>
          </cell>
        </row>
        <row r="3361">
          <cell r="K3361">
            <v>4904.62</v>
          </cell>
          <cell r="M3361" t="str">
            <v>STL-20260920</v>
          </cell>
        </row>
        <row r="3362">
          <cell r="K3362">
            <v>4580.7299999999996</v>
          </cell>
          <cell r="M3362" t="str">
            <v>STL-20260920</v>
          </cell>
        </row>
        <row r="3363">
          <cell r="K3363">
            <v>1798</v>
          </cell>
          <cell r="M3363" t="str">
            <v>STL-20260920</v>
          </cell>
        </row>
        <row r="3364">
          <cell r="K3364">
            <v>1798</v>
          </cell>
          <cell r="M3364" t="str">
            <v>STL-20260920</v>
          </cell>
        </row>
        <row r="3365">
          <cell r="K3365">
            <v>13340.29</v>
          </cell>
          <cell r="M3365" t="str">
            <v>STL-20260920</v>
          </cell>
        </row>
        <row r="3366">
          <cell r="K3366">
            <v>1299</v>
          </cell>
          <cell r="M3366" t="str">
            <v>STL-20260920</v>
          </cell>
        </row>
        <row r="3367">
          <cell r="K3367">
            <v>6660.65</v>
          </cell>
          <cell r="M3367" t="str">
            <v>STL-20260920</v>
          </cell>
        </row>
        <row r="3368">
          <cell r="K3368">
            <v>2988.38</v>
          </cell>
          <cell r="M3368" t="str">
            <v>STL-20260920</v>
          </cell>
        </row>
        <row r="3369">
          <cell r="K3369">
            <v>7970.68</v>
          </cell>
          <cell r="M3369" t="str">
            <v>STL-20260920</v>
          </cell>
        </row>
        <row r="3370">
          <cell r="K3370">
            <v>2788.1</v>
          </cell>
          <cell r="M3370" t="str">
            <v>STL-20260920</v>
          </cell>
        </row>
        <row r="3371">
          <cell r="K3371">
            <v>877.87</v>
          </cell>
          <cell r="M3371" t="str">
            <v>STL-20260920</v>
          </cell>
        </row>
        <row r="3372">
          <cell r="K3372">
            <v>1078.57</v>
          </cell>
          <cell r="M3372" t="str">
            <v>STL-20260920</v>
          </cell>
        </row>
        <row r="3373">
          <cell r="K3373">
            <v>4904.62</v>
          </cell>
          <cell r="M3373" t="str">
            <v>STL-20260920</v>
          </cell>
        </row>
        <row r="3374">
          <cell r="K3374">
            <v>1299</v>
          </cell>
          <cell r="M3374" t="str">
            <v>STL-20260920</v>
          </cell>
        </row>
        <row r="3375">
          <cell r="K3375">
            <v>4903.6400000000003</v>
          </cell>
          <cell r="M3375" t="str">
            <v>STL-20260920</v>
          </cell>
        </row>
        <row r="3376">
          <cell r="K3376">
            <v>4707.41</v>
          </cell>
          <cell r="M3376" t="str">
            <v>STL-20260920</v>
          </cell>
        </row>
        <row r="3377">
          <cell r="K3377">
            <v>682.35</v>
          </cell>
          <cell r="M3377" t="str">
            <v>STL-20260920</v>
          </cell>
        </row>
        <row r="3378">
          <cell r="K3378">
            <v>342.82</v>
          </cell>
          <cell r="M3378" t="str">
            <v>STL-20260920</v>
          </cell>
        </row>
        <row r="3379">
          <cell r="K3379">
            <v>4482.08</v>
          </cell>
          <cell r="M3379" t="str">
            <v>STL-20260920</v>
          </cell>
        </row>
        <row r="3380">
          <cell r="K3380">
            <v>3783.56</v>
          </cell>
          <cell r="M3380" t="str">
            <v>STL-20260920</v>
          </cell>
        </row>
        <row r="3381">
          <cell r="K3381">
            <v>1998</v>
          </cell>
          <cell r="M3381" t="str">
            <v>STL-20260920</v>
          </cell>
        </row>
        <row r="3382">
          <cell r="K3382">
            <v>648</v>
          </cell>
          <cell r="M3382" t="str">
            <v>STL-20260920</v>
          </cell>
        </row>
        <row r="3383">
          <cell r="K3383">
            <v>5197.97</v>
          </cell>
          <cell r="M3383" t="str">
            <v>STL-20260920</v>
          </cell>
        </row>
        <row r="3384">
          <cell r="K3384">
            <v>1299</v>
          </cell>
          <cell r="M3384" t="str">
            <v>STL-20260920</v>
          </cell>
        </row>
        <row r="3385">
          <cell r="K3385">
            <v>3087.59</v>
          </cell>
          <cell r="M3385" t="str">
            <v>STL-20260920</v>
          </cell>
        </row>
        <row r="3386">
          <cell r="K3386">
            <v>3449.45</v>
          </cell>
          <cell r="M3386" t="str">
            <v>STL-20260920</v>
          </cell>
        </row>
        <row r="3387">
          <cell r="K3387">
            <v>2490.15</v>
          </cell>
          <cell r="M3387" t="str">
            <v>STL-20260920</v>
          </cell>
        </row>
        <row r="3388">
          <cell r="K3388">
            <v>599</v>
          </cell>
          <cell r="M3388" t="str">
            <v>STL-20260920</v>
          </cell>
        </row>
        <row r="3389">
          <cell r="K3389">
            <v>6822.76</v>
          </cell>
          <cell r="M3389" t="str">
            <v>STL-20260920</v>
          </cell>
        </row>
        <row r="3390">
          <cell r="K3390">
            <v>2490.15</v>
          </cell>
          <cell r="M3390" t="str">
            <v>STL-20260920</v>
          </cell>
        </row>
        <row r="3391">
          <cell r="K3391">
            <v>3485.62</v>
          </cell>
          <cell r="M3391" t="str">
            <v>STL-20260920</v>
          </cell>
        </row>
        <row r="3392">
          <cell r="K3392">
            <v>4904.62</v>
          </cell>
          <cell r="M3392" t="str">
            <v>STL-20260920</v>
          </cell>
        </row>
        <row r="3393">
          <cell r="K3393">
            <v>4407.7700000000004</v>
          </cell>
          <cell r="M3393" t="str">
            <v>STL-20260920</v>
          </cell>
        </row>
        <row r="3394">
          <cell r="K3394">
            <v>2349.89</v>
          </cell>
          <cell r="M3394" t="str">
            <v>STL-20260920</v>
          </cell>
        </row>
        <row r="3395">
          <cell r="K3395">
            <v>2490.15</v>
          </cell>
          <cell r="M3395" t="str">
            <v>STL-20260920</v>
          </cell>
        </row>
        <row r="3396">
          <cell r="K3396">
            <v>4904.62</v>
          </cell>
          <cell r="M3396" t="str">
            <v>STL-20260920</v>
          </cell>
        </row>
        <row r="3397">
          <cell r="K3397">
            <v>3431.96</v>
          </cell>
          <cell r="M3397" t="str">
            <v>STL-20260920</v>
          </cell>
        </row>
        <row r="3398">
          <cell r="K3398">
            <v>2942.38</v>
          </cell>
          <cell r="M3398" t="str">
            <v>STL-20260920</v>
          </cell>
        </row>
        <row r="3399">
          <cell r="K3399">
            <v>3983.85</v>
          </cell>
          <cell r="M3399" t="str">
            <v>STL-20260920</v>
          </cell>
        </row>
        <row r="3400">
          <cell r="K3400">
            <v>2388.52</v>
          </cell>
          <cell r="M3400" t="str">
            <v>STL-20260920</v>
          </cell>
        </row>
        <row r="3401">
          <cell r="K3401">
            <v>2463.61</v>
          </cell>
          <cell r="M3401" t="str">
            <v>STL-20260920</v>
          </cell>
        </row>
        <row r="3402">
          <cell r="K3402">
            <v>4904.62</v>
          </cell>
          <cell r="M3402" t="str">
            <v>STL-20260920</v>
          </cell>
        </row>
        <row r="3403">
          <cell r="K3403">
            <v>6075.42</v>
          </cell>
          <cell r="M3403" t="str">
            <v>STL-20260920</v>
          </cell>
        </row>
        <row r="3404">
          <cell r="K3404">
            <v>-1499</v>
          </cell>
          <cell r="M3404" t="str">
            <v>STL-20260920</v>
          </cell>
        </row>
        <row r="3405">
          <cell r="K3405">
            <v>-6298</v>
          </cell>
          <cell r="M3405" t="str">
            <v>STL-20260920</v>
          </cell>
        </row>
        <row r="3406">
          <cell r="K3406">
            <v>-2499</v>
          </cell>
          <cell r="M3406" t="str">
            <v>STL-20260920</v>
          </cell>
        </row>
        <row r="3407">
          <cell r="K3407">
            <v>-3499</v>
          </cell>
          <cell r="M3407" t="str">
            <v>STL-20260920</v>
          </cell>
        </row>
        <row r="3408">
          <cell r="K3408">
            <v>-2098</v>
          </cell>
          <cell r="M3408" t="str">
            <v>STL-20260920</v>
          </cell>
        </row>
        <row r="3409">
          <cell r="K3409">
            <v>-15997</v>
          </cell>
          <cell r="M3409" t="str">
            <v>STL-20260920</v>
          </cell>
        </row>
        <row r="3410">
          <cell r="K3410">
            <v>-11797</v>
          </cell>
          <cell r="M3410" t="str">
            <v>STL-20260920</v>
          </cell>
        </row>
        <row r="3411">
          <cell r="K3411">
            <v>-3897</v>
          </cell>
          <cell r="M3411" t="str">
            <v>STL-20260920</v>
          </cell>
        </row>
        <row r="3412">
          <cell r="K3412">
            <v>-2298</v>
          </cell>
          <cell r="M3412" t="str">
            <v>STL-20260920</v>
          </cell>
        </row>
        <row r="3413">
          <cell r="K3413">
            <v>1798</v>
          </cell>
          <cell r="M3413" t="str">
            <v>STL-20260921</v>
          </cell>
        </row>
        <row r="3414">
          <cell r="K3414">
            <v>1759.82</v>
          </cell>
          <cell r="M3414" t="str">
            <v>STL-20260921</v>
          </cell>
        </row>
        <row r="3415">
          <cell r="K3415">
            <v>585.57000000000005</v>
          </cell>
          <cell r="M3415" t="str">
            <v>STL-20260921</v>
          </cell>
        </row>
        <row r="3416">
          <cell r="K3416">
            <v>1799</v>
          </cell>
          <cell r="M3416" t="str">
            <v>STL-20260921</v>
          </cell>
        </row>
        <row r="3417">
          <cell r="K3417">
            <v>3486.61</v>
          </cell>
          <cell r="M3417" t="str">
            <v>STL-20260921</v>
          </cell>
        </row>
        <row r="3418">
          <cell r="K3418">
            <v>1269.8800000000001</v>
          </cell>
          <cell r="M3418" t="str">
            <v>STL-20260921</v>
          </cell>
        </row>
        <row r="3419">
          <cell r="K3419">
            <v>3529.09</v>
          </cell>
          <cell r="M3419" t="str">
            <v>STL-20260921</v>
          </cell>
        </row>
        <row r="3420">
          <cell r="K3420">
            <v>292.64999999999998</v>
          </cell>
          <cell r="M3420" t="str">
            <v>STL-20260921</v>
          </cell>
        </row>
        <row r="3421">
          <cell r="K3421">
            <v>3087.04</v>
          </cell>
          <cell r="M3421" t="str">
            <v>STL-20260921</v>
          </cell>
        </row>
        <row r="3422">
          <cell r="K3422">
            <v>2988.38</v>
          </cell>
          <cell r="M3422" t="str">
            <v>STL-20260921</v>
          </cell>
        </row>
        <row r="3423">
          <cell r="K3423">
            <v>1798</v>
          </cell>
          <cell r="M3423" t="str">
            <v>STL-20260921</v>
          </cell>
        </row>
        <row r="3424">
          <cell r="K3424">
            <v>7838.54</v>
          </cell>
          <cell r="M3424" t="str">
            <v>STL-20260921</v>
          </cell>
        </row>
        <row r="3425">
          <cell r="K3425">
            <v>5078.96</v>
          </cell>
          <cell r="M3425" t="str">
            <v>STL-20260921</v>
          </cell>
        </row>
        <row r="3426">
          <cell r="K3426">
            <v>299</v>
          </cell>
          <cell r="M3426" t="str">
            <v>STL-20260921</v>
          </cell>
        </row>
        <row r="3427">
          <cell r="K3427">
            <v>341.18</v>
          </cell>
          <cell r="M3427" t="str">
            <v>STL-20260921</v>
          </cell>
        </row>
        <row r="3428">
          <cell r="K3428">
            <v>8966.15</v>
          </cell>
          <cell r="M3428" t="str">
            <v>STL-20260921</v>
          </cell>
        </row>
        <row r="3429">
          <cell r="K3429">
            <v>5617.31</v>
          </cell>
          <cell r="M3429" t="str">
            <v>STL-20260921</v>
          </cell>
        </row>
        <row r="3430">
          <cell r="K3430">
            <v>4981.3</v>
          </cell>
          <cell r="M3430" t="str">
            <v>STL-20260921</v>
          </cell>
        </row>
        <row r="3431">
          <cell r="K3431">
            <v>9859.6299999999992</v>
          </cell>
          <cell r="M3431" t="str">
            <v>STL-20260921</v>
          </cell>
        </row>
        <row r="3432">
          <cell r="K3432">
            <v>2988.38</v>
          </cell>
          <cell r="M3432" t="str">
            <v>STL-20260921</v>
          </cell>
        </row>
        <row r="3433">
          <cell r="K3433">
            <v>998</v>
          </cell>
          <cell r="M3433" t="str">
            <v>STL-20260921</v>
          </cell>
        </row>
        <row r="3434">
          <cell r="K3434">
            <v>7271.17</v>
          </cell>
          <cell r="M3434" t="str">
            <v>STL-20260921</v>
          </cell>
        </row>
        <row r="3435">
          <cell r="K3435">
            <v>1955.57</v>
          </cell>
          <cell r="M3435" t="str">
            <v>STL-20260921</v>
          </cell>
        </row>
        <row r="3436">
          <cell r="K3436">
            <v>981.31</v>
          </cell>
          <cell r="M3436" t="str">
            <v>STL-20260921</v>
          </cell>
        </row>
        <row r="3437">
          <cell r="K3437">
            <v>7355.46</v>
          </cell>
          <cell r="M3437" t="str">
            <v>STL-20260921</v>
          </cell>
        </row>
        <row r="3438">
          <cell r="K3438">
            <v>3922.52</v>
          </cell>
          <cell r="M3438" t="str">
            <v>STL-20260921</v>
          </cell>
        </row>
        <row r="3439">
          <cell r="K3439">
            <v>7847.98</v>
          </cell>
          <cell r="M3439" t="str">
            <v>STL-20260921</v>
          </cell>
        </row>
        <row r="3440">
          <cell r="K3440">
            <v>3384.98</v>
          </cell>
          <cell r="M3440" t="str">
            <v>STL-20260921</v>
          </cell>
        </row>
        <row r="3441">
          <cell r="K3441">
            <v>8965.15</v>
          </cell>
          <cell r="M3441" t="str">
            <v>STL-20260921</v>
          </cell>
        </row>
        <row r="3442">
          <cell r="K3442">
            <v>1198</v>
          </cell>
          <cell r="M3442" t="str">
            <v>STL-20260921</v>
          </cell>
        </row>
        <row r="3443">
          <cell r="K3443">
            <v>4482.08</v>
          </cell>
          <cell r="M3443" t="str">
            <v>STL-20260921</v>
          </cell>
        </row>
        <row r="3444">
          <cell r="K3444">
            <v>1760.79</v>
          </cell>
          <cell r="M3444" t="str">
            <v>STL-20260921</v>
          </cell>
        </row>
        <row r="3445">
          <cell r="K3445">
            <v>999</v>
          </cell>
          <cell r="M3445" t="str">
            <v>STL-20260921</v>
          </cell>
        </row>
        <row r="3446">
          <cell r="K3446">
            <v>4904.62</v>
          </cell>
          <cell r="M3446" t="str">
            <v>STL-20260921</v>
          </cell>
        </row>
        <row r="3447">
          <cell r="K3447">
            <v>1499</v>
          </cell>
          <cell r="M3447" t="str">
            <v>STL-20260921</v>
          </cell>
        </row>
        <row r="3448">
          <cell r="K3448">
            <v>7970.68</v>
          </cell>
          <cell r="M3448" t="str">
            <v>STL-20260921</v>
          </cell>
        </row>
        <row r="3449">
          <cell r="K3449">
            <v>1499</v>
          </cell>
          <cell r="M3449" t="str">
            <v>STL-20260921</v>
          </cell>
        </row>
        <row r="3450">
          <cell r="K3450">
            <v>999</v>
          </cell>
          <cell r="M3450" t="str">
            <v>STL-20260921</v>
          </cell>
        </row>
        <row r="3451">
          <cell r="K3451">
            <v>6178.11</v>
          </cell>
          <cell r="M3451" t="str">
            <v>STL-20260921</v>
          </cell>
        </row>
        <row r="3452">
          <cell r="K3452">
            <v>999</v>
          </cell>
          <cell r="M3452" t="str">
            <v>STL-20260921</v>
          </cell>
        </row>
        <row r="3453">
          <cell r="K3453">
            <v>784.85</v>
          </cell>
          <cell r="M3453" t="str">
            <v>STL-20260921</v>
          </cell>
        </row>
        <row r="3454">
          <cell r="K3454">
            <v>4482.08</v>
          </cell>
          <cell r="M3454" t="str">
            <v>STL-20260921</v>
          </cell>
        </row>
        <row r="3455">
          <cell r="K3455">
            <v>9362.5300000000007</v>
          </cell>
          <cell r="M3455" t="str">
            <v>STL-20260921</v>
          </cell>
        </row>
        <row r="3456">
          <cell r="K3456">
            <v>5043.75</v>
          </cell>
          <cell r="M3456" t="str">
            <v>STL-20260921</v>
          </cell>
        </row>
        <row r="3457">
          <cell r="K3457">
            <v>3284.79</v>
          </cell>
          <cell r="M3457" t="str">
            <v>STL-20260921</v>
          </cell>
        </row>
        <row r="3458">
          <cell r="K3458">
            <v>1848</v>
          </cell>
          <cell r="M3458" t="str">
            <v>STL-20260921</v>
          </cell>
        </row>
        <row r="3459">
          <cell r="K3459">
            <v>341.59</v>
          </cell>
          <cell r="M3459" t="str">
            <v>STL-20260921</v>
          </cell>
        </row>
        <row r="3460">
          <cell r="K3460">
            <v>2490.15</v>
          </cell>
          <cell r="M3460" t="str">
            <v>STL-20260921</v>
          </cell>
        </row>
        <row r="3461">
          <cell r="K3461">
            <v>341.59</v>
          </cell>
          <cell r="M3461" t="str">
            <v>STL-20260921</v>
          </cell>
        </row>
        <row r="3462">
          <cell r="K3462">
            <v>799</v>
          </cell>
          <cell r="M3462" t="str">
            <v>STL-20260921</v>
          </cell>
        </row>
        <row r="3463">
          <cell r="K3463">
            <v>3983.85</v>
          </cell>
          <cell r="M3463" t="str">
            <v>STL-20260921</v>
          </cell>
        </row>
        <row r="3464">
          <cell r="K3464">
            <v>9165.36</v>
          </cell>
          <cell r="M3464" t="str">
            <v>STL-20260921</v>
          </cell>
        </row>
        <row r="3465">
          <cell r="K3465">
            <v>1499</v>
          </cell>
          <cell r="M3465" t="str">
            <v>STL-20260921</v>
          </cell>
        </row>
        <row r="3466">
          <cell r="K3466">
            <v>1564.06</v>
          </cell>
          <cell r="M3466" t="str">
            <v>STL-20260921</v>
          </cell>
        </row>
        <row r="3467">
          <cell r="K3467">
            <v>799</v>
          </cell>
          <cell r="M3467" t="str">
            <v>STL-20260921</v>
          </cell>
        </row>
        <row r="3468">
          <cell r="K3468">
            <v>3983.85</v>
          </cell>
          <cell r="M3468" t="str">
            <v>STL-20260921</v>
          </cell>
        </row>
        <row r="3469">
          <cell r="K3469">
            <v>2988.38</v>
          </cell>
          <cell r="M3469" t="str">
            <v>STL-20260921</v>
          </cell>
        </row>
        <row r="3470">
          <cell r="K3470">
            <v>9762.32</v>
          </cell>
          <cell r="M3470" t="str">
            <v>STL-20260921</v>
          </cell>
        </row>
        <row r="3471">
          <cell r="K3471">
            <v>5478.54</v>
          </cell>
          <cell r="M3471" t="str">
            <v>STL-20260921</v>
          </cell>
        </row>
        <row r="3472">
          <cell r="K3472">
            <v>5884.76</v>
          </cell>
          <cell r="M3472" t="str">
            <v>STL-20260921</v>
          </cell>
        </row>
        <row r="3473">
          <cell r="K3473">
            <v>1299</v>
          </cell>
          <cell r="M3473" t="str">
            <v>STL-20260921</v>
          </cell>
        </row>
        <row r="3474">
          <cell r="K3474">
            <v>4781.0200000000004</v>
          </cell>
          <cell r="M3474" t="str">
            <v>STL-20260921</v>
          </cell>
        </row>
        <row r="3475">
          <cell r="K3475">
            <v>648</v>
          </cell>
          <cell r="M3475" t="str">
            <v>STL-20260921</v>
          </cell>
        </row>
        <row r="3476">
          <cell r="K3476">
            <v>1564.06</v>
          </cell>
          <cell r="M3476" t="str">
            <v>STL-20260921</v>
          </cell>
        </row>
        <row r="3477">
          <cell r="K3477">
            <v>999</v>
          </cell>
          <cell r="M3477" t="str">
            <v>STL-20260921</v>
          </cell>
        </row>
        <row r="3478">
          <cell r="K3478">
            <v>2988.38</v>
          </cell>
          <cell r="M3478" t="str">
            <v>STL-20260921</v>
          </cell>
        </row>
        <row r="3479">
          <cell r="K3479">
            <v>1898</v>
          </cell>
          <cell r="M3479" t="str">
            <v>STL-20260921</v>
          </cell>
        </row>
        <row r="3480">
          <cell r="K3480">
            <v>1472.46</v>
          </cell>
          <cell r="M3480" t="str">
            <v>STL-20260921</v>
          </cell>
        </row>
        <row r="3481">
          <cell r="K3481">
            <v>633.47</v>
          </cell>
          <cell r="M3481" t="str">
            <v>STL-20260921</v>
          </cell>
        </row>
        <row r="3482">
          <cell r="K3482">
            <v>4706.43</v>
          </cell>
          <cell r="M3482" t="str">
            <v>STL-20260921</v>
          </cell>
        </row>
        <row r="3483">
          <cell r="K3483">
            <v>3432.94</v>
          </cell>
          <cell r="M3483" t="str">
            <v>STL-20260921</v>
          </cell>
        </row>
        <row r="3484">
          <cell r="K3484">
            <v>599</v>
          </cell>
          <cell r="M3484" t="str">
            <v>STL-20260921</v>
          </cell>
        </row>
        <row r="3485">
          <cell r="K3485">
            <v>1298</v>
          </cell>
          <cell r="M3485" t="str">
            <v>STL-20260921</v>
          </cell>
        </row>
        <row r="3486">
          <cell r="K3486">
            <v>2450.84</v>
          </cell>
          <cell r="M3486" t="str">
            <v>STL-20260921</v>
          </cell>
        </row>
        <row r="3487">
          <cell r="K3487">
            <v>3432.94</v>
          </cell>
          <cell r="M3487" t="str">
            <v>STL-20260921</v>
          </cell>
        </row>
        <row r="3488">
          <cell r="K3488">
            <v>5394.2</v>
          </cell>
          <cell r="M3488" t="str">
            <v>STL-20260921</v>
          </cell>
        </row>
        <row r="3489">
          <cell r="K3489">
            <v>7071.88</v>
          </cell>
          <cell r="M3489" t="str">
            <v>STL-20260921</v>
          </cell>
        </row>
        <row r="3490">
          <cell r="K3490">
            <v>293.7</v>
          </cell>
          <cell r="M3490" t="str">
            <v>STL-20260921</v>
          </cell>
        </row>
        <row r="3491">
          <cell r="K3491">
            <v>2289.87</v>
          </cell>
          <cell r="M3491" t="str">
            <v>STL-20260921</v>
          </cell>
        </row>
        <row r="3492">
          <cell r="K3492">
            <v>599</v>
          </cell>
          <cell r="M3492" t="str">
            <v>STL-20260921</v>
          </cell>
        </row>
        <row r="3493">
          <cell r="K3493">
            <v>2988.38</v>
          </cell>
          <cell r="M3493" t="str">
            <v>STL-20260921</v>
          </cell>
        </row>
        <row r="3494">
          <cell r="K3494">
            <v>12951.99</v>
          </cell>
          <cell r="M3494" t="str">
            <v>STL-20260921</v>
          </cell>
        </row>
        <row r="3495">
          <cell r="K3495">
            <v>1598</v>
          </cell>
          <cell r="M3495" t="str">
            <v>STL-20260921</v>
          </cell>
        </row>
        <row r="3496">
          <cell r="K3496">
            <v>1799</v>
          </cell>
          <cell r="M3496" t="str">
            <v>STL-20260921</v>
          </cell>
        </row>
        <row r="3497">
          <cell r="K3497">
            <v>3432.94</v>
          </cell>
          <cell r="M3497" t="str">
            <v>STL-20260921</v>
          </cell>
        </row>
        <row r="3498">
          <cell r="K3498">
            <v>976.6</v>
          </cell>
          <cell r="M3498" t="str">
            <v>STL-20260921</v>
          </cell>
        </row>
        <row r="3499">
          <cell r="K3499">
            <v>4981.3</v>
          </cell>
          <cell r="M3499" t="str">
            <v>STL-20260921</v>
          </cell>
        </row>
        <row r="3500">
          <cell r="K3500">
            <v>3833.38</v>
          </cell>
          <cell r="M3500" t="str">
            <v>STL-20260921</v>
          </cell>
        </row>
        <row r="3501">
          <cell r="K3501">
            <v>1808.75</v>
          </cell>
          <cell r="M3501" t="str">
            <v>STL-20260921</v>
          </cell>
        </row>
        <row r="3502">
          <cell r="K3502">
            <v>976.6</v>
          </cell>
          <cell r="M3502" t="str">
            <v>STL-20260921</v>
          </cell>
        </row>
        <row r="3503">
          <cell r="K3503">
            <v>599</v>
          </cell>
          <cell r="M3503" t="str">
            <v>STL-20260921</v>
          </cell>
        </row>
        <row r="3504">
          <cell r="K3504">
            <v>999</v>
          </cell>
          <cell r="M3504" t="str">
            <v>STL-20260921</v>
          </cell>
        </row>
        <row r="3505">
          <cell r="K3505">
            <v>1798</v>
          </cell>
          <cell r="M3505" t="str">
            <v>STL-20260921</v>
          </cell>
        </row>
        <row r="3506">
          <cell r="K3506">
            <v>1598</v>
          </cell>
          <cell r="M3506" t="str">
            <v>STL-20260921</v>
          </cell>
        </row>
        <row r="3507">
          <cell r="K3507">
            <v>15941.37</v>
          </cell>
          <cell r="M3507" t="str">
            <v>STL-20260921</v>
          </cell>
        </row>
        <row r="3508">
          <cell r="K3508">
            <v>8630.91</v>
          </cell>
          <cell r="M3508" t="str">
            <v>STL-20260921</v>
          </cell>
        </row>
        <row r="3509">
          <cell r="K3509">
            <v>781.09</v>
          </cell>
          <cell r="M3509" t="str">
            <v>STL-20260921</v>
          </cell>
        </row>
        <row r="3510">
          <cell r="K3510">
            <v>6275.71</v>
          </cell>
          <cell r="M3510" t="str">
            <v>STL-20260921</v>
          </cell>
        </row>
        <row r="3511">
          <cell r="K3511">
            <v>2687.45</v>
          </cell>
          <cell r="M3511" t="str">
            <v>STL-20260921</v>
          </cell>
        </row>
        <row r="3512">
          <cell r="K3512">
            <v>2090.58</v>
          </cell>
          <cell r="M3512" t="str">
            <v>STL-20260921</v>
          </cell>
        </row>
        <row r="3513">
          <cell r="K3513">
            <v>7159.23</v>
          </cell>
          <cell r="M3513" t="str">
            <v>STL-20260921</v>
          </cell>
        </row>
        <row r="3514">
          <cell r="K3514">
            <v>3087.04</v>
          </cell>
          <cell r="M3514" t="str">
            <v>STL-20260921</v>
          </cell>
        </row>
        <row r="3515">
          <cell r="K3515">
            <v>1298</v>
          </cell>
          <cell r="M3515" t="str">
            <v>STL-20260921</v>
          </cell>
        </row>
        <row r="3516">
          <cell r="K3516">
            <v>2988.38</v>
          </cell>
          <cell r="M3516" t="str">
            <v>STL-20260921</v>
          </cell>
        </row>
        <row r="3517">
          <cell r="K3517">
            <v>2788.1</v>
          </cell>
          <cell r="M3517" t="str">
            <v>STL-20260921</v>
          </cell>
        </row>
        <row r="3518">
          <cell r="K3518">
            <v>4981.3</v>
          </cell>
          <cell r="M3518" t="str">
            <v>STL-20260921</v>
          </cell>
        </row>
        <row r="3519">
          <cell r="K3519">
            <v>7471.46</v>
          </cell>
          <cell r="M3519" t="str">
            <v>STL-20260921</v>
          </cell>
        </row>
        <row r="3520">
          <cell r="K3520">
            <v>487.81</v>
          </cell>
          <cell r="M3520" t="str">
            <v>STL-20260921</v>
          </cell>
        </row>
        <row r="3521">
          <cell r="K3521">
            <v>6772.94</v>
          </cell>
          <cell r="M3521" t="str">
            <v>STL-20260921</v>
          </cell>
        </row>
        <row r="3522">
          <cell r="K3522">
            <v>799</v>
          </cell>
          <cell r="M3522" t="str">
            <v>STL-20260921</v>
          </cell>
        </row>
        <row r="3523">
          <cell r="K3523">
            <v>1472.46</v>
          </cell>
          <cell r="M3523" t="str">
            <v>STL-20260921</v>
          </cell>
        </row>
        <row r="3524">
          <cell r="K3524">
            <v>698</v>
          </cell>
          <cell r="M3524" t="str">
            <v>STL-20260921</v>
          </cell>
        </row>
        <row r="3525">
          <cell r="K3525">
            <v>1271.4100000000001</v>
          </cell>
          <cell r="M3525" t="str">
            <v>STL-20260921</v>
          </cell>
        </row>
        <row r="3526">
          <cell r="K3526">
            <v>7969.69</v>
          </cell>
          <cell r="M3526" t="str">
            <v>STL-20260921</v>
          </cell>
        </row>
        <row r="3527">
          <cell r="K3527">
            <v>1367.32</v>
          </cell>
          <cell r="M3527" t="str">
            <v>STL-20260921</v>
          </cell>
        </row>
        <row r="3528">
          <cell r="K3528">
            <v>292.3</v>
          </cell>
          <cell r="M3528" t="str">
            <v>STL-20260921</v>
          </cell>
        </row>
        <row r="3529">
          <cell r="K3529">
            <v>2388.52</v>
          </cell>
          <cell r="M3529" t="str">
            <v>STL-20260921</v>
          </cell>
        </row>
        <row r="3530">
          <cell r="K3530">
            <v>2448.87</v>
          </cell>
          <cell r="M3530" t="str">
            <v>STL-20260921</v>
          </cell>
        </row>
        <row r="3531">
          <cell r="K3531">
            <v>1465.39</v>
          </cell>
          <cell r="M3531" t="str">
            <v>STL-20260921</v>
          </cell>
        </row>
        <row r="3532">
          <cell r="K3532">
            <v>2987.39</v>
          </cell>
          <cell r="M3532" t="str">
            <v>STL-20260921</v>
          </cell>
        </row>
        <row r="3533">
          <cell r="K3533">
            <v>799</v>
          </cell>
          <cell r="M3533" t="str">
            <v>STL-20260921</v>
          </cell>
        </row>
        <row r="3534">
          <cell r="K3534">
            <v>798</v>
          </cell>
          <cell r="M3534" t="str">
            <v>STL-20260921</v>
          </cell>
        </row>
        <row r="3535">
          <cell r="K3535">
            <v>799</v>
          </cell>
          <cell r="M3535" t="str">
            <v>STL-20260921</v>
          </cell>
        </row>
        <row r="3536">
          <cell r="K3536">
            <v>1269.8800000000001</v>
          </cell>
          <cell r="M3536" t="str">
            <v>STL-20260921</v>
          </cell>
        </row>
        <row r="3537">
          <cell r="K3537">
            <v>2941.4</v>
          </cell>
          <cell r="M3537" t="str">
            <v>STL-20260921</v>
          </cell>
        </row>
        <row r="3538">
          <cell r="K3538">
            <v>341.59</v>
          </cell>
          <cell r="M3538" t="str">
            <v>STL-20260921</v>
          </cell>
        </row>
        <row r="3539">
          <cell r="K3539">
            <v>1299</v>
          </cell>
          <cell r="M3539" t="str">
            <v>STL-20260921</v>
          </cell>
        </row>
        <row r="3540">
          <cell r="K3540">
            <v>3034.87</v>
          </cell>
          <cell r="M3540" t="str">
            <v>STL-20260921</v>
          </cell>
        </row>
        <row r="3541">
          <cell r="K3541">
            <v>1098</v>
          </cell>
          <cell r="M3541" t="str">
            <v>STL-20260921</v>
          </cell>
        </row>
        <row r="3542">
          <cell r="K3542">
            <v>1268.9000000000001</v>
          </cell>
          <cell r="M3542" t="str">
            <v>STL-20260921</v>
          </cell>
        </row>
        <row r="3543">
          <cell r="K3543">
            <v>1759.82</v>
          </cell>
          <cell r="M3543" t="str">
            <v>STL-20260921</v>
          </cell>
        </row>
        <row r="3544">
          <cell r="K3544">
            <v>10958.07</v>
          </cell>
          <cell r="M3544" t="str">
            <v>STL-20260921</v>
          </cell>
        </row>
        <row r="3545">
          <cell r="K3545">
            <v>1799</v>
          </cell>
          <cell r="M3545" t="str">
            <v>STL-20260921</v>
          </cell>
        </row>
        <row r="3546">
          <cell r="K3546">
            <v>5491.33</v>
          </cell>
          <cell r="M3546" t="str">
            <v>STL-20260921</v>
          </cell>
        </row>
        <row r="3547">
          <cell r="K3547">
            <v>5976.77</v>
          </cell>
          <cell r="M3547" t="str">
            <v>STL-20260921</v>
          </cell>
        </row>
        <row r="3548">
          <cell r="K3548">
            <v>499</v>
          </cell>
          <cell r="M3548" t="str">
            <v>STL-20260921</v>
          </cell>
        </row>
        <row r="3549">
          <cell r="K3549">
            <v>981.31</v>
          </cell>
          <cell r="M3549" t="str">
            <v>STL-20260921</v>
          </cell>
        </row>
        <row r="3550">
          <cell r="K3550">
            <v>9064.7999999999993</v>
          </cell>
          <cell r="M3550" t="str">
            <v>STL-20260921</v>
          </cell>
        </row>
        <row r="3551">
          <cell r="K3551">
            <v>11954.53</v>
          </cell>
          <cell r="M3551" t="str">
            <v>STL-20260921</v>
          </cell>
        </row>
        <row r="3552">
          <cell r="K3552">
            <v>3087.59</v>
          </cell>
          <cell r="M3552" t="str">
            <v>STL-20260921</v>
          </cell>
        </row>
        <row r="3553">
          <cell r="K3553">
            <v>349</v>
          </cell>
          <cell r="M3553" t="str">
            <v>STL-20260921</v>
          </cell>
        </row>
        <row r="3554">
          <cell r="K3554">
            <v>7885.73</v>
          </cell>
          <cell r="M3554" t="str">
            <v>STL-20260921</v>
          </cell>
        </row>
        <row r="3555">
          <cell r="K3555">
            <v>4282.79</v>
          </cell>
          <cell r="M3555" t="str">
            <v>STL-20260921</v>
          </cell>
        </row>
        <row r="3556">
          <cell r="K3556">
            <v>1759.82</v>
          </cell>
          <cell r="M3556" t="str">
            <v>STL-20260921</v>
          </cell>
        </row>
        <row r="3557">
          <cell r="K3557">
            <v>999</v>
          </cell>
          <cell r="M3557" t="str">
            <v>STL-20260921</v>
          </cell>
        </row>
        <row r="3558">
          <cell r="K3558">
            <v>490.16</v>
          </cell>
          <cell r="M3558" t="str">
            <v>STL-20260921</v>
          </cell>
        </row>
        <row r="3559">
          <cell r="K3559">
            <v>4701.75</v>
          </cell>
          <cell r="M3559" t="str">
            <v>STL-20260921</v>
          </cell>
        </row>
        <row r="3560">
          <cell r="K3560">
            <v>1598</v>
          </cell>
          <cell r="M3560" t="str">
            <v>STL-20260921</v>
          </cell>
        </row>
        <row r="3561">
          <cell r="K3561">
            <v>781.09</v>
          </cell>
          <cell r="M3561" t="str">
            <v>STL-20260921</v>
          </cell>
        </row>
        <row r="3562">
          <cell r="K3562">
            <v>976.6</v>
          </cell>
          <cell r="M3562" t="str">
            <v>STL-20260921</v>
          </cell>
        </row>
        <row r="3563">
          <cell r="K3563">
            <v>5828.14</v>
          </cell>
          <cell r="M3563" t="str">
            <v>STL-20260921</v>
          </cell>
        </row>
        <row r="3564">
          <cell r="K3564">
            <v>349</v>
          </cell>
          <cell r="M3564" t="str">
            <v>STL-20260921</v>
          </cell>
        </row>
        <row r="3565">
          <cell r="K3565">
            <v>599</v>
          </cell>
          <cell r="M3565" t="str">
            <v>STL-20260921</v>
          </cell>
        </row>
        <row r="3566">
          <cell r="K3566">
            <v>4981.3</v>
          </cell>
          <cell r="M3566" t="str">
            <v>STL-20260921</v>
          </cell>
        </row>
        <row r="3567">
          <cell r="K3567">
            <v>9265.09</v>
          </cell>
          <cell r="M3567" t="str">
            <v>STL-20260921</v>
          </cell>
        </row>
        <row r="3568">
          <cell r="K3568">
            <v>3428.81</v>
          </cell>
          <cell r="M3568" t="str">
            <v>STL-20260921</v>
          </cell>
        </row>
        <row r="3569">
          <cell r="K3569">
            <v>13548.87</v>
          </cell>
          <cell r="M3569" t="str">
            <v>STL-20260921</v>
          </cell>
        </row>
        <row r="3570">
          <cell r="K3570">
            <v>877.87</v>
          </cell>
          <cell r="M3570" t="str">
            <v>STL-20260921</v>
          </cell>
        </row>
        <row r="3571">
          <cell r="K3571">
            <v>4904.62</v>
          </cell>
          <cell r="M3571" t="str">
            <v>STL-20260921</v>
          </cell>
        </row>
        <row r="3572">
          <cell r="K3572">
            <v>1299</v>
          </cell>
          <cell r="M3572" t="str">
            <v>STL-20260921</v>
          </cell>
        </row>
        <row r="3573">
          <cell r="K3573">
            <v>1294.4000000000001</v>
          </cell>
          <cell r="M3573" t="str">
            <v>STL-20260921</v>
          </cell>
        </row>
        <row r="3574">
          <cell r="K3574">
            <v>5222.9799999999996</v>
          </cell>
          <cell r="M3574" t="str">
            <v>STL-20260921</v>
          </cell>
        </row>
        <row r="3575">
          <cell r="K3575">
            <v>1074.68</v>
          </cell>
          <cell r="M3575" t="str">
            <v>STL-20260921</v>
          </cell>
        </row>
        <row r="3576">
          <cell r="K3576">
            <v>499</v>
          </cell>
          <cell r="M3576" t="str">
            <v>STL-20260921</v>
          </cell>
        </row>
        <row r="3577">
          <cell r="K3577">
            <v>6972.23</v>
          </cell>
          <cell r="M3577" t="str">
            <v>STL-20260921</v>
          </cell>
        </row>
        <row r="3578">
          <cell r="K3578">
            <v>4482.08</v>
          </cell>
          <cell r="M3578" t="str">
            <v>STL-20260921</v>
          </cell>
        </row>
        <row r="3579">
          <cell r="K3579">
            <v>8190.39</v>
          </cell>
          <cell r="M3579" t="str">
            <v>STL-20260921</v>
          </cell>
        </row>
        <row r="3580">
          <cell r="K3580">
            <v>2788.1</v>
          </cell>
          <cell r="M3580" t="str">
            <v>STL-20260921</v>
          </cell>
        </row>
        <row r="3581">
          <cell r="K3581">
            <v>1499</v>
          </cell>
          <cell r="M3581" t="str">
            <v>STL-20260921</v>
          </cell>
        </row>
        <row r="3582">
          <cell r="K3582">
            <v>6661.63</v>
          </cell>
          <cell r="M3582" t="str">
            <v>STL-20260921</v>
          </cell>
        </row>
        <row r="3583">
          <cell r="K3583">
            <v>499</v>
          </cell>
          <cell r="M3583" t="str">
            <v>STL-20260921</v>
          </cell>
        </row>
        <row r="3584">
          <cell r="K3584">
            <v>6865.88</v>
          </cell>
          <cell r="M3584" t="str">
            <v>STL-20260921</v>
          </cell>
        </row>
        <row r="3585">
          <cell r="K3585">
            <v>599</v>
          </cell>
          <cell r="M3585" t="str">
            <v>STL-20260921</v>
          </cell>
        </row>
        <row r="3586">
          <cell r="K3586">
            <v>3530.07</v>
          </cell>
          <cell r="M3586" t="str">
            <v>STL-20260921</v>
          </cell>
        </row>
        <row r="3587">
          <cell r="K3587">
            <v>2090.58</v>
          </cell>
          <cell r="M3587" t="str">
            <v>STL-20260921</v>
          </cell>
        </row>
        <row r="3588">
          <cell r="K3588">
            <v>3485.62</v>
          </cell>
          <cell r="M3588" t="str">
            <v>STL-20260921</v>
          </cell>
        </row>
        <row r="3589">
          <cell r="K3589">
            <v>7885.73</v>
          </cell>
          <cell r="M3589" t="str">
            <v>STL-20260921</v>
          </cell>
        </row>
        <row r="3590">
          <cell r="K3590">
            <v>349</v>
          </cell>
          <cell r="M3590" t="str">
            <v>STL-20260921</v>
          </cell>
        </row>
        <row r="3591">
          <cell r="K3591">
            <v>1499</v>
          </cell>
          <cell r="M3591" t="str">
            <v>STL-20260921</v>
          </cell>
        </row>
        <row r="3592">
          <cell r="K3592">
            <v>4413.08</v>
          </cell>
          <cell r="M3592" t="str">
            <v>STL-20260921</v>
          </cell>
        </row>
        <row r="3593">
          <cell r="K3593">
            <v>4927.22</v>
          </cell>
          <cell r="M3593" t="str">
            <v>STL-20260921</v>
          </cell>
        </row>
        <row r="3594">
          <cell r="K3594">
            <v>3039.51</v>
          </cell>
          <cell r="M3594" t="str">
            <v>STL-20260921</v>
          </cell>
        </row>
        <row r="3595">
          <cell r="K3595">
            <v>7071.88</v>
          </cell>
          <cell r="M3595" t="str">
            <v>STL-20260921</v>
          </cell>
        </row>
        <row r="3596">
          <cell r="K3596">
            <v>7970.68</v>
          </cell>
          <cell r="M3596" t="str">
            <v>STL-20260921</v>
          </cell>
        </row>
        <row r="3597">
          <cell r="K3597">
            <v>2289.87</v>
          </cell>
          <cell r="M3597" t="str">
            <v>STL-20260921</v>
          </cell>
        </row>
        <row r="3598">
          <cell r="K3598">
            <v>2988.38</v>
          </cell>
          <cell r="M3598" t="str">
            <v>STL-20260921</v>
          </cell>
        </row>
        <row r="3599">
          <cell r="K3599">
            <v>599</v>
          </cell>
          <cell r="M3599" t="str">
            <v>STL-20260921</v>
          </cell>
        </row>
        <row r="3600">
          <cell r="K3600">
            <v>342.82</v>
          </cell>
          <cell r="M3600" t="str">
            <v>STL-20260921</v>
          </cell>
        </row>
        <row r="3601">
          <cell r="K3601">
            <v>9264.09</v>
          </cell>
          <cell r="M3601" t="str">
            <v>STL-20260921</v>
          </cell>
        </row>
        <row r="3602">
          <cell r="K3602">
            <v>-1498</v>
          </cell>
          <cell r="M3602" t="str">
            <v>STL-20260921</v>
          </cell>
        </row>
        <row r="3603">
          <cell r="K3603">
            <v>-799</v>
          </cell>
          <cell r="M3603" t="str">
            <v>STL-20260921</v>
          </cell>
        </row>
        <row r="3604">
          <cell r="K3604">
            <v>-13597</v>
          </cell>
          <cell r="M3604" t="str">
            <v>STL-20260921</v>
          </cell>
        </row>
        <row r="3605">
          <cell r="K3605">
            <v>-4999</v>
          </cell>
          <cell r="M3605" t="str">
            <v>STL-20260921</v>
          </cell>
        </row>
        <row r="3606">
          <cell r="K3606">
            <v>-4999</v>
          </cell>
          <cell r="M3606" t="str">
            <v>STL-20260921</v>
          </cell>
        </row>
        <row r="3607">
          <cell r="K3607">
            <v>-999</v>
          </cell>
          <cell r="M3607" t="str">
            <v>STL-20260921</v>
          </cell>
        </row>
        <row r="3608">
          <cell r="K3608">
            <v>-349</v>
          </cell>
          <cell r="M3608" t="str">
            <v>STL-20260921</v>
          </cell>
        </row>
        <row r="3609">
          <cell r="K3609">
            <v>-3499</v>
          </cell>
          <cell r="M3609" t="str">
            <v>STL-20260921</v>
          </cell>
        </row>
        <row r="3610">
          <cell r="K3610">
            <v>-648</v>
          </cell>
          <cell r="M3610" t="str">
            <v>STL-20260921</v>
          </cell>
        </row>
        <row r="3611">
          <cell r="K3611">
            <v>-12297</v>
          </cell>
          <cell r="M3611" t="str">
            <v>STL-20260921</v>
          </cell>
        </row>
        <row r="3612">
          <cell r="K3612">
            <v>-8798</v>
          </cell>
          <cell r="M3612" t="str">
            <v>STL-20260921</v>
          </cell>
        </row>
        <row r="3613">
          <cell r="K3613">
            <v>5776.48</v>
          </cell>
          <cell r="M3613" t="str">
            <v>STL-20260922</v>
          </cell>
        </row>
        <row r="3614">
          <cell r="K3614">
            <v>2090.58</v>
          </cell>
          <cell r="M3614" t="str">
            <v>STL-20260922</v>
          </cell>
        </row>
        <row r="3615">
          <cell r="K3615">
            <v>6405.98</v>
          </cell>
          <cell r="M3615" t="str">
            <v>STL-20260922</v>
          </cell>
        </row>
        <row r="3616">
          <cell r="K3616">
            <v>3428.81</v>
          </cell>
          <cell r="M3616" t="str">
            <v>STL-20260922</v>
          </cell>
        </row>
        <row r="3617">
          <cell r="K3617">
            <v>292.64999999999998</v>
          </cell>
          <cell r="M3617" t="str">
            <v>STL-20260922</v>
          </cell>
        </row>
        <row r="3618">
          <cell r="K3618">
            <v>999</v>
          </cell>
          <cell r="M3618" t="str">
            <v>STL-20260922</v>
          </cell>
        </row>
        <row r="3619">
          <cell r="K3619">
            <v>349</v>
          </cell>
          <cell r="M3619" t="str">
            <v>STL-20260922</v>
          </cell>
        </row>
        <row r="3620">
          <cell r="K3620">
            <v>2988.38</v>
          </cell>
          <cell r="M3620" t="str">
            <v>STL-20260922</v>
          </cell>
        </row>
        <row r="3621">
          <cell r="K3621">
            <v>1198</v>
          </cell>
          <cell r="M3621" t="str">
            <v>STL-20260922</v>
          </cell>
        </row>
        <row r="3622">
          <cell r="K3622">
            <v>3784.56</v>
          </cell>
          <cell r="M3622" t="str">
            <v>STL-20260922</v>
          </cell>
        </row>
        <row r="3623">
          <cell r="K3623">
            <v>7970.68</v>
          </cell>
          <cell r="M3623" t="str">
            <v>STL-20260922</v>
          </cell>
        </row>
        <row r="3624">
          <cell r="K3624">
            <v>2090.58</v>
          </cell>
          <cell r="M3624" t="str">
            <v>STL-20260922</v>
          </cell>
        </row>
        <row r="3625">
          <cell r="K3625">
            <v>3485.62</v>
          </cell>
          <cell r="M3625" t="str">
            <v>STL-20260922</v>
          </cell>
        </row>
        <row r="3626">
          <cell r="K3626">
            <v>7271.17</v>
          </cell>
          <cell r="M3626" t="str">
            <v>STL-20260922</v>
          </cell>
        </row>
        <row r="3627">
          <cell r="K3627">
            <v>4981.3</v>
          </cell>
          <cell r="M3627" t="str">
            <v>STL-20260922</v>
          </cell>
        </row>
        <row r="3628">
          <cell r="K3628">
            <v>4313.99</v>
          </cell>
          <cell r="M3628" t="str">
            <v>STL-20260922</v>
          </cell>
        </row>
        <row r="3629">
          <cell r="K3629">
            <v>6475</v>
          </cell>
          <cell r="M3629" t="str">
            <v>STL-20260922</v>
          </cell>
        </row>
        <row r="3630">
          <cell r="K3630">
            <v>799</v>
          </cell>
          <cell r="M3630" t="str">
            <v>STL-20260922</v>
          </cell>
        </row>
        <row r="3631">
          <cell r="K3631">
            <v>599</v>
          </cell>
          <cell r="M3631" t="str">
            <v>STL-20260922</v>
          </cell>
        </row>
        <row r="3632">
          <cell r="K3632">
            <v>2058.39</v>
          </cell>
          <cell r="M3632" t="str">
            <v>STL-20260922</v>
          </cell>
        </row>
        <row r="3633">
          <cell r="K3633">
            <v>4904.62</v>
          </cell>
          <cell r="M3633" t="str">
            <v>STL-20260922</v>
          </cell>
        </row>
        <row r="3634">
          <cell r="K3634">
            <v>4981.3</v>
          </cell>
          <cell r="M3634" t="str">
            <v>STL-20260922</v>
          </cell>
        </row>
        <row r="3635">
          <cell r="K3635">
            <v>3529.09</v>
          </cell>
          <cell r="M3635" t="str">
            <v>STL-20260922</v>
          </cell>
        </row>
        <row r="3636">
          <cell r="K3636">
            <v>2937.86</v>
          </cell>
          <cell r="M3636" t="str">
            <v>STL-20260922</v>
          </cell>
        </row>
        <row r="3637">
          <cell r="K3637">
            <v>3486.61</v>
          </cell>
          <cell r="M3637" t="str">
            <v>STL-20260922</v>
          </cell>
        </row>
        <row r="3638">
          <cell r="K3638">
            <v>4215.87</v>
          </cell>
          <cell r="M3638" t="str">
            <v>STL-20260922</v>
          </cell>
        </row>
        <row r="3639">
          <cell r="K3639">
            <v>781.09</v>
          </cell>
          <cell r="M3639" t="str">
            <v>STL-20260922</v>
          </cell>
        </row>
        <row r="3640">
          <cell r="K3640">
            <v>2265.46</v>
          </cell>
          <cell r="M3640" t="str">
            <v>STL-20260922</v>
          </cell>
        </row>
        <row r="3641">
          <cell r="K3641">
            <v>5328.07</v>
          </cell>
          <cell r="M3641" t="str">
            <v>STL-20260922</v>
          </cell>
        </row>
        <row r="3642">
          <cell r="K3642">
            <v>3234.75</v>
          </cell>
          <cell r="M3642" t="str">
            <v>STL-20260922</v>
          </cell>
        </row>
        <row r="3643">
          <cell r="K3643">
            <v>497.23</v>
          </cell>
          <cell r="M3643" t="str">
            <v>STL-20260922</v>
          </cell>
        </row>
        <row r="3644">
          <cell r="K3644">
            <v>6772.94</v>
          </cell>
          <cell r="M3644" t="str">
            <v>STL-20260922</v>
          </cell>
        </row>
        <row r="3645">
          <cell r="K3645">
            <v>7838.54</v>
          </cell>
          <cell r="M3645" t="str">
            <v>STL-20260922</v>
          </cell>
        </row>
        <row r="3646">
          <cell r="K3646">
            <v>1299</v>
          </cell>
          <cell r="M3646" t="str">
            <v>STL-20260922</v>
          </cell>
        </row>
        <row r="3647">
          <cell r="K3647">
            <v>5913.06</v>
          </cell>
          <cell r="M3647" t="str">
            <v>STL-20260922</v>
          </cell>
        </row>
        <row r="3648">
          <cell r="K3648">
            <v>598</v>
          </cell>
          <cell r="M3648" t="str">
            <v>STL-20260922</v>
          </cell>
        </row>
        <row r="3649">
          <cell r="K3649">
            <v>3235.73</v>
          </cell>
          <cell r="M3649" t="str">
            <v>STL-20260922</v>
          </cell>
        </row>
        <row r="3650">
          <cell r="K3650">
            <v>932.2</v>
          </cell>
          <cell r="M3650" t="str">
            <v>STL-20260922</v>
          </cell>
        </row>
        <row r="3651">
          <cell r="K3651">
            <v>3486.61</v>
          </cell>
          <cell r="M3651" t="str">
            <v>STL-20260922</v>
          </cell>
        </row>
        <row r="3652">
          <cell r="K3652">
            <v>3485.62</v>
          </cell>
          <cell r="M3652" t="str">
            <v>STL-20260922</v>
          </cell>
        </row>
        <row r="3653">
          <cell r="K3653">
            <v>349</v>
          </cell>
          <cell r="M3653" t="str">
            <v>STL-20260922</v>
          </cell>
        </row>
        <row r="3654">
          <cell r="K3654">
            <v>499</v>
          </cell>
          <cell r="M3654" t="str">
            <v>STL-20260922</v>
          </cell>
        </row>
        <row r="3655">
          <cell r="K3655">
            <v>1298</v>
          </cell>
          <cell r="M3655" t="str">
            <v>STL-20260922</v>
          </cell>
        </row>
        <row r="3656">
          <cell r="K3656">
            <v>8672.44</v>
          </cell>
          <cell r="M3656" t="str">
            <v>STL-20260922</v>
          </cell>
        </row>
        <row r="3657">
          <cell r="K3657">
            <v>981.31</v>
          </cell>
          <cell r="M3657" t="str">
            <v>STL-20260922</v>
          </cell>
        </row>
        <row r="3658">
          <cell r="K3658">
            <v>2058.39</v>
          </cell>
          <cell r="M3658" t="str">
            <v>STL-20260922</v>
          </cell>
        </row>
        <row r="3659">
          <cell r="K3659">
            <v>1799</v>
          </cell>
          <cell r="M3659" t="str">
            <v>STL-20260922</v>
          </cell>
        </row>
        <row r="3660">
          <cell r="K3660">
            <v>1898</v>
          </cell>
          <cell r="M3660" t="str">
            <v>STL-20260922</v>
          </cell>
        </row>
        <row r="3661">
          <cell r="K3661">
            <v>1760.79</v>
          </cell>
          <cell r="M3661" t="str">
            <v>STL-20260922</v>
          </cell>
        </row>
        <row r="3662">
          <cell r="K3662">
            <v>488.4</v>
          </cell>
          <cell r="M3662" t="str">
            <v>STL-20260922</v>
          </cell>
        </row>
        <row r="3663">
          <cell r="K3663">
            <v>292.3</v>
          </cell>
          <cell r="M3663" t="str">
            <v>STL-20260922</v>
          </cell>
        </row>
        <row r="3664">
          <cell r="K3664">
            <v>438.49</v>
          </cell>
          <cell r="M3664" t="str">
            <v>STL-20260922</v>
          </cell>
        </row>
        <row r="3665">
          <cell r="K3665">
            <v>8630.91</v>
          </cell>
          <cell r="M3665" t="str">
            <v>STL-20260922</v>
          </cell>
        </row>
        <row r="3666">
          <cell r="K3666">
            <v>1799</v>
          </cell>
          <cell r="M3666" t="str">
            <v>STL-20260922</v>
          </cell>
        </row>
        <row r="3667">
          <cell r="K3667">
            <v>1499</v>
          </cell>
          <cell r="M3667" t="str">
            <v>STL-20260922</v>
          </cell>
        </row>
        <row r="3668">
          <cell r="K3668">
            <v>1799</v>
          </cell>
          <cell r="M3668" t="str">
            <v>STL-20260922</v>
          </cell>
        </row>
        <row r="3669">
          <cell r="K3669">
            <v>1498</v>
          </cell>
          <cell r="M3669" t="str">
            <v>STL-20260922</v>
          </cell>
        </row>
        <row r="3670">
          <cell r="K3670">
            <v>1465.39</v>
          </cell>
          <cell r="M3670" t="str">
            <v>STL-20260922</v>
          </cell>
        </row>
        <row r="3671">
          <cell r="K3671">
            <v>6179.09</v>
          </cell>
          <cell r="M3671" t="str">
            <v>STL-20260922</v>
          </cell>
        </row>
        <row r="3672">
          <cell r="K3672">
            <v>2745.17</v>
          </cell>
          <cell r="M3672" t="str">
            <v>STL-20260922</v>
          </cell>
        </row>
        <row r="3673">
          <cell r="K3673">
            <v>2987.39</v>
          </cell>
          <cell r="M3673" t="str">
            <v>STL-20260922</v>
          </cell>
        </row>
        <row r="3674">
          <cell r="K3674">
            <v>499</v>
          </cell>
          <cell r="M3674" t="str">
            <v>STL-20260922</v>
          </cell>
        </row>
        <row r="3675">
          <cell r="K3675">
            <v>9464.3799999999992</v>
          </cell>
          <cell r="M3675" t="str">
            <v>STL-20260922</v>
          </cell>
        </row>
        <row r="3676">
          <cell r="K3676">
            <v>2448.87</v>
          </cell>
          <cell r="M3676" t="str">
            <v>STL-20260922</v>
          </cell>
        </row>
        <row r="3677">
          <cell r="K3677">
            <v>499</v>
          </cell>
          <cell r="M3677" t="str">
            <v>STL-20260922</v>
          </cell>
        </row>
        <row r="3678">
          <cell r="K3678">
            <v>2744.19</v>
          </cell>
          <cell r="M3678" t="str">
            <v>STL-20260922</v>
          </cell>
        </row>
        <row r="3679">
          <cell r="K3679">
            <v>1760.79</v>
          </cell>
          <cell r="M3679" t="str">
            <v>STL-20260922</v>
          </cell>
        </row>
        <row r="3680">
          <cell r="K3680">
            <v>3486.61</v>
          </cell>
          <cell r="M3680" t="str">
            <v>STL-20260922</v>
          </cell>
        </row>
        <row r="3681">
          <cell r="K3681">
            <v>1299</v>
          </cell>
          <cell r="M3681" t="str">
            <v>STL-20260922</v>
          </cell>
        </row>
        <row r="3682">
          <cell r="K3682">
            <v>7968.69</v>
          </cell>
          <cell r="M3682" t="str">
            <v>STL-20260922</v>
          </cell>
        </row>
        <row r="3683">
          <cell r="K3683">
            <v>4780.0200000000004</v>
          </cell>
          <cell r="M3683" t="str">
            <v>STL-20260922</v>
          </cell>
        </row>
        <row r="3684">
          <cell r="K3684">
            <v>4780.0200000000004</v>
          </cell>
          <cell r="M3684" t="str">
            <v>STL-20260922</v>
          </cell>
        </row>
        <row r="3685">
          <cell r="K3685">
            <v>2090.58</v>
          </cell>
          <cell r="M3685" t="str">
            <v>STL-20260922</v>
          </cell>
        </row>
        <row r="3686">
          <cell r="K3686">
            <v>4981.3</v>
          </cell>
          <cell r="M3686" t="str">
            <v>STL-20260922</v>
          </cell>
        </row>
        <row r="3687">
          <cell r="K3687">
            <v>8318.4500000000007</v>
          </cell>
          <cell r="M3687" t="str">
            <v>STL-20260922</v>
          </cell>
        </row>
        <row r="3688">
          <cell r="K3688">
            <v>9861.9699999999993</v>
          </cell>
          <cell r="M3688" t="str">
            <v>STL-20260922</v>
          </cell>
        </row>
        <row r="3689">
          <cell r="K3689">
            <v>3235.73</v>
          </cell>
          <cell r="M3689" t="str">
            <v>STL-20260922</v>
          </cell>
        </row>
        <row r="3690">
          <cell r="K3690">
            <v>3726.29</v>
          </cell>
          <cell r="M3690" t="str">
            <v>STL-20260922</v>
          </cell>
        </row>
        <row r="3691">
          <cell r="K3691">
            <v>7847.98</v>
          </cell>
          <cell r="M3691" t="str">
            <v>STL-20260922</v>
          </cell>
        </row>
        <row r="3692">
          <cell r="K3692">
            <v>1276</v>
          </cell>
          <cell r="M3692" t="str">
            <v>STL-20260922</v>
          </cell>
        </row>
        <row r="3693">
          <cell r="K3693">
            <v>799</v>
          </cell>
          <cell r="M3693" t="str">
            <v>STL-20260922</v>
          </cell>
        </row>
        <row r="3694">
          <cell r="K3694">
            <v>5279.25</v>
          </cell>
          <cell r="M3694" t="str">
            <v>STL-20260922</v>
          </cell>
        </row>
        <row r="3695">
          <cell r="K3695">
            <v>1467.16</v>
          </cell>
          <cell r="M3695" t="str">
            <v>STL-20260922</v>
          </cell>
        </row>
        <row r="3696">
          <cell r="K3696">
            <v>4313.99</v>
          </cell>
          <cell r="M3696" t="str">
            <v>STL-20260922</v>
          </cell>
        </row>
        <row r="3697">
          <cell r="K3697">
            <v>2090.58</v>
          </cell>
          <cell r="M3697" t="str">
            <v>STL-20260922</v>
          </cell>
        </row>
        <row r="3698">
          <cell r="K3698">
            <v>4981.3</v>
          </cell>
          <cell r="M3698" t="str">
            <v>STL-20260922</v>
          </cell>
        </row>
        <row r="3699">
          <cell r="K3699">
            <v>976.6</v>
          </cell>
          <cell r="M3699" t="str">
            <v>STL-20260922</v>
          </cell>
        </row>
        <row r="3700">
          <cell r="K3700">
            <v>341.18</v>
          </cell>
          <cell r="M3700" t="str">
            <v>STL-20260922</v>
          </cell>
        </row>
        <row r="3701">
          <cell r="K3701">
            <v>2490.15</v>
          </cell>
          <cell r="M3701" t="str">
            <v>STL-20260922</v>
          </cell>
        </row>
        <row r="3702">
          <cell r="K3702">
            <v>1758.67</v>
          </cell>
          <cell r="M3702" t="str">
            <v>STL-20260922</v>
          </cell>
        </row>
        <row r="3703">
          <cell r="K3703">
            <v>4903.6400000000003</v>
          </cell>
          <cell r="M3703" t="str">
            <v>STL-20260922</v>
          </cell>
        </row>
        <row r="3704">
          <cell r="K3704">
            <v>7969.69</v>
          </cell>
          <cell r="M3704" t="str">
            <v>STL-20260922</v>
          </cell>
        </row>
        <row r="3705">
          <cell r="K3705">
            <v>299</v>
          </cell>
          <cell r="M3705" t="str">
            <v>STL-20260922</v>
          </cell>
        </row>
        <row r="3706">
          <cell r="K3706">
            <v>3428.81</v>
          </cell>
          <cell r="M3706" t="str">
            <v>STL-20260922</v>
          </cell>
        </row>
        <row r="3707">
          <cell r="K3707">
            <v>10061.26</v>
          </cell>
          <cell r="M3707" t="str">
            <v>STL-20260922</v>
          </cell>
        </row>
        <row r="3708">
          <cell r="K3708">
            <v>6374.34</v>
          </cell>
          <cell r="M3708" t="str">
            <v>STL-20260922</v>
          </cell>
        </row>
        <row r="3709">
          <cell r="K3709">
            <v>3384.98</v>
          </cell>
          <cell r="M3709" t="str">
            <v>STL-20260922</v>
          </cell>
        </row>
        <row r="3710">
          <cell r="K3710">
            <v>1324.14</v>
          </cell>
          <cell r="M3710" t="str">
            <v>STL-20260922</v>
          </cell>
        </row>
        <row r="3711">
          <cell r="K3711">
            <v>1747</v>
          </cell>
          <cell r="M3711" t="str">
            <v>STL-20260922</v>
          </cell>
        </row>
        <row r="3712">
          <cell r="K3712">
            <v>342.82</v>
          </cell>
          <cell r="M3712" t="str">
            <v>STL-20260922</v>
          </cell>
        </row>
        <row r="3713">
          <cell r="K3713">
            <v>1467.16</v>
          </cell>
          <cell r="M3713" t="str">
            <v>STL-20260922</v>
          </cell>
        </row>
        <row r="3714">
          <cell r="K3714">
            <v>7969.69</v>
          </cell>
          <cell r="M3714" t="str">
            <v>STL-20260922</v>
          </cell>
        </row>
        <row r="3715">
          <cell r="K3715">
            <v>4216.8500000000004</v>
          </cell>
          <cell r="M3715" t="str">
            <v>STL-20260922</v>
          </cell>
        </row>
        <row r="3716">
          <cell r="K3716">
            <v>6171.66</v>
          </cell>
          <cell r="M3716" t="str">
            <v>STL-20260922</v>
          </cell>
        </row>
        <row r="3717">
          <cell r="K3717">
            <v>1299</v>
          </cell>
          <cell r="M3717" t="str">
            <v>STL-20260922</v>
          </cell>
        </row>
        <row r="3718">
          <cell r="K3718">
            <v>3485.62</v>
          </cell>
          <cell r="M3718" t="str">
            <v>STL-20260922</v>
          </cell>
        </row>
        <row r="3719">
          <cell r="K3719">
            <v>1078.57</v>
          </cell>
          <cell r="M3719" t="str">
            <v>STL-20260922</v>
          </cell>
        </row>
        <row r="3720">
          <cell r="K3720">
            <v>2646.08</v>
          </cell>
          <cell r="M3720" t="str">
            <v>STL-20260922</v>
          </cell>
        </row>
        <row r="3721">
          <cell r="K3721">
            <v>1271.4100000000001</v>
          </cell>
          <cell r="M3721" t="str">
            <v>STL-20260922</v>
          </cell>
        </row>
        <row r="3722">
          <cell r="K3722">
            <v>1757.69</v>
          </cell>
          <cell r="M3722" t="str">
            <v>STL-20260922</v>
          </cell>
        </row>
        <row r="3723">
          <cell r="K3723">
            <v>2489.16</v>
          </cell>
          <cell r="M3723" t="str">
            <v>STL-20260922</v>
          </cell>
        </row>
        <row r="3724">
          <cell r="K3724">
            <v>6275.71</v>
          </cell>
          <cell r="M3724" t="str">
            <v>STL-20260922</v>
          </cell>
        </row>
        <row r="3725">
          <cell r="K3725">
            <v>2790.86</v>
          </cell>
          <cell r="M3725" t="str">
            <v>STL-20260922</v>
          </cell>
        </row>
        <row r="3726">
          <cell r="K3726">
            <v>599</v>
          </cell>
          <cell r="M3726" t="str">
            <v>STL-20260922</v>
          </cell>
        </row>
        <row r="3727">
          <cell r="K3727">
            <v>585.57000000000005</v>
          </cell>
          <cell r="M3727" t="str">
            <v>STL-20260922</v>
          </cell>
        </row>
        <row r="3728">
          <cell r="K3728">
            <v>4780.0200000000004</v>
          </cell>
          <cell r="M3728" t="str">
            <v>STL-20260922</v>
          </cell>
        </row>
        <row r="3729">
          <cell r="K3729">
            <v>4282.79</v>
          </cell>
          <cell r="M3729" t="str">
            <v>STL-20260922</v>
          </cell>
        </row>
        <row r="3730">
          <cell r="K3730">
            <v>9563.0300000000007</v>
          </cell>
          <cell r="M3730" t="str">
            <v>STL-20260922</v>
          </cell>
        </row>
        <row r="3731">
          <cell r="K3731">
            <v>2988.38</v>
          </cell>
          <cell r="M3731" t="str">
            <v>STL-20260922</v>
          </cell>
        </row>
        <row r="3732">
          <cell r="K3732">
            <v>292.64999999999998</v>
          </cell>
          <cell r="M3732" t="str">
            <v>STL-20260922</v>
          </cell>
        </row>
        <row r="3733">
          <cell r="K3733">
            <v>488.4</v>
          </cell>
          <cell r="M3733" t="str">
            <v>STL-20260922</v>
          </cell>
        </row>
        <row r="3734">
          <cell r="K3734">
            <v>3486.61</v>
          </cell>
          <cell r="M3734" t="str">
            <v>STL-20260922</v>
          </cell>
        </row>
        <row r="3735">
          <cell r="K3735">
            <v>8616.39</v>
          </cell>
          <cell r="M3735" t="str">
            <v>STL-20260922</v>
          </cell>
        </row>
        <row r="3736">
          <cell r="K3736">
            <v>2089.58</v>
          </cell>
          <cell r="M3736" t="str">
            <v>STL-20260922</v>
          </cell>
        </row>
        <row r="3737">
          <cell r="K3737">
            <v>6118.67</v>
          </cell>
          <cell r="M3737" t="str">
            <v>STL-20260922</v>
          </cell>
        </row>
        <row r="3738">
          <cell r="K3738">
            <v>829.99</v>
          </cell>
          <cell r="M3738" t="str">
            <v>STL-20260922</v>
          </cell>
        </row>
        <row r="3739">
          <cell r="K3739">
            <v>3486.61</v>
          </cell>
          <cell r="M3739" t="str">
            <v>STL-20260922</v>
          </cell>
        </row>
        <row r="3740">
          <cell r="K3740">
            <v>3280.83</v>
          </cell>
          <cell r="M3740" t="str">
            <v>STL-20260922</v>
          </cell>
        </row>
        <row r="3741">
          <cell r="K3741">
            <v>1898</v>
          </cell>
          <cell r="M3741" t="str">
            <v>STL-20260922</v>
          </cell>
        </row>
        <row r="3742">
          <cell r="K3742">
            <v>1148</v>
          </cell>
          <cell r="M3742" t="str">
            <v>STL-20260922</v>
          </cell>
        </row>
        <row r="3743">
          <cell r="K3743">
            <v>2438.34</v>
          </cell>
          <cell r="M3743" t="str">
            <v>STL-20260922</v>
          </cell>
        </row>
        <row r="3744">
          <cell r="K3744">
            <v>7847.98</v>
          </cell>
          <cell r="M3744" t="str">
            <v>STL-20260922</v>
          </cell>
        </row>
        <row r="3745">
          <cell r="K3745">
            <v>3784.56</v>
          </cell>
          <cell r="M3745" t="str">
            <v>STL-20260922</v>
          </cell>
        </row>
        <row r="3746">
          <cell r="K3746">
            <v>5078.96</v>
          </cell>
          <cell r="M3746" t="str">
            <v>STL-20260922</v>
          </cell>
        </row>
        <row r="3747">
          <cell r="K3747">
            <v>1808.75</v>
          </cell>
          <cell r="M3747" t="str">
            <v>STL-20260922</v>
          </cell>
        </row>
        <row r="3748">
          <cell r="K3748">
            <v>349</v>
          </cell>
          <cell r="M3748" t="str">
            <v>STL-20260922</v>
          </cell>
        </row>
        <row r="3749">
          <cell r="K3749">
            <v>2254.61</v>
          </cell>
          <cell r="M3749" t="str">
            <v>STL-20260922</v>
          </cell>
        </row>
        <row r="3750">
          <cell r="K3750">
            <v>349</v>
          </cell>
          <cell r="M3750" t="str">
            <v>STL-20260922</v>
          </cell>
        </row>
        <row r="3751">
          <cell r="K3751">
            <v>6367.65</v>
          </cell>
          <cell r="M3751" t="str">
            <v>STL-20260922</v>
          </cell>
        </row>
        <row r="3752">
          <cell r="K3752">
            <v>1299</v>
          </cell>
          <cell r="M3752" t="str">
            <v>STL-20260922</v>
          </cell>
        </row>
        <row r="3753">
          <cell r="K3753">
            <v>4282.79</v>
          </cell>
          <cell r="M3753" t="str">
            <v>STL-20260922</v>
          </cell>
        </row>
        <row r="3754">
          <cell r="K3754">
            <v>2741.87</v>
          </cell>
          <cell r="M3754" t="str">
            <v>STL-20260922</v>
          </cell>
        </row>
        <row r="3755">
          <cell r="K3755">
            <v>9812.14</v>
          </cell>
          <cell r="M3755" t="str">
            <v>STL-20260922</v>
          </cell>
        </row>
        <row r="3756">
          <cell r="K3756">
            <v>1499</v>
          </cell>
          <cell r="M3756" t="str">
            <v>STL-20260922</v>
          </cell>
        </row>
        <row r="3757">
          <cell r="K3757">
            <v>3833.38</v>
          </cell>
          <cell r="M3757" t="str">
            <v>STL-20260922</v>
          </cell>
        </row>
        <row r="3758">
          <cell r="K3758">
            <v>1799</v>
          </cell>
          <cell r="M3758" t="str">
            <v>STL-20260922</v>
          </cell>
        </row>
        <row r="3759">
          <cell r="K3759">
            <v>999</v>
          </cell>
          <cell r="M3759" t="str">
            <v>STL-20260922</v>
          </cell>
        </row>
        <row r="3760">
          <cell r="K3760">
            <v>1299</v>
          </cell>
          <cell r="M3760" t="str">
            <v>STL-20260922</v>
          </cell>
        </row>
        <row r="3761">
          <cell r="K3761">
            <v>3883.21</v>
          </cell>
          <cell r="M3761" t="str">
            <v>STL-20260922</v>
          </cell>
        </row>
        <row r="3762">
          <cell r="K3762">
            <v>1953.21</v>
          </cell>
          <cell r="M3762" t="str">
            <v>STL-20260922</v>
          </cell>
        </row>
        <row r="3763">
          <cell r="K3763">
            <v>10299.799999999999</v>
          </cell>
          <cell r="M3763" t="str">
            <v>STL-20260922</v>
          </cell>
        </row>
        <row r="3764">
          <cell r="K3764">
            <v>3431.96</v>
          </cell>
          <cell r="M3764" t="str">
            <v>STL-20260922</v>
          </cell>
        </row>
        <row r="3765">
          <cell r="K3765">
            <v>6178.11</v>
          </cell>
          <cell r="M3765" t="str">
            <v>STL-20260922</v>
          </cell>
        </row>
        <row r="3766">
          <cell r="K3766">
            <v>3448.46</v>
          </cell>
          <cell r="M3766" t="str">
            <v>STL-20260922</v>
          </cell>
        </row>
        <row r="3767">
          <cell r="K3767">
            <v>4707.41</v>
          </cell>
          <cell r="M3767" t="str">
            <v>STL-20260922</v>
          </cell>
        </row>
        <row r="3768">
          <cell r="K3768">
            <v>1271.4100000000001</v>
          </cell>
          <cell r="M3768" t="str">
            <v>STL-20260922</v>
          </cell>
        </row>
        <row r="3769">
          <cell r="K3769">
            <v>2788.1</v>
          </cell>
          <cell r="M3769" t="str">
            <v>STL-20260922</v>
          </cell>
        </row>
        <row r="3770">
          <cell r="K3770">
            <v>799</v>
          </cell>
          <cell r="M3770" t="str">
            <v>STL-20260922</v>
          </cell>
        </row>
        <row r="3771">
          <cell r="K3771">
            <v>999</v>
          </cell>
          <cell r="M3771" t="str">
            <v>STL-20260922</v>
          </cell>
        </row>
        <row r="3772">
          <cell r="K3772">
            <v>341.59</v>
          </cell>
          <cell r="M3772" t="str">
            <v>STL-20260922</v>
          </cell>
        </row>
        <row r="3773">
          <cell r="K3773">
            <v>1760.79</v>
          </cell>
          <cell r="M3773" t="str">
            <v>STL-20260922</v>
          </cell>
        </row>
        <row r="3774">
          <cell r="K3774">
            <v>7970.68</v>
          </cell>
          <cell r="M3774" t="str">
            <v>STL-20260922</v>
          </cell>
        </row>
        <row r="3775">
          <cell r="K3775">
            <v>2587.81</v>
          </cell>
          <cell r="M3775" t="str">
            <v>STL-20260922</v>
          </cell>
        </row>
        <row r="3776">
          <cell r="K3776">
            <v>4434.3</v>
          </cell>
          <cell r="M3776" t="str">
            <v>STL-20260922</v>
          </cell>
        </row>
        <row r="3777">
          <cell r="K3777">
            <v>2451.8200000000002</v>
          </cell>
          <cell r="M3777" t="str">
            <v>STL-20260922</v>
          </cell>
        </row>
        <row r="3778">
          <cell r="K3778">
            <v>1799</v>
          </cell>
          <cell r="M3778" t="str">
            <v>STL-20260922</v>
          </cell>
        </row>
        <row r="3779">
          <cell r="K3779">
            <v>2451.8200000000002</v>
          </cell>
          <cell r="M3779" t="str">
            <v>STL-20260922</v>
          </cell>
        </row>
        <row r="3780">
          <cell r="K3780">
            <v>4707.41</v>
          </cell>
          <cell r="M3780" t="str">
            <v>STL-20260922</v>
          </cell>
        </row>
        <row r="3781">
          <cell r="K3781">
            <v>299</v>
          </cell>
          <cell r="M3781" t="str">
            <v>STL-20260922</v>
          </cell>
        </row>
        <row r="3782">
          <cell r="K3782">
            <v>1642.17</v>
          </cell>
          <cell r="M3782" t="str">
            <v>STL-20260922</v>
          </cell>
        </row>
        <row r="3783">
          <cell r="K3783">
            <v>4413.08</v>
          </cell>
          <cell r="M3783" t="str">
            <v>STL-20260922</v>
          </cell>
        </row>
        <row r="3784">
          <cell r="K3784">
            <v>1998</v>
          </cell>
          <cell r="M3784" t="str">
            <v>STL-20260922</v>
          </cell>
        </row>
        <row r="3785">
          <cell r="K3785">
            <v>341.59</v>
          </cell>
          <cell r="M3785" t="str">
            <v>STL-20260922</v>
          </cell>
        </row>
        <row r="3786">
          <cell r="K3786">
            <v>4216.8500000000004</v>
          </cell>
          <cell r="M3786" t="str">
            <v>STL-20260922</v>
          </cell>
        </row>
        <row r="3787">
          <cell r="K3787">
            <v>7735.89</v>
          </cell>
          <cell r="M3787" t="str">
            <v>STL-20260922</v>
          </cell>
        </row>
        <row r="3788">
          <cell r="K3788">
            <v>3486.61</v>
          </cell>
          <cell r="M3788" t="str">
            <v>STL-20260922</v>
          </cell>
        </row>
        <row r="3789">
          <cell r="K3789">
            <v>499</v>
          </cell>
          <cell r="M3789" t="str">
            <v>STL-20260922</v>
          </cell>
        </row>
        <row r="3790">
          <cell r="K3790">
            <v>1271.4100000000001</v>
          </cell>
          <cell r="M3790" t="str">
            <v>STL-20260922</v>
          </cell>
        </row>
        <row r="3791">
          <cell r="K3791">
            <v>5329.07</v>
          </cell>
          <cell r="M3791" t="str">
            <v>STL-20260922</v>
          </cell>
        </row>
        <row r="3792">
          <cell r="K3792">
            <v>292.3</v>
          </cell>
          <cell r="M3792" t="str">
            <v>STL-20260922</v>
          </cell>
        </row>
        <row r="3793">
          <cell r="K3793">
            <v>977.78</v>
          </cell>
          <cell r="M3793" t="str">
            <v>STL-20260922</v>
          </cell>
        </row>
        <row r="3794">
          <cell r="K3794">
            <v>3336.15</v>
          </cell>
          <cell r="M3794" t="str">
            <v>STL-20260922</v>
          </cell>
        </row>
        <row r="3795">
          <cell r="K3795">
            <v>2463.61</v>
          </cell>
          <cell r="M3795" t="str">
            <v>STL-20260922</v>
          </cell>
        </row>
        <row r="3796">
          <cell r="K3796">
            <v>2988.38</v>
          </cell>
          <cell r="M3796" t="str">
            <v>STL-20260922</v>
          </cell>
        </row>
        <row r="3797">
          <cell r="K3797">
            <v>2254.61</v>
          </cell>
          <cell r="M3797" t="str">
            <v>STL-20260922</v>
          </cell>
        </row>
        <row r="3798">
          <cell r="K3798">
            <v>3744.22</v>
          </cell>
          <cell r="M3798" t="str">
            <v>STL-20260922</v>
          </cell>
        </row>
        <row r="3799">
          <cell r="K3799">
            <v>487.81</v>
          </cell>
          <cell r="M3799" t="str">
            <v>STL-20260922</v>
          </cell>
        </row>
        <row r="3800">
          <cell r="K3800">
            <v>2942.38</v>
          </cell>
          <cell r="M3800" t="str">
            <v>STL-20260922</v>
          </cell>
        </row>
        <row r="3801">
          <cell r="K3801">
            <v>2988.38</v>
          </cell>
          <cell r="M3801" t="str">
            <v>STL-20260922</v>
          </cell>
        </row>
        <row r="3802">
          <cell r="K3802">
            <v>798</v>
          </cell>
          <cell r="M3802" t="str">
            <v>STL-20260922</v>
          </cell>
        </row>
        <row r="3803">
          <cell r="K3803">
            <v>2490.15</v>
          </cell>
          <cell r="M3803" t="str">
            <v>STL-20260922</v>
          </cell>
        </row>
        <row r="3804">
          <cell r="K3804">
            <v>341.59</v>
          </cell>
          <cell r="M3804" t="str">
            <v>STL-20260922</v>
          </cell>
        </row>
        <row r="3805">
          <cell r="K3805">
            <v>5688.53</v>
          </cell>
          <cell r="M3805" t="str">
            <v>STL-20260922</v>
          </cell>
        </row>
        <row r="3806">
          <cell r="K3806">
            <v>-3797</v>
          </cell>
          <cell r="M3806" t="str">
            <v>STL-20260922</v>
          </cell>
        </row>
        <row r="3807">
          <cell r="K3807">
            <v>-648</v>
          </cell>
          <cell r="M3807" t="str">
            <v>STL-20260922</v>
          </cell>
        </row>
        <row r="3808">
          <cell r="K3808">
            <v>-2498</v>
          </cell>
          <cell r="M3808" t="str">
            <v>STL-20260922</v>
          </cell>
        </row>
        <row r="3809">
          <cell r="K3809">
            <v>-999</v>
          </cell>
          <cell r="M3809" t="str">
            <v>STL-20260922</v>
          </cell>
        </row>
        <row r="3810">
          <cell r="K3810">
            <v>-2999</v>
          </cell>
          <cell r="M3810" t="str">
            <v>STL-20260922</v>
          </cell>
        </row>
        <row r="3811">
          <cell r="K3811">
            <v>-4897</v>
          </cell>
          <cell r="M3811" t="str">
            <v>STL-20260922</v>
          </cell>
        </row>
        <row r="3812">
          <cell r="K3812">
            <v>-1499</v>
          </cell>
          <cell r="M3812" t="str">
            <v>STL-20260922</v>
          </cell>
        </row>
        <row r="3813">
          <cell r="K3813">
            <v>-7999</v>
          </cell>
          <cell r="M3813" t="str">
            <v>STL-20260922</v>
          </cell>
        </row>
        <row r="3814">
          <cell r="K3814">
            <v>-7999</v>
          </cell>
          <cell r="M3814" t="str">
            <v>STL-20260922</v>
          </cell>
        </row>
        <row r="3815">
          <cell r="K3815">
            <v>299</v>
          </cell>
          <cell r="M3815" t="str">
            <v>STL-20260923</v>
          </cell>
        </row>
        <row r="3816">
          <cell r="K3816">
            <v>4282.79</v>
          </cell>
          <cell r="M3816" t="str">
            <v>STL-20260923</v>
          </cell>
        </row>
        <row r="3817">
          <cell r="K3817">
            <v>4904.62</v>
          </cell>
          <cell r="M3817" t="str">
            <v>STL-20260923</v>
          </cell>
        </row>
        <row r="3818">
          <cell r="K3818">
            <v>2561.21</v>
          </cell>
          <cell r="M3818" t="str">
            <v>STL-20260923</v>
          </cell>
        </row>
        <row r="3819">
          <cell r="K3819">
            <v>1465.39</v>
          </cell>
          <cell r="M3819" t="str">
            <v>STL-20260923</v>
          </cell>
        </row>
        <row r="3820">
          <cell r="K3820">
            <v>1298</v>
          </cell>
          <cell r="M3820" t="str">
            <v>STL-20260923</v>
          </cell>
        </row>
        <row r="3821">
          <cell r="K3821">
            <v>5578.19</v>
          </cell>
          <cell r="M3821" t="str">
            <v>STL-20260923</v>
          </cell>
        </row>
        <row r="3822">
          <cell r="K3822">
            <v>2988.38</v>
          </cell>
          <cell r="M3822" t="str">
            <v>STL-20260923</v>
          </cell>
        </row>
        <row r="3823">
          <cell r="K3823">
            <v>3086.04</v>
          </cell>
          <cell r="M3823" t="str">
            <v>STL-20260923</v>
          </cell>
        </row>
        <row r="3824">
          <cell r="K3824">
            <v>5147.96</v>
          </cell>
          <cell r="M3824" t="str">
            <v>STL-20260923</v>
          </cell>
        </row>
        <row r="3825">
          <cell r="K3825">
            <v>11456.3</v>
          </cell>
          <cell r="M3825" t="str">
            <v>STL-20260923</v>
          </cell>
        </row>
        <row r="3826">
          <cell r="K3826">
            <v>2490.15</v>
          </cell>
          <cell r="M3826" t="str">
            <v>STL-20260923</v>
          </cell>
        </row>
        <row r="3827">
          <cell r="K3827">
            <v>8966.15</v>
          </cell>
          <cell r="M3827" t="str">
            <v>STL-20260923</v>
          </cell>
        </row>
        <row r="3828">
          <cell r="K3828">
            <v>349</v>
          </cell>
          <cell r="M3828" t="str">
            <v>STL-20260923</v>
          </cell>
        </row>
        <row r="3829">
          <cell r="K3829">
            <v>341.18</v>
          </cell>
          <cell r="M3829" t="str">
            <v>STL-20260923</v>
          </cell>
        </row>
        <row r="3830">
          <cell r="K3830">
            <v>4904.62</v>
          </cell>
          <cell r="M3830" t="str">
            <v>STL-20260923</v>
          </cell>
        </row>
        <row r="3831">
          <cell r="K3831">
            <v>4981.3</v>
          </cell>
          <cell r="M3831" t="str">
            <v>STL-20260923</v>
          </cell>
        </row>
        <row r="3832">
          <cell r="K3832">
            <v>9563.0300000000007</v>
          </cell>
          <cell r="M3832" t="str">
            <v>STL-20260923</v>
          </cell>
        </row>
        <row r="3833">
          <cell r="K3833">
            <v>8631.89</v>
          </cell>
          <cell r="M3833" t="str">
            <v>STL-20260923</v>
          </cell>
        </row>
        <row r="3834">
          <cell r="K3834">
            <v>3486.61</v>
          </cell>
          <cell r="M3834" t="str">
            <v>STL-20260923</v>
          </cell>
        </row>
        <row r="3835">
          <cell r="K3835">
            <v>499</v>
          </cell>
          <cell r="M3835" t="str">
            <v>STL-20260923</v>
          </cell>
        </row>
        <row r="3836">
          <cell r="K3836">
            <v>2490.15</v>
          </cell>
          <cell r="M3836" t="str">
            <v>STL-20260923</v>
          </cell>
        </row>
        <row r="3837">
          <cell r="K3837">
            <v>4236.16</v>
          </cell>
          <cell r="M3837" t="str">
            <v>STL-20260923</v>
          </cell>
        </row>
        <row r="3838">
          <cell r="K3838">
            <v>7847.98</v>
          </cell>
          <cell r="M3838" t="str">
            <v>STL-20260923</v>
          </cell>
        </row>
        <row r="3839">
          <cell r="K3839">
            <v>2942.38</v>
          </cell>
          <cell r="M3839" t="str">
            <v>STL-20260923</v>
          </cell>
        </row>
        <row r="3840">
          <cell r="K3840">
            <v>299</v>
          </cell>
          <cell r="M3840" t="str">
            <v>STL-20260923</v>
          </cell>
        </row>
        <row r="3841">
          <cell r="K3841">
            <v>4680.37</v>
          </cell>
          <cell r="M3841" t="str">
            <v>STL-20260923</v>
          </cell>
        </row>
        <row r="3842">
          <cell r="K3842">
            <v>299</v>
          </cell>
          <cell r="M3842" t="str">
            <v>STL-20260923</v>
          </cell>
        </row>
        <row r="3843">
          <cell r="K3843">
            <v>1499</v>
          </cell>
          <cell r="M3843" t="str">
            <v>STL-20260923</v>
          </cell>
        </row>
        <row r="3844">
          <cell r="K3844">
            <v>781.09</v>
          </cell>
          <cell r="M3844" t="str">
            <v>STL-20260923</v>
          </cell>
        </row>
        <row r="3845">
          <cell r="K3845">
            <v>2956.53</v>
          </cell>
          <cell r="M3845" t="str">
            <v>STL-20260923</v>
          </cell>
        </row>
        <row r="3846">
          <cell r="K3846">
            <v>3784.56</v>
          </cell>
          <cell r="M3846" t="str">
            <v>STL-20260923</v>
          </cell>
        </row>
        <row r="3847">
          <cell r="K3847">
            <v>2490.15</v>
          </cell>
          <cell r="M3847" t="str">
            <v>STL-20260923</v>
          </cell>
        </row>
        <row r="3848">
          <cell r="K3848">
            <v>3286.33</v>
          </cell>
          <cell r="M3848" t="str">
            <v>STL-20260923</v>
          </cell>
        </row>
        <row r="3849">
          <cell r="K3849">
            <v>2941.4</v>
          </cell>
          <cell r="M3849" t="str">
            <v>STL-20260923</v>
          </cell>
        </row>
        <row r="3850">
          <cell r="K3850">
            <v>799</v>
          </cell>
          <cell r="M3850" t="str">
            <v>STL-20260923</v>
          </cell>
        </row>
        <row r="3851">
          <cell r="K3851">
            <v>1799</v>
          </cell>
          <cell r="M3851" t="str">
            <v>STL-20260923</v>
          </cell>
        </row>
        <row r="3852">
          <cell r="K3852">
            <v>4117.76</v>
          </cell>
          <cell r="M3852" t="str">
            <v>STL-20260923</v>
          </cell>
        </row>
        <row r="3853">
          <cell r="K3853">
            <v>5681.69</v>
          </cell>
          <cell r="M3853" t="str">
            <v>STL-20260923</v>
          </cell>
        </row>
        <row r="3854">
          <cell r="K3854">
            <v>7970.68</v>
          </cell>
          <cell r="M3854" t="str">
            <v>STL-20260923</v>
          </cell>
        </row>
        <row r="3855">
          <cell r="K3855">
            <v>782.03</v>
          </cell>
          <cell r="M3855" t="str">
            <v>STL-20260923</v>
          </cell>
        </row>
        <row r="3856">
          <cell r="K3856">
            <v>3486.61</v>
          </cell>
          <cell r="M3856" t="str">
            <v>STL-20260923</v>
          </cell>
        </row>
        <row r="3857">
          <cell r="K3857">
            <v>4981.3</v>
          </cell>
          <cell r="M3857" t="str">
            <v>STL-20260923</v>
          </cell>
        </row>
        <row r="3858">
          <cell r="K3858">
            <v>7847.98</v>
          </cell>
          <cell r="M3858" t="str">
            <v>STL-20260923</v>
          </cell>
        </row>
        <row r="3859">
          <cell r="K3859">
            <v>4413.08</v>
          </cell>
          <cell r="M3859" t="str">
            <v>STL-20260923</v>
          </cell>
        </row>
        <row r="3860">
          <cell r="K3860">
            <v>999</v>
          </cell>
          <cell r="M3860" t="str">
            <v>STL-20260923</v>
          </cell>
        </row>
        <row r="3861">
          <cell r="K3861">
            <v>7970.68</v>
          </cell>
          <cell r="M3861" t="str">
            <v>STL-20260923</v>
          </cell>
        </row>
        <row r="3862">
          <cell r="K3862">
            <v>499</v>
          </cell>
          <cell r="M3862" t="str">
            <v>STL-20260923</v>
          </cell>
        </row>
        <row r="3863">
          <cell r="K3863">
            <v>4981.3</v>
          </cell>
          <cell r="M3863" t="str">
            <v>STL-20260923</v>
          </cell>
        </row>
        <row r="3864">
          <cell r="K3864">
            <v>7846.02</v>
          </cell>
          <cell r="M3864" t="str">
            <v>STL-20260923</v>
          </cell>
        </row>
        <row r="3865">
          <cell r="K3865">
            <v>4879.67</v>
          </cell>
          <cell r="M3865" t="str">
            <v>STL-20260923</v>
          </cell>
        </row>
        <row r="3866">
          <cell r="K3866">
            <v>8318.4500000000007</v>
          </cell>
          <cell r="M3866" t="str">
            <v>STL-20260923</v>
          </cell>
        </row>
        <row r="3867">
          <cell r="K3867">
            <v>1465.39</v>
          </cell>
          <cell r="M3867" t="str">
            <v>STL-20260923</v>
          </cell>
        </row>
        <row r="3868">
          <cell r="K3868">
            <v>342.82</v>
          </cell>
          <cell r="M3868" t="str">
            <v>STL-20260923</v>
          </cell>
        </row>
        <row r="3869">
          <cell r="K3869">
            <v>799</v>
          </cell>
          <cell r="M3869" t="str">
            <v>STL-20260923</v>
          </cell>
        </row>
        <row r="3870">
          <cell r="K3870">
            <v>599</v>
          </cell>
          <cell r="M3870" t="str">
            <v>STL-20260923</v>
          </cell>
        </row>
        <row r="3871">
          <cell r="K3871">
            <v>781.09</v>
          </cell>
          <cell r="M3871" t="str">
            <v>STL-20260923</v>
          </cell>
        </row>
        <row r="3872">
          <cell r="K3872">
            <v>10484.459999999999</v>
          </cell>
          <cell r="M3872" t="str">
            <v>STL-20260923</v>
          </cell>
        </row>
        <row r="3873">
          <cell r="K3873">
            <v>976.6</v>
          </cell>
          <cell r="M3873" t="str">
            <v>STL-20260923</v>
          </cell>
        </row>
        <row r="3874">
          <cell r="K3874">
            <v>9415.81</v>
          </cell>
          <cell r="M3874" t="str">
            <v>STL-20260923</v>
          </cell>
        </row>
        <row r="3875">
          <cell r="K3875">
            <v>798</v>
          </cell>
          <cell r="M3875" t="str">
            <v>STL-20260923</v>
          </cell>
        </row>
        <row r="3876">
          <cell r="K3876">
            <v>8180.53</v>
          </cell>
          <cell r="M3876" t="str">
            <v>STL-20260923</v>
          </cell>
        </row>
        <row r="3877">
          <cell r="K3877">
            <v>4082.5</v>
          </cell>
          <cell r="M3877" t="str">
            <v>STL-20260923</v>
          </cell>
        </row>
        <row r="3878">
          <cell r="K3878">
            <v>1766.18</v>
          </cell>
          <cell r="M3878" t="str">
            <v>STL-20260923</v>
          </cell>
        </row>
        <row r="3879">
          <cell r="K3879">
            <v>3432.94</v>
          </cell>
          <cell r="M3879" t="str">
            <v>STL-20260923</v>
          </cell>
        </row>
        <row r="3880">
          <cell r="K3880">
            <v>488.4</v>
          </cell>
          <cell r="M3880" t="str">
            <v>STL-20260923</v>
          </cell>
        </row>
        <row r="3881">
          <cell r="K3881">
            <v>2389.52</v>
          </cell>
          <cell r="M3881" t="str">
            <v>STL-20260923</v>
          </cell>
        </row>
        <row r="3882">
          <cell r="K3882">
            <v>299</v>
          </cell>
          <cell r="M3882" t="str">
            <v>STL-20260923</v>
          </cell>
        </row>
        <row r="3883">
          <cell r="K3883">
            <v>1897</v>
          </cell>
          <cell r="M3883" t="str">
            <v>STL-20260923</v>
          </cell>
        </row>
        <row r="3884">
          <cell r="K3884">
            <v>3585.27</v>
          </cell>
          <cell r="M3884" t="str">
            <v>STL-20260923</v>
          </cell>
        </row>
        <row r="3885">
          <cell r="K3885">
            <v>1666.96</v>
          </cell>
          <cell r="M3885" t="str">
            <v>STL-20260923</v>
          </cell>
        </row>
        <row r="3886">
          <cell r="K3886">
            <v>1562.18</v>
          </cell>
          <cell r="M3886" t="str">
            <v>STL-20260923</v>
          </cell>
        </row>
        <row r="3887">
          <cell r="K3887">
            <v>3431.96</v>
          </cell>
          <cell r="M3887" t="str">
            <v>STL-20260923</v>
          </cell>
        </row>
        <row r="3888">
          <cell r="K3888">
            <v>6268.67</v>
          </cell>
          <cell r="M3888" t="str">
            <v>STL-20260923</v>
          </cell>
        </row>
        <row r="3889">
          <cell r="K3889">
            <v>999</v>
          </cell>
          <cell r="M3889" t="str">
            <v>STL-20260923</v>
          </cell>
        </row>
        <row r="3890">
          <cell r="K3890">
            <v>292.64999999999998</v>
          </cell>
          <cell r="M3890" t="str">
            <v>STL-20260923</v>
          </cell>
        </row>
        <row r="3891">
          <cell r="K3891">
            <v>7970.68</v>
          </cell>
          <cell r="M3891" t="str">
            <v>STL-20260923</v>
          </cell>
        </row>
        <row r="3892">
          <cell r="K3892">
            <v>4981.3</v>
          </cell>
          <cell r="M3892" t="str">
            <v>STL-20260923</v>
          </cell>
        </row>
        <row r="3893">
          <cell r="K3893">
            <v>299</v>
          </cell>
          <cell r="M3893" t="str">
            <v>STL-20260923</v>
          </cell>
        </row>
        <row r="3894">
          <cell r="K3894">
            <v>3485.62</v>
          </cell>
          <cell r="M3894" t="str">
            <v>STL-20260923</v>
          </cell>
        </row>
        <row r="3895">
          <cell r="K3895">
            <v>2254.61</v>
          </cell>
          <cell r="M3895" t="str">
            <v>STL-20260923</v>
          </cell>
        </row>
        <row r="3896">
          <cell r="K3896">
            <v>2988.38</v>
          </cell>
          <cell r="M3896" t="str">
            <v>STL-20260923</v>
          </cell>
        </row>
        <row r="3897">
          <cell r="K3897">
            <v>781.09</v>
          </cell>
          <cell r="M3897" t="str">
            <v>STL-20260923</v>
          </cell>
        </row>
        <row r="3898">
          <cell r="K3898">
            <v>1648</v>
          </cell>
          <cell r="M3898" t="str">
            <v>STL-20260923</v>
          </cell>
        </row>
        <row r="3899">
          <cell r="K3899">
            <v>3584.27</v>
          </cell>
          <cell r="M3899" t="str">
            <v>STL-20260923</v>
          </cell>
        </row>
        <row r="3900">
          <cell r="K3900">
            <v>5485.7</v>
          </cell>
          <cell r="M3900" t="str">
            <v>STL-20260923</v>
          </cell>
        </row>
        <row r="3901">
          <cell r="K3901">
            <v>3286.33</v>
          </cell>
          <cell r="M3901" t="str">
            <v>STL-20260923</v>
          </cell>
        </row>
        <row r="3902">
          <cell r="K3902">
            <v>6772.94</v>
          </cell>
          <cell r="M3902" t="str">
            <v>STL-20260923</v>
          </cell>
        </row>
        <row r="3903">
          <cell r="K3903">
            <v>1148</v>
          </cell>
          <cell r="M3903" t="str">
            <v>STL-20260923</v>
          </cell>
        </row>
        <row r="3904">
          <cell r="K3904">
            <v>7356.44</v>
          </cell>
          <cell r="M3904" t="str">
            <v>STL-20260923</v>
          </cell>
        </row>
        <row r="3905">
          <cell r="K3905">
            <v>1275.03</v>
          </cell>
          <cell r="M3905" t="str">
            <v>STL-20260923</v>
          </cell>
        </row>
        <row r="3906">
          <cell r="K3906">
            <v>4981.3</v>
          </cell>
          <cell r="M3906" t="str">
            <v>STL-20260923</v>
          </cell>
        </row>
        <row r="3907">
          <cell r="K3907">
            <v>1499</v>
          </cell>
          <cell r="M3907" t="str">
            <v>STL-20260923</v>
          </cell>
        </row>
        <row r="3908">
          <cell r="K3908">
            <v>3432.94</v>
          </cell>
          <cell r="M3908" t="str">
            <v>STL-20260923</v>
          </cell>
        </row>
        <row r="3909">
          <cell r="K3909">
            <v>5000.7700000000004</v>
          </cell>
          <cell r="M3909" t="str">
            <v>STL-20260923</v>
          </cell>
        </row>
        <row r="3910">
          <cell r="K3910">
            <v>5279.25</v>
          </cell>
          <cell r="M3910" t="str">
            <v>STL-20260923</v>
          </cell>
        </row>
        <row r="3911">
          <cell r="K3911">
            <v>4063.81</v>
          </cell>
          <cell r="M3911" t="str">
            <v>STL-20260923</v>
          </cell>
        </row>
        <row r="3912">
          <cell r="K3912">
            <v>10959.07</v>
          </cell>
          <cell r="M3912" t="str">
            <v>STL-20260923</v>
          </cell>
        </row>
        <row r="3913">
          <cell r="K3913">
            <v>499</v>
          </cell>
          <cell r="M3913" t="str">
            <v>STL-20260923</v>
          </cell>
        </row>
        <row r="3914">
          <cell r="K3914">
            <v>2451.8200000000002</v>
          </cell>
          <cell r="M3914" t="str">
            <v>STL-20260923</v>
          </cell>
        </row>
        <row r="3915">
          <cell r="K3915">
            <v>3449.45</v>
          </cell>
          <cell r="M3915" t="str">
            <v>STL-20260923</v>
          </cell>
        </row>
        <row r="3916">
          <cell r="K3916">
            <v>2254.61</v>
          </cell>
          <cell r="M3916" t="str">
            <v>STL-20260923</v>
          </cell>
        </row>
        <row r="3917">
          <cell r="K3917">
            <v>499</v>
          </cell>
          <cell r="M3917" t="str">
            <v>STL-20260923</v>
          </cell>
        </row>
        <row r="3918">
          <cell r="K3918">
            <v>7193.68</v>
          </cell>
          <cell r="M3918" t="str">
            <v>STL-20260923</v>
          </cell>
        </row>
        <row r="3919">
          <cell r="K3919">
            <v>2090.58</v>
          </cell>
          <cell r="M3919" t="str">
            <v>STL-20260923</v>
          </cell>
        </row>
        <row r="3920">
          <cell r="K3920">
            <v>2490.15</v>
          </cell>
          <cell r="M3920" t="str">
            <v>STL-20260923</v>
          </cell>
        </row>
        <row r="3921">
          <cell r="K3921">
            <v>586.28</v>
          </cell>
          <cell r="M3921" t="str">
            <v>STL-20260923</v>
          </cell>
        </row>
        <row r="3922">
          <cell r="K3922">
            <v>4020.63</v>
          </cell>
          <cell r="M3922" t="str">
            <v>STL-20260923</v>
          </cell>
        </row>
        <row r="3923">
          <cell r="K3923">
            <v>3285.33</v>
          </cell>
          <cell r="M3923" t="str">
            <v>STL-20260923</v>
          </cell>
        </row>
        <row r="3924">
          <cell r="K3924">
            <v>292.64999999999998</v>
          </cell>
          <cell r="M3924" t="str">
            <v>STL-20260923</v>
          </cell>
        </row>
        <row r="3925">
          <cell r="K3925">
            <v>499</v>
          </cell>
          <cell r="M3925" t="str">
            <v>STL-20260923</v>
          </cell>
        </row>
        <row r="3926">
          <cell r="K3926">
            <v>2988.38</v>
          </cell>
          <cell r="M3926" t="str">
            <v>STL-20260923</v>
          </cell>
        </row>
        <row r="3927">
          <cell r="K3927">
            <v>8567.57</v>
          </cell>
          <cell r="M3927" t="str">
            <v>STL-20260923</v>
          </cell>
        </row>
        <row r="3928">
          <cell r="K3928">
            <v>9962.61</v>
          </cell>
          <cell r="M3928" t="str">
            <v>STL-20260923</v>
          </cell>
        </row>
        <row r="3929">
          <cell r="K3929">
            <v>4981.3</v>
          </cell>
          <cell r="M3929" t="str">
            <v>STL-20260923</v>
          </cell>
        </row>
        <row r="3930">
          <cell r="K3930">
            <v>3726.29</v>
          </cell>
          <cell r="M3930" t="str">
            <v>STL-20260923</v>
          </cell>
        </row>
        <row r="3931">
          <cell r="K3931">
            <v>1499</v>
          </cell>
          <cell r="M3931" t="str">
            <v>STL-20260923</v>
          </cell>
        </row>
        <row r="3932">
          <cell r="K3932">
            <v>977.78</v>
          </cell>
          <cell r="M3932" t="str">
            <v>STL-20260923</v>
          </cell>
        </row>
        <row r="3933">
          <cell r="K3933">
            <v>1276</v>
          </cell>
          <cell r="M3933" t="str">
            <v>STL-20260923</v>
          </cell>
        </row>
        <row r="3934">
          <cell r="K3934">
            <v>3039.51</v>
          </cell>
          <cell r="M3934" t="str">
            <v>STL-20260923</v>
          </cell>
        </row>
        <row r="3935">
          <cell r="K3935">
            <v>10959.07</v>
          </cell>
          <cell r="M3935" t="str">
            <v>STL-20260923</v>
          </cell>
        </row>
        <row r="3936">
          <cell r="K3936">
            <v>1564.06</v>
          </cell>
          <cell r="M3936" t="str">
            <v>STL-20260923</v>
          </cell>
        </row>
        <row r="3937">
          <cell r="K3937">
            <v>7970.68</v>
          </cell>
          <cell r="M3937" t="str">
            <v>STL-20260923</v>
          </cell>
        </row>
        <row r="3938">
          <cell r="K3938">
            <v>4981.3</v>
          </cell>
          <cell r="M3938" t="str">
            <v>STL-20260923</v>
          </cell>
        </row>
        <row r="3939">
          <cell r="K3939">
            <v>7970.68</v>
          </cell>
          <cell r="M3939" t="str">
            <v>STL-20260923</v>
          </cell>
        </row>
        <row r="3940">
          <cell r="K3940">
            <v>10881.2</v>
          </cell>
          <cell r="M3940" t="str">
            <v>STL-20260923</v>
          </cell>
        </row>
        <row r="3941">
          <cell r="K3941">
            <v>8466.92</v>
          </cell>
          <cell r="M3941" t="str">
            <v>STL-20260923</v>
          </cell>
        </row>
        <row r="3942">
          <cell r="K3942">
            <v>8337.56</v>
          </cell>
          <cell r="M3942" t="str">
            <v>STL-20260923</v>
          </cell>
        </row>
        <row r="3943">
          <cell r="K3943">
            <v>299</v>
          </cell>
          <cell r="M3943" t="str">
            <v>STL-20260923</v>
          </cell>
        </row>
        <row r="3944">
          <cell r="K3944">
            <v>3823.43</v>
          </cell>
          <cell r="M3944" t="str">
            <v>STL-20260923</v>
          </cell>
        </row>
        <row r="3945">
          <cell r="K3945">
            <v>1799</v>
          </cell>
          <cell r="M3945" t="str">
            <v>STL-20260923</v>
          </cell>
        </row>
        <row r="3946">
          <cell r="K3946">
            <v>349</v>
          </cell>
          <cell r="M3946" t="str">
            <v>STL-20260923</v>
          </cell>
        </row>
        <row r="3947">
          <cell r="K3947">
            <v>4282.79</v>
          </cell>
          <cell r="M3947" t="str">
            <v>STL-20260923</v>
          </cell>
        </row>
        <row r="3948">
          <cell r="K3948">
            <v>292.64999999999998</v>
          </cell>
          <cell r="M3948" t="str">
            <v>STL-20260923</v>
          </cell>
        </row>
        <row r="3949">
          <cell r="K3949">
            <v>8870.58</v>
          </cell>
          <cell r="M3949" t="str">
            <v>STL-20260923</v>
          </cell>
        </row>
        <row r="3950">
          <cell r="K3950">
            <v>4981.3</v>
          </cell>
          <cell r="M3950" t="str">
            <v>STL-20260923</v>
          </cell>
        </row>
        <row r="3951">
          <cell r="K3951">
            <v>829.99</v>
          </cell>
          <cell r="M3951" t="str">
            <v>STL-20260923</v>
          </cell>
        </row>
        <row r="3952">
          <cell r="K3952">
            <v>2090.58</v>
          </cell>
          <cell r="M3952" t="str">
            <v>STL-20260923</v>
          </cell>
        </row>
        <row r="3953">
          <cell r="K3953">
            <v>11457.3</v>
          </cell>
          <cell r="M3953" t="str">
            <v>STL-20260923</v>
          </cell>
        </row>
        <row r="3954">
          <cell r="K3954">
            <v>2745.17</v>
          </cell>
          <cell r="M3954" t="str">
            <v>STL-20260923</v>
          </cell>
        </row>
        <row r="3955">
          <cell r="K3955">
            <v>8828.1200000000008</v>
          </cell>
          <cell r="M3955" t="str">
            <v>STL-20260923</v>
          </cell>
        </row>
        <row r="3956">
          <cell r="K3956">
            <v>9265.09</v>
          </cell>
          <cell r="M3956" t="str">
            <v>STL-20260923</v>
          </cell>
        </row>
        <row r="3957">
          <cell r="K3957">
            <v>1499</v>
          </cell>
          <cell r="M3957" t="str">
            <v>STL-20260923</v>
          </cell>
        </row>
        <row r="3958">
          <cell r="K3958">
            <v>1564.06</v>
          </cell>
          <cell r="M3958" t="str">
            <v>STL-20260923</v>
          </cell>
        </row>
        <row r="3959">
          <cell r="K3959">
            <v>7970.68</v>
          </cell>
          <cell r="M3959" t="str">
            <v>STL-20260923</v>
          </cell>
        </row>
        <row r="3960">
          <cell r="K3960">
            <v>1647</v>
          </cell>
          <cell r="M3960" t="str">
            <v>STL-20260923</v>
          </cell>
        </row>
        <row r="3961">
          <cell r="K3961">
            <v>2787.1</v>
          </cell>
          <cell r="M3961" t="str">
            <v>STL-20260923</v>
          </cell>
        </row>
        <row r="3962">
          <cell r="K3962">
            <v>1499</v>
          </cell>
          <cell r="M3962" t="str">
            <v>STL-20260923</v>
          </cell>
        </row>
        <row r="3963">
          <cell r="K3963">
            <v>1499</v>
          </cell>
          <cell r="M3963" t="str">
            <v>STL-20260923</v>
          </cell>
        </row>
        <row r="3964">
          <cell r="K3964">
            <v>8566.57</v>
          </cell>
          <cell r="M3964" t="str">
            <v>STL-20260923</v>
          </cell>
        </row>
        <row r="3965">
          <cell r="K3965">
            <v>1299</v>
          </cell>
          <cell r="M3965" t="str">
            <v>STL-20260923</v>
          </cell>
        </row>
        <row r="3966">
          <cell r="K3966">
            <v>2253.63</v>
          </cell>
          <cell r="M3966" t="str">
            <v>STL-20260923</v>
          </cell>
        </row>
        <row r="3967">
          <cell r="K3967">
            <v>1569.72</v>
          </cell>
          <cell r="M3967" t="str">
            <v>STL-20260923</v>
          </cell>
        </row>
        <row r="3968">
          <cell r="K3968">
            <v>1760.79</v>
          </cell>
          <cell r="M3968" t="str">
            <v>STL-20260923</v>
          </cell>
        </row>
        <row r="3969">
          <cell r="K3969">
            <v>5279.25</v>
          </cell>
          <cell r="M3969" t="str">
            <v>STL-20260923</v>
          </cell>
        </row>
        <row r="3970">
          <cell r="K3970">
            <v>2265.46</v>
          </cell>
          <cell r="M3970" t="str">
            <v>STL-20260923</v>
          </cell>
        </row>
        <row r="3971">
          <cell r="K3971">
            <v>585.57000000000005</v>
          </cell>
          <cell r="M3971" t="str">
            <v>STL-20260923</v>
          </cell>
        </row>
        <row r="3972">
          <cell r="K3972">
            <v>977.78</v>
          </cell>
          <cell r="M3972" t="str">
            <v>STL-20260923</v>
          </cell>
        </row>
        <row r="3973">
          <cell r="K3973">
            <v>1398</v>
          </cell>
          <cell r="M3973" t="str">
            <v>STL-20260923</v>
          </cell>
        </row>
        <row r="3974">
          <cell r="K3974">
            <v>487.81</v>
          </cell>
          <cell r="M3974" t="str">
            <v>STL-20260923</v>
          </cell>
        </row>
        <row r="3975">
          <cell r="K3975">
            <v>799</v>
          </cell>
          <cell r="M3975" t="str">
            <v>STL-20260923</v>
          </cell>
        </row>
        <row r="3976">
          <cell r="K3976">
            <v>6367.65</v>
          </cell>
          <cell r="M3976" t="str">
            <v>STL-20260923</v>
          </cell>
        </row>
        <row r="3977">
          <cell r="K3977">
            <v>4780.0200000000004</v>
          </cell>
          <cell r="M3977" t="str">
            <v>STL-20260923</v>
          </cell>
        </row>
        <row r="3978">
          <cell r="K3978">
            <v>1799</v>
          </cell>
          <cell r="M3978" t="str">
            <v>STL-20260923</v>
          </cell>
        </row>
        <row r="3979">
          <cell r="K3979">
            <v>4482.08</v>
          </cell>
          <cell r="M3979" t="str">
            <v>STL-20260923</v>
          </cell>
        </row>
        <row r="3980">
          <cell r="K3980">
            <v>1864.41</v>
          </cell>
          <cell r="M3980" t="str">
            <v>STL-20260923</v>
          </cell>
        </row>
        <row r="3981">
          <cell r="K3981">
            <v>6367.65</v>
          </cell>
          <cell r="M3981" t="str">
            <v>STL-20260923</v>
          </cell>
        </row>
        <row r="3982">
          <cell r="K3982">
            <v>2490.15</v>
          </cell>
          <cell r="M3982" t="str">
            <v>STL-20260923</v>
          </cell>
        </row>
        <row r="3983">
          <cell r="K3983">
            <v>299</v>
          </cell>
          <cell r="M3983" t="str">
            <v>STL-20260923</v>
          </cell>
        </row>
        <row r="3984">
          <cell r="K3984">
            <v>599</v>
          </cell>
          <cell r="M3984" t="str">
            <v>STL-20260923</v>
          </cell>
        </row>
        <row r="3985">
          <cell r="K3985">
            <v>3486.61</v>
          </cell>
          <cell r="M3985" t="str">
            <v>STL-20260923</v>
          </cell>
        </row>
        <row r="3986">
          <cell r="K3986">
            <v>1467.16</v>
          </cell>
          <cell r="M3986" t="str">
            <v>STL-20260923</v>
          </cell>
        </row>
        <row r="3987">
          <cell r="K3987">
            <v>3038.53</v>
          </cell>
          <cell r="M3987" t="str">
            <v>STL-20260923</v>
          </cell>
        </row>
        <row r="3988">
          <cell r="K3988">
            <v>-12998</v>
          </cell>
          <cell r="M3988" t="str">
            <v>STL-20260923</v>
          </cell>
        </row>
        <row r="3989">
          <cell r="K3989">
            <v>-1298</v>
          </cell>
          <cell r="M3989" t="str">
            <v>STL-20260923</v>
          </cell>
        </row>
        <row r="3990">
          <cell r="K3990">
            <v>-2598</v>
          </cell>
          <cell r="M3990" t="str">
            <v>STL-20260923</v>
          </cell>
        </row>
        <row r="3991">
          <cell r="K3991">
            <v>-2999</v>
          </cell>
          <cell r="M3991" t="str">
            <v>STL-20260923</v>
          </cell>
        </row>
        <row r="3992">
          <cell r="K3992">
            <v>-5597</v>
          </cell>
          <cell r="M3992" t="str">
            <v>STL-20260923</v>
          </cell>
        </row>
        <row r="3993">
          <cell r="K3993">
            <v>-3147</v>
          </cell>
          <cell r="M3993" t="str">
            <v>STL-20260923</v>
          </cell>
        </row>
        <row r="3994">
          <cell r="K3994">
            <v>-3897</v>
          </cell>
          <cell r="M3994" t="str">
            <v>STL-20260923</v>
          </cell>
        </row>
        <row r="3995">
          <cell r="K3995">
            <v>-2499</v>
          </cell>
          <cell r="M3995" t="str">
            <v>STL-20260923</v>
          </cell>
        </row>
        <row r="3996">
          <cell r="K3996">
            <v>-999</v>
          </cell>
          <cell r="M3996" t="str">
            <v>STL-20260923</v>
          </cell>
        </row>
        <row r="3997">
          <cell r="K3997">
            <v>-3348</v>
          </cell>
          <cell r="M3997" t="str">
            <v>STL-20260923</v>
          </cell>
        </row>
        <row r="3998">
          <cell r="K3998">
            <v>-499</v>
          </cell>
          <cell r="M3998" t="str">
            <v>STL-20260923</v>
          </cell>
        </row>
        <row r="3999">
          <cell r="K3999">
            <v>3774.37</v>
          </cell>
          <cell r="M3999" t="str">
            <v>STL-20260924</v>
          </cell>
        </row>
        <row r="4000">
          <cell r="K4000">
            <v>8467.92</v>
          </cell>
          <cell r="M4000" t="str">
            <v>STL-20260924</v>
          </cell>
        </row>
        <row r="4001">
          <cell r="K4001">
            <v>2451.8200000000002</v>
          </cell>
          <cell r="M4001" t="str">
            <v>STL-20260924</v>
          </cell>
        </row>
        <row r="4002">
          <cell r="K4002">
            <v>7970.68</v>
          </cell>
          <cell r="M4002" t="str">
            <v>STL-20260924</v>
          </cell>
        </row>
        <row r="4003">
          <cell r="K4003">
            <v>1271.4100000000001</v>
          </cell>
          <cell r="M4003" t="str">
            <v>STL-20260924</v>
          </cell>
        </row>
        <row r="4004">
          <cell r="K4004">
            <v>5279.25</v>
          </cell>
          <cell r="M4004" t="str">
            <v>STL-20260924</v>
          </cell>
        </row>
        <row r="4005">
          <cell r="K4005">
            <v>782.03</v>
          </cell>
          <cell r="M4005" t="str">
            <v>STL-20260924</v>
          </cell>
        </row>
        <row r="4006">
          <cell r="K4006">
            <v>999</v>
          </cell>
          <cell r="M4006" t="str">
            <v>STL-20260924</v>
          </cell>
        </row>
        <row r="4007">
          <cell r="K4007">
            <v>3486.61</v>
          </cell>
          <cell r="M4007" t="str">
            <v>STL-20260924</v>
          </cell>
        </row>
        <row r="4008">
          <cell r="K4008">
            <v>4879.67</v>
          </cell>
          <cell r="M4008" t="str">
            <v>STL-20260924</v>
          </cell>
        </row>
        <row r="4009">
          <cell r="K4009">
            <v>5627.01</v>
          </cell>
          <cell r="M4009" t="str">
            <v>STL-20260924</v>
          </cell>
        </row>
        <row r="4010">
          <cell r="K4010">
            <v>499</v>
          </cell>
          <cell r="M4010" t="str">
            <v>STL-20260924</v>
          </cell>
        </row>
        <row r="4011">
          <cell r="K4011">
            <v>2289.87</v>
          </cell>
          <cell r="M4011" t="str">
            <v>STL-20260924</v>
          </cell>
        </row>
        <row r="4012">
          <cell r="K4012">
            <v>8476.25</v>
          </cell>
          <cell r="M4012" t="str">
            <v>STL-20260924</v>
          </cell>
        </row>
        <row r="4013">
          <cell r="K4013">
            <v>2988.38</v>
          </cell>
          <cell r="M4013" t="str">
            <v>STL-20260924</v>
          </cell>
        </row>
        <row r="4014">
          <cell r="K4014">
            <v>4706.43</v>
          </cell>
          <cell r="M4014" t="str">
            <v>STL-20260924</v>
          </cell>
        </row>
        <row r="4015">
          <cell r="K4015">
            <v>2289.87</v>
          </cell>
          <cell r="M4015" t="str">
            <v>STL-20260924</v>
          </cell>
        </row>
        <row r="4016">
          <cell r="K4016">
            <v>10460.84</v>
          </cell>
          <cell r="M4016" t="str">
            <v>STL-20260924</v>
          </cell>
        </row>
        <row r="4017">
          <cell r="K4017">
            <v>9313.91</v>
          </cell>
          <cell r="M4017" t="str">
            <v>STL-20260924</v>
          </cell>
        </row>
        <row r="4018">
          <cell r="K4018">
            <v>490.16</v>
          </cell>
          <cell r="M4018" t="str">
            <v>STL-20260924</v>
          </cell>
        </row>
        <row r="4019">
          <cell r="K4019">
            <v>2942.38</v>
          </cell>
          <cell r="M4019" t="str">
            <v>STL-20260924</v>
          </cell>
        </row>
        <row r="4020">
          <cell r="K4020">
            <v>4981.3</v>
          </cell>
          <cell r="M4020" t="str">
            <v>STL-20260924</v>
          </cell>
        </row>
        <row r="4021">
          <cell r="K4021">
            <v>5884.76</v>
          </cell>
          <cell r="M4021" t="str">
            <v>STL-20260924</v>
          </cell>
        </row>
        <row r="4022">
          <cell r="K4022">
            <v>4981.3</v>
          </cell>
          <cell r="M4022" t="str">
            <v>STL-20260924</v>
          </cell>
        </row>
        <row r="4023">
          <cell r="K4023">
            <v>3285.33</v>
          </cell>
          <cell r="M4023" t="str">
            <v>STL-20260924</v>
          </cell>
        </row>
        <row r="4024">
          <cell r="K4024">
            <v>999</v>
          </cell>
          <cell r="M4024" t="str">
            <v>STL-20260924</v>
          </cell>
        </row>
        <row r="4025">
          <cell r="K4025">
            <v>3038.53</v>
          </cell>
          <cell r="M4025" t="str">
            <v>STL-20260924</v>
          </cell>
        </row>
        <row r="4026">
          <cell r="K4026">
            <v>488.4</v>
          </cell>
          <cell r="M4026" t="str">
            <v>STL-20260924</v>
          </cell>
        </row>
        <row r="4027">
          <cell r="K4027">
            <v>599</v>
          </cell>
          <cell r="M4027" t="str">
            <v>STL-20260924</v>
          </cell>
        </row>
        <row r="4028">
          <cell r="K4028">
            <v>798</v>
          </cell>
          <cell r="M4028" t="str">
            <v>STL-20260924</v>
          </cell>
        </row>
        <row r="4029">
          <cell r="K4029">
            <v>6661.63</v>
          </cell>
          <cell r="M4029" t="str">
            <v>STL-20260924</v>
          </cell>
        </row>
        <row r="4030">
          <cell r="K4030">
            <v>8966.15</v>
          </cell>
          <cell r="M4030" t="str">
            <v>STL-20260924</v>
          </cell>
        </row>
        <row r="4031">
          <cell r="K4031">
            <v>488.4</v>
          </cell>
          <cell r="M4031" t="str">
            <v>STL-20260924</v>
          </cell>
        </row>
        <row r="4032">
          <cell r="K4032">
            <v>1760.79</v>
          </cell>
          <cell r="M4032" t="str">
            <v>STL-20260924</v>
          </cell>
        </row>
        <row r="4033">
          <cell r="K4033">
            <v>1905.64</v>
          </cell>
          <cell r="M4033" t="str">
            <v>STL-20260924</v>
          </cell>
        </row>
        <row r="4034">
          <cell r="K4034">
            <v>499</v>
          </cell>
          <cell r="M4034" t="str">
            <v>STL-20260924</v>
          </cell>
        </row>
        <row r="4035">
          <cell r="K4035">
            <v>1952.23</v>
          </cell>
          <cell r="M4035" t="str">
            <v>STL-20260924</v>
          </cell>
        </row>
        <row r="4036">
          <cell r="K4036">
            <v>11257.01</v>
          </cell>
          <cell r="M4036" t="str">
            <v>STL-20260924</v>
          </cell>
        </row>
        <row r="4037">
          <cell r="K4037">
            <v>3253.19</v>
          </cell>
          <cell r="M4037" t="str">
            <v>STL-20260924</v>
          </cell>
        </row>
        <row r="4038">
          <cell r="K4038">
            <v>1648</v>
          </cell>
          <cell r="M4038" t="str">
            <v>STL-20260924</v>
          </cell>
        </row>
        <row r="4039">
          <cell r="K4039">
            <v>948</v>
          </cell>
          <cell r="M4039" t="str">
            <v>STL-20260924</v>
          </cell>
        </row>
        <row r="4040">
          <cell r="K4040">
            <v>9812.14</v>
          </cell>
          <cell r="M4040" t="str">
            <v>STL-20260924</v>
          </cell>
        </row>
        <row r="4041">
          <cell r="K4041">
            <v>3284.79</v>
          </cell>
          <cell r="M4041" t="str">
            <v>STL-20260924</v>
          </cell>
        </row>
        <row r="4042">
          <cell r="K4042">
            <v>8268.6299999999992</v>
          </cell>
          <cell r="M4042" t="str">
            <v>STL-20260924</v>
          </cell>
        </row>
        <row r="4043">
          <cell r="K4043">
            <v>7970.68</v>
          </cell>
          <cell r="M4043" t="str">
            <v>STL-20260924</v>
          </cell>
        </row>
        <row r="4044">
          <cell r="K4044">
            <v>1271.4100000000001</v>
          </cell>
          <cell r="M4044" t="str">
            <v>STL-20260924</v>
          </cell>
        </row>
        <row r="4045">
          <cell r="K4045">
            <v>977.78</v>
          </cell>
          <cell r="M4045" t="str">
            <v>STL-20260924</v>
          </cell>
        </row>
        <row r="4046">
          <cell r="K4046">
            <v>1098</v>
          </cell>
          <cell r="M4046" t="str">
            <v>STL-20260924</v>
          </cell>
        </row>
        <row r="4047">
          <cell r="K4047">
            <v>2745.17</v>
          </cell>
          <cell r="M4047" t="str">
            <v>STL-20260924</v>
          </cell>
        </row>
        <row r="4048">
          <cell r="K4048">
            <v>7769.4</v>
          </cell>
          <cell r="M4048" t="str">
            <v>STL-20260924</v>
          </cell>
        </row>
        <row r="4049">
          <cell r="K4049">
            <v>1998</v>
          </cell>
          <cell r="M4049" t="str">
            <v>STL-20260924</v>
          </cell>
        </row>
        <row r="4050">
          <cell r="K4050">
            <v>8631.89</v>
          </cell>
          <cell r="M4050" t="str">
            <v>STL-20260924</v>
          </cell>
        </row>
        <row r="4051">
          <cell r="K4051">
            <v>2588.81</v>
          </cell>
          <cell r="M4051" t="str">
            <v>STL-20260924</v>
          </cell>
        </row>
        <row r="4052">
          <cell r="K4052">
            <v>3933.03</v>
          </cell>
          <cell r="M4052" t="str">
            <v>STL-20260924</v>
          </cell>
        </row>
        <row r="4053">
          <cell r="K4053">
            <v>4211.78</v>
          </cell>
          <cell r="M4053" t="str">
            <v>STL-20260924</v>
          </cell>
        </row>
        <row r="4054">
          <cell r="K4054">
            <v>999</v>
          </cell>
          <cell r="M4054" t="str">
            <v>STL-20260924</v>
          </cell>
        </row>
        <row r="4055">
          <cell r="K4055">
            <v>1271.4100000000001</v>
          </cell>
          <cell r="M4055" t="str">
            <v>STL-20260924</v>
          </cell>
        </row>
        <row r="4056">
          <cell r="K4056">
            <v>2289.87</v>
          </cell>
          <cell r="M4056" t="str">
            <v>STL-20260924</v>
          </cell>
        </row>
        <row r="4057">
          <cell r="K4057">
            <v>9808.26</v>
          </cell>
          <cell r="M4057" t="str">
            <v>STL-20260924</v>
          </cell>
        </row>
        <row r="4058">
          <cell r="K4058">
            <v>1499</v>
          </cell>
          <cell r="M4058" t="str">
            <v>STL-20260924</v>
          </cell>
        </row>
        <row r="4059">
          <cell r="K4059">
            <v>1271.4100000000001</v>
          </cell>
          <cell r="M4059" t="str">
            <v>STL-20260924</v>
          </cell>
        </row>
        <row r="4060">
          <cell r="K4060">
            <v>8466.92</v>
          </cell>
          <cell r="M4060" t="str">
            <v>STL-20260924</v>
          </cell>
        </row>
        <row r="4061">
          <cell r="K4061">
            <v>645.71</v>
          </cell>
          <cell r="M4061" t="str">
            <v>STL-20260924</v>
          </cell>
        </row>
        <row r="4062">
          <cell r="K4062">
            <v>3578.15</v>
          </cell>
          <cell r="M4062" t="str">
            <v>STL-20260924</v>
          </cell>
        </row>
        <row r="4063">
          <cell r="K4063">
            <v>1299</v>
          </cell>
          <cell r="M4063" t="str">
            <v>STL-20260924</v>
          </cell>
        </row>
        <row r="4064">
          <cell r="K4064">
            <v>11560.35</v>
          </cell>
          <cell r="M4064" t="str">
            <v>STL-20260924</v>
          </cell>
        </row>
        <row r="4065">
          <cell r="K4065">
            <v>2058.39</v>
          </cell>
          <cell r="M4065" t="str">
            <v>STL-20260924</v>
          </cell>
        </row>
        <row r="4066">
          <cell r="K4066">
            <v>1299</v>
          </cell>
          <cell r="M4066" t="str">
            <v>STL-20260924</v>
          </cell>
        </row>
        <row r="4067">
          <cell r="K4067">
            <v>599</v>
          </cell>
          <cell r="M4067" t="str">
            <v>STL-20260924</v>
          </cell>
        </row>
        <row r="4068">
          <cell r="K4068">
            <v>781.09</v>
          </cell>
          <cell r="M4068" t="str">
            <v>STL-20260924</v>
          </cell>
        </row>
        <row r="4069">
          <cell r="K4069">
            <v>976.6</v>
          </cell>
          <cell r="M4069" t="str">
            <v>STL-20260924</v>
          </cell>
        </row>
        <row r="4070">
          <cell r="K4070">
            <v>2490.15</v>
          </cell>
          <cell r="M4070" t="str">
            <v>STL-20260924</v>
          </cell>
        </row>
        <row r="4071">
          <cell r="K4071">
            <v>1498</v>
          </cell>
          <cell r="M4071" t="str">
            <v>STL-20260924</v>
          </cell>
        </row>
        <row r="4072">
          <cell r="K4072">
            <v>8337.56</v>
          </cell>
          <cell r="M4072" t="str">
            <v>STL-20260924</v>
          </cell>
        </row>
        <row r="4073">
          <cell r="K4073">
            <v>6475</v>
          </cell>
          <cell r="M4073" t="str">
            <v>STL-20260924</v>
          </cell>
        </row>
        <row r="4074">
          <cell r="K4074">
            <v>4482.08</v>
          </cell>
          <cell r="M4074" t="str">
            <v>STL-20260924</v>
          </cell>
        </row>
        <row r="4075">
          <cell r="K4075">
            <v>3035.85</v>
          </cell>
          <cell r="M4075" t="str">
            <v>STL-20260924</v>
          </cell>
        </row>
        <row r="4076">
          <cell r="K4076">
            <v>341.59</v>
          </cell>
          <cell r="M4076" t="str">
            <v>STL-20260924</v>
          </cell>
        </row>
        <row r="4077">
          <cell r="K4077">
            <v>3783.56</v>
          </cell>
          <cell r="M4077" t="str">
            <v>STL-20260924</v>
          </cell>
        </row>
        <row r="4078">
          <cell r="K4078">
            <v>4980.3100000000004</v>
          </cell>
          <cell r="M4078" t="str">
            <v>STL-20260924</v>
          </cell>
        </row>
        <row r="4079">
          <cell r="K4079">
            <v>3584.27</v>
          </cell>
          <cell r="M4079" t="str">
            <v>STL-20260924</v>
          </cell>
        </row>
        <row r="4080">
          <cell r="K4080">
            <v>9763.32</v>
          </cell>
          <cell r="M4080" t="str">
            <v>STL-20260924</v>
          </cell>
        </row>
        <row r="4081">
          <cell r="K4081">
            <v>3917.8</v>
          </cell>
          <cell r="M4081" t="str">
            <v>STL-20260924</v>
          </cell>
        </row>
        <row r="4082">
          <cell r="K4082">
            <v>1271.4100000000001</v>
          </cell>
          <cell r="M4082" t="str">
            <v>STL-20260924</v>
          </cell>
        </row>
        <row r="4083">
          <cell r="K4083">
            <v>13449.22</v>
          </cell>
          <cell r="M4083" t="str">
            <v>STL-20260924</v>
          </cell>
        </row>
        <row r="4084">
          <cell r="K4084">
            <v>8827.14</v>
          </cell>
          <cell r="M4084" t="str">
            <v>STL-20260924</v>
          </cell>
        </row>
        <row r="4085">
          <cell r="K4085">
            <v>2289.87</v>
          </cell>
          <cell r="M4085" t="str">
            <v>STL-20260924</v>
          </cell>
        </row>
        <row r="4086">
          <cell r="K4086">
            <v>299</v>
          </cell>
          <cell r="M4086" t="str">
            <v>STL-20260924</v>
          </cell>
        </row>
        <row r="4087">
          <cell r="K4087">
            <v>3431.96</v>
          </cell>
          <cell r="M4087" t="str">
            <v>STL-20260924</v>
          </cell>
        </row>
        <row r="4088">
          <cell r="K4088">
            <v>599</v>
          </cell>
          <cell r="M4088" t="str">
            <v>STL-20260924</v>
          </cell>
        </row>
        <row r="4089">
          <cell r="K4089">
            <v>3585.27</v>
          </cell>
          <cell r="M4089" t="str">
            <v>STL-20260924</v>
          </cell>
        </row>
        <row r="4090">
          <cell r="K4090">
            <v>6324.53</v>
          </cell>
          <cell r="M4090" t="str">
            <v>STL-20260924</v>
          </cell>
        </row>
        <row r="4091">
          <cell r="K4091">
            <v>3834.38</v>
          </cell>
          <cell r="M4091" t="str">
            <v>STL-20260924</v>
          </cell>
        </row>
        <row r="4092">
          <cell r="K4092">
            <v>3235.73</v>
          </cell>
          <cell r="M4092" t="str">
            <v>STL-20260924</v>
          </cell>
        </row>
        <row r="4093">
          <cell r="K4093">
            <v>926.75</v>
          </cell>
          <cell r="M4093" t="str">
            <v>STL-20260924</v>
          </cell>
        </row>
        <row r="4094">
          <cell r="K4094">
            <v>3883.21</v>
          </cell>
          <cell r="M4094" t="str">
            <v>STL-20260924</v>
          </cell>
        </row>
        <row r="4095">
          <cell r="K4095">
            <v>4781.0200000000004</v>
          </cell>
          <cell r="M4095" t="str">
            <v>STL-20260924</v>
          </cell>
        </row>
        <row r="4096">
          <cell r="K4096">
            <v>488.4</v>
          </cell>
          <cell r="M4096" t="str">
            <v>STL-20260924</v>
          </cell>
        </row>
        <row r="4097">
          <cell r="K4097">
            <v>1172.56</v>
          </cell>
          <cell r="M4097" t="str">
            <v>STL-20260924</v>
          </cell>
        </row>
        <row r="4098">
          <cell r="K4098">
            <v>2451.8200000000002</v>
          </cell>
          <cell r="M4098" t="str">
            <v>STL-20260924</v>
          </cell>
        </row>
        <row r="4099">
          <cell r="K4099">
            <v>2745.17</v>
          </cell>
          <cell r="M4099" t="str">
            <v>STL-20260924</v>
          </cell>
        </row>
        <row r="4100">
          <cell r="K4100">
            <v>6375.32</v>
          </cell>
          <cell r="M4100" t="str">
            <v>STL-20260924</v>
          </cell>
        </row>
        <row r="4101">
          <cell r="K4101">
            <v>3087.04</v>
          </cell>
          <cell r="M4101" t="str">
            <v>STL-20260924</v>
          </cell>
        </row>
        <row r="4102">
          <cell r="K4102">
            <v>4510.21</v>
          </cell>
          <cell r="M4102" t="str">
            <v>STL-20260924</v>
          </cell>
        </row>
        <row r="4103">
          <cell r="K4103">
            <v>10559.49</v>
          </cell>
          <cell r="M4103" t="str">
            <v>STL-20260924</v>
          </cell>
        </row>
        <row r="4104">
          <cell r="K4104">
            <v>8317.4500000000007</v>
          </cell>
          <cell r="M4104" t="str">
            <v>STL-20260924</v>
          </cell>
        </row>
        <row r="4105">
          <cell r="K4105">
            <v>5577.19</v>
          </cell>
          <cell r="M4105" t="str">
            <v>STL-20260924</v>
          </cell>
        </row>
        <row r="4106">
          <cell r="K4106">
            <v>6075.42</v>
          </cell>
          <cell r="M4106" t="str">
            <v>STL-20260924</v>
          </cell>
        </row>
        <row r="4107">
          <cell r="K4107">
            <v>349</v>
          </cell>
          <cell r="M4107" t="str">
            <v>STL-20260924</v>
          </cell>
        </row>
        <row r="4108">
          <cell r="K4108">
            <v>8267.6299999999992</v>
          </cell>
          <cell r="M4108" t="str">
            <v>STL-20260924</v>
          </cell>
        </row>
        <row r="4109">
          <cell r="K4109">
            <v>1269.8800000000001</v>
          </cell>
          <cell r="M4109" t="str">
            <v>STL-20260924</v>
          </cell>
        </row>
        <row r="4110">
          <cell r="K4110">
            <v>3086.04</v>
          </cell>
          <cell r="M4110" t="str">
            <v>STL-20260924</v>
          </cell>
        </row>
        <row r="4111">
          <cell r="K4111">
            <v>499</v>
          </cell>
          <cell r="M4111" t="str">
            <v>STL-20260924</v>
          </cell>
        </row>
        <row r="4112">
          <cell r="K4112">
            <v>1499</v>
          </cell>
          <cell r="M4112" t="str">
            <v>STL-20260924</v>
          </cell>
        </row>
        <row r="4113">
          <cell r="K4113">
            <v>341.59</v>
          </cell>
          <cell r="M4113" t="str">
            <v>STL-20260924</v>
          </cell>
        </row>
        <row r="4114">
          <cell r="K4114">
            <v>11378.05</v>
          </cell>
          <cell r="M4114" t="str">
            <v>STL-20260924</v>
          </cell>
        </row>
        <row r="4115">
          <cell r="K4115">
            <v>5279.25</v>
          </cell>
          <cell r="M4115" t="str">
            <v>STL-20260924</v>
          </cell>
        </row>
        <row r="4116">
          <cell r="K4116">
            <v>3432.94</v>
          </cell>
          <cell r="M4116" t="str">
            <v>STL-20260924</v>
          </cell>
        </row>
        <row r="4117">
          <cell r="K4117">
            <v>6669.65</v>
          </cell>
          <cell r="M4117" t="str">
            <v>STL-20260924</v>
          </cell>
        </row>
        <row r="4118">
          <cell r="K4118">
            <v>1598</v>
          </cell>
          <cell r="M4118" t="str">
            <v>STL-20260924</v>
          </cell>
        </row>
        <row r="4119">
          <cell r="K4119">
            <v>781.09</v>
          </cell>
          <cell r="M4119" t="str">
            <v>STL-20260924</v>
          </cell>
        </row>
        <row r="4120">
          <cell r="K4120">
            <v>1465.39</v>
          </cell>
          <cell r="M4120" t="str">
            <v>STL-20260924</v>
          </cell>
        </row>
        <row r="4121">
          <cell r="K4121">
            <v>1760.79</v>
          </cell>
          <cell r="M4121" t="str">
            <v>STL-20260924</v>
          </cell>
        </row>
        <row r="4122">
          <cell r="K4122">
            <v>976.6</v>
          </cell>
          <cell r="M4122" t="str">
            <v>STL-20260924</v>
          </cell>
        </row>
        <row r="4123">
          <cell r="K4123">
            <v>1298</v>
          </cell>
          <cell r="M4123" t="str">
            <v>STL-20260924</v>
          </cell>
        </row>
        <row r="4124">
          <cell r="K4124">
            <v>599</v>
          </cell>
          <cell r="M4124" t="str">
            <v>STL-20260924</v>
          </cell>
        </row>
        <row r="4125">
          <cell r="K4125">
            <v>3774.37</v>
          </cell>
          <cell r="M4125" t="str">
            <v>STL-20260924</v>
          </cell>
        </row>
        <row r="4126">
          <cell r="K4126">
            <v>3584.27</v>
          </cell>
          <cell r="M4126" t="str">
            <v>STL-20260924</v>
          </cell>
        </row>
        <row r="4127">
          <cell r="K4127">
            <v>1799</v>
          </cell>
          <cell r="M4127" t="str">
            <v>STL-20260924</v>
          </cell>
        </row>
        <row r="4128">
          <cell r="K4128">
            <v>2490.15</v>
          </cell>
          <cell r="M4128" t="str">
            <v>STL-20260924</v>
          </cell>
        </row>
        <row r="4129">
          <cell r="K4129">
            <v>3485.62</v>
          </cell>
          <cell r="M4129" t="str">
            <v>STL-20260924</v>
          </cell>
        </row>
        <row r="4130">
          <cell r="K4130">
            <v>999</v>
          </cell>
          <cell r="M4130" t="str">
            <v>STL-20260924</v>
          </cell>
        </row>
        <row r="4131">
          <cell r="K4131">
            <v>8425.52</v>
          </cell>
          <cell r="M4131" t="str">
            <v>STL-20260924</v>
          </cell>
        </row>
        <row r="4132">
          <cell r="K4132">
            <v>1799</v>
          </cell>
          <cell r="M4132" t="str">
            <v>STL-20260924</v>
          </cell>
        </row>
        <row r="4133">
          <cell r="K4133">
            <v>2745.17</v>
          </cell>
          <cell r="M4133" t="str">
            <v>STL-20260924</v>
          </cell>
        </row>
        <row r="4134">
          <cell r="K4134">
            <v>634.24</v>
          </cell>
          <cell r="M4134" t="str">
            <v>STL-20260924</v>
          </cell>
        </row>
        <row r="4135">
          <cell r="K4135">
            <v>1997</v>
          </cell>
          <cell r="M4135" t="str">
            <v>STL-20260924</v>
          </cell>
        </row>
        <row r="4136">
          <cell r="K4136">
            <v>7885.73</v>
          </cell>
          <cell r="M4136" t="str">
            <v>STL-20260924</v>
          </cell>
        </row>
        <row r="4137">
          <cell r="K4137">
            <v>3486.61</v>
          </cell>
          <cell r="M4137" t="str">
            <v>STL-20260924</v>
          </cell>
        </row>
        <row r="4138">
          <cell r="K4138">
            <v>799</v>
          </cell>
          <cell r="M4138" t="str">
            <v>STL-20260924</v>
          </cell>
        </row>
        <row r="4139">
          <cell r="K4139">
            <v>9809.24</v>
          </cell>
          <cell r="M4139" t="str">
            <v>STL-20260924</v>
          </cell>
        </row>
        <row r="4140">
          <cell r="K4140">
            <v>499</v>
          </cell>
          <cell r="M4140" t="str">
            <v>STL-20260924</v>
          </cell>
        </row>
        <row r="4141">
          <cell r="K4141">
            <v>4482.08</v>
          </cell>
          <cell r="M4141" t="str">
            <v>STL-20260924</v>
          </cell>
        </row>
        <row r="4142">
          <cell r="K4142">
            <v>1098</v>
          </cell>
          <cell r="M4142" t="str">
            <v>STL-20260924</v>
          </cell>
        </row>
        <row r="4143">
          <cell r="K4143">
            <v>1499</v>
          </cell>
          <cell r="M4143" t="str">
            <v>STL-20260924</v>
          </cell>
        </row>
        <row r="4144">
          <cell r="K4144">
            <v>2691.89</v>
          </cell>
          <cell r="M4144" t="str">
            <v>STL-20260924</v>
          </cell>
        </row>
        <row r="4145">
          <cell r="K4145">
            <v>1299</v>
          </cell>
          <cell r="M4145" t="str">
            <v>STL-20260924</v>
          </cell>
        </row>
        <row r="4146">
          <cell r="K4146">
            <v>1990.93</v>
          </cell>
          <cell r="M4146" t="str">
            <v>STL-20260924</v>
          </cell>
        </row>
        <row r="4147">
          <cell r="K4147">
            <v>599</v>
          </cell>
          <cell r="M4147" t="str">
            <v>STL-20260924</v>
          </cell>
        </row>
        <row r="4148">
          <cell r="K4148">
            <v>4331.6099999999997</v>
          </cell>
          <cell r="M4148" t="str">
            <v>STL-20260924</v>
          </cell>
        </row>
        <row r="4149">
          <cell r="K4149">
            <v>2448.87</v>
          </cell>
          <cell r="M4149" t="str">
            <v>STL-20260924</v>
          </cell>
        </row>
        <row r="4150">
          <cell r="K4150">
            <v>292.64999999999998</v>
          </cell>
          <cell r="M4150" t="str">
            <v>STL-20260924</v>
          </cell>
        </row>
        <row r="4151">
          <cell r="K4151">
            <v>2448.87</v>
          </cell>
          <cell r="M4151" t="str">
            <v>STL-20260924</v>
          </cell>
        </row>
        <row r="4152">
          <cell r="K4152">
            <v>2560.23</v>
          </cell>
          <cell r="M4152" t="str">
            <v>STL-20260924</v>
          </cell>
        </row>
        <row r="4153">
          <cell r="K4153">
            <v>5517.75</v>
          </cell>
          <cell r="M4153" t="str">
            <v>STL-20260924</v>
          </cell>
        </row>
        <row r="4154">
          <cell r="K4154">
            <v>3428.81</v>
          </cell>
          <cell r="M4154" t="str">
            <v>STL-20260924</v>
          </cell>
        </row>
        <row r="4155">
          <cell r="K4155">
            <v>599</v>
          </cell>
          <cell r="M4155" t="str">
            <v>STL-20260924</v>
          </cell>
        </row>
        <row r="4156">
          <cell r="K4156">
            <v>782.03</v>
          </cell>
          <cell r="M4156" t="str">
            <v>STL-20260924</v>
          </cell>
        </row>
        <row r="4157">
          <cell r="K4157">
            <v>3102.44</v>
          </cell>
          <cell r="M4157" t="str">
            <v>STL-20260924</v>
          </cell>
        </row>
        <row r="4158">
          <cell r="K4158">
            <v>-799</v>
          </cell>
          <cell r="M4158" t="str">
            <v>STL-20260924</v>
          </cell>
        </row>
        <row r="4159">
          <cell r="K4159">
            <v>-499</v>
          </cell>
          <cell r="M4159" t="str">
            <v>STL-20260924</v>
          </cell>
        </row>
        <row r="4160">
          <cell r="K4160">
            <v>-2298</v>
          </cell>
          <cell r="M4160" t="str">
            <v>STL-20260924</v>
          </cell>
        </row>
        <row r="4161">
          <cell r="K4161">
            <v>-11497</v>
          </cell>
          <cell r="M4161" t="str">
            <v>STL-20260924</v>
          </cell>
        </row>
        <row r="4162">
          <cell r="K4162">
            <v>-5998</v>
          </cell>
          <cell r="M4162" t="str">
            <v>STL-20260924</v>
          </cell>
        </row>
        <row r="4163">
          <cell r="K4163">
            <v>-2999</v>
          </cell>
          <cell r="M4163" t="str">
            <v>STL-20260924</v>
          </cell>
        </row>
        <row r="4164">
          <cell r="K4164">
            <v>-1499</v>
          </cell>
          <cell r="M4164" t="str">
            <v>STL-20260924</v>
          </cell>
        </row>
        <row r="4165">
          <cell r="K4165">
            <v>-1799</v>
          </cell>
          <cell r="M4165" t="str">
            <v>STL-20260924</v>
          </cell>
        </row>
        <row r="4166">
          <cell r="K4166">
            <v>-3499</v>
          </cell>
          <cell r="M4166" t="str">
            <v>STL-20260924</v>
          </cell>
        </row>
        <row r="4167">
          <cell r="K4167">
            <v>4630.55</v>
          </cell>
          <cell r="M4167" t="str">
            <v>STL-20260925</v>
          </cell>
        </row>
        <row r="4168">
          <cell r="K4168">
            <v>5777.48</v>
          </cell>
          <cell r="M4168" t="str">
            <v>STL-20260925</v>
          </cell>
        </row>
        <row r="4169">
          <cell r="K4169">
            <v>1271.4100000000001</v>
          </cell>
          <cell r="M4169" t="str">
            <v>STL-20260925</v>
          </cell>
        </row>
        <row r="4170">
          <cell r="K4170">
            <v>2055.91</v>
          </cell>
          <cell r="M4170" t="str">
            <v>STL-20260925</v>
          </cell>
        </row>
        <row r="4171">
          <cell r="K4171">
            <v>349</v>
          </cell>
          <cell r="M4171" t="str">
            <v>STL-20260925</v>
          </cell>
        </row>
        <row r="4172">
          <cell r="K4172">
            <v>342.82</v>
          </cell>
          <cell r="M4172" t="str">
            <v>STL-20260925</v>
          </cell>
        </row>
        <row r="4173">
          <cell r="K4173">
            <v>7885.73</v>
          </cell>
          <cell r="M4173" t="str">
            <v>STL-20260925</v>
          </cell>
        </row>
        <row r="4174">
          <cell r="K4174">
            <v>1299</v>
          </cell>
          <cell r="M4174" t="str">
            <v>STL-20260925</v>
          </cell>
        </row>
        <row r="4175">
          <cell r="K4175">
            <v>292.64999999999998</v>
          </cell>
          <cell r="M4175" t="str">
            <v>STL-20260925</v>
          </cell>
        </row>
        <row r="4176">
          <cell r="K4176">
            <v>585.57000000000005</v>
          </cell>
          <cell r="M4176" t="str">
            <v>STL-20260925</v>
          </cell>
        </row>
        <row r="4177">
          <cell r="K4177">
            <v>5913.06</v>
          </cell>
          <cell r="M4177" t="str">
            <v>STL-20260925</v>
          </cell>
        </row>
        <row r="4178">
          <cell r="K4178">
            <v>3486.61</v>
          </cell>
          <cell r="M4178" t="str">
            <v>STL-20260925</v>
          </cell>
        </row>
        <row r="4179">
          <cell r="K4179">
            <v>292.64999999999998</v>
          </cell>
          <cell r="M4179" t="str">
            <v>STL-20260925</v>
          </cell>
        </row>
        <row r="4180">
          <cell r="K4180">
            <v>1798</v>
          </cell>
          <cell r="M4180" t="str">
            <v>STL-20260925</v>
          </cell>
        </row>
        <row r="4181">
          <cell r="K4181">
            <v>4083.5</v>
          </cell>
          <cell r="M4181" t="str">
            <v>STL-20260925</v>
          </cell>
        </row>
        <row r="4182">
          <cell r="K4182">
            <v>4216.8500000000004</v>
          </cell>
          <cell r="M4182" t="str">
            <v>STL-20260925</v>
          </cell>
        </row>
        <row r="4183">
          <cell r="K4183">
            <v>2090.58</v>
          </cell>
          <cell r="M4183" t="str">
            <v>STL-20260925</v>
          </cell>
        </row>
        <row r="4184">
          <cell r="K4184">
            <v>1498</v>
          </cell>
          <cell r="M4184" t="str">
            <v>STL-20260925</v>
          </cell>
        </row>
        <row r="4185">
          <cell r="K4185">
            <v>299</v>
          </cell>
          <cell r="M4185" t="str">
            <v>STL-20260925</v>
          </cell>
        </row>
        <row r="4186">
          <cell r="K4186">
            <v>4981.3</v>
          </cell>
          <cell r="M4186" t="str">
            <v>STL-20260925</v>
          </cell>
        </row>
        <row r="4187">
          <cell r="K4187">
            <v>4132.32</v>
          </cell>
          <cell r="M4187" t="str">
            <v>STL-20260925</v>
          </cell>
        </row>
        <row r="4188">
          <cell r="K4188">
            <v>2988.38</v>
          </cell>
          <cell r="M4188" t="str">
            <v>STL-20260925</v>
          </cell>
        </row>
        <row r="4189">
          <cell r="K4189">
            <v>848</v>
          </cell>
          <cell r="M4189" t="str">
            <v>STL-20260925</v>
          </cell>
        </row>
        <row r="4190">
          <cell r="K4190">
            <v>4082.5</v>
          </cell>
          <cell r="M4190" t="str">
            <v>STL-20260925</v>
          </cell>
        </row>
        <row r="4191">
          <cell r="K4191">
            <v>586.28</v>
          </cell>
          <cell r="M4191" t="str">
            <v>STL-20260925</v>
          </cell>
        </row>
        <row r="4192">
          <cell r="K4192">
            <v>1799</v>
          </cell>
          <cell r="M4192" t="str">
            <v>STL-20260925</v>
          </cell>
        </row>
        <row r="4193">
          <cell r="K4193">
            <v>799</v>
          </cell>
          <cell r="M4193" t="str">
            <v>STL-20260925</v>
          </cell>
        </row>
        <row r="4194">
          <cell r="K4194">
            <v>499</v>
          </cell>
          <cell r="M4194" t="str">
            <v>STL-20260925</v>
          </cell>
        </row>
        <row r="4195">
          <cell r="K4195">
            <v>9264.09</v>
          </cell>
          <cell r="M4195" t="str">
            <v>STL-20260925</v>
          </cell>
        </row>
        <row r="4196">
          <cell r="K4196">
            <v>6375.32</v>
          </cell>
          <cell r="M4196" t="str">
            <v>STL-20260925</v>
          </cell>
        </row>
        <row r="4197">
          <cell r="K4197">
            <v>1799</v>
          </cell>
          <cell r="M4197" t="str">
            <v>STL-20260925</v>
          </cell>
        </row>
        <row r="4198">
          <cell r="K4198">
            <v>490.16</v>
          </cell>
          <cell r="M4198" t="str">
            <v>STL-20260925</v>
          </cell>
        </row>
        <row r="4199">
          <cell r="K4199">
            <v>4981.3</v>
          </cell>
          <cell r="M4199" t="str">
            <v>STL-20260925</v>
          </cell>
        </row>
        <row r="4200">
          <cell r="K4200">
            <v>8092.28</v>
          </cell>
          <cell r="M4200" t="str">
            <v>STL-20260925</v>
          </cell>
        </row>
        <row r="4201">
          <cell r="K4201">
            <v>299</v>
          </cell>
          <cell r="M4201" t="str">
            <v>STL-20260925</v>
          </cell>
        </row>
        <row r="4202">
          <cell r="K4202">
            <v>5976.77</v>
          </cell>
          <cell r="M4202" t="str">
            <v>STL-20260925</v>
          </cell>
        </row>
        <row r="4203">
          <cell r="K4203">
            <v>798</v>
          </cell>
          <cell r="M4203" t="str">
            <v>STL-20260925</v>
          </cell>
        </row>
        <row r="4204">
          <cell r="K4204">
            <v>5279.25</v>
          </cell>
          <cell r="M4204" t="str">
            <v>STL-20260925</v>
          </cell>
        </row>
        <row r="4205">
          <cell r="K4205">
            <v>3428.81</v>
          </cell>
          <cell r="M4205" t="str">
            <v>STL-20260925</v>
          </cell>
        </row>
        <row r="4206">
          <cell r="K4206">
            <v>4210.8</v>
          </cell>
          <cell r="M4206" t="str">
            <v>STL-20260925</v>
          </cell>
        </row>
        <row r="4207">
          <cell r="K4207">
            <v>292.64999999999998</v>
          </cell>
          <cell r="M4207" t="str">
            <v>STL-20260925</v>
          </cell>
        </row>
        <row r="4208">
          <cell r="K4208">
            <v>12166.41</v>
          </cell>
          <cell r="M4208" t="str">
            <v>STL-20260925</v>
          </cell>
        </row>
        <row r="4209">
          <cell r="K4209">
            <v>4413.08</v>
          </cell>
          <cell r="M4209" t="str">
            <v>STL-20260925</v>
          </cell>
        </row>
        <row r="4210">
          <cell r="K4210">
            <v>3384.98</v>
          </cell>
          <cell r="M4210" t="str">
            <v>STL-20260925</v>
          </cell>
        </row>
        <row r="4211">
          <cell r="K4211">
            <v>5191.72</v>
          </cell>
          <cell r="M4211" t="str">
            <v>STL-20260925</v>
          </cell>
        </row>
        <row r="4212">
          <cell r="K4212">
            <v>3251.3</v>
          </cell>
          <cell r="M4212" t="str">
            <v>STL-20260925</v>
          </cell>
        </row>
        <row r="4213">
          <cell r="K4213">
            <v>2637.63</v>
          </cell>
          <cell r="M4213" t="str">
            <v>STL-20260925</v>
          </cell>
        </row>
        <row r="4214">
          <cell r="K4214">
            <v>499</v>
          </cell>
          <cell r="M4214" t="str">
            <v>STL-20260925</v>
          </cell>
        </row>
        <row r="4215">
          <cell r="K4215">
            <v>12054.18</v>
          </cell>
          <cell r="M4215" t="str">
            <v>STL-20260925</v>
          </cell>
        </row>
        <row r="4216">
          <cell r="K4216">
            <v>2490.15</v>
          </cell>
          <cell r="M4216" t="str">
            <v>STL-20260925</v>
          </cell>
        </row>
        <row r="4217">
          <cell r="K4217">
            <v>784.85</v>
          </cell>
          <cell r="M4217" t="str">
            <v>STL-20260925</v>
          </cell>
        </row>
        <row r="4218">
          <cell r="K4218">
            <v>9110.5</v>
          </cell>
          <cell r="M4218" t="str">
            <v>STL-20260925</v>
          </cell>
        </row>
        <row r="4219">
          <cell r="K4219">
            <v>2547.9699999999998</v>
          </cell>
          <cell r="M4219" t="str">
            <v>STL-20260925</v>
          </cell>
        </row>
        <row r="4220">
          <cell r="K4220">
            <v>4781.0200000000004</v>
          </cell>
          <cell r="M4220" t="str">
            <v>STL-20260925</v>
          </cell>
        </row>
        <row r="4221">
          <cell r="K4221">
            <v>9164.44</v>
          </cell>
          <cell r="M4221" t="str">
            <v>STL-20260925</v>
          </cell>
        </row>
        <row r="4222">
          <cell r="K4222">
            <v>2842.31</v>
          </cell>
          <cell r="M4222" t="str">
            <v>STL-20260925</v>
          </cell>
        </row>
        <row r="4223">
          <cell r="K4223">
            <v>2741.87</v>
          </cell>
          <cell r="M4223" t="str">
            <v>STL-20260925</v>
          </cell>
        </row>
        <row r="4224">
          <cell r="K4224">
            <v>3039.51</v>
          </cell>
          <cell r="M4224" t="str">
            <v>STL-20260925</v>
          </cell>
        </row>
        <row r="4225">
          <cell r="K4225">
            <v>4381.4399999999996</v>
          </cell>
          <cell r="M4225" t="str">
            <v>STL-20260925</v>
          </cell>
        </row>
        <row r="4226">
          <cell r="K4226">
            <v>5279.25</v>
          </cell>
          <cell r="M4226" t="str">
            <v>STL-20260925</v>
          </cell>
        </row>
        <row r="4227">
          <cell r="K4227">
            <v>7885.73</v>
          </cell>
          <cell r="M4227" t="str">
            <v>STL-20260925</v>
          </cell>
        </row>
        <row r="4228">
          <cell r="K4228">
            <v>1299</v>
          </cell>
          <cell r="M4228" t="str">
            <v>STL-20260925</v>
          </cell>
        </row>
        <row r="4229">
          <cell r="K4229">
            <v>349</v>
          </cell>
          <cell r="M4229" t="str">
            <v>STL-20260925</v>
          </cell>
        </row>
        <row r="4230">
          <cell r="K4230">
            <v>4981.3</v>
          </cell>
          <cell r="M4230" t="str">
            <v>STL-20260925</v>
          </cell>
        </row>
        <row r="4231">
          <cell r="K4231">
            <v>2988.38</v>
          </cell>
          <cell r="M4231" t="str">
            <v>STL-20260925</v>
          </cell>
        </row>
        <row r="4232">
          <cell r="K4232">
            <v>7970.68</v>
          </cell>
          <cell r="M4232" t="str">
            <v>STL-20260925</v>
          </cell>
        </row>
        <row r="4233">
          <cell r="K4233">
            <v>2451.8200000000002</v>
          </cell>
          <cell r="M4233" t="str">
            <v>STL-20260925</v>
          </cell>
        </row>
        <row r="4234">
          <cell r="K4234">
            <v>7970.68</v>
          </cell>
          <cell r="M4234" t="str">
            <v>STL-20260925</v>
          </cell>
        </row>
        <row r="4235">
          <cell r="K4235">
            <v>799</v>
          </cell>
          <cell r="M4235" t="str">
            <v>STL-20260925</v>
          </cell>
        </row>
        <row r="4236">
          <cell r="K4236">
            <v>349</v>
          </cell>
          <cell r="M4236" t="str">
            <v>STL-20260925</v>
          </cell>
        </row>
        <row r="4237">
          <cell r="K4237">
            <v>782.03</v>
          </cell>
          <cell r="M4237" t="str">
            <v>STL-20260925</v>
          </cell>
        </row>
        <row r="4238">
          <cell r="K4238">
            <v>2988.38</v>
          </cell>
          <cell r="M4238" t="str">
            <v>STL-20260925</v>
          </cell>
        </row>
        <row r="4239">
          <cell r="K4239">
            <v>4707.41</v>
          </cell>
          <cell r="M4239" t="str">
            <v>STL-20260925</v>
          </cell>
        </row>
        <row r="4240">
          <cell r="K4240">
            <v>2313.77</v>
          </cell>
          <cell r="M4240" t="str">
            <v>STL-20260925</v>
          </cell>
        </row>
        <row r="4241">
          <cell r="K4241">
            <v>7968.69</v>
          </cell>
          <cell r="M4241" t="str">
            <v>STL-20260925</v>
          </cell>
        </row>
        <row r="4242">
          <cell r="K4242">
            <v>981.31</v>
          </cell>
          <cell r="M4242" t="str">
            <v>STL-20260925</v>
          </cell>
        </row>
        <row r="4243">
          <cell r="K4243">
            <v>3286.33</v>
          </cell>
          <cell r="M4243" t="str">
            <v>STL-20260925</v>
          </cell>
        </row>
        <row r="4244">
          <cell r="K4244">
            <v>3087.04</v>
          </cell>
          <cell r="M4244" t="str">
            <v>STL-20260925</v>
          </cell>
        </row>
        <row r="4245">
          <cell r="K4245">
            <v>927.87</v>
          </cell>
          <cell r="M4245" t="str">
            <v>STL-20260925</v>
          </cell>
        </row>
        <row r="4246">
          <cell r="K4246">
            <v>999</v>
          </cell>
          <cell r="M4246" t="str">
            <v>STL-20260925</v>
          </cell>
        </row>
        <row r="4247">
          <cell r="K4247">
            <v>7970.68</v>
          </cell>
          <cell r="M4247" t="str">
            <v>STL-20260925</v>
          </cell>
        </row>
        <row r="4248">
          <cell r="K4248">
            <v>7969.69</v>
          </cell>
          <cell r="M4248" t="str">
            <v>STL-20260925</v>
          </cell>
        </row>
        <row r="4249">
          <cell r="K4249">
            <v>781.06</v>
          </cell>
          <cell r="M4249" t="str">
            <v>STL-20260925</v>
          </cell>
        </row>
        <row r="4250">
          <cell r="K4250">
            <v>1760.79</v>
          </cell>
          <cell r="M4250" t="str">
            <v>STL-20260925</v>
          </cell>
        </row>
        <row r="4251">
          <cell r="K4251">
            <v>9110.5</v>
          </cell>
          <cell r="M4251" t="str">
            <v>STL-20260925</v>
          </cell>
        </row>
        <row r="4252">
          <cell r="K4252">
            <v>13732.74</v>
          </cell>
          <cell r="M4252" t="str">
            <v>STL-20260925</v>
          </cell>
        </row>
        <row r="4253">
          <cell r="K4253">
            <v>488.4</v>
          </cell>
          <cell r="M4253" t="str">
            <v>STL-20260925</v>
          </cell>
        </row>
        <row r="4254">
          <cell r="K4254">
            <v>999</v>
          </cell>
          <cell r="M4254" t="str">
            <v>STL-20260925</v>
          </cell>
        </row>
        <row r="4255">
          <cell r="K4255">
            <v>8467.92</v>
          </cell>
          <cell r="M4255" t="str">
            <v>STL-20260925</v>
          </cell>
        </row>
        <row r="4256">
          <cell r="K4256">
            <v>999</v>
          </cell>
          <cell r="M4256" t="str">
            <v>STL-20260925</v>
          </cell>
        </row>
        <row r="4257">
          <cell r="K4257">
            <v>1598</v>
          </cell>
          <cell r="M4257" t="str">
            <v>STL-20260925</v>
          </cell>
        </row>
        <row r="4258">
          <cell r="K4258">
            <v>2988.38</v>
          </cell>
          <cell r="M4258" t="str">
            <v>STL-20260925</v>
          </cell>
        </row>
        <row r="4259">
          <cell r="K4259">
            <v>341.59</v>
          </cell>
          <cell r="M4259" t="str">
            <v>STL-20260925</v>
          </cell>
        </row>
        <row r="4260">
          <cell r="K4260">
            <v>1299</v>
          </cell>
          <cell r="M4260" t="str">
            <v>STL-20260925</v>
          </cell>
        </row>
        <row r="4261">
          <cell r="K4261">
            <v>999</v>
          </cell>
          <cell r="M4261" t="str">
            <v>STL-20260925</v>
          </cell>
        </row>
        <row r="4262">
          <cell r="K4262">
            <v>599</v>
          </cell>
          <cell r="M4262" t="str">
            <v>STL-20260925</v>
          </cell>
        </row>
        <row r="4263">
          <cell r="K4263">
            <v>2758.38</v>
          </cell>
          <cell r="M4263" t="str">
            <v>STL-20260925</v>
          </cell>
        </row>
        <row r="4264">
          <cell r="K4264">
            <v>349</v>
          </cell>
          <cell r="M4264" t="str">
            <v>STL-20260925</v>
          </cell>
        </row>
        <row r="4265">
          <cell r="K4265">
            <v>9264.09</v>
          </cell>
          <cell r="M4265" t="str">
            <v>STL-20260925</v>
          </cell>
        </row>
        <row r="4266">
          <cell r="K4266">
            <v>2988.38</v>
          </cell>
          <cell r="M4266" t="str">
            <v>STL-20260925</v>
          </cell>
        </row>
        <row r="4267">
          <cell r="K4267">
            <v>5342.3</v>
          </cell>
          <cell r="M4267" t="str">
            <v>STL-20260925</v>
          </cell>
        </row>
        <row r="4268">
          <cell r="K4268">
            <v>9318.68</v>
          </cell>
          <cell r="M4268" t="str">
            <v>STL-20260925</v>
          </cell>
        </row>
        <row r="4269">
          <cell r="K4269">
            <v>349</v>
          </cell>
          <cell r="M4269" t="str">
            <v>STL-20260925</v>
          </cell>
        </row>
        <row r="4270">
          <cell r="K4270">
            <v>999</v>
          </cell>
          <cell r="M4270" t="str">
            <v>STL-20260925</v>
          </cell>
        </row>
        <row r="4271">
          <cell r="K4271">
            <v>5578.19</v>
          </cell>
          <cell r="M4271" t="str">
            <v>STL-20260925</v>
          </cell>
        </row>
        <row r="4272">
          <cell r="K4272">
            <v>7884.74</v>
          </cell>
          <cell r="M4272" t="str">
            <v>STL-20260925</v>
          </cell>
        </row>
        <row r="4273">
          <cell r="K4273">
            <v>499</v>
          </cell>
          <cell r="M4273" t="str">
            <v>STL-20260925</v>
          </cell>
        </row>
        <row r="4274">
          <cell r="K4274">
            <v>5279.25</v>
          </cell>
          <cell r="M4274" t="str">
            <v>STL-20260925</v>
          </cell>
        </row>
        <row r="4275">
          <cell r="K4275">
            <v>798</v>
          </cell>
          <cell r="M4275" t="str">
            <v>STL-20260925</v>
          </cell>
        </row>
        <row r="4276">
          <cell r="K4276">
            <v>349</v>
          </cell>
          <cell r="M4276" t="str">
            <v>STL-20260925</v>
          </cell>
        </row>
        <row r="4277">
          <cell r="K4277">
            <v>3185.68</v>
          </cell>
          <cell r="M4277" t="str">
            <v>STL-20260925</v>
          </cell>
        </row>
        <row r="4278">
          <cell r="K4278">
            <v>3286.33</v>
          </cell>
          <cell r="M4278" t="str">
            <v>STL-20260925</v>
          </cell>
        </row>
        <row r="4279">
          <cell r="K4279">
            <v>2490.15</v>
          </cell>
          <cell r="M4279" t="str">
            <v>STL-20260925</v>
          </cell>
        </row>
        <row r="4280">
          <cell r="K4280">
            <v>1598</v>
          </cell>
          <cell r="M4280" t="str">
            <v>STL-20260925</v>
          </cell>
        </row>
        <row r="4281">
          <cell r="K4281">
            <v>2057.41</v>
          </cell>
          <cell r="M4281" t="str">
            <v>STL-20260925</v>
          </cell>
        </row>
        <row r="4282">
          <cell r="K4282">
            <v>3726.29</v>
          </cell>
          <cell r="M4282" t="str">
            <v>STL-20260925</v>
          </cell>
        </row>
        <row r="4283">
          <cell r="K4283">
            <v>6772.94</v>
          </cell>
          <cell r="M4283" t="str">
            <v>STL-20260925</v>
          </cell>
        </row>
        <row r="4284">
          <cell r="K4284">
            <v>490.16</v>
          </cell>
          <cell r="M4284" t="str">
            <v>STL-20260925</v>
          </cell>
        </row>
        <row r="4285">
          <cell r="K4285">
            <v>7970.68</v>
          </cell>
          <cell r="M4285" t="str">
            <v>STL-20260925</v>
          </cell>
        </row>
        <row r="4286">
          <cell r="K4286">
            <v>7838.54</v>
          </cell>
          <cell r="M4286" t="str">
            <v>STL-20260925</v>
          </cell>
        </row>
        <row r="4287">
          <cell r="K4287">
            <v>8141.33</v>
          </cell>
          <cell r="M4287" t="str">
            <v>STL-20260925</v>
          </cell>
        </row>
        <row r="4288">
          <cell r="K4288">
            <v>15695.96</v>
          </cell>
          <cell r="M4288" t="str">
            <v>STL-20260925</v>
          </cell>
        </row>
        <row r="4289">
          <cell r="K4289">
            <v>4282.79</v>
          </cell>
          <cell r="M4289" t="str">
            <v>STL-20260925</v>
          </cell>
        </row>
        <row r="4290">
          <cell r="K4290">
            <v>3039.51</v>
          </cell>
          <cell r="M4290" t="str">
            <v>STL-20260925</v>
          </cell>
        </row>
        <row r="4291">
          <cell r="K4291">
            <v>1298</v>
          </cell>
          <cell r="M4291" t="str">
            <v>STL-20260925</v>
          </cell>
        </row>
        <row r="4292">
          <cell r="K4292">
            <v>2489.16</v>
          </cell>
          <cell r="M4292" t="str">
            <v>STL-20260925</v>
          </cell>
        </row>
        <row r="4293">
          <cell r="K4293">
            <v>4434.3</v>
          </cell>
          <cell r="M4293" t="str">
            <v>STL-20260925</v>
          </cell>
        </row>
        <row r="4294">
          <cell r="K4294">
            <v>977.78</v>
          </cell>
          <cell r="M4294" t="str">
            <v>STL-20260925</v>
          </cell>
        </row>
        <row r="4295">
          <cell r="K4295">
            <v>8268.6299999999992</v>
          </cell>
          <cell r="M4295" t="str">
            <v>STL-20260925</v>
          </cell>
        </row>
        <row r="4296">
          <cell r="K4296">
            <v>2987.39</v>
          </cell>
          <cell r="M4296" t="str">
            <v>STL-20260925</v>
          </cell>
        </row>
        <row r="4297">
          <cell r="K4297">
            <v>782.03</v>
          </cell>
          <cell r="M4297" t="str">
            <v>STL-20260925</v>
          </cell>
        </row>
        <row r="4298">
          <cell r="K4298">
            <v>8620.5300000000007</v>
          </cell>
          <cell r="M4298" t="str">
            <v>STL-20260925</v>
          </cell>
        </row>
        <row r="4299">
          <cell r="K4299">
            <v>4412.1000000000004</v>
          </cell>
          <cell r="M4299" t="str">
            <v>STL-20260925</v>
          </cell>
        </row>
        <row r="4300">
          <cell r="K4300">
            <v>3432.94</v>
          </cell>
          <cell r="M4300" t="str">
            <v>STL-20260925</v>
          </cell>
        </row>
        <row r="4301">
          <cell r="K4301">
            <v>4904.62</v>
          </cell>
          <cell r="M4301" t="str">
            <v>STL-20260925</v>
          </cell>
        </row>
        <row r="4302">
          <cell r="K4302">
            <v>1269.8800000000001</v>
          </cell>
          <cell r="M4302" t="str">
            <v>STL-20260925</v>
          </cell>
        </row>
        <row r="4303">
          <cell r="K4303">
            <v>349</v>
          </cell>
          <cell r="M4303" t="str">
            <v>STL-20260925</v>
          </cell>
        </row>
        <row r="4304">
          <cell r="K4304">
            <v>1464.42</v>
          </cell>
          <cell r="M4304" t="str">
            <v>STL-20260925</v>
          </cell>
        </row>
        <row r="4305">
          <cell r="K4305">
            <v>2545.88</v>
          </cell>
          <cell r="M4305" t="str">
            <v>STL-20260925</v>
          </cell>
        </row>
        <row r="4306">
          <cell r="K4306">
            <v>4281.79</v>
          </cell>
          <cell r="M4306" t="str">
            <v>STL-20260925</v>
          </cell>
        </row>
        <row r="4307">
          <cell r="K4307">
            <v>585.29999999999995</v>
          </cell>
          <cell r="M4307" t="str">
            <v>STL-20260925</v>
          </cell>
        </row>
        <row r="4308">
          <cell r="K4308">
            <v>8318.4500000000007</v>
          </cell>
          <cell r="M4308" t="str">
            <v>STL-20260925</v>
          </cell>
        </row>
        <row r="4309">
          <cell r="K4309">
            <v>3185.68</v>
          </cell>
          <cell r="M4309" t="str">
            <v>STL-20260925</v>
          </cell>
        </row>
        <row r="4310">
          <cell r="K4310">
            <v>12752.6</v>
          </cell>
          <cell r="M4310" t="str">
            <v>STL-20260925</v>
          </cell>
        </row>
        <row r="4311">
          <cell r="K4311">
            <v>3428.81</v>
          </cell>
          <cell r="M4311" t="str">
            <v>STL-20260925</v>
          </cell>
        </row>
        <row r="4312">
          <cell r="K4312">
            <v>1799</v>
          </cell>
          <cell r="M4312" t="str">
            <v>STL-20260925</v>
          </cell>
        </row>
        <row r="4313">
          <cell r="K4313">
            <v>8766.86</v>
          </cell>
          <cell r="M4313" t="str">
            <v>STL-20260925</v>
          </cell>
        </row>
        <row r="4314">
          <cell r="K4314">
            <v>6669.65</v>
          </cell>
          <cell r="M4314" t="str">
            <v>STL-20260925</v>
          </cell>
        </row>
        <row r="4315">
          <cell r="K4315">
            <v>7847.98</v>
          </cell>
          <cell r="M4315" t="str">
            <v>STL-20260925</v>
          </cell>
        </row>
        <row r="4316">
          <cell r="K4316">
            <v>596.88</v>
          </cell>
          <cell r="M4316" t="str">
            <v>STL-20260925</v>
          </cell>
        </row>
        <row r="4317">
          <cell r="K4317">
            <v>349</v>
          </cell>
          <cell r="M4317" t="str">
            <v>STL-20260925</v>
          </cell>
        </row>
        <row r="4318">
          <cell r="K4318">
            <v>3486.61</v>
          </cell>
          <cell r="M4318" t="str">
            <v>STL-20260925</v>
          </cell>
        </row>
        <row r="4319">
          <cell r="K4319">
            <v>1465.39</v>
          </cell>
          <cell r="M4319" t="str">
            <v>STL-20260925</v>
          </cell>
        </row>
        <row r="4320">
          <cell r="K4320">
            <v>1299</v>
          </cell>
          <cell r="M4320" t="str">
            <v>STL-20260925</v>
          </cell>
        </row>
        <row r="4321">
          <cell r="K4321">
            <v>3744.22</v>
          </cell>
          <cell r="M4321" t="str">
            <v>STL-20260925</v>
          </cell>
        </row>
        <row r="4322">
          <cell r="K4322">
            <v>2490.15</v>
          </cell>
          <cell r="M4322" t="str">
            <v>STL-20260925</v>
          </cell>
        </row>
        <row r="4323">
          <cell r="K4323">
            <v>3486.61</v>
          </cell>
          <cell r="M4323" t="str">
            <v>STL-20260925</v>
          </cell>
        </row>
        <row r="4324">
          <cell r="K4324">
            <v>5688.53</v>
          </cell>
          <cell r="M4324" t="str">
            <v>STL-20260925</v>
          </cell>
        </row>
        <row r="4325">
          <cell r="K4325">
            <v>1299</v>
          </cell>
          <cell r="M4325" t="str">
            <v>STL-20260925</v>
          </cell>
        </row>
        <row r="4326">
          <cell r="K4326">
            <v>4904.62</v>
          </cell>
          <cell r="M4326" t="str">
            <v>STL-20260925</v>
          </cell>
        </row>
        <row r="4327">
          <cell r="K4327">
            <v>3584.27</v>
          </cell>
          <cell r="M4327" t="str">
            <v>STL-20260925</v>
          </cell>
        </row>
        <row r="4328">
          <cell r="K4328">
            <v>4482.08</v>
          </cell>
          <cell r="M4328" t="str">
            <v>STL-20260925</v>
          </cell>
        </row>
        <row r="4329">
          <cell r="K4329">
            <v>1467.16</v>
          </cell>
          <cell r="M4329" t="str">
            <v>STL-20260925</v>
          </cell>
        </row>
        <row r="4330">
          <cell r="K4330">
            <v>1953.21</v>
          </cell>
          <cell r="M4330" t="str">
            <v>STL-20260925</v>
          </cell>
        </row>
        <row r="4331">
          <cell r="K4331">
            <v>3432.94</v>
          </cell>
          <cell r="M4331" t="str">
            <v>STL-20260925</v>
          </cell>
        </row>
        <row r="4332">
          <cell r="K4332">
            <v>-7297</v>
          </cell>
          <cell r="M4332" t="str">
            <v>STL-20260925</v>
          </cell>
        </row>
        <row r="4333">
          <cell r="K4333">
            <v>-2998</v>
          </cell>
          <cell r="M4333" t="str">
            <v>STL-20260925</v>
          </cell>
        </row>
        <row r="4334">
          <cell r="K4334">
            <v>-2798</v>
          </cell>
          <cell r="M4334" t="str">
            <v>STL-20260925</v>
          </cell>
        </row>
        <row r="4335">
          <cell r="K4335">
            <v>588.39</v>
          </cell>
          <cell r="M4335" t="str">
            <v>STL-20260926</v>
          </cell>
        </row>
        <row r="4336">
          <cell r="K4336">
            <v>1799</v>
          </cell>
          <cell r="M4336" t="str">
            <v>STL-20260926</v>
          </cell>
        </row>
        <row r="4337">
          <cell r="K4337">
            <v>6661.63</v>
          </cell>
          <cell r="M4337" t="str">
            <v>STL-20260926</v>
          </cell>
        </row>
        <row r="4338">
          <cell r="K4338">
            <v>8766.86</v>
          </cell>
          <cell r="M4338" t="str">
            <v>STL-20260926</v>
          </cell>
        </row>
        <row r="4339">
          <cell r="K4339">
            <v>4898.72</v>
          </cell>
          <cell r="M4339" t="str">
            <v>STL-20260926</v>
          </cell>
        </row>
        <row r="4340">
          <cell r="K4340">
            <v>1299</v>
          </cell>
          <cell r="M4340" t="str">
            <v>STL-20260926</v>
          </cell>
        </row>
        <row r="4341">
          <cell r="K4341">
            <v>1564.06</v>
          </cell>
          <cell r="M4341" t="str">
            <v>STL-20260926</v>
          </cell>
        </row>
        <row r="4342">
          <cell r="K4342">
            <v>3087.04</v>
          </cell>
          <cell r="M4342" t="str">
            <v>STL-20260926</v>
          </cell>
        </row>
        <row r="4343">
          <cell r="K4343">
            <v>999</v>
          </cell>
          <cell r="M4343" t="str">
            <v>STL-20260926</v>
          </cell>
        </row>
        <row r="4344">
          <cell r="K4344">
            <v>7970.68</v>
          </cell>
          <cell r="M4344" t="str">
            <v>STL-20260926</v>
          </cell>
        </row>
        <row r="4345">
          <cell r="K4345">
            <v>1299</v>
          </cell>
          <cell r="M4345" t="str">
            <v>STL-20260926</v>
          </cell>
        </row>
        <row r="4346">
          <cell r="K4346">
            <v>299</v>
          </cell>
          <cell r="M4346" t="str">
            <v>STL-20260926</v>
          </cell>
        </row>
        <row r="4347">
          <cell r="K4347">
            <v>2806.69</v>
          </cell>
          <cell r="M4347" t="str">
            <v>STL-20260926</v>
          </cell>
        </row>
        <row r="4348">
          <cell r="K4348">
            <v>6374.36</v>
          </cell>
          <cell r="M4348" t="str">
            <v>STL-20260926</v>
          </cell>
        </row>
        <row r="4349">
          <cell r="K4349">
            <v>3336.15</v>
          </cell>
          <cell r="M4349" t="str">
            <v>STL-20260926</v>
          </cell>
        </row>
        <row r="4350">
          <cell r="K4350">
            <v>292.64999999999998</v>
          </cell>
          <cell r="M4350" t="str">
            <v>STL-20260926</v>
          </cell>
        </row>
        <row r="4351">
          <cell r="K4351">
            <v>5478.54</v>
          </cell>
          <cell r="M4351" t="str">
            <v>STL-20260926</v>
          </cell>
        </row>
        <row r="4352">
          <cell r="K4352">
            <v>4211.78</v>
          </cell>
          <cell r="M4352" t="str">
            <v>STL-20260926</v>
          </cell>
        </row>
        <row r="4353">
          <cell r="K4353">
            <v>1648</v>
          </cell>
          <cell r="M4353" t="str">
            <v>STL-20260926</v>
          </cell>
        </row>
        <row r="4354">
          <cell r="K4354">
            <v>2955.54</v>
          </cell>
          <cell r="M4354" t="str">
            <v>STL-20260926</v>
          </cell>
        </row>
        <row r="4355">
          <cell r="K4355">
            <v>2787.1</v>
          </cell>
          <cell r="M4355" t="str">
            <v>STL-20260926</v>
          </cell>
        </row>
        <row r="4356">
          <cell r="K4356">
            <v>4979.3100000000004</v>
          </cell>
          <cell r="M4356" t="str">
            <v>STL-20260926</v>
          </cell>
        </row>
        <row r="4357">
          <cell r="K4357">
            <v>1465.39</v>
          </cell>
          <cell r="M4357" t="str">
            <v>STL-20260926</v>
          </cell>
        </row>
        <row r="4358">
          <cell r="K4358">
            <v>3784.56</v>
          </cell>
          <cell r="M4358" t="str">
            <v>STL-20260926</v>
          </cell>
        </row>
        <row r="4359">
          <cell r="K4359">
            <v>2461.65</v>
          </cell>
          <cell r="M4359" t="str">
            <v>STL-20260926</v>
          </cell>
        </row>
        <row r="4360">
          <cell r="K4360">
            <v>588.39</v>
          </cell>
          <cell r="M4360" t="str">
            <v>STL-20260926</v>
          </cell>
        </row>
        <row r="4361">
          <cell r="K4361">
            <v>2489.16</v>
          </cell>
          <cell r="M4361" t="str">
            <v>STL-20260926</v>
          </cell>
        </row>
        <row r="4362">
          <cell r="K4362">
            <v>4431.26</v>
          </cell>
          <cell r="M4362" t="str">
            <v>STL-20260926</v>
          </cell>
        </row>
        <row r="4363">
          <cell r="K4363">
            <v>599</v>
          </cell>
          <cell r="M4363" t="str">
            <v>STL-20260926</v>
          </cell>
        </row>
        <row r="4364">
          <cell r="K4364">
            <v>299</v>
          </cell>
          <cell r="M4364" t="str">
            <v>STL-20260926</v>
          </cell>
        </row>
        <row r="4365">
          <cell r="K4365">
            <v>4981.3</v>
          </cell>
          <cell r="M4365" t="str">
            <v>STL-20260926</v>
          </cell>
        </row>
        <row r="4366">
          <cell r="K4366">
            <v>1611.05</v>
          </cell>
          <cell r="M4366" t="str">
            <v>STL-20260926</v>
          </cell>
        </row>
        <row r="4367">
          <cell r="K4367">
            <v>2788.1</v>
          </cell>
          <cell r="M4367" t="str">
            <v>STL-20260926</v>
          </cell>
        </row>
        <row r="4368">
          <cell r="K4368">
            <v>11070.38</v>
          </cell>
          <cell r="M4368" t="str">
            <v>STL-20260926</v>
          </cell>
        </row>
        <row r="4369">
          <cell r="K4369">
            <v>782.03</v>
          </cell>
          <cell r="M4369" t="str">
            <v>STL-20260926</v>
          </cell>
        </row>
        <row r="4370">
          <cell r="K4370">
            <v>5491.33</v>
          </cell>
          <cell r="M4370" t="str">
            <v>STL-20260926</v>
          </cell>
        </row>
        <row r="4371">
          <cell r="K4371">
            <v>3486.61</v>
          </cell>
          <cell r="M4371" t="str">
            <v>STL-20260926</v>
          </cell>
        </row>
        <row r="4372">
          <cell r="K4372">
            <v>3486.61</v>
          </cell>
          <cell r="M4372" t="str">
            <v>STL-20260926</v>
          </cell>
        </row>
        <row r="4373">
          <cell r="K4373">
            <v>7838.54</v>
          </cell>
          <cell r="M4373" t="str">
            <v>STL-20260926</v>
          </cell>
        </row>
        <row r="4374">
          <cell r="K4374">
            <v>781.09</v>
          </cell>
          <cell r="M4374" t="str">
            <v>STL-20260926</v>
          </cell>
        </row>
        <row r="4375">
          <cell r="K4375">
            <v>6475</v>
          </cell>
          <cell r="M4375" t="str">
            <v>STL-20260926</v>
          </cell>
        </row>
        <row r="4376">
          <cell r="K4376">
            <v>585.57000000000005</v>
          </cell>
          <cell r="M4376" t="str">
            <v>STL-20260926</v>
          </cell>
        </row>
        <row r="4377">
          <cell r="K4377">
            <v>976.81</v>
          </cell>
          <cell r="M4377" t="str">
            <v>STL-20260926</v>
          </cell>
        </row>
        <row r="4378">
          <cell r="K4378">
            <v>4981.3</v>
          </cell>
          <cell r="M4378" t="str">
            <v>STL-20260926</v>
          </cell>
        </row>
        <row r="4379">
          <cell r="K4379">
            <v>2942.38</v>
          </cell>
          <cell r="M4379" t="str">
            <v>STL-20260926</v>
          </cell>
        </row>
        <row r="4380">
          <cell r="K4380">
            <v>16950.02</v>
          </cell>
          <cell r="M4380" t="str">
            <v>STL-20260926</v>
          </cell>
        </row>
        <row r="4381">
          <cell r="K4381">
            <v>2189.2199999999998</v>
          </cell>
          <cell r="M4381" t="str">
            <v>STL-20260926</v>
          </cell>
        </row>
        <row r="4382">
          <cell r="K4382">
            <v>299</v>
          </cell>
          <cell r="M4382" t="str">
            <v>STL-20260926</v>
          </cell>
        </row>
        <row r="4383">
          <cell r="K4383">
            <v>7649.79</v>
          </cell>
          <cell r="M4383" t="str">
            <v>STL-20260926</v>
          </cell>
        </row>
        <row r="4384">
          <cell r="K4384">
            <v>8318.4500000000007</v>
          </cell>
          <cell r="M4384" t="str">
            <v>STL-20260926</v>
          </cell>
        </row>
        <row r="4385">
          <cell r="K4385">
            <v>3486.61</v>
          </cell>
          <cell r="M4385" t="str">
            <v>STL-20260926</v>
          </cell>
        </row>
        <row r="4386">
          <cell r="K4386">
            <v>8229.7900000000009</v>
          </cell>
          <cell r="M4386" t="str">
            <v>STL-20260926</v>
          </cell>
        </row>
        <row r="4387">
          <cell r="K4387">
            <v>5777.48</v>
          </cell>
          <cell r="M4387" t="str">
            <v>STL-20260926</v>
          </cell>
        </row>
        <row r="4388">
          <cell r="K4388">
            <v>3744.22</v>
          </cell>
          <cell r="M4388" t="str">
            <v>STL-20260926</v>
          </cell>
        </row>
        <row r="4389">
          <cell r="K4389">
            <v>599</v>
          </cell>
          <cell r="M4389" t="str">
            <v>STL-20260926</v>
          </cell>
        </row>
        <row r="4390">
          <cell r="K4390">
            <v>349</v>
          </cell>
          <cell r="M4390" t="str">
            <v>STL-20260926</v>
          </cell>
        </row>
        <row r="4391">
          <cell r="K4391">
            <v>6661.63</v>
          </cell>
          <cell r="M4391" t="str">
            <v>STL-20260926</v>
          </cell>
        </row>
        <row r="4392">
          <cell r="K4392">
            <v>2490.15</v>
          </cell>
          <cell r="M4392" t="str">
            <v>STL-20260926</v>
          </cell>
        </row>
        <row r="4393">
          <cell r="K4393">
            <v>5578.19</v>
          </cell>
          <cell r="M4393" t="str">
            <v>STL-20260926</v>
          </cell>
        </row>
        <row r="4394">
          <cell r="K4394">
            <v>7970.68</v>
          </cell>
          <cell r="M4394" t="str">
            <v>STL-20260926</v>
          </cell>
        </row>
        <row r="4395">
          <cell r="K4395">
            <v>3035.85</v>
          </cell>
          <cell r="M4395" t="str">
            <v>STL-20260926</v>
          </cell>
        </row>
        <row r="4396">
          <cell r="K4396">
            <v>1597</v>
          </cell>
          <cell r="M4396" t="str">
            <v>STL-20260926</v>
          </cell>
        </row>
        <row r="4397">
          <cell r="K4397">
            <v>2451.8200000000002</v>
          </cell>
          <cell r="M4397" t="str">
            <v>STL-20260926</v>
          </cell>
        </row>
        <row r="4398">
          <cell r="K4398">
            <v>292.64999999999998</v>
          </cell>
          <cell r="M4398" t="str">
            <v>STL-20260926</v>
          </cell>
        </row>
        <row r="4399">
          <cell r="K4399">
            <v>3039.51</v>
          </cell>
          <cell r="M4399" t="str">
            <v>STL-20260926</v>
          </cell>
        </row>
        <row r="4400">
          <cell r="K4400">
            <v>976.6</v>
          </cell>
          <cell r="M4400" t="str">
            <v>STL-20260926</v>
          </cell>
        </row>
        <row r="4401">
          <cell r="K4401">
            <v>9763.32</v>
          </cell>
          <cell r="M4401" t="str">
            <v>STL-20260926</v>
          </cell>
        </row>
        <row r="4402">
          <cell r="K4402">
            <v>292.3</v>
          </cell>
          <cell r="M4402" t="str">
            <v>STL-20260926</v>
          </cell>
        </row>
        <row r="4403">
          <cell r="K4403">
            <v>1073.3900000000001</v>
          </cell>
          <cell r="M4403" t="str">
            <v>STL-20260926</v>
          </cell>
        </row>
        <row r="4404">
          <cell r="K4404">
            <v>5492.31</v>
          </cell>
          <cell r="M4404" t="str">
            <v>STL-20260926</v>
          </cell>
        </row>
        <row r="4405">
          <cell r="K4405">
            <v>2254.61</v>
          </cell>
          <cell r="M4405" t="str">
            <v>STL-20260926</v>
          </cell>
        </row>
        <row r="4406">
          <cell r="K4406">
            <v>2988.38</v>
          </cell>
          <cell r="M4406" t="str">
            <v>STL-20260926</v>
          </cell>
        </row>
        <row r="4407">
          <cell r="K4407">
            <v>976.6</v>
          </cell>
          <cell r="M4407" t="str">
            <v>STL-20260926</v>
          </cell>
        </row>
        <row r="4408">
          <cell r="K4408">
            <v>3336.15</v>
          </cell>
          <cell r="M4408" t="str">
            <v>STL-20260926</v>
          </cell>
        </row>
        <row r="4409">
          <cell r="K4409">
            <v>2451.8200000000002</v>
          </cell>
          <cell r="M4409" t="str">
            <v>STL-20260926</v>
          </cell>
        </row>
        <row r="4410">
          <cell r="K4410">
            <v>2988.38</v>
          </cell>
          <cell r="M4410" t="str">
            <v>STL-20260926</v>
          </cell>
        </row>
        <row r="4411">
          <cell r="K4411">
            <v>3683.91</v>
          </cell>
          <cell r="M4411" t="str">
            <v>STL-20260926</v>
          </cell>
        </row>
        <row r="4412">
          <cell r="K4412">
            <v>5478.54</v>
          </cell>
          <cell r="M4412" t="str">
            <v>STL-20260926</v>
          </cell>
        </row>
        <row r="4413">
          <cell r="K4413">
            <v>341.18</v>
          </cell>
          <cell r="M4413" t="str">
            <v>STL-20260926</v>
          </cell>
        </row>
        <row r="4414">
          <cell r="K4414">
            <v>12951.99</v>
          </cell>
          <cell r="M4414" t="str">
            <v>STL-20260926</v>
          </cell>
        </row>
        <row r="4415">
          <cell r="K4415">
            <v>585.57000000000005</v>
          </cell>
          <cell r="M4415" t="str">
            <v>STL-20260926</v>
          </cell>
        </row>
        <row r="4416">
          <cell r="K4416">
            <v>4781.0200000000004</v>
          </cell>
          <cell r="M4416" t="str">
            <v>STL-20260926</v>
          </cell>
        </row>
        <row r="4417">
          <cell r="K4417">
            <v>5975.77</v>
          </cell>
          <cell r="M4417" t="str">
            <v>STL-20260926</v>
          </cell>
        </row>
        <row r="4418">
          <cell r="K4418">
            <v>3983.85</v>
          </cell>
          <cell r="M4418" t="str">
            <v>STL-20260926</v>
          </cell>
        </row>
        <row r="4419">
          <cell r="K4419">
            <v>8673.42</v>
          </cell>
          <cell r="M4419" t="str">
            <v>STL-20260926</v>
          </cell>
        </row>
        <row r="4420">
          <cell r="K4420">
            <v>4981.3</v>
          </cell>
          <cell r="M4420" t="str">
            <v>STL-20260926</v>
          </cell>
        </row>
        <row r="4421">
          <cell r="K4421">
            <v>829.99</v>
          </cell>
          <cell r="M4421" t="str">
            <v>STL-20260926</v>
          </cell>
        </row>
        <row r="4422">
          <cell r="K4422">
            <v>2587.81</v>
          </cell>
          <cell r="M4422" t="str">
            <v>STL-20260926</v>
          </cell>
        </row>
        <row r="4423">
          <cell r="K4423">
            <v>1499</v>
          </cell>
          <cell r="M4423" t="str">
            <v>STL-20260926</v>
          </cell>
        </row>
        <row r="4424">
          <cell r="K4424">
            <v>1499</v>
          </cell>
          <cell r="M4424" t="str">
            <v>STL-20260926</v>
          </cell>
        </row>
        <row r="4425">
          <cell r="K4425">
            <v>4781.0200000000004</v>
          </cell>
          <cell r="M4425" t="str">
            <v>STL-20260926</v>
          </cell>
        </row>
        <row r="4426">
          <cell r="K4426">
            <v>2289.87</v>
          </cell>
          <cell r="M4426" t="str">
            <v>STL-20260926</v>
          </cell>
        </row>
        <row r="4427">
          <cell r="K4427">
            <v>7838.54</v>
          </cell>
          <cell r="M4427" t="str">
            <v>STL-20260926</v>
          </cell>
        </row>
        <row r="4428">
          <cell r="K4428">
            <v>9613.01</v>
          </cell>
          <cell r="M4428" t="str">
            <v>STL-20260926</v>
          </cell>
        </row>
        <row r="4429">
          <cell r="K4429">
            <v>634.24</v>
          </cell>
          <cell r="M4429" t="str">
            <v>STL-20260926</v>
          </cell>
        </row>
        <row r="4430">
          <cell r="K4430">
            <v>2448.87</v>
          </cell>
          <cell r="M4430" t="str">
            <v>STL-20260926</v>
          </cell>
        </row>
        <row r="4431">
          <cell r="K4431">
            <v>4216.8500000000004</v>
          </cell>
          <cell r="M4431" t="str">
            <v>STL-20260926</v>
          </cell>
        </row>
        <row r="4432">
          <cell r="K4432">
            <v>6275.71</v>
          </cell>
          <cell r="M4432" t="str">
            <v>STL-20260926</v>
          </cell>
        </row>
        <row r="4433">
          <cell r="K4433">
            <v>341.18</v>
          </cell>
          <cell r="M4433" t="str">
            <v>STL-20260926</v>
          </cell>
        </row>
        <row r="4434">
          <cell r="K4434">
            <v>1499</v>
          </cell>
          <cell r="M4434" t="str">
            <v>STL-20260926</v>
          </cell>
        </row>
        <row r="4435">
          <cell r="K4435">
            <v>2389.52</v>
          </cell>
          <cell r="M4435" t="str">
            <v>STL-20260926</v>
          </cell>
        </row>
        <row r="4436">
          <cell r="K4436">
            <v>1647</v>
          </cell>
          <cell r="M4436" t="str">
            <v>STL-20260926</v>
          </cell>
        </row>
        <row r="4437">
          <cell r="K4437">
            <v>299</v>
          </cell>
          <cell r="M4437" t="str">
            <v>STL-20260926</v>
          </cell>
        </row>
        <row r="4438">
          <cell r="K4438">
            <v>349</v>
          </cell>
          <cell r="M4438" t="str">
            <v>STL-20260926</v>
          </cell>
        </row>
        <row r="4439">
          <cell r="K4439">
            <v>11457.3</v>
          </cell>
          <cell r="M4439" t="str">
            <v>STL-20260926</v>
          </cell>
        </row>
        <row r="4440">
          <cell r="K4440">
            <v>2941.4</v>
          </cell>
          <cell r="M4440" t="str">
            <v>STL-20260926</v>
          </cell>
        </row>
        <row r="4441">
          <cell r="K4441">
            <v>3431.96</v>
          </cell>
          <cell r="M4441" t="str">
            <v>STL-20260926</v>
          </cell>
        </row>
        <row r="4442">
          <cell r="K4442">
            <v>3982.85</v>
          </cell>
          <cell r="M4442" t="str">
            <v>STL-20260926</v>
          </cell>
        </row>
        <row r="4443">
          <cell r="K4443">
            <v>6973.23</v>
          </cell>
          <cell r="M4443" t="str">
            <v>STL-20260926</v>
          </cell>
        </row>
        <row r="4444">
          <cell r="K4444">
            <v>1499</v>
          </cell>
          <cell r="M4444" t="str">
            <v>STL-20260926</v>
          </cell>
        </row>
        <row r="4445">
          <cell r="K4445">
            <v>12540.29</v>
          </cell>
          <cell r="M4445" t="str">
            <v>STL-20260926</v>
          </cell>
        </row>
        <row r="4446">
          <cell r="K4446">
            <v>1499</v>
          </cell>
          <cell r="M4446" t="str">
            <v>STL-20260926</v>
          </cell>
        </row>
        <row r="4447">
          <cell r="K4447">
            <v>2788.1</v>
          </cell>
          <cell r="M4447" t="str">
            <v>STL-20260926</v>
          </cell>
        </row>
        <row r="4448">
          <cell r="K4448">
            <v>7471.46</v>
          </cell>
          <cell r="M4448" t="str">
            <v>STL-20260926</v>
          </cell>
        </row>
        <row r="4449">
          <cell r="K4449">
            <v>349</v>
          </cell>
          <cell r="M4449" t="str">
            <v>STL-20260926</v>
          </cell>
        </row>
        <row r="4450">
          <cell r="K4450">
            <v>799</v>
          </cell>
          <cell r="M4450" t="str">
            <v>STL-20260926</v>
          </cell>
        </row>
        <row r="4451">
          <cell r="K4451">
            <v>341.59</v>
          </cell>
          <cell r="M4451" t="str">
            <v>STL-20260926</v>
          </cell>
        </row>
        <row r="4452">
          <cell r="K4452">
            <v>9122.4500000000007</v>
          </cell>
          <cell r="M4452" t="str">
            <v>STL-20260926</v>
          </cell>
        </row>
        <row r="4453">
          <cell r="K4453">
            <v>3286.33</v>
          </cell>
          <cell r="M4453" t="str">
            <v>STL-20260926</v>
          </cell>
        </row>
        <row r="4454">
          <cell r="K4454">
            <v>1947</v>
          </cell>
          <cell r="M4454" t="str">
            <v>STL-20260926</v>
          </cell>
        </row>
        <row r="4455">
          <cell r="K4455">
            <v>10958.07</v>
          </cell>
          <cell r="M4455" t="str">
            <v>STL-20260926</v>
          </cell>
        </row>
        <row r="4456">
          <cell r="K4456">
            <v>9659.26</v>
          </cell>
          <cell r="M4456" t="str">
            <v>STL-20260926</v>
          </cell>
        </row>
        <row r="4457">
          <cell r="K4457">
            <v>6178.11</v>
          </cell>
          <cell r="M4457" t="str">
            <v>STL-20260926</v>
          </cell>
        </row>
        <row r="4458">
          <cell r="K4458">
            <v>5278.25</v>
          </cell>
          <cell r="M4458" t="str">
            <v>STL-20260926</v>
          </cell>
        </row>
        <row r="4459">
          <cell r="K4459">
            <v>7271.17</v>
          </cell>
          <cell r="M4459" t="str">
            <v>STL-20260926</v>
          </cell>
        </row>
        <row r="4460">
          <cell r="K4460">
            <v>2937.86</v>
          </cell>
          <cell r="M4460" t="str">
            <v>STL-20260926</v>
          </cell>
        </row>
        <row r="4461">
          <cell r="K4461">
            <v>7970.68</v>
          </cell>
          <cell r="M4461" t="str">
            <v>STL-20260926</v>
          </cell>
        </row>
        <row r="4462">
          <cell r="K4462">
            <v>9464.3799999999992</v>
          </cell>
          <cell r="M4462" t="str">
            <v>STL-20260926</v>
          </cell>
        </row>
        <row r="4463">
          <cell r="K4463">
            <v>1299</v>
          </cell>
          <cell r="M4463" t="str">
            <v>STL-20260926</v>
          </cell>
        </row>
        <row r="4464">
          <cell r="K4464">
            <v>488.4</v>
          </cell>
          <cell r="M4464" t="str">
            <v>STL-20260926</v>
          </cell>
        </row>
        <row r="4465">
          <cell r="K4465">
            <v>2988.38</v>
          </cell>
          <cell r="M4465" t="str">
            <v>STL-20260926</v>
          </cell>
        </row>
        <row r="4466">
          <cell r="K4466">
            <v>341.18</v>
          </cell>
          <cell r="M4466" t="str">
            <v>STL-20260926</v>
          </cell>
        </row>
        <row r="4467">
          <cell r="K4467">
            <v>4981.3</v>
          </cell>
          <cell r="M4467" t="str">
            <v>STL-20260926</v>
          </cell>
        </row>
        <row r="4468">
          <cell r="K4468">
            <v>2988.38</v>
          </cell>
          <cell r="M4468" t="str">
            <v>STL-20260926</v>
          </cell>
        </row>
        <row r="4469">
          <cell r="K4469">
            <v>3335.15</v>
          </cell>
          <cell r="M4469" t="str">
            <v>STL-20260926</v>
          </cell>
        </row>
        <row r="4470">
          <cell r="K4470">
            <v>999</v>
          </cell>
          <cell r="M4470" t="str">
            <v>STL-20260926</v>
          </cell>
        </row>
        <row r="4471">
          <cell r="K4471">
            <v>10460.84</v>
          </cell>
          <cell r="M4471" t="str">
            <v>STL-20260926</v>
          </cell>
        </row>
        <row r="4472">
          <cell r="K4472">
            <v>1269.8800000000001</v>
          </cell>
          <cell r="M4472" t="str">
            <v>STL-20260926</v>
          </cell>
        </row>
        <row r="4473">
          <cell r="K4473">
            <v>2254.61</v>
          </cell>
          <cell r="M4473" t="str">
            <v>STL-20260926</v>
          </cell>
        </row>
        <row r="4474">
          <cell r="K4474">
            <v>1767.15</v>
          </cell>
          <cell r="M4474" t="str">
            <v>STL-20260926</v>
          </cell>
        </row>
        <row r="4475">
          <cell r="K4475">
            <v>4680.37</v>
          </cell>
          <cell r="M4475" t="str">
            <v>STL-20260926</v>
          </cell>
        </row>
        <row r="4476">
          <cell r="K4476">
            <v>2561.21</v>
          </cell>
          <cell r="M4476" t="str">
            <v>STL-20260926</v>
          </cell>
        </row>
        <row r="4477">
          <cell r="K4477">
            <v>4928.21</v>
          </cell>
          <cell r="M4477" t="str">
            <v>STL-20260926</v>
          </cell>
        </row>
        <row r="4478">
          <cell r="K4478">
            <v>299</v>
          </cell>
          <cell r="M4478" t="str">
            <v>STL-20260926</v>
          </cell>
        </row>
        <row r="4479">
          <cell r="K4479">
            <v>2741.87</v>
          </cell>
          <cell r="M4479" t="str">
            <v>STL-20260926</v>
          </cell>
        </row>
        <row r="4480">
          <cell r="K4480">
            <v>11473.84</v>
          </cell>
          <cell r="M4480" t="str">
            <v>STL-20260926</v>
          </cell>
        </row>
        <row r="4481">
          <cell r="K4481">
            <v>1709.89</v>
          </cell>
          <cell r="M4481" t="str">
            <v>STL-20260926</v>
          </cell>
        </row>
        <row r="4482">
          <cell r="K4482">
            <v>2058.39</v>
          </cell>
          <cell r="M4482" t="str">
            <v>STL-20260926</v>
          </cell>
        </row>
        <row r="4483">
          <cell r="K4483">
            <v>1598</v>
          </cell>
          <cell r="M4483" t="str">
            <v>STL-20260926</v>
          </cell>
        </row>
        <row r="4484">
          <cell r="K4484">
            <v>4980.3100000000004</v>
          </cell>
          <cell r="M4484" t="str">
            <v>STL-20260926</v>
          </cell>
        </row>
        <row r="4485">
          <cell r="K4485">
            <v>4510.21</v>
          </cell>
          <cell r="M4485" t="str">
            <v>STL-20260926</v>
          </cell>
        </row>
        <row r="4486">
          <cell r="K4486">
            <v>3039.51</v>
          </cell>
          <cell r="M4486" t="str">
            <v>STL-20260926</v>
          </cell>
        </row>
        <row r="4487">
          <cell r="K4487">
            <v>3087.59</v>
          </cell>
          <cell r="M4487" t="str">
            <v>STL-20260926</v>
          </cell>
        </row>
        <row r="4488">
          <cell r="K4488">
            <v>3834.38</v>
          </cell>
          <cell r="M4488" t="str">
            <v>STL-20260926</v>
          </cell>
        </row>
        <row r="4489">
          <cell r="K4489">
            <v>999</v>
          </cell>
          <cell r="M4489" t="str">
            <v>STL-20260926</v>
          </cell>
        </row>
        <row r="4490">
          <cell r="K4490">
            <v>3449.45</v>
          </cell>
          <cell r="M4490" t="str">
            <v>STL-20260926</v>
          </cell>
        </row>
        <row r="4491">
          <cell r="K4491">
            <v>4730.0600000000004</v>
          </cell>
          <cell r="M4491" t="str">
            <v>STL-20260926</v>
          </cell>
        </row>
        <row r="4492">
          <cell r="K4492">
            <v>12253.47</v>
          </cell>
          <cell r="M4492" t="str">
            <v>STL-20260926</v>
          </cell>
        </row>
        <row r="4493">
          <cell r="K4493">
            <v>1098</v>
          </cell>
          <cell r="M4493" t="str">
            <v>STL-20260926</v>
          </cell>
        </row>
        <row r="4494">
          <cell r="K4494">
            <v>297.94</v>
          </cell>
          <cell r="M4494" t="str">
            <v>STL-20260926</v>
          </cell>
        </row>
        <row r="4495">
          <cell r="K4495">
            <v>4334.74</v>
          </cell>
          <cell r="M4495" t="str">
            <v>STL-20260926</v>
          </cell>
        </row>
        <row r="4496">
          <cell r="K4496">
            <v>3726.29</v>
          </cell>
          <cell r="M4496" t="str">
            <v>STL-20260926</v>
          </cell>
        </row>
        <row r="4497">
          <cell r="K4497">
            <v>6274.71</v>
          </cell>
          <cell r="M4497" t="str">
            <v>STL-20260926</v>
          </cell>
        </row>
        <row r="4498">
          <cell r="K4498">
            <v>3584.27</v>
          </cell>
          <cell r="M4498" t="str">
            <v>STL-20260926</v>
          </cell>
        </row>
        <row r="4499">
          <cell r="K4499">
            <v>342.82</v>
          </cell>
          <cell r="M4499" t="str">
            <v>STL-20260926</v>
          </cell>
        </row>
        <row r="4500">
          <cell r="K4500">
            <v>1299</v>
          </cell>
          <cell r="M4500" t="str">
            <v>STL-20260926</v>
          </cell>
        </row>
        <row r="4501">
          <cell r="K4501">
            <v>1098</v>
          </cell>
          <cell r="M4501" t="str">
            <v>STL-20260926</v>
          </cell>
        </row>
        <row r="4502">
          <cell r="K4502">
            <v>1807.76</v>
          </cell>
          <cell r="M4502" t="str">
            <v>STL-20260926</v>
          </cell>
        </row>
        <row r="4503">
          <cell r="K4503">
            <v>1898</v>
          </cell>
          <cell r="M4503" t="str">
            <v>STL-20260926</v>
          </cell>
        </row>
        <row r="4504">
          <cell r="K4504">
            <v>7847</v>
          </cell>
          <cell r="M4504" t="str">
            <v>STL-20260926</v>
          </cell>
        </row>
        <row r="4505">
          <cell r="K4505">
            <v>4981.3</v>
          </cell>
          <cell r="M4505" t="str">
            <v>STL-20260926</v>
          </cell>
        </row>
        <row r="4506">
          <cell r="K4506">
            <v>2687.45</v>
          </cell>
          <cell r="M4506" t="str">
            <v>STL-20260926</v>
          </cell>
        </row>
        <row r="4507">
          <cell r="K4507">
            <v>1767.15</v>
          </cell>
          <cell r="M4507" t="str">
            <v>STL-20260926</v>
          </cell>
        </row>
        <row r="4508">
          <cell r="K4508">
            <v>8925.25</v>
          </cell>
          <cell r="M4508" t="str">
            <v>STL-20260926</v>
          </cell>
        </row>
        <row r="4509">
          <cell r="K4509">
            <v>1299</v>
          </cell>
          <cell r="M4509" t="str">
            <v>STL-20260926</v>
          </cell>
        </row>
        <row r="4510">
          <cell r="K4510">
            <v>2745.17</v>
          </cell>
          <cell r="M4510" t="str">
            <v>STL-20260926</v>
          </cell>
        </row>
        <row r="4511">
          <cell r="K4511">
            <v>1815.29</v>
          </cell>
          <cell r="M4511" t="str">
            <v>STL-20260926</v>
          </cell>
        </row>
        <row r="4512">
          <cell r="K4512">
            <v>2545.88</v>
          </cell>
          <cell r="M4512" t="str">
            <v>STL-20260926</v>
          </cell>
        </row>
        <row r="4513">
          <cell r="K4513">
            <v>12951.99</v>
          </cell>
          <cell r="M4513" t="str">
            <v>STL-20260926</v>
          </cell>
        </row>
        <row r="4514">
          <cell r="K4514">
            <v>2490.15</v>
          </cell>
          <cell r="M4514" t="str">
            <v>STL-20260926</v>
          </cell>
        </row>
        <row r="4515">
          <cell r="K4515">
            <v>3336.15</v>
          </cell>
          <cell r="M4515" t="str">
            <v>STL-20260926</v>
          </cell>
        </row>
        <row r="4516">
          <cell r="K4516">
            <v>4981.3</v>
          </cell>
          <cell r="M4516" t="str">
            <v>STL-20260926</v>
          </cell>
        </row>
        <row r="4517">
          <cell r="K4517">
            <v>6075.42</v>
          </cell>
          <cell r="M4517" t="str">
            <v>STL-20260926</v>
          </cell>
        </row>
        <row r="4518">
          <cell r="K4518">
            <v>1299</v>
          </cell>
          <cell r="M4518" t="str">
            <v>STL-20260926</v>
          </cell>
        </row>
        <row r="4519">
          <cell r="K4519">
            <v>490.16</v>
          </cell>
          <cell r="M4519" t="str">
            <v>STL-20260926</v>
          </cell>
        </row>
        <row r="4520">
          <cell r="K4520">
            <v>2490.15</v>
          </cell>
          <cell r="M4520" t="str">
            <v>STL-20260926</v>
          </cell>
        </row>
        <row r="4521">
          <cell r="K4521">
            <v>9962.61</v>
          </cell>
          <cell r="M4521" t="str">
            <v>STL-20260926</v>
          </cell>
        </row>
        <row r="4522">
          <cell r="K4522">
            <v>1598</v>
          </cell>
          <cell r="M4522" t="str">
            <v>STL-20260926</v>
          </cell>
        </row>
        <row r="4523">
          <cell r="K4523">
            <v>6274.71</v>
          </cell>
          <cell r="M4523" t="str">
            <v>STL-20260926</v>
          </cell>
        </row>
        <row r="4524">
          <cell r="K4524">
            <v>3434.8</v>
          </cell>
          <cell r="M4524" t="str">
            <v>STL-20260926</v>
          </cell>
        </row>
        <row r="4525">
          <cell r="K4525">
            <v>7847</v>
          </cell>
          <cell r="M4525" t="str">
            <v>STL-20260926</v>
          </cell>
        </row>
        <row r="4526">
          <cell r="K4526">
            <v>-4597</v>
          </cell>
          <cell r="M4526" t="str">
            <v>STL-20260926</v>
          </cell>
        </row>
        <row r="4527">
          <cell r="K4527">
            <v>-599</v>
          </cell>
          <cell r="M4527" t="str">
            <v>STL-20260926</v>
          </cell>
        </row>
        <row r="4528">
          <cell r="K4528">
            <v>-1848</v>
          </cell>
          <cell r="M4528" t="str">
            <v>STL-20260926</v>
          </cell>
        </row>
        <row r="4529">
          <cell r="K4529">
            <v>-349</v>
          </cell>
          <cell r="M4529" t="str">
            <v>STL-20260926</v>
          </cell>
        </row>
        <row r="4530">
          <cell r="K4530">
            <v>-1499</v>
          </cell>
          <cell r="M4530" t="str">
            <v>STL-20260926</v>
          </cell>
        </row>
        <row r="4531">
          <cell r="K4531">
            <v>-4999</v>
          </cell>
          <cell r="M4531" t="str">
            <v>STL-20260926</v>
          </cell>
        </row>
        <row r="4532">
          <cell r="K4532">
            <v>-8998</v>
          </cell>
          <cell r="M4532" t="str">
            <v>STL-20260926</v>
          </cell>
        </row>
        <row r="4533">
          <cell r="K4533">
            <v>342.82</v>
          </cell>
          <cell r="M4533" t="str">
            <v>STL-20260927</v>
          </cell>
        </row>
        <row r="4534">
          <cell r="K4534">
            <v>5478.54</v>
          </cell>
          <cell r="M4534" t="str">
            <v>STL-20260927</v>
          </cell>
        </row>
        <row r="4535">
          <cell r="K4535">
            <v>4980.3100000000004</v>
          </cell>
          <cell r="M4535" t="str">
            <v>STL-20260927</v>
          </cell>
        </row>
        <row r="4536">
          <cell r="K4536">
            <v>1348</v>
          </cell>
          <cell r="M4536" t="str">
            <v>STL-20260927</v>
          </cell>
        </row>
        <row r="4537">
          <cell r="K4537">
            <v>1198</v>
          </cell>
          <cell r="M4537" t="str">
            <v>STL-20260927</v>
          </cell>
        </row>
        <row r="4538">
          <cell r="K4538">
            <v>599</v>
          </cell>
          <cell r="M4538" t="str">
            <v>STL-20260927</v>
          </cell>
        </row>
        <row r="4539">
          <cell r="K4539">
            <v>8467.92</v>
          </cell>
          <cell r="M4539" t="str">
            <v>STL-20260927</v>
          </cell>
        </row>
        <row r="4540">
          <cell r="K4540">
            <v>9318.68</v>
          </cell>
          <cell r="M4540" t="str">
            <v>STL-20260927</v>
          </cell>
        </row>
        <row r="4541">
          <cell r="K4541">
            <v>781.09</v>
          </cell>
          <cell r="M4541" t="str">
            <v>STL-20260927</v>
          </cell>
        </row>
        <row r="4542">
          <cell r="K4542">
            <v>3818.82</v>
          </cell>
          <cell r="M4542" t="str">
            <v>STL-20260927</v>
          </cell>
        </row>
        <row r="4543">
          <cell r="K4543">
            <v>1271.4100000000001</v>
          </cell>
          <cell r="M4543" t="str">
            <v>STL-20260927</v>
          </cell>
        </row>
        <row r="4544">
          <cell r="K4544">
            <v>349</v>
          </cell>
          <cell r="M4544" t="str">
            <v>STL-20260927</v>
          </cell>
        </row>
        <row r="4545">
          <cell r="K4545">
            <v>3039.51</v>
          </cell>
          <cell r="M4545" t="str">
            <v>STL-20260927</v>
          </cell>
        </row>
        <row r="4546">
          <cell r="K4546">
            <v>1098</v>
          </cell>
          <cell r="M4546" t="str">
            <v>STL-20260927</v>
          </cell>
        </row>
        <row r="4547">
          <cell r="K4547">
            <v>999</v>
          </cell>
          <cell r="M4547" t="str">
            <v>STL-20260927</v>
          </cell>
        </row>
        <row r="4548">
          <cell r="K4548">
            <v>8966.15</v>
          </cell>
          <cell r="M4548" t="str">
            <v>STL-20260927</v>
          </cell>
        </row>
        <row r="4549">
          <cell r="K4549">
            <v>8256.36</v>
          </cell>
          <cell r="M4549" t="str">
            <v>STL-20260927</v>
          </cell>
        </row>
        <row r="4550">
          <cell r="K4550">
            <v>3235.73</v>
          </cell>
          <cell r="M4550" t="str">
            <v>STL-20260927</v>
          </cell>
        </row>
        <row r="4551">
          <cell r="K4551">
            <v>2842.31</v>
          </cell>
          <cell r="M4551" t="str">
            <v>STL-20260927</v>
          </cell>
        </row>
        <row r="4552">
          <cell r="K4552">
            <v>2090.58</v>
          </cell>
          <cell r="M4552" t="str">
            <v>STL-20260927</v>
          </cell>
        </row>
        <row r="4553">
          <cell r="K4553">
            <v>2288.87</v>
          </cell>
          <cell r="M4553" t="str">
            <v>STL-20260927</v>
          </cell>
        </row>
        <row r="4554">
          <cell r="K4554">
            <v>1955.57</v>
          </cell>
          <cell r="M4554" t="str">
            <v>STL-20260927</v>
          </cell>
        </row>
        <row r="4555">
          <cell r="K4555">
            <v>2988.38</v>
          </cell>
          <cell r="M4555" t="str">
            <v>STL-20260927</v>
          </cell>
        </row>
        <row r="4556">
          <cell r="K4556">
            <v>3922.52</v>
          </cell>
          <cell r="M4556" t="str">
            <v>STL-20260927</v>
          </cell>
        </row>
        <row r="4557">
          <cell r="K4557">
            <v>4981.3</v>
          </cell>
          <cell r="M4557" t="str">
            <v>STL-20260927</v>
          </cell>
        </row>
        <row r="4558">
          <cell r="K4558">
            <v>299</v>
          </cell>
          <cell r="M4558" t="str">
            <v>STL-20260927</v>
          </cell>
        </row>
        <row r="4559">
          <cell r="K4559">
            <v>1299</v>
          </cell>
          <cell r="M4559" t="str">
            <v>STL-20260927</v>
          </cell>
        </row>
        <row r="4560">
          <cell r="K4560">
            <v>341.18</v>
          </cell>
          <cell r="M4560" t="str">
            <v>STL-20260927</v>
          </cell>
        </row>
        <row r="4561">
          <cell r="K4561">
            <v>4407.7700000000004</v>
          </cell>
          <cell r="M4561" t="str">
            <v>STL-20260927</v>
          </cell>
        </row>
        <row r="4562">
          <cell r="K4562">
            <v>2987.39</v>
          </cell>
          <cell r="M4562" t="str">
            <v>STL-20260927</v>
          </cell>
        </row>
        <row r="4563">
          <cell r="K4563">
            <v>499</v>
          </cell>
          <cell r="M4563" t="str">
            <v>STL-20260927</v>
          </cell>
        </row>
        <row r="4564">
          <cell r="K4564">
            <v>2988.38</v>
          </cell>
          <cell r="M4564" t="str">
            <v>STL-20260927</v>
          </cell>
        </row>
        <row r="4565">
          <cell r="K4565">
            <v>14744.62</v>
          </cell>
          <cell r="M4565" t="str">
            <v>STL-20260927</v>
          </cell>
        </row>
        <row r="4566">
          <cell r="K4566">
            <v>1074.68</v>
          </cell>
          <cell r="M4566" t="str">
            <v>STL-20260927</v>
          </cell>
        </row>
        <row r="4567">
          <cell r="K4567">
            <v>4898.72</v>
          </cell>
          <cell r="M4567" t="str">
            <v>STL-20260927</v>
          </cell>
        </row>
        <row r="4568">
          <cell r="K4568">
            <v>948</v>
          </cell>
          <cell r="M4568" t="str">
            <v>STL-20260927</v>
          </cell>
        </row>
        <row r="4569">
          <cell r="K4569">
            <v>4381.4399999999996</v>
          </cell>
          <cell r="M4569" t="str">
            <v>STL-20260927</v>
          </cell>
        </row>
        <row r="4570">
          <cell r="K4570">
            <v>6573.65</v>
          </cell>
          <cell r="M4570" t="str">
            <v>STL-20260927</v>
          </cell>
        </row>
        <row r="4571">
          <cell r="K4571">
            <v>6573.65</v>
          </cell>
          <cell r="M4571" t="str">
            <v>STL-20260927</v>
          </cell>
        </row>
        <row r="4572">
          <cell r="K4572">
            <v>1499</v>
          </cell>
          <cell r="M4572" t="str">
            <v>STL-20260927</v>
          </cell>
        </row>
        <row r="4573">
          <cell r="K4573">
            <v>5826.3</v>
          </cell>
          <cell r="M4573" t="str">
            <v>STL-20260927</v>
          </cell>
        </row>
        <row r="4574">
          <cell r="K4574">
            <v>2942.38</v>
          </cell>
          <cell r="M4574" t="str">
            <v>STL-20260927</v>
          </cell>
        </row>
        <row r="4575">
          <cell r="K4575">
            <v>10959.07</v>
          </cell>
          <cell r="M4575" t="str">
            <v>STL-20260927</v>
          </cell>
        </row>
        <row r="4576">
          <cell r="K4576">
            <v>2637.63</v>
          </cell>
          <cell r="M4576" t="str">
            <v>STL-20260927</v>
          </cell>
        </row>
        <row r="4577">
          <cell r="K4577">
            <v>1760.79</v>
          </cell>
          <cell r="M4577" t="str">
            <v>STL-20260927</v>
          </cell>
        </row>
        <row r="4578">
          <cell r="K4578">
            <v>2451.8200000000002</v>
          </cell>
          <cell r="M4578" t="str">
            <v>STL-20260927</v>
          </cell>
        </row>
        <row r="4579">
          <cell r="K4579">
            <v>3486.61</v>
          </cell>
          <cell r="M4579" t="str">
            <v>STL-20260927</v>
          </cell>
        </row>
        <row r="4580">
          <cell r="K4580">
            <v>782.03</v>
          </cell>
          <cell r="M4580" t="str">
            <v>STL-20260927</v>
          </cell>
        </row>
        <row r="4581">
          <cell r="K4581">
            <v>1348</v>
          </cell>
          <cell r="M4581" t="str">
            <v>STL-20260927</v>
          </cell>
        </row>
        <row r="4582">
          <cell r="K4582">
            <v>9111.48</v>
          </cell>
          <cell r="M4582" t="str">
            <v>STL-20260927</v>
          </cell>
        </row>
        <row r="4583">
          <cell r="K4583">
            <v>8532.7999999999993</v>
          </cell>
          <cell r="M4583" t="str">
            <v>STL-20260927</v>
          </cell>
        </row>
        <row r="4584">
          <cell r="K4584">
            <v>15941.37</v>
          </cell>
          <cell r="M4584" t="str">
            <v>STL-20260927</v>
          </cell>
        </row>
        <row r="4585">
          <cell r="K4585">
            <v>3087.04</v>
          </cell>
          <cell r="M4585" t="str">
            <v>STL-20260927</v>
          </cell>
        </row>
        <row r="4586">
          <cell r="K4586">
            <v>7847.98</v>
          </cell>
          <cell r="M4586" t="str">
            <v>STL-20260927</v>
          </cell>
        </row>
        <row r="4587">
          <cell r="K4587">
            <v>586.28</v>
          </cell>
          <cell r="M4587" t="str">
            <v>STL-20260927</v>
          </cell>
        </row>
        <row r="4588">
          <cell r="K4588">
            <v>4019.65</v>
          </cell>
          <cell r="M4588" t="str">
            <v>STL-20260927</v>
          </cell>
        </row>
        <row r="4589">
          <cell r="K4589">
            <v>2490.15</v>
          </cell>
          <cell r="M4589" t="str">
            <v>STL-20260927</v>
          </cell>
        </row>
        <row r="4590">
          <cell r="K4590">
            <v>23912.05</v>
          </cell>
          <cell r="M4590" t="str">
            <v>STL-20260927</v>
          </cell>
        </row>
        <row r="4591">
          <cell r="K4591">
            <v>2057.41</v>
          </cell>
          <cell r="M4591" t="str">
            <v>STL-20260927</v>
          </cell>
        </row>
        <row r="4592">
          <cell r="K4592">
            <v>3983.85</v>
          </cell>
          <cell r="M4592" t="str">
            <v>STL-20260927</v>
          </cell>
        </row>
        <row r="4593">
          <cell r="K4593">
            <v>2788.1</v>
          </cell>
          <cell r="M4593" t="str">
            <v>STL-20260927</v>
          </cell>
        </row>
        <row r="4594">
          <cell r="K4594">
            <v>1798</v>
          </cell>
          <cell r="M4594" t="str">
            <v>STL-20260927</v>
          </cell>
        </row>
        <row r="4595">
          <cell r="K4595">
            <v>1467.16</v>
          </cell>
          <cell r="M4595" t="str">
            <v>STL-20260927</v>
          </cell>
        </row>
        <row r="4596">
          <cell r="K4596">
            <v>299</v>
          </cell>
          <cell r="M4596" t="str">
            <v>STL-20260927</v>
          </cell>
        </row>
        <row r="4597">
          <cell r="K4597">
            <v>4927.22</v>
          </cell>
          <cell r="M4597" t="str">
            <v>STL-20260927</v>
          </cell>
        </row>
        <row r="4598">
          <cell r="K4598">
            <v>488.4</v>
          </cell>
          <cell r="M4598" t="str">
            <v>STL-20260927</v>
          </cell>
        </row>
        <row r="4599">
          <cell r="K4599">
            <v>782.03</v>
          </cell>
          <cell r="M4599" t="str">
            <v>STL-20260927</v>
          </cell>
        </row>
        <row r="4600">
          <cell r="K4600">
            <v>3485.62</v>
          </cell>
          <cell r="M4600" t="str">
            <v>STL-20260927</v>
          </cell>
        </row>
        <row r="4601">
          <cell r="K4601">
            <v>3486.61</v>
          </cell>
          <cell r="M4601" t="str">
            <v>STL-20260927</v>
          </cell>
        </row>
        <row r="4602">
          <cell r="K4602">
            <v>999</v>
          </cell>
          <cell r="M4602" t="str">
            <v>STL-20260927</v>
          </cell>
        </row>
        <row r="4603">
          <cell r="K4603">
            <v>7944.13</v>
          </cell>
          <cell r="M4603" t="str">
            <v>STL-20260927</v>
          </cell>
        </row>
        <row r="4604">
          <cell r="K4604">
            <v>3286.33</v>
          </cell>
          <cell r="M4604" t="str">
            <v>STL-20260927</v>
          </cell>
        </row>
        <row r="4605">
          <cell r="K4605">
            <v>4313.99</v>
          </cell>
          <cell r="M4605" t="str">
            <v>STL-20260927</v>
          </cell>
        </row>
        <row r="4606">
          <cell r="K4606">
            <v>4434.3</v>
          </cell>
          <cell r="M4606" t="str">
            <v>STL-20260927</v>
          </cell>
        </row>
        <row r="4607">
          <cell r="K4607">
            <v>5196.99</v>
          </cell>
          <cell r="M4607" t="str">
            <v>STL-20260927</v>
          </cell>
        </row>
        <row r="4608">
          <cell r="K4608">
            <v>588.39</v>
          </cell>
          <cell r="M4608" t="str">
            <v>STL-20260927</v>
          </cell>
        </row>
        <row r="4609">
          <cell r="K4609">
            <v>5976.77</v>
          </cell>
          <cell r="M4609" t="str">
            <v>STL-20260927</v>
          </cell>
        </row>
        <row r="4610">
          <cell r="K4610">
            <v>1758.67</v>
          </cell>
          <cell r="M4610" t="str">
            <v>STL-20260927</v>
          </cell>
        </row>
        <row r="4611">
          <cell r="K4611">
            <v>999</v>
          </cell>
          <cell r="M4611" t="str">
            <v>STL-20260927</v>
          </cell>
        </row>
        <row r="4612">
          <cell r="K4612">
            <v>6865.88</v>
          </cell>
          <cell r="M4612" t="str">
            <v>STL-20260927</v>
          </cell>
        </row>
        <row r="4613">
          <cell r="K4613">
            <v>8631.89</v>
          </cell>
          <cell r="M4613" t="str">
            <v>STL-20260927</v>
          </cell>
        </row>
        <row r="4614">
          <cell r="K4614">
            <v>10061.26</v>
          </cell>
          <cell r="M4614" t="str">
            <v>STL-20260927</v>
          </cell>
        </row>
        <row r="4615">
          <cell r="K4615">
            <v>1098</v>
          </cell>
          <cell r="M4615" t="str">
            <v>STL-20260927</v>
          </cell>
        </row>
        <row r="4616">
          <cell r="K4616">
            <v>349</v>
          </cell>
          <cell r="M4616" t="str">
            <v>STL-20260927</v>
          </cell>
        </row>
        <row r="4617">
          <cell r="K4617">
            <v>4630.55</v>
          </cell>
          <cell r="M4617" t="str">
            <v>STL-20260927</v>
          </cell>
        </row>
        <row r="4618">
          <cell r="K4618">
            <v>5240.71</v>
          </cell>
          <cell r="M4618" t="str">
            <v>STL-20260927</v>
          </cell>
        </row>
        <row r="4619">
          <cell r="K4619">
            <v>293.7</v>
          </cell>
          <cell r="M4619" t="str">
            <v>STL-20260927</v>
          </cell>
        </row>
        <row r="4620">
          <cell r="K4620">
            <v>4282.79</v>
          </cell>
          <cell r="M4620" t="str">
            <v>STL-20260927</v>
          </cell>
        </row>
        <row r="4621">
          <cell r="K4621">
            <v>1172.56</v>
          </cell>
          <cell r="M4621" t="str">
            <v>STL-20260927</v>
          </cell>
        </row>
        <row r="4622">
          <cell r="K4622">
            <v>3449.45</v>
          </cell>
          <cell r="M4622" t="str">
            <v>STL-20260927</v>
          </cell>
        </row>
        <row r="4623">
          <cell r="K4623">
            <v>4510.21</v>
          </cell>
          <cell r="M4623" t="str">
            <v>STL-20260927</v>
          </cell>
        </row>
        <row r="4624">
          <cell r="K4624">
            <v>10260.549999999999</v>
          </cell>
          <cell r="M4624" t="str">
            <v>STL-20260927</v>
          </cell>
        </row>
        <row r="4625">
          <cell r="K4625">
            <v>11057.72</v>
          </cell>
          <cell r="M4625" t="str">
            <v>STL-20260927</v>
          </cell>
        </row>
        <row r="4626">
          <cell r="K4626">
            <v>599</v>
          </cell>
          <cell r="M4626" t="str">
            <v>STL-20260927</v>
          </cell>
        </row>
        <row r="4627">
          <cell r="K4627">
            <v>1798</v>
          </cell>
          <cell r="M4627" t="str">
            <v>STL-20260927</v>
          </cell>
        </row>
        <row r="4628">
          <cell r="K4628">
            <v>299</v>
          </cell>
          <cell r="M4628" t="str">
            <v>STL-20260927</v>
          </cell>
        </row>
        <row r="4629">
          <cell r="K4629">
            <v>7356.44</v>
          </cell>
          <cell r="M4629" t="str">
            <v>STL-20260927</v>
          </cell>
        </row>
        <row r="4630">
          <cell r="K4630">
            <v>4904.62</v>
          </cell>
          <cell r="M4630" t="str">
            <v>STL-20260927</v>
          </cell>
        </row>
        <row r="4631">
          <cell r="K4631">
            <v>1299</v>
          </cell>
          <cell r="M4631" t="str">
            <v>STL-20260927</v>
          </cell>
        </row>
        <row r="4632">
          <cell r="K4632">
            <v>299</v>
          </cell>
          <cell r="M4632" t="str">
            <v>STL-20260927</v>
          </cell>
        </row>
        <row r="4633">
          <cell r="K4633">
            <v>6972.23</v>
          </cell>
          <cell r="M4633" t="str">
            <v>STL-20260927</v>
          </cell>
        </row>
        <row r="4634">
          <cell r="K4634">
            <v>7970.68</v>
          </cell>
          <cell r="M4634" t="str">
            <v>STL-20260927</v>
          </cell>
        </row>
        <row r="4635">
          <cell r="K4635">
            <v>3983.85</v>
          </cell>
          <cell r="M4635" t="str">
            <v>STL-20260927</v>
          </cell>
        </row>
        <row r="4636">
          <cell r="K4636">
            <v>6773.94</v>
          </cell>
          <cell r="M4636" t="str">
            <v>STL-20260927</v>
          </cell>
        </row>
        <row r="4637">
          <cell r="K4637">
            <v>3922.52</v>
          </cell>
          <cell r="M4637" t="str">
            <v>STL-20260927</v>
          </cell>
        </row>
        <row r="4638">
          <cell r="K4638">
            <v>2988.38</v>
          </cell>
          <cell r="M4638" t="str">
            <v>STL-20260927</v>
          </cell>
        </row>
        <row r="4639">
          <cell r="K4639">
            <v>4981.3</v>
          </cell>
          <cell r="M4639" t="str">
            <v>STL-20260927</v>
          </cell>
        </row>
        <row r="4640">
          <cell r="K4640">
            <v>2490.15</v>
          </cell>
          <cell r="M4640" t="str">
            <v>STL-20260927</v>
          </cell>
        </row>
        <row r="4641">
          <cell r="K4641">
            <v>3922.52</v>
          </cell>
          <cell r="M4641" t="str">
            <v>STL-20260927</v>
          </cell>
        </row>
        <row r="4642">
          <cell r="K4642">
            <v>299</v>
          </cell>
          <cell r="M4642" t="str">
            <v>STL-20260927</v>
          </cell>
        </row>
        <row r="4643">
          <cell r="K4643">
            <v>4216.8500000000004</v>
          </cell>
          <cell r="M4643" t="str">
            <v>STL-20260927</v>
          </cell>
        </row>
        <row r="4644">
          <cell r="K4644">
            <v>299</v>
          </cell>
          <cell r="M4644" t="str">
            <v>STL-20260927</v>
          </cell>
        </row>
        <row r="4645">
          <cell r="K4645">
            <v>299</v>
          </cell>
          <cell r="M4645" t="str">
            <v>STL-20260927</v>
          </cell>
        </row>
        <row r="4646">
          <cell r="K4646">
            <v>3231.84</v>
          </cell>
          <cell r="M4646" t="str">
            <v>STL-20260927</v>
          </cell>
        </row>
        <row r="4647">
          <cell r="K4647">
            <v>6669.65</v>
          </cell>
          <cell r="M4647" t="str">
            <v>STL-20260927</v>
          </cell>
        </row>
        <row r="4648">
          <cell r="K4648">
            <v>6660.65</v>
          </cell>
          <cell r="M4648" t="str">
            <v>STL-20260927</v>
          </cell>
        </row>
        <row r="4649">
          <cell r="K4649">
            <v>1148</v>
          </cell>
          <cell r="M4649" t="str">
            <v>STL-20260927</v>
          </cell>
        </row>
        <row r="4650">
          <cell r="K4650">
            <v>7970.68</v>
          </cell>
          <cell r="M4650" t="str">
            <v>STL-20260927</v>
          </cell>
        </row>
        <row r="4651">
          <cell r="K4651">
            <v>488.4</v>
          </cell>
          <cell r="M4651" t="str">
            <v>STL-20260927</v>
          </cell>
        </row>
        <row r="4652">
          <cell r="K4652">
            <v>2788.1</v>
          </cell>
          <cell r="M4652" t="str">
            <v>STL-20260927</v>
          </cell>
        </row>
        <row r="4653">
          <cell r="K4653">
            <v>10959.07</v>
          </cell>
          <cell r="M4653" t="str">
            <v>STL-20260927</v>
          </cell>
        </row>
        <row r="4654">
          <cell r="K4654">
            <v>3087.04</v>
          </cell>
          <cell r="M4654" t="str">
            <v>STL-20260927</v>
          </cell>
        </row>
        <row r="4655">
          <cell r="K4655">
            <v>11555.95</v>
          </cell>
          <cell r="M4655" t="str">
            <v>STL-20260927</v>
          </cell>
        </row>
        <row r="4656">
          <cell r="K4656">
            <v>2490.15</v>
          </cell>
          <cell r="M4656" t="str">
            <v>STL-20260927</v>
          </cell>
        </row>
        <row r="4657">
          <cell r="K4657">
            <v>5884.76</v>
          </cell>
          <cell r="M4657" t="str">
            <v>STL-20260927</v>
          </cell>
        </row>
        <row r="4658">
          <cell r="K4658">
            <v>4781.0200000000004</v>
          </cell>
          <cell r="M4658" t="str">
            <v>STL-20260927</v>
          </cell>
        </row>
        <row r="4659">
          <cell r="K4659">
            <v>599</v>
          </cell>
          <cell r="M4659" t="str">
            <v>STL-20260927</v>
          </cell>
        </row>
        <row r="4660">
          <cell r="K4660">
            <v>3328.85</v>
          </cell>
          <cell r="M4660" t="str">
            <v>STL-20260927</v>
          </cell>
        </row>
        <row r="4661">
          <cell r="K4661">
            <v>349</v>
          </cell>
          <cell r="M4661" t="str">
            <v>STL-20260927</v>
          </cell>
        </row>
        <row r="4662">
          <cell r="K4662">
            <v>292.64999999999998</v>
          </cell>
          <cell r="M4662" t="str">
            <v>STL-20260927</v>
          </cell>
        </row>
        <row r="4663">
          <cell r="K4663">
            <v>2988.38</v>
          </cell>
          <cell r="M4663" t="str">
            <v>STL-20260927</v>
          </cell>
        </row>
        <row r="4664">
          <cell r="K4664">
            <v>341.59</v>
          </cell>
          <cell r="M4664" t="str">
            <v>STL-20260927</v>
          </cell>
        </row>
        <row r="4665">
          <cell r="K4665">
            <v>2988.38</v>
          </cell>
          <cell r="M4665" t="str">
            <v>STL-20260927</v>
          </cell>
        </row>
        <row r="4666">
          <cell r="K4666">
            <v>4981.3</v>
          </cell>
          <cell r="M4666" t="str">
            <v>STL-20260927</v>
          </cell>
        </row>
        <row r="4667">
          <cell r="K4667">
            <v>799</v>
          </cell>
          <cell r="M4667" t="str">
            <v>STL-20260927</v>
          </cell>
        </row>
        <row r="4668">
          <cell r="K4668">
            <v>3726.29</v>
          </cell>
          <cell r="M4668" t="str">
            <v>STL-20260927</v>
          </cell>
        </row>
        <row r="4669">
          <cell r="K4669">
            <v>12951.99</v>
          </cell>
          <cell r="M4669" t="str">
            <v>STL-20260927</v>
          </cell>
        </row>
        <row r="4670">
          <cell r="K4670">
            <v>6623.47</v>
          </cell>
          <cell r="M4670" t="str">
            <v>STL-20260927</v>
          </cell>
        </row>
        <row r="4671">
          <cell r="K4671">
            <v>999</v>
          </cell>
          <cell r="M4671" t="str">
            <v>STL-20260927</v>
          </cell>
        </row>
        <row r="4672">
          <cell r="K4672">
            <v>5826.3</v>
          </cell>
          <cell r="M4672" t="str">
            <v>STL-20260927</v>
          </cell>
        </row>
        <row r="4673">
          <cell r="K4673">
            <v>2988.38</v>
          </cell>
          <cell r="M4673" t="str">
            <v>STL-20260927</v>
          </cell>
        </row>
        <row r="4674">
          <cell r="K4674">
            <v>499</v>
          </cell>
          <cell r="M4674" t="str">
            <v>STL-20260927</v>
          </cell>
        </row>
        <row r="4675">
          <cell r="K4675">
            <v>3235.73</v>
          </cell>
          <cell r="M4675" t="str">
            <v>STL-20260927</v>
          </cell>
        </row>
        <row r="4676">
          <cell r="K4676">
            <v>2988.38</v>
          </cell>
          <cell r="M4676" t="str">
            <v>STL-20260927</v>
          </cell>
        </row>
        <row r="4677">
          <cell r="K4677">
            <v>1499</v>
          </cell>
          <cell r="M4677" t="str">
            <v>STL-20260927</v>
          </cell>
        </row>
        <row r="4678">
          <cell r="K4678">
            <v>1074.68</v>
          </cell>
          <cell r="M4678" t="str">
            <v>STL-20260927</v>
          </cell>
        </row>
        <row r="4679">
          <cell r="K4679">
            <v>10102.59</v>
          </cell>
          <cell r="M4679" t="str">
            <v>STL-20260927</v>
          </cell>
        </row>
        <row r="4680">
          <cell r="K4680">
            <v>2490.15</v>
          </cell>
          <cell r="M4680" t="str">
            <v>STL-20260927</v>
          </cell>
        </row>
        <row r="4681">
          <cell r="K4681">
            <v>1799</v>
          </cell>
          <cell r="M4681" t="str">
            <v>STL-20260927</v>
          </cell>
        </row>
        <row r="4682">
          <cell r="K4682">
            <v>3983.85</v>
          </cell>
          <cell r="M4682" t="str">
            <v>STL-20260927</v>
          </cell>
        </row>
        <row r="4683">
          <cell r="K4683">
            <v>2788.1</v>
          </cell>
          <cell r="M4683" t="str">
            <v>STL-20260927</v>
          </cell>
        </row>
        <row r="4684">
          <cell r="K4684">
            <v>12064.83</v>
          </cell>
          <cell r="M4684" t="str">
            <v>STL-20260927</v>
          </cell>
        </row>
        <row r="4685">
          <cell r="K4685">
            <v>490.16</v>
          </cell>
          <cell r="M4685" t="str">
            <v>STL-20260927</v>
          </cell>
        </row>
        <row r="4686">
          <cell r="K4686">
            <v>3286.33</v>
          </cell>
          <cell r="M4686" t="str">
            <v>STL-20260927</v>
          </cell>
        </row>
        <row r="4687">
          <cell r="K4687">
            <v>8621.51</v>
          </cell>
          <cell r="M4687" t="str">
            <v>STL-20260927</v>
          </cell>
        </row>
        <row r="4688">
          <cell r="K4688">
            <v>1299</v>
          </cell>
          <cell r="M4688" t="str">
            <v>STL-20260927</v>
          </cell>
        </row>
        <row r="4689">
          <cell r="K4689">
            <v>1792.63</v>
          </cell>
          <cell r="M4689" t="str">
            <v>STL-20260927</v>
          </cell>
        </row>
        <row r="4690">
          <cell r="K4690">
            <v>784.85</v>
          </cell>
          <cell r="M4690" t="str">
            <v>STL-20260927</v>
          </cell>
        </row>
        <row r="4691">
          <cell r="K4691">
            <v>2490.15</v>
          </cell>
          <cell r="M4691" t="str">
            <v>STL-20260927</v>
          </cell>
        </row>
        <row r="4692">
          <cell r="K4692">
            <v>977.78</v>
          </cell>
          <cell r="M4692" t="str">
            <v>STL-20260927</v>
          </cell>
        </row>
        <row r="4693">
          <cell r="K4693">
            <v>8467.92</v>
          </cell>
          <cell r="M4693" t="str">
            <v>STL-20260927</v>
          </cell>
        </row>
        <row r="4694">
          <cell r="K4694">
            <v>4980.3100000000004</v>
          </cell>
          <cell r="M4694" t="str">
            <v>STL-20260927</v>
          </cell>
        </row>
        <row r="4695">
          <cell r="K4695">
            <v>3784.56</v>
          </cell>
          <cell r="M4695" t="str">
            <v>STL-20260927</v>
          </cell>
        </row>
        <row r="4696">
          <cell r="K4696">
            <v>586.28</v>
          </cell>
          <cell r="M4696" t="str">
            <v>STL-20260927</v>
          </cell>
        </row>
        <row r="4697">
          <cell r="K4697">
            <v>4904.62</v>
          </cell>
          <cell r="M4697" t="str">
            <v>STL-20260927</v>
          </cell>
        </row>
        <row r="4698">
          <cell r="K4698">
            <v>8966.15</v>
          </cell>
          <cell r="M4698" t="str">
            <v>STL-20260927</v>
          </cell>
        </row>
        <row r="4699">
          <cell r="K4699">
            <v>10979.15</v>
          </cell>
          <cell r="M4699" t="str">
            <v>STL-20260927</v>
          </cell>
        </row>
        <row r="4700">
          <cell r="K4700">
            <v>6772.94</v>
          </cell>
          <cell r="M4700" t="str">
            <v>STL-20260927</v>
          </cell>
        </row>
        <row r="4701">
          <cell r="K4701">
            <v>299</v>
          </cell>
          <cell r="M4701" t="str">
            <v>STL-20260927</v>
          </cell>
        </row>
        <row r="4702">
          <cell r="K4702">
            <v>10959.07</v>
          </cell>
          <cell r="M4702" t="str">
            <v>STL-20260927</v>
          </cell>
        </row>
        <row r="4703">
          <cell r="K4703">
            <v>14206.19</v>
          </cell>
          <cell r="M4703" t="str">
            <v>STL-20260927</v>
          </cell>
        </row>
        <row r="4704">
          <cell r="K4704">
            <v>11555.95</v>
          </cell>
          <cell r="M4704" t="str">
            <v>STL-20260927</v>
          </cell>
        </row>
        <row r="4705">
          <cell r="K4705">
            <v>1760.79</v>
          </cell>
          <cell r="M4705" t="str">
            <v>STL-20260927</v>
          </cell>
        </row>
        <row r="4706">
          <cell r="K4706">
            <v>1078.57</v>
          </cell>
          <cell r="M4706" t="str">
            <v>STL-20260927</v>
          </cell>
        </row>
        <row r="4707">
          <cell r="K4707">
            <v>4580.7299999999996</v>
          </cell>
          <cell r="M4707" t="str">
            <v>STL-20260927</v>
          </cell>
        </row>
        <row r="4708">
          <cell r="K4708">
            <v>5222</v>
          </cell>
          <cell r="M4708" t="str">
            <v>STL-20260927</v>
          </cell>
        </row>
        <row r="4709">
          <cell r="K4709">
            <v>999</v>
          </cell>
          <cell r="M4709" t="str">
            <v>STL-20260927</v>
          </cell>
        </row>
        <row r="4710">
          <cell r="K4710">
            <v>3432.94</v>
          </cell>
          <cell r="M4710" t="str">
            <v>STL-20260927</v>
          </cell>
        </row>
        <row r="4711">
          <cell r="K4711">
            <v>7970.68</v>
          </cell>
          <cell r="M4711" t="str">
            <v>STL-20260927</v>
          </cell>
        </row>
        <row r="4712">
          <cell r="K4712">
            <v>292.3</v>
          </cell>
          <cell r="M4712" t="str">
            <v>STL-20260927</v>
          </cell>
        </row>
        <row r="4713">
          <cell r="K4713">
            <v>1799</v>
          </cell>
          <cell r="M4713" t="str">
            <v>STL-20260927</v>
          </cell>
        </row>
        <row r="4714">
          <cell r="K4714">
            <v>8467.92</v>
          </cell>
          <cell r="M4714" t="str">
            <v>STL-20260927</v>
          </cell>
        </row>
        <row r="4715">
          <cell r="K4715">
            <v>2745.17</v>
          </cell>
          <cell r="M4715" t="str">
            <v>STL-20260927</v>
          </cell>
        </row>
        <row r="4716">
          <cell r="K4716">
            <v>1799</v>
          </cell>
          <cell r="M4716" t="str">
            <v>STL-20260927</v>
          </cell>
        </row>
        <row r="4717">
          <cell r="K4717">
            <v>2524.4299999999998</v>
          </cell>
          <cell r="M4717" t="str">
            <v>STL-20260927</v>
          </cell>
        </row>
        <row r="4718">
          <cell r="K4718">
            <v>3883.21</v>
          </cell>
          <cell r="M4718" t="str">
            <v>STL-20260927</v>
          </cell>
        </row>
        <row r="4719">
          <cell r="K4719">
            <v>3784.56</v>
          </cell>
          <cell r="M4719" t="str">
            <v>STL-20260927</v>
          </cell>
        </row>
        <row r="4720">
          <cell r="K4720">
            <v>299</v>
          </cell>
          <cell r="M4720" t="str">
            <v>STL-20260927</v>
          </cell>
        </row>
        <row r="4721">
          <cell r="K4721">
            <v>4407.7700000000004</v>
          </cell>
          <cell r="M4721" t="str">
            <v>STL-20260927</v>
          </cell>
        </row>
        <row r="4722">
          <cell r="K4722">
            <v>1799</v>
          </cell>
          <cell r="M4722" t="str">
            <v>STL-20260927</v>
          </cell>
        </row>
        <row r="4723">
          <cell r="K4723">
            <v>12246.31</v>
          </cell>
          <cell r="M4723" t="str">
            <v>STL-20260927</v>
          </cell>
        </row>
        <row r="4724">
          <cell r="K4724">
            <v>8567.57</v>
          </cell>
          <cell r="M4724" t="str">
            <v>STL-20260927</v>
          </cell>
        </row>
        <row r="4725">
          <cell r="K4725">
            <v>782.03</v>
          </cell>
          <cell r="M4725" t="str">
            <v>STL-20260927</v>
          </cell>
        </row>
        <row r="4726">
          <cell r="K4726">
            <v>3983.85</v>
          </cell>
          <cell r="M4726" t="str">
            <v>STL-20260927</v>
          </cell>
        </row>
        <row r="4727">
          <cell r="K4727">
            <v>1467.16</v>
          </cell>
          <cell r="M4727" t="str">
            <v>STL-20260927</v>
          </cell>
        </row>
        <row r="4728">
          <cell r="K4728">
            <v>599</v>
          </cell>
          <cell r="M4728" t="str">
            <v>STL-20260927</v>
          </cell>
        </row>
        <row r="4729">
          <cell r="K4729">
            <v>1767.15</v>
          </cell>
          <cell r="M4729" t="str">
            <v>STL-20260927</v>
          </cell>
        </row>
        <row r="4730">
          <cell r="K4730">
            <v>2987.39</v>
          </cell>
          <cell r="M4730" t="str">
            <v>STL-20260927</v>
          </cell>
        </row>
        <row r="4731">
          <cell r="K4731">
            <v>3428.81</v>
          </cell>
          <cell r="M4731" t="str">
            <v>STL-20260927</v>
          </cell>
        </row>
        <row r="4732">
          <cell r="K4732">
            <v>3335.15</v>
          </cell>
          <cell r="M4732" t="str">
            <v>STL-20260927</v>
          </cell>
        </row>
        <row r="4733">
          <cell r="K4733">
            <v>1348</v>
          </cell>
          <cell r="M4733" t="str">
            <v>STL-20260927</v>
          </cell>
        </row>
        <row r="4734">
          <cell r="K4734">
            <v>499</v>
          </cell>
          <cell r="M4734" t="str">
            <v>STL-20260927</v>
          </cell>
        </row>
        <row r="4735">
          <cell r="K4735">
            <v>342.82</v>
          </cell>
          <cell r="M4735" t="str">
            <v>STL-20260927</v>
          </cell>
        </row>
        <row r="4736">
          <cell r="K4736">
            <v>5478.54</v>
          </cell>
          <cell r="M4736" t="str">
            <v>STL-20260927</v>
          </cell>
        </row>
        <row r="4737">
          <cell r="K4737">
            <v>-999</v>
          </cell>
          <cell r="M4737" t="str">
            <v>STL-20260927</v>
          </cell>
        </row>
        <row r="4738">
          <cell r="K4738">
            <v>-8348</v>
          </cell>
          <cell r="M4738" t="str">
            <v>STL-20260927</v>
          </cell>
        </row>
        <row r="4739">
          <cell r="K4739">
            <v>9122.4500000000007</v>
          </cell>
          <cell r="M4739" t="str">
            <v>STL-20260928</v>
          </cell>
        </row>
        <row r="4740">
          <cell r="K4740">
            <v>1271.4100000000001</v>
          </cell>
          <cell r="M4740" t="str">
            <v>STL-20260928</v>
          </cell>
        </row>
        <row r="4741">
          <cell r="K4741">
            <v>16438.599999999999</v>
          </cell>
          <cell r="M4741" t="str">
            <v>STL-20260928</v>
          </cell>
        </row>
        <row r="4742">
          <cell r="K4742">
            <v>1098</v>
          </cell>
          <cell r="M4742" t="str">
            <v>STL-20260928</v>
          </cell>
        </row>
        <row r="4743">
          <cell r="K4743">
            <v>1758.67</v>
          </cell>
          <cell r="M4743" t="str">
            <v>STL-20260928</v>
          </cell>
        </row>
        <row r="4744">
          <cell r="K4744">
            <v>8467.92</v>
          </cell>
          <cell r="M4744" t="str">
            <v>STL-20260928</v>
          </cell>
        </row>
        <row r="4745">
          <cell r="K4745">
            <v>11954.53</v>
          </cell>
          <cell r="M4745" t="str">
            <v>STL-20260928</v>
          </cell>
        </row>
        <row r="4746">
          <cell r="K4746">
            <v>1758.67</v>
          </cell>
          <cell r="M4746" t="str">
            <v>STL-20260928</v>
          </cell>
        </row>
        <row r="4747">
          <cell r="K4747">
            <v>13340.29</v>
          </cell>
          <cell r="M4747" t="str">
            <v>STL-20260928</v>
          </cell>
        </row>
        <row r="4748">
          <cell r="K4748">
            <v>8620.5300000000007</v>
          </cell>
          <cell r="M4748" t="str">
            <v>STL-20260928</v>
          </cell>
        </row>
        <row r="4749">
          <cell r="K4749">
            <v>2038.59</v>
          </cell>
          <cell r="M4749" t="str">
            <v>STL-20260928</v>
          </cell>
        </row>
        <row r="4750">
          <cell r="K4750">
            <v>6864.9</v>
          </cell>
          <cell r="M4750" t="str">
            <v>STL-20260928</v>
          </cell>
        </row>
        <row r="4751">
          <cell r="K4751">
            <v>2253.63</v>
          </cell>
          <cell r="M4751" t="str">
            <v>STL-20260928</v>
          </cell>
        </row>
        <row r="4752">
          <cell r="K4752">
            <v>3486.61</v>
          </cell>
          <cell r="M4752" t="str">
            <v>STL-20260928</v>
          </cell>
        </row>
        <row r="4753">
          <cell r="K4753">
            <v>5386.73</v>
          </cell>
          <cell r="M4753" t="str">
            <v>STL-20260928</v>
          </cell>
        </row>
        <row r="4754">
          <cell r="K4754">
            <v>1467.16</v>
          </cell>
          <cell r="M4754" t="str">
            <v>STL-20260928</v>
          </cell>
        </row>
        <row r="4755">
          <cell r="K4755">
            <v>4482.08</v>
          </cell>
          <cell r="M4755" t="str">
            <v>STL-20260928</v>
          </cell>
        </row>
        <row r="4756">
          <cell r="K4756">
            <v>1598</v>
          </cell>
          <cell r="M4756" t="str">
            <v>STL-20260928</v>
          </cell>
        </row>
        <row r="4757">
          <cell r="K4757">
            <v>4580.7299999999996</v>
          </cell>
          <cell r="M4757" t="str">
            <v>STL-20260928</v>
          </cell>
        </row>
        <row r="4758">
          <cell r="K4758">
            <v>3034.87</v>
          </cell>
          <cell r="M4758" t="str">
            <v>STL-20260928</v>
          </cell>
        </row>
        <row r="4759">
          <cell r="K4759">
            <v>1499</v>
          </cell>
          <cell r="M4759" t="str">
            <v>STL-20260928</v>
          </cell>
        </row>
        <row r="4760">
          <cell r="K4760">
            <v>3524.84</v>
          </cell>
          <cell r="M4760" t="str">
            <v>STL-20260928</v>
          </cell>
        </row>
        <row r="4761">
          <cell r="K4761">
            <v>349</v>
          </cell>
          <cell r="M4761" t="str">
            <v>STL-20260928</v>
          </cell>
        </row>
        <row r="4762">
          <cell r="K4762">
            <v>1465.39</v>
          </cell>
          <cell r="M4762" t="str">
            <v>STL-20260928</v>
          </cell>
        </row>
        <row r="4763">
          <cell r="K4763">
            <v>349</v>
          </cell>
          <cell r="M4763" t="str">
            <v>STL-20260928</v>
          </cell>
        </row>
        <row r="4764">
          <cell r="K4764">
            <v>1276</v>
          </cell>
          <cell r="M4764" t="str">
            <v>STL-20260928</v>
          </cell>
        </row>
        <row r="4765">
          <cell r="K4765">
            <v>5419.17</v>
          </cell>
          <cell r="M4765" t="str">
            <v>STL-20260928</v>
          </cell>
        </row>
        <row r="4766">
          <cell r="K4766">
            <v>2490.15</v>
          </cell>
          <cell r="M4766" t="str">
            <v>STL-20260928</v>
          </cell>
        </row>
        <row r="4767">
          <cell r="K4767">
            <v>2942.38</v>
          </cell>
          <cell r="M4767" t="str">
            <v>STL-20260928</v>
          </cell>
        </row>
        <row r="4768">
          <cell r="K4768">
            <v>499</v>
          </cell>
          <cell r="M4768" t="str">
            <v>STL-20260928</v>
          </cell>
        </row>
        <row r="4769">
          <cell r="K4769">
            <v>999</v>
          </cell>
          <cell r="M4769" t="str">
            <v>STL-20260928</v>
          </cell>
        </row>
        <row r="4770">
          <cell r="K4770">
            <v>977.78</v>
          </cell>
          <cell r="M4770" t="str">
            <v>STL-20260928</v>
          </cell>
        </row>
        <row r="4771">
          <cell r="K4771">
            <v>1798</v>
          </cell>
          <cell r="M4771" t="str">
            <v>STL-20260928</v>
          </cell>
        </row>
        <row r="4772">
          <cell r="K4772">
            <v>6475</v>
          </cell>
          <cell r="M4772" t="str">
            <v>STL-20260928</v>
          </cell>
        </row>
        <row r="4773">
          <cell r="K4773">
            <v>799</v>
          </cell>
          <cell r="M4773" t="str">
            <v>STL-20260928</v>
          </cell>
        </row>
        <row r="4774">
          <cell r="K4774">
            <v>599</v>
          </cell>
          <cell r="M4774" t="str">
            <v>STL-20260928</v>
          </cell>
        </row>
        <row r="4775">
          <cell r="K4775">
            <v>341.59</v>
          </cell>
          <cell r="M4775" t="str">
            <v>STL-20260928</v>
          </cell>
        </row>
        <row r="4776">
          <cell r="K4776">
            <v>1759.82</v>
          </cell>
          <cell r="M4776" t="str">
            <v>STL-20260928</v>
          </cell>
        </row>
        <row r="4777">
          <cell r="K4777">
            <v>341.59</v>
          </cell>
          <cell r="M4777" t="str">
            <v>STL-20260928</v>
          </cell>
        </row>
        <row r="4778">
          <cell r="K4778">
            <v>1467.16</v>
          </cell>
          <cell r="M4778" t="str">
            <v>STL-20260928</v>
          </cell>
        </row>
        <row r="4779">
          <cell r="K4779">
            <v>999</v>
          </cell>
          <cell r="M4779" t="str">
            <v>STL-20260928</v>
          </cell>
        </row>
        <row r="4780">
          <cell r="K4780">
            <v>9122.4500000000007</v>
          </cell>
          <cell r="M4780" t="str">
            <v>STL-20260928</v>
          </cell>
        </row>
        <row r="4781">
          <cell r="K4781">
            <v>3486.61</v>
          </cell>
          <cell r="M4781" t="str">
            <v>STL-20260928</v>
          </cell>
        </row>
        <row r="4782">
          <cell r="K4782">
            <v>829.99</v>
          </cell>
          <cell r="M4782" t="str">
            <v>STL-20260928</v>
          </cell>
        </row>
        <row r="4783">
          <cell r="K4783">
            <v>2490.15</v>
          </cell>
          <cell r="M4783" t="str">
            <v>STL-20260928</v>
          </cell>
        </row>
        <row r="4784">
          <cell r="K4784">
            <v>2490.15</v>
          </cell>
          <cell r="M4784" t="str">
            <v>STL-20260928</v>
          </cell>
        </row>
        <row r="4785">
          <cell r="K4785">
            <v>586.28</v>
          </cell>
          <cell r="M4785" t="str">
            <v>STL-20260928</v>
          </cell>
        </row>
        <row r="4786">
          <cell r="K4786">
            <v>3922.52</v>
          </cell>
          <cell r="M4786" t="str">
            <v>STL-20260928</v>
          </cell>
        </row>
        <row r="4787">
          <cell r="K4787">
            <v>293.7</v>
          </cell>
          <cell r="M4787" t="str">
            <v>STL-20260928</v>
          </cell>
        </row>
        <row r="4788">
          <cell r="K4788">
            <v>3775.35</v>
          </cell>
          <cell r="M4788" t="str">
            <v>STL-20260928</v>
          </cell>
        </row>
        <row r="4789">
          <cell r="K4789">
            <v>1467.16</v>
          </cell>
          <cell r="M4789" t="str">
            <v>STL-20260928</v>
          </cell>
        </row>
        <row r="4790">
          <cell r="K4790">
            <v>1271.4100000000001</v>
          </cell>
          <cell r="M4790" t="str">
            <v>STL-20260928</v>
          </cell>
        </row>
        <row r="4791">
          <cell r="K4791">
            <v>999</v>
          </cell>
          <cell r="M4791" t="str">
            <v>STL-20260928</v>
          </cell>
        </row>
        <row r="4792">
          <cell r="K4792">
            <v>4381.4399999999996</v>
          </cell>
          <cell r="M4792" t="str">
            <v>STL-20260928</v>
          </cell>
        </row>
        <row r="4793">
          <cell r="K4793">
            <v>8817.5</v>
          </cell>
          <cell r="M4793" t="str">
            <v>STL-20260928</v>
          </cell>
        </row>
        <row r="4794">
          <cell r="K4794">
            <v>15941.37</v>
          </cell>
          <cell r="M4794" t="str">
            <v>STL-20260928</v>
          </cell>
        </row>
        <row r="4795">
          <cell r="K4795">
            <v>4216.8500000000004</v>
          </cell>
          <cell r="M4795" t="str">
            <v>STL-20260928</v>
          </cell>
        </row>
        <row r="4796">
          <cell r="K4796">
            <v>1499</v>
          </cell>
          <cell r="M4796" t="str">
            <v>STL-20260928</v>
          </cell>
        </row>
        <row r="4797">
          <cell r="K4797">
            <v>7847.98</v>
          </cell>
          <cell r="M4797" t="str">
            <v>STL-20260928</v>
          </cell>
        </row>
        <row r="4798">
          <cell r="K4798">
            <v>1271.4100000000001</v>
          </cell>
          <cell r="M4798" t="str">
            <v>STL-20260928</v>
          </cell>
        </row>
        <row r="4799">
          <cell r="K4799">
            <v>3428.81</v>
          </cell>
          <cell r="M4799" t="str">
            <v>STL-20260928</v>
          </cell>
        </row>
        <row r="4800">
          <cell r="K4800">
            <v>2490.15</v>
          </cell>
          <cell r="M4800" t="str">
            <v>STL-20260928</v>
          </cell>
        </row>
        <row r="4801">
          <cell r="K4801">
            <v>4730.0600000000004</v>
          </cell>
          <cell r="M4801" t="str">
            <v>STL-20260928</v>
          </cell>
        </row>
        <row r="4802">
          <cell r="K4802">
            <v>3185.68</v>
          </cell>
          <cell r="M4802" t="str">
            <v>STL-20260928</v>
          </cell>
        </row>
        <row r="4803">
          <cell r="K4803">
            <v>3284.79</v>
          </cell>
          <cell r="M4803" t="str">
            <v>STL-20260928</v>
          </cell>
        </row>
        <row r="4804">
          <cell r="K4804">
            <v>8767.52</v>
          </cell>
          <cell r="M4804" t="str">
            <v>STL-20260928</v>
          </cell>
        </row>
        <row r="4805">
          <cell r="K4805">
            <v>1499</v>
          </cell>
          <cell r="M4805" t="str">
            <v>STL-20260928</v>
          </cell>
        </row>
        <row r="4806">
          <cell r="K4806">
            <v>1271.4100000000001</v>
          </cell>
          <cell r="M4806" t="str">
            <v>STL-20260928</v>
          </cell>
        </row>
        <row r="4807">
          <cell r="K4807">
            <v>599</v>
          </cell>
          <cell r="M4807" t="str">
            <v>STL-20260928</v>
          </cell>
        </row>
        <row r="4808">
          <cell r="K4808">
            <v>4313.99</v>
          </cell>
          <cell r="M4808" t="str">
            <v>STL-20260928</v>
          </cell>
        </row>
        <row r="4809">
          <cell r="K4809">
            <v>698</v>
          </cell>
          <cell r="M4809" t="str">
            <v>STL-20260928</v>
          </cell>
        </row>
        <row r="4810">
          <cell r="K4810">
            <v>5578.19</v>
          </cell>
          <cell r="M4810" t="str">
            <v>STL-20260928</v>
          </cell>
        </row>
        <row r="4811">
          <cell r="K4811">
            <v>2988.38</v>
          </cell>
          <cell r="M4811" t="str">
            <v>STL-20260928</v>
          </cell>
        </row>
        <row r="4812">
          <cell r="K4812">
            <v>3235.73</v>
          </cell>
          <cell r="M4812" t="str">
            <v>STL-20260928</v>
          </cell>
        </row>
        <row r="4813">
          <cell r="K4813">
            <v>6857.62</v>
          </cell>
          <cell r="M4813" t="str">
            <v>STL-20260928</v>
          </cell>
        </row>
        <row r="4814">
          <cell r="K4814">
            <v>12253.47</v>
          </cell>
          <cell r="M4814" t="str">
            <v>STL-20260928</v>
          </cell>
        </row>
        <row r="4815">
          <cell r="K4815">
            <v>13548.87</v>
          </cell>
          <cell r="M4815" t="str">
            <v>STL-20260928</v>
          </cell>
        </row>
        <row r="4816">
          <cell r="K4816">
            <v>3485.62</v>
          </cell>
          <cell r="M4816" t="str">
            <v>STL-20260928</v>
          </cell>
        </row>
        <row r="4817">
          <cell r="K4817">
            <v>4981.3</v>
          </cell>
          <cell r="M4817" t="str">
            <v>STL-20260928</v>
          </cell>
        </row>
        <row r="4818">
          <cell r="K4818">
            <v>1271.4100000000001</v>
          </cell>
          <cell r="M4818" t="str">
            <v>STL-20260928</v>
          </cell>
        </row>
        <row r="4819">
          <cell r="K4819">
            <v>7847.98</v>
          </cell>
          <cell r="M4819" t="str">
            <v>STL-20260928</v>
          </cell>
        </row>
        <row r="4820">
          <cell r="K4820">
            <v>3432.94</v>
          </cell>
          <cell r="M4820" t="str">
            <v>STL-20260928</v>
          </cell>
        </row>
        <row r="4821">
          <cell r="K4821">
            <v>292.64999999999998</v>
          </cell>
          <cell r="M4821" t="str">
            <v>STL-20260928</v>
          </cell>
        </row>
        <row r="4822">
          <cell r="K4822">
            <v>2451.8200000000002</v>
          </cell>
          <cell r="M4822" t="str">
            <v>STL-20260928</v>
          </cell>
        </row>
        <row r="4823">
          <cell r="K4823">
            <v>1648</v>
          </cell>
          <cell r="M4823" t="str">
            <v>STL-20260928</v>
          </cell>
        </row>
        <row r="4824">
          <cell r="K4824">
            <v>12253.47</v>
          </cell>
          <cell r="M4824" t="str">
            <v>STL-20260928</v>
          </cell>
        </row>
        <row r="4825">
          <cell r="K4825">
            <v>1270.44</v>
          </cell>
          <cell r="M4825" t="str">
            <v>STL-20260928</v>
          </cell>
        </row>
        <row r="4826">
          <cell r="K4826">
            <v>7847.98</v>
          </cell>
          <cell r="M4826" t="str">
            <v>STL-20260928</v>
          </cell>
        </row>
        <row r="4827">
          <cell r="K4827">
            <v>1798</v>
          </cell>
          <cell r="M4827" t="str">
            <v>STL-20260928</v>
          </cell>
        </row>
        <row r="4828">
          <cell r="K4828">
            <v>4981.3</v>
          </cell>
          <cell r="M4828" t="str">
            <v>STL-20260928</v>
          </cell>
        </row>
        <row r="4829">
          <cell r="K4829">
            <v>1299</v>
          </cell>
          <cell r="M4829" t="str">
            <v>STL-20260928</v>
          </cell>
        </row>
        <row r="4830">
          <cell r="K4830">
            <v>799</v>
          </cell>
          <cell r="M4830" t="str">
            <v>STL-20260928</v>
          </cell>
        </row>
        <row r="4831">
          <cell r="K4831">
            <v>2448.87</v>
          </cell>
          <cell r="M4831" t="str">
            <v>STL-20260928</v>
          </cell>
        </row>
        <row r="4832">
          <cell r="K4832">
            <v>799</v>
          </cell>
          <cell r="M4832" t="str">
            <v>STL-20260928</v>
          </cell>
        </row>
        <row r="4833">
          <cell r="K4833">
            <v>1758.67</v>
          </cell>
          <cell r="M4833" t="str">
            <v>STL-20260928</v>
          </cell>
        </row>
        <row r="4834">
          <cell r="K4834">
            <v>2107.44</v>
          </cell>
          <cell r="M4834" t="str">
            <v>STL-20260928</v>
          </cell>
        </row>
        <row r="4835">
          <cell r="K4835">
            <v>499</v>
          </cell>
          <cell r="M4835" t="str">
            <v>STL-20260928</v>
          </cell>
        </row>
        <row r="4836">
          <cell r="K4836">
            <v>4412.1000000000004</v>
          </cell>
          <cell r="M4836" t="str">
            <v>STL-20260928</v>
          </cell>
        </row>
        <row r="4837">
          <cell r="K4837">
            <v>3449.45</v>
          </cell>
          <cell r="M4837" t="str">
            <v>STL-20260928</v>
          </cell>
        </row>
        <row r="4838">
          <cell r="K4838">
            <v>3449.45</v>
          </cell>
          <cell r="M4838" t="str">
            <v>STL-20260928</v>
          </cell>
        </row>
        <row r="4839">
          <cell r="K4839">
            <v>782.03</v>
          </cell>
          <cell r="M4839" t="str">
            <v>STL-20260928</v>
          </cell>
        </row>
        <row r="4840">
          <cell r="K4840">
            <v>9307.4699999999993</v>
          </cell>
          <cell r="M4840" t="str">
            <v>STL-20260928</v>
          </cell>
        </row>
        <row r="4841">
          <cell r="K4841">
            <v>5394.2</v>
          </cell>
          <cell r="M4841" t="str">
            <v>STL-20260928</v>
          </cell>
        </row>
        <row r="4842">
          <cell r="K4842">
            <v>7885.73</v>
          </cell>
          <cell r="M4842" t="str">
            <v>STL-20260928</v>
          </cell>
        </row>
        <row r="4843">
          <cell r="K4843">
            <v>299</v>
          </cell>
          <cell r="M4843" t="str">
            <v>STL-20260928</v>
          </cell>
        </row>
        <row r="4844">
          <cell r="K4844">
            <v>1299</v>
          </cell>
          <cell r="M4844" t="str">
            <v>STL-20260928</v>
          </cell>
        </row>
        <row r="4845">
          <cell r="K4845">
            <v>7012.07</v>
          </cell>
          <cell r="M4845" t="str">
            <v>STL-20260928</v>
          </cell>
        </row>
        <row r="4846">
          <cell r="K4846">
            <v>848</v>
          </cell>
          <cell r="M4846" t="str">
            <v>STL-20260928</v>
          </cell>
        </row>
        <row r="4847">
          <cell r="K4847">
            <v>11374.91</v>
          </cell>
          <cell r="M4847" t="str">
            <v>STL-20260928</v>
          </cell>
        </row>
        <row r="4848">
          <cell r="K4848">
            <v>999</v>
          </cell>
          <cell r="M4848" t="str">
            <v>STL-20260928</v>
          </cell>
        </row>
        <row r="4849">
          <cell r="K4849">
            <v>7885.73</v>
          </cell>
          <cell r="M4849" t="str">
            <v>STL-20260928</v>
          </cell>
        </row>
        <row r="4850">
          <cell r="K4850">
            <v>3922.52</v>
          </cell>
          <cell r="M4850" t="str">
            <v>STL-20260928</v>
          </cell>
        </row>
        <row r="4851">
          <cell r="K4851">
            <v>349</v>
          </cell>
          <cell r="M4851" t="str">
            <v>STL-20260928</v>
          </cell>
        </row>
        <row r="4852">
          <cell r="K4852">
            <v>1271.4100000000001</v>
          </cell>
          <cell r="M4852" t="str">
            <v>STL-20260928</v>
          </cell>
        </row>
        <row r="4853">
          <cell r="K4853">
            <v>2988.38</v>
          </cell>
          <cell r="M4853" t="str">
            <v>STL-20260928</v>
          </cell>
        </row>
        <row r="4854">
          <cell r="K4854">
            <v>8318.4500000000007</v>
          </cell>
          <cell r="M4854" t="str">
            <v>STL-20260928</v>
          </cell>
        </row>
        <row r="4855">
          <cell r="K4855">
            <v>1470.5</v>
          </cell>
          <cell r="M4855" t="str">
            <v>STL-20260928</v>
          </cell>
        </row>
        <row r="4856">
          <cell r="K4856">
            <v>1122.26</v>
          </cell>
          <cell r="M4856" t="str">
            <v>STL-20260928</v>
          </cell>
        </row>
        <row r="4857">
          <cell r="K4857">
            <v>586.28</v>
          </cell>
          <cell r="M4857" t="str">
            <v>STL-20260928</v>
          </cell>
        </row>
        <row r="4858">
          <cell r="K4858">
            <v>1613</v>
          </cell>
          <cell r="M4858" t="str">
            <v>STL-20260928</v>
          </cell>
        </row>
        <row r="4859">
          <cell r="K4859">
            <v>2490.15</v>
          </cell>
          <cell r="M4859" t="str">
            <v>STL-20260928</v>
          </cell>
        </row>
        <row r="4860">
          <cell r="K4860">
            <v>3585.27</v>
          </cell>
          <cell r="M4860" t="str">
            <v>STL-20260928</v>
          </cell>
        </row>
        <row r="4861">
          <cell r="K4861">
            <v>999</v>
          </cell>
          <cell r="M4861" t="str">
            <v>STL-20260928</v>
          </cell>
        </row>
        <row r="4862">
          <cell r="K4862">
            <v>10959.07</v>
          </cell>
          <cell r="M4862" t="str">
            <v>STL-20260928</v>
          </cell>
        </row>
        <row r="4863">
          <cell r="K4863">
            <v>2239.0500000000002</v>
          </cell>
          <cell r="M4863" t="str">
            <v>STL-20260928</v>
          </cell>
        </row>
        <row r="4864">
          <cell r="K4864">
            <v>349</v>
          </cell>
          <cell r="M4864" t="str">
            <v>STL-20260928</v>
          </cell>
        </row>
        <row r="4865">
          <cell r="K4865">
            <v>2463.61</v>
          </cell>
          <cell r="M4865" t="str">
            <v>STL-20260928</v>
          </cell>
        </row>
        <row r="4866">
          <cell r="K4866">
            <v>1613</v>
          </cell>
          <cell r="M4866" t="str">
            <v>STL-20260928</v>
          </cell>
        </row>
        <row r="4867">
          <cell r="K4867">
            <v>1760.79</v>
          </cell>
          <cell r="M4867" t="str">
            <v>STL-20260928</v>
          </cell>
        </row>
        <row r="4868">
          <cell r="K4868">
            <v>599</v>
          </cell>
          <cell r="M4868" t="str">
            <v>STL-20260928</v>
          </cell>
        </row>
        <row r="4869">
          <cell r="K4869">
            <v>341.59</v>
          </cell>
          <cell r="M4869" t="str">
            <v>STL-20260928</v>
          </cell>
        </row>
        <row r="4870">
          <cell r="K4870">
            <v>683.18</v>
          </cell>
          <cell r="M4870" t="str">
            <v>STL-20260928</v>
          </cell>
        </row>
        <row r="4871">
          <cell r="K4871">
            <v>7847.98</v>
          </cell>
          <cell r="M4871" t="str">
            <v>STL-20260928</v>
          </cell>
        </row>
        <row r="4872">
          <cell r="K4872">
            <v>1467.16</v>
          </cell>
          <cell r="M4872" t="str">
            <v>STL-20260928</v>
          </cell>
        </row>
        <row r="4873">
          <cell r="K4873">
            <v>585.57000000000005</v>
          </cell>
          <cell r="M4873" t="str">
            <v>STL-20260928</v>
          </cell>
        </row>
        <row r="4874">
          <cell r="K4874">
            <v>349</v>
          </cell>
          <cell r="M4874" t="str">
            <v>STL-20260928</v>
          </cell>
        </row>
        <row r="4875">
          <cell r="K4875">
            <v>3784.56</v>
          </cell>
          <cell r="M4875" t="str">
            <v>STL-20260928</v>
          </cell>
        </row>
        <row r="4876">
          <cell r="K4876">
            <v>14744.62</v>
          </cell>
          <cell r="M4876" t="str">
            <v>STL-20260928</v>
          </cell>
        </row>
        <row r="4877">
          <cell r="K4877">
            <v>341.59</v>
          </cell>
          <cell r="M4877" t="str">
            <v>STL-20260928</v>
          </cell>
        </row>
        <row r="4878">
          <cell r="K4878">
            <v>8467.92</v>
          </cell>
          <cell r="M4878" t="str">
            <v>STL-20260928</v>
          </cell>
        </row>
        <row r="4879">
          <cell r="K4879">
            <v>799</v>
          </cell>
          <cell r="M4879" t="str">
            <v>STL-20260928</v>
          </cell>
        </row>
        <row r="4880">
          <cell r="K4880">
            <v>1299</v>
          </cell>
          <cell r="M4880" t="str">
            <v>STL-20260928</v>
          </cell>
        </row>
        <row r="4881">
          <cell r="K4881">
            <v>2089.58</v>
          </cell>
          <cell r="M4881" t="str">
            <v>STL-20260928</v>
          </cell>
        </row>
        <row r="4882">
          <cell r="K4882">
            <v>2254.61</v>
          </cell>
          <cell r="M4882" t="str">
            <v>STL-20260928</v>
          </cell>
        </row>
        <row r="4883">
          <cell r="K4883">
            <v>1299</v>
          </cell>
          <cell r="M4883" t="str">
            <v>STL-20260928</v>
          </cell>
        </row>
        <row r="4884">
          <cell r="K4884">
            <v>3286.33</v>
          </cell>
          <cell r="M4884" t="str">
            <v>STL-20260928</v>
          </cell>
        </row>
        <row r="4885">
          <cell r="K4885">
            <v>499</v>
          </cell>
          <cell r="M4885" t="str">
            <v>STL-20260928</v>
          </cell>
        </row>
        <row r="4886">
          <cell r="K4886">
            <v>10874.39</v>
          </cell>
          <cell r="M4886" t="str">
            <v>STL-20260928</v>
          </cell>
        </row>
        <row r="4887">
          <cell r="K4887">
            <v>3087.59</v>
          </cell>
          <cell r="M4887" t="str">
            <v>STL-20260928</v>
          </cell>
        </row>
        <row r="4888">
          <cell r="K4888">
            <v>5191.72</v>
          </cell>
          <cell r="M4888" t="str">
            <v>STL-20260928</v>
          </cell>
        </row>
        <row r="4889">
          <cell r="K4889">
            <v>586.28</v>
          </cell>
          <cell r="M4889" t="str">
            <v>STL-20260928</v>
          </cell>
        </row>
        <row r="4890">
          <cell r="K4890">
            <v>7471.46</v>
          </cell>
          <cell r="M4890" t="str">
            <v>STL-20260928</v>
          </cell>
        </row>
        <row r="4891">
          <cell r="K4891">
            <v>8666.2099999999991</v>
          </cell>
          <cell r="M4891" t="str">
            <v>STL-20260928</v>
          </cell>
        </row>
        <row r="4892">
          <cell r="K4892">
            <v>3432.94</v>
          </cell>
          <cell r="M4892" t="str">
            <v>STL-20260928</v>
          </cell>
        </row>
        <row r="4893">
          <cell r="K4893">
            <v>3336.15</v>
          </cell>
          <cell r="M4893" t="str">
            <v>STL-20260928</v>
          </cell>
        </row>
        <row r="4894">
          <cell r="K4894">
            <v>4781.0200000000004</v>
          </cell>
          <cell r="M4894" t="str">
            <v>STL-20260928</v>
          </cell>
        </row>
        <row r="4895">
          <cell r="K4895">
            <v>3486.61</v>
          </cell>
          <cell r="M4895" t="str">
            <v>STL-20260928</v>
          </cell>
        </row>
        <row r="4896">
          <cell r="K4896">
            <v>599</v>
          </cell>
          <cell r="M4896" t="str">
            <v>STL-20260928</v>
          </cell>
        </row>
        <row r="4897">
          <cell r="K4897">
            <v>1299</v>
          </cell>
          <cell r="M4897" t="str">
            <v>STL-20260928</v>
          </cell>
        </row>
        <row r="4898">
          <cell r="K4898">
            <v>3432.94</v>
          </cell>
          <cell r="M4898" t="str">
            <v>STL-20260928</v>
          </cell>
        </row>
        <row r="4899">
          <cell r="K4899">
            <v>5295.11</v>
          </cell>
          <cell r="M4899" t="str">
            <v>STL-20260928</v>
          </cell>
        </row>
        <row r="4900">
          <cell r="K4900">
            <v>2544.9</v>
          </cell>
          <cell r="M4900" t="str">
            <v>STL-20260928</v>
          </cell>
        </row>
        <row r="4901">
          <cell r="K4901">
            <v>8766.86</v>
          </cell>
          <cell r="M4901" t="str">
            <v>STL-20260928</v>
          </cell>
        </row>
        <row r="4902">
          <cell r="K4902">
            <v>2788.1</v>
          </cell>
          <cell r="M4902" t="str">
            <v>STL-20260928</v>
          </cell>
        </row>
        <row r="4903">
          <cell r="K4903">
            <v>981.31</v>
          </cell>
          <cell r="M4903" t="str">
            <v>STL-20260928</v>
          </cell>
        </row>
        <row r="4904">
          <cell r="K4904">
            <v>3486.61</v>
          </cell>
          <cell r="M4904" t="str">
            <v>STL-20260928</v>
          </cell>
        </row>
        <row r="4905">
          <cell r="K4905">
            <v>7838.54</v>
          </cell>
          <cell r="M4905" t="str">
            <v>STL-20260928</v>
          </cell>
        </row>
        <row r="4906">
          <cell r="K4906">
            <v>-3097</v>
          </cell>
          <cell r="M4906" t="str">
            <v>STL-20260928</v>
          </cell>
        </row>
        <row r="4907">
          <cell r="K4907">
            <v>-1998</v>
          </cell>
          <cell r="M4907" t="str">
            <v>STL-20260928</v>
          </cell>
        </row>
        <row r="4908">
          <cell r="K4908">
            <v>-2697</v>
          </cell>
          <cell r="M4908" t="str">
            <v>STL-20260928</v>
          </cell>
        </row>
        <row r="4909">
          <cell r="K4909">
            <v>-3798</v>
          </cell>
          <cell r="M4909" t="str">
            <v>STL-20260928</v>
          </cell>
        </row>
        <row r="4910">
          <cell r="K4910">
            <v>-1298</v>
          </cell>
          <cell r="M4910" t="str">
            <v>STL-20260928</v>
          </cell>
        </row>
        <row r="4911">
          <cell r="K4911">
            <v>-499</v>
          </cell>
          <cell r="M4911" t="str">
            <v>STL-20260928</v>
          </cell>
        </row>
        <row r="4912">
          <cell r="K4912">
            <v>-4647</v>
          </cell>
          <cell r="M4912" t="str">
            <v>STL-20260928</v>
          </cell>
        </row>
        <row r="4913">
          <cell r="K4913">
            <v>-14497</v>
          </cell>
          <cell r="M4913" t="str">
            <v>STL-20260928</v>
          </cell>
        </row>
        <row r="4914">
          <cell r="K4914">
            <v>-5298</v>
          </cell>
          <cell r="M4914" t="str">
            <v>STL-20260928</v>
          </cell>
        </row>
        <row r="4915">
          <cell r="K4915">
            <v>-299</v>
          </cell>
          <cell r="M4915" t="str">
            <v>STL-20260928</v>
          </cell>
        </row>
        <row r="4916">
          <cell r="K4916">
            <v>-299</v>
          </cell>
          <cell r="M4916" t="str">
            <v>STL-20260928</v>
          </cell>
        </row>
        <row r="4917">
          <cell r="K4917">
            <v>-299</v>
          </cell>
          <cell r="M4917" t="str">
            <v>STL-20260928</v>
          </cell>
        </row>
        <row r="4918">
          <cell r="K4918">
            <v>-1299</v>
          </cell>
          <cell r="M4918" t="str">
            <v>STL-20260928</v>
          </cell>
        </row>
        <row r="4919">
          <cell r="K4919">
            <v>-3597</v>
          </cell>
          <cell r="M4919" t="str">
            <v>STL-20260928</v>
          </cell>
        </row>
        <row r="4920">
          <cell r="K4920">
            <v>6275.71</v>
          </cell>
          <cell r="M4920" t="str">
            <v>STL-20260929</v>
          </cell>
        </row>
        <row r="4921">
          <cell r="K4921">
            <v>648</v>
          </cell>
          <cell r="M4921" t="str">
            <v>STL-20260929</v>
          </cell>
        </row>
        <row r="4922">
          <cell r="K4922">
            <v>4211.78</v>
          </cell>
          <cell r="M4922" t="str">
            <v>STL-20260929</v>
          </cell>
        </row>
        <row r="4923">
          <cell r="K4923">
            <v>1998</v>
          </cell>
          <cell r="M4923" t="str">
            <v>STL-20260929</v>
          </cell>
        </row>
        <row r="4924">
          <cell r="K4924">
            <v>10593.15</v>
          </cell>
          <cell r="M4924" t="str">
            <v>STL-20260929</v>
          </cell>
        </row>
        <row r="4925">
          <cell r="K4925">
            <v>2937.86</v>
          </cell>
          <cell r="M4925" t="str">
            <v>STL-20260929</v>
          </cell>
        </row>
        <row r="4926">
          <cell r="K4926">
            <v>2988.38</v>
          </cell>
          <cell r="M4926" t="str">
            <v>STL-20260929</v>
          </cell>
        </row>
        <row r="4927">
          <cell r="K4927">
            <v>2090.58</v>
          </cell>
          <cell r="M4927" t="str">
            <v>STL-20260929</v>
          </cell>
        </row>
        <row r="4928">
          <cell r="K4928">
            <v>2351.75</v>
          </cell>
          <cell r="M4928" t="str">
            <v>STL-20260929</v>
          </cell>
        </row>
        <row r="4929">
          <cell r="K4929">
            <v>6772.94</v>
          </cell>
          <cell r="M4929" t="str">
            <v>STL-20260929</v>
          </cell>
        </row>
        <row r="4930">
          <cell r="K4930">
            <v>926.75</v>
          </cell>
          <cell r="M4930" t="str">
            <v>STL-20260929</v>
          </cell>
        </row>
        <row r="4931">
          <cell r="K4931">
            <v>4282.79</v>
          </cell>
          <cell r="M4931" t="str">
            <v>STL-20260929</v>
          </cell>
        </row>
        <row r="4932">
          <cell r="K4932">
            <v>13226.25</v>
          </cell>
          <cell r="M4932" t="str">
            <v>STL-20260929</v>
          </cell>
        </row>
        <row r="4933">
          <cell r="K4933">
            <v>341.18</v>
          </cell>
          <cell r="M4933" t="str">
            <v>STL-20260929</v>
          </cell>
        </row>
        <row r="4934">
          <cell r="K4934">
            <v>1298</v>
          </cell>
          <cell r="M4934" t="str">
            <v>STL-20260929</v>
          </cell>
        </row>
        <row r="4935">
          <cell r="K4935">
            <v>999</v>
          </cell>
          <cell r="M4935" t="str">
            <v>STL-20260929</v>
          </cell>
        </row>
        <row r="4936">
          <cell r="K4936">
            <v>6275.71</v>
          </cell>
          <cell r="M4936" t="str">
            <v>STL-20260929</v>
          </cell>
        </row>
        <row r="4937">
          <cell r="K4937">
            <v>1499</v>
          </cell>
          <cell r="M4937" t="str">
            <v>STL-20260929</v>
          </cell>
        </row>
        <row r="4938">
          <cell r="K4938">
            <v>1598</v>
          </cell>
          <cell r="M4938" t="str">
            <v>STL-20260929</v>
          </cell>
        </row>
        <row r="4939">
          <cell r="K4939">
            <v>4281.79</v>
          </cell>
          <cell r="M4939" t="str">
            <v>STL-20260929</v>
          </cell>
        </row>
        <row r="4940">
          <cell r="K4940">
            <v>6179.09</v>
          </cell>
          <cell r="M4940" t="str">
            <v>STL-20260929</v>
          </cell>
        </row>
        <row r="4941">
          <cell r="K4941">
            <v>3784.56</v>
          </cell>
          <cell r="M4941" t="str">
            <v>STL-20260929</v>
          </cell>
        </row>
        <row r="4942">
          <cell r="K4942">
            <v>999</v>
          </cell>
          <cell r="M4942" t="str">
            <v>STL-20260929</v>
          </cell>
        </row>
        <row r="4943">
          <cell r="K4943">
            <v>499</v>
          </cell>
          <cell r="M4943" t="str">
            <v>STL-20260929</v>
          </cell>
        </row>
        <row r="4944">
          <cell r="K4944">
            <v>7970.68</v>
          </cell>
          <cell r="M4944" t="str">
            <v>STL-20260929</v>
          </cell>
        </row>
        <row r="4945">
          <cell r="K4945">
            <v>2490.15</v>
          </cell>
          <cell r="M4945" t="str">
            <v>STL-20260929</v>
          </cell>
        </row>
        <row r="4946">
          <cell r="K4946">
            <v>1368.31</v>
          </cell>
          <cell r="M4946" t="str">
            <v>STL-20260929</v>
          </cell>
        </row>
        <row r="4947">
          <cell r="K4947">
            <v>2352.7199999999998</v>
          </cell>
          <cell r="M4947" t="str">
            <v>STL-20260929</v>
          </cell>
        </row>
        <row r="4948">
          <cell r="K4948">
            <v>2588.81</v>
          </cell>
          <cell r="M4948" t="str">
            <v>STL-20260929</v>
          </cell>
        </row>
        <row r="4949">
          <cell r="K4949">
            <v>599</v>
          </cell>
          <cell r="M4949" t="str">
            <v>STL-20260929</v>
          </cell>
        </row>
        <row r="4950">
          <cell r="K4950">
            <v>4904.62</v>
          </cell>
          <cell r="M4950" t="str">
            <v>STL-20260929</v>
          </cell>
        </row>
        <row r="4951">
          <cell r="K4951">
            <v>2588.81</v>
          </cell>
          <cell r="M4951" t="str">
            <v>STL-20260929</v>
          </cell>
        </row>
        <row r="4952">
          <cell r="K4952">
            <v>4980.3100000000004</v>
          </cell>
          <cell r="M4952" t="str">
            <v>STL-20260929</v>
          </cell>
        </row>
        <row r="4953">
          <cell r="K4953">
            <v>977.78</v>
          </cell>
          <cell r="M4953" t="str">
            <v>STL-20260929</v>
          </cell>
        </row>
        <row r="4954">
          <cell r="K4954">
            <v>3834.38</v>
          </cell>
          <cell r="M4954" t="str">
            <v>STL-20260929</v>
          </cell>
        </row>
        <row r="4955">
          <cell r="K4955">
            <v>1467.16</v>
          </cell>
          <cell r="M4955" t="str">
            <v>STL-20260929</v>
          </cell>
        </row>
        <row r="4956">
          <cell r="K4956">
            <v>14744.62</v>
          </cell>
          <cell r="M4956" t="str">
            <v>STL-20260929</v>
          </cell>
        </row>
        <row r="4957">
          <cell r="K4957">
            <v>1270.44</v>
          </cell>
          <cell r="M4957" t="str">
            <v>STL-20260929</v>
          </cell>
        </row>
        <row r="4958">
          <cell r="K4958">
            <v>12951.99</v>
          </cell>
          <cell r="M4958" t="str">
            <v>STL-20260929</v>
          </cell>
        </row>
        <row r="4959">
          <cell r="K4959">
            <v>341.59</v>
          </cell>
          <cell r="M4959" t="str">
            <v>STL-20260929</v>
          </cell>
        </row>
        <row r="4960">
          <cell r="K4960">
            <v>1467.16</v>
          </cell>
          <cell r="M4960" t="str">
            <v>STL-20260929</v>
          </cell>
        </row>
        <row r="4961">
          <cell r="K4961">
            <v>7159.23</v>
          </cell>
          <cell r="M4961" t="str">
            <v>STL-20260929</v>
          </cell>
        </row>
        <row r="4962">
          <cell r="K4962">
            <v>9600.4699999999993</v>
          </cell>
          <cell r="M4962" t="str">
            <v>STL-20260929</v>
          </cell>
        </row>
        <row r="4963">
          <cell r="K4963">
            <v>12951.99</v>
          </cell>
          <cell r="M4963" t="str">
            <v>STL-20260929</v>
          </cell>
        </row>
        <row r="4964">
          <cell r="K4964">
            <v>9122.4500000000007</v>
          </cell>
          <cell r="M4964" t="str">
            <v>STL-20260929</v>
          </cell>
        </row>
        <row r="4965">
          <cell r="K4965">
            <v>1498</v>
          </cell>
          <cell r="M4965" t="str">
            <v>STL-20260929</v>
          </cell>
        </row>
        <row r="4966">
          <cell r="K4966">
            <v>487.81</v>
          </cell>
          <cell r="M4966" t="str">
            <v>STL-20260929</v>
          </cell>
        </row>
        <row r="4967">
          <cell r="K4967">
            <v>4216.8500000000004</v>
          </cell>
          <cell r="M4967" t="str">
            <v>STL-20260929</v>
          </cell>
        </row>
        <row r="4968">
          <cell r="K4968">
            <v>1760.79</v>
          </cell>
          <cell r="M4968" t="str">
            <v>STL-20260929</v>
          </cell>
        </row>
        <row r="4969">
          <cell r="K4969">
            <v>5484.72</v>
          </cell>
          <cell r="M4969" t="str">
            <v>STL-20260929</v>
          </cell>
        </row>
        <row r="4970">
          <cell r="K4970">
            <v>2741.87</v>
          </cell>
          <cell r="M4970" t="str">
            <v>STL-20260929</v>
          </cell>
        </row>
        <row r="4971">
          <cell r="K4971">
            <v>5492.31</v>
          </cell>
          <cell r="M4971" t="str">
            <v>STL-20260929</v>
          </cell>
        </row>
        <row r="4972">
          <cell r="K4972">
            <v>5295.11</v>
          </cell>
          <cell r="M4972" t="str">
            <v>STL-20260929</v>
          </cell>
        </row>
        <row r="4973">
          <cell r="K4973">
            <v>799</v>
          </cell>
          <cell r="M4973" t="str">
            <v>STL-20260929</v>
          </cell>
        </row>
        <row r="4974">
          <cell r="K4974">
            <v>5884.76</v>
          </cell>
          <cell r="M4974" t="str">
            <v>STL-20260929</v>
          </cell>
        </row>
        <row r="4975">
          <cell r="K4975">
            <v>3235.73</v>
          </cell>
          <cell r="M4975" t="str">
            <v>STL-20260929</v>
          </cell>
        </row>
        <row r="4976">
          <cell r="K4976">
            <v>5329.07</v>
          </cell>
          <cell r="M4976" t="str">
            <v>STL-20260929</v>
          </cell>
        </row>
        <row r="4977">
          <cell r="K4977">
            <v>8467.92</v>
          </cell>
          <cell r="M4977" t="str">
            <v>STL-20260929</v>
          </cell>
        </row>
        <row r="4978">
          <cell r="K4978">
            <v>586.28</v>
          </cell>
          <cell r="M4978" t="str">
            <v>STL-20260929</v>
          </cell>
        </row>
        <row r="4979">
          <cell r="K4979">
            <v>4182.1400000000003</v>
          </cell>
          <cell r="M4979" t="str">
            <v>STL-20260929</v>
          </cell>
        </row>
        <row r="4980">
          <cell r="K4980">
            <v>5279.25</v>
          </cell>
          <cell r="M4980" t="str">
            <v>STL-20260929</v>
          </cell>
        </row>
        <row r="4981">
          <cell r="K4981">
            <v>1465.39</v>
          </cell>
          <cell r="M4981" t="str">
            <v>STL-20260929</v>
          </cell>
        </row>
        <row r="4982">
          <cell r="K4982">
            <v>4780.0200000000004</v>
          </cell>
          <cell r="M4982" t="str">
            <v>STL-20260929</v>
          </cell>
        </row>
        <row r="4983">
          <cell r="K4983">
            <v>6865.88</v>
          </cell>
          <cell r="M4983" t="str">
            <v>STL-20260929</v>
          </cell>
        </row>
        <row r="4984">
          <cell r="K4984">
            <v>1472.46</v>
          </cell>
          <cell r="M4984" t="str">
            <v>STL-20260929</v>
          </cell>
        </row>
        <row r="4985">
          <cell r="K4985">
            <v>1757.69</v>
          </cell>
          <cell r="M4985" t="str">
            <v>STL-20260929</v>
          </cell>
        </row>
        <row r="4986">
          <cell r="K4986">
            <v>1268.9000000000001</v>
          </cell>
          <cell r="M4986" t="str">
            <v>STL-20260929</v>
          </cell>
        </row>
        <row r="4987">
          <cell r="K4987">
            <v>2090.58</v>
          </cell>
          <cell r="M4987" t="str">
            <v>STL-20260929</v>
          </cell>
        </row>
        <row r="4988">
          <cell r="K4988">
            <v>349</v>
          </cell>
          <cell r="M4988" t="str">
            <v>STL-20260929</v>
          </cell>
        </row>
        <row r="4989">
          <cell r="K4989">
            <v>2886.75</v>
          </cell>
          <cell r="M4989" t="str">
            <v>STL-20260929</v>
          </cell>
        </row>
        <row r="4990">
          <cell r="K4990">
            <v>341.18</v>
          </cell>
          <cell r="M4990" t="str">
            <v>STL-20260929</v>
          </cell>
        </row>
        <row r="4991">
          <cell r="K4991">
            <v>6573.65</v>
          </cell>
          <cell r="M4991" t="str">
            <v>STL-20260929</v>
          </cell>
        </row>
        <row r="4992">
          <cell r="K4992">
            <v>7970.68</v>
          </cell>
          <cell r="M4992" t="str">
            <v>STL-20260929</v>
          </cell>
        </row>
        <row r="4993">
          <cell r="K4993">
            <v>977.78</v>
          </cell>
          <cell r="M4993" t="str">
            <v>STL-20260929</v>
          </cell>
        </row>
        <row r="4994">
          <cell r="K4994">
            <v>7970.68</v>
          </cell>
          <cell r="M4994" t="str">
            <v>STL-20260929</v>
          </cell>
        </row>
        <row r="4995">
          <cell r="K4995">
            <v>1569.72</v>
          </cell>
          <cell r="M4995" t="str">
            <v>STL-20260929</v>
          </cell>
        </row>
        <row r="4996">
          <cell r="K4996">
            <v>1562.18</v>
          </cell>
          <cell r="M4996" t="str">
            <v>STL-20260929</v>
          </cell>
        </row>
        <row r="4997">
          <cell r="K4997">
            <v>981.31</v>
          </cell>
          <cell r="M4997" t="str">
            <v>STL-20260929</v>
          </cell>
        </row>
        <row r="4998">
          <cell r="K4998">
            <v>9962.61</v>
          </cell>
          <cell r="M4998" t="str">
            <v>STL-20260929</v>
          </cell>
        </row>
        <row r="4999">
          <cell r="K4999">
            <v>1098</v>
          </cell>
          <cell r="M4999" t="str">
            <v>STL-20260929</v>
          </cell>
        </row>
        <row r="5000">
          <cell r="K5000">
            <v>2837.92</v>
          </cell>
          <cell r="M5000" t="str">
            <v>STL-20260929</v>
          </cell>
        </row>
        <row r="5001">
          <cell r="K5001">
            <v>1799</v>
          </cell>
          <cell r="M5001" t="str">
            <v>STL-20260929</v>
          </cell>
        </row>
        <row r="5002">
          <cell r="K5002">
            <v>1799</v>
          </cell>
          <cell r="M5002" t="str">
            <v>STL-20260929</v>
          </cell>
        </row>
        <row r="5003">
          <cell r="K5003">
            <v>2058.39</v>
          </cell>
          <cell r="M5003" t="str">
            <v>STL-20260929</v>
          </cell>
        </row>
        <row r="5004">
          <cell r="K5004">
            <v>3235.73</v>
          </cell>
          <cell r="M5004" t="str">
            <v>STL-20260929</v>
          </cell>
        </row>
        <row r="5005">
          <cell r="K5005">
            <v>1760.79</v>
          </cell>
          <cell r="M5005" t="str">
            <v>STL-20260929</v>
          </cell>
        </row>
        <row r="5006">
          <cell r="K5006">
            <v>3784.56</v>
          </cell>
          <cell r="M5006" t="str">
            <v>STL-20260929</v>
          </cell>
        </row>
        <row r="5007">
          <cell r="K5007">
            <v>1499</v>
          </cell>
          <cell r="M5007" t="str">
            <v>STL-20260929</v>
          </cell>
        </row>
        <row r="5008">
          <cell r="K5008">
            <v>3983.85</v>
          </cell>
          <cell r="M5008" t="str">
            <v>STL-20260929</v>
          </cell>
        </row>
        <row r="5009">
          <cell r="K5009">
            <v>1299</v>
          </cell>
          <cell r="M5009" t="str">
            <v>STL-20260929</v>
          </cell>
        </row>
        <row r="5010">
          <cell r="K5010">
            <v>4904.62</v>
          </cell>
          <cell r="M5010" t="str">
            <v>STL-20260929</v>
          </cell>
        </row>
        <row r="5011">
          <cell r="K5011">
            <v>3449.45</v>
          </cell>
          <cell r="M5011" t="str">
            <v>STL-20260929</v>
          </cell>
        </row>
        <row r="5012">
          <cell r="K5012">
            <v>1271.4100000000001</v>
          </cell>
          <cell r="M5012" t="str">
            <v>STL-20260929</v>
          </cell>
        </row>
        <row r="5013">
          <cell r="K5013">
            <v>499</v>
          </cell>
          <cell r="M5013" t="str">
            <v>STL-20260929</v>
          </cell>
        </row>
        <row r="5014">
          <cell r="K5014">
            <v>976.6</v>
          </cell>
          <cell r="M5014" t="str">
            <v>STL-20260929</v>
          </cell>
        </row>
        <row r="5015">
          <cell r="K5015">
            <v>2548.9499999999998</v>
          </cell>
          <cell r="M5015" t="str">
            <v>STL-20260929</v>
          </cell>
        </row>
        <row r="5016">
          <cell r="K5016">
            <v>6701.74</v>
          </cell>
          <cell r="M5016" t="str">
            <v>STL-20260929</v>
          </cell>
        </row>
        <row r="5017">
          <cell r="K5017">
            <v>487.81</v>
          </cell>
          <cell r="M5017" t="str">
            <v>STL-20260929</v>
          </cell>
        </row>
        <row r="5018">
          <cell r="K5018">
            <v>7968.69</v>
          </cell>
          <cell r="M5018" t="str">
            <v>STL-20260929</v>
          </cell>
        </row>
        <row r="5019">
          <cell r="K5019">
            <v>349</v>
          </cell>
          <cell r="M5019" t="str">
            <v>STL-20260929</v>
          </cell>
        </row>
        <row r="5020">
          <cell r="K5020">
            <v>999</v>
          </cell>
          <cell r="M5020" t="str">
            <v>STL-20260929</v>
          </cell>
        </row>
        <row r="5021">
          <cell r="K5021">
            <v>10102.59</v>
          </cell>
          <cell r="M5021" t="str">
            <v>STL-20260929</v>
          </cell>
        </row>
        <row r="5022">
          <cell r="K5022">
            <v>3720.83</v>
          </cell>
          <cell r="M5022" t="str">
            <v>STL-20260929</v>
          </cell>
        </row>
        <row r="5023">
          <cell r="K5023">
            <v>780.11</v>
          </cell>
          <cell r="M5023" t="str">
            <v>STL-20260929</v>
          </cell>
        </row>
        <row r="5024">
          <cell r="K5024">
            <v>1298</v>
          </cell>
          <cell r="M5024" t="str">
            <v>STL-20260929</v>
          </cell>
        </row>
        <row r="5025">
          <cell r="K5025">
            <v>499</v>
          </cell>
          <cell r="M5025" t="str">
            <v>STL-20260929</v>
          </cell>
        </row>
        <row r="5026">
          <cell r="K5026">
            <v>4979.3100000000004</v>
          </cell>
          <cell r="M5026" t="str">
            <v>STL-20260929</v>
          </cell>
        </row>
        <row r="5027">
          <cell r="K5027">
            <v>798</v>
          </cell>
          <cell r="M5027" t="str">
            <v>STL-20260929</v>
          </cell>
        </row>
        <row r="5028">
          <cell r="K5028">
            <v>4898.72</v>
          </cell>
          <cell r="M5028" t="str">
            <v>STL-20260929</v>
          </cell>
        </row>
        <row r="5029">
          <cell r="K5029">
            <v>2090.58</v>
          </cell>
          <cell r="M5029" t="str">
            <v>STL-20260929</v>
          </cell>
        </row>
        <row r="5030">
          <cell r="K5030">
            <v>1499</v>
          </cell>
          <cell r="M5030" t="str">
            <v>STL-20260929</v>
          </cell>
        </row>
        <row r="5031">
          <cell r="K5031">
            <v>1499</v>
          </cell>
          <cell r="M5031" t="str">
            <v>STL-20260929</v>
          </cell>
        </row>
        <row r="5032">
          <cell r="K5032">
            <v>4928.21</v>
          </cell>
          <cell r="M5032" t="str">
            <v>STL-20260929</v>
          </cell>
        </row>
        <row r="5033">
          <cell r="K5033">
            <v>8966.15</v>
          </cell>
          <cell r="M5033" t="str">
            <v>STL-20260929</v>
          </cell>
        </row>
        <row r="5034">
          <cell r="K5034">
            <v>1815.29</v>
          </cell>
          <cell r="M5034" t="str">
            <v>STL-20260929</v>
          </cell>
        </row>
        <row r="5035">
          <cell r="K5035">
            <v>7885.73</v>
          </cell>
          <cell r="M5035" t="str">
            <v>STL-20260929</v>
          </cell>
        </row>
        <row r="5036">
          <cell r="K5036">
            <v>2490.15</v>
          </cell>
          <cell r="M5036" t="str">
            <v>STL-20260929</v>
          </cell>
        </row>
        <row r="5037">
          <cell r="K5037">
            <v>1270.44</v>
          </cell>
          <cell r="M5037" t="str">
            <v>STL-20260929</v>
          </cell>
        </row>
        <row r="5038">
          <cell r="K5038">
            <v>3486.61</v>
          </cell>
          <cell r="M5038" t="str">
            <v>STL-20260929</v>
          </cell>
        </row>
        <row r="5039">
          <cell r="K5039">
            <v>3300.59</v>
          </cell>
          <cell r="M5039" t="str">
            <v>STL-20260929</v>
          </cell>
        </row>
        <row r="5040">
          <cell r="K5040">
            <v>2490.15</v>
          </cell>
          <cell r="M5040" t="str">
            <v>STL-20260929</v>
          </cell>
        </row>
        <row r="5041">
          <cell r="K5041">
            <v>3449.45</v>
          </cell>
          <cell r="M5041" t="str">
            <v>STL-20260929</v>
          </cell>
        </row>
        <row r="5042">
          <cell r="K5042">
            <v>1467.16</v>
          </cell>
          <cell r="M5042" t="str">
            <v>STL-20260929</v>
          </cell>
        </row>
        <row r="5043">
          <cell r="K5043">
            <v>8467.92</v>
          </cell>
          <cell r="M5043" t="str">
            <v>STL-20260929</v>
          </cell>
        </row>
        <row r="5044">
          <cell r="K5044">
            <v>292.64999999999998</v>
          </cell>
          <cell r="M5044" t="str">
            <v>STL-20260929</v>
          </cell>
        </row>
        <row r="5045">
          <cell r="K5045">
            <v>7970.68</v>
          </cell>
          <cell r="M5045" t="str">
            <v>STL-20260929</v>
          </cell>
        </row>
        <row r="5046">
          <cell r="K5046">
            <v>1905.64</v>
          </cell>
          <cell r="M5046" t="str">
            <v>STL-20260929</v>
          </cell>
        </row>
        <row r="5047">
          <cell r="K5047">
            <v>1799</v>
          </cell>
          <cell r="M5047" t="str">
            <v>STL-20260929</v>
          </cell>
        </row>
        <row r="5048">
          <cell r="K5048">
            <v>1467.16</v>
          </cell>
          <cell r="M5048" t="str">
            <v>STL-20260929</v>
          </cell>
        </row>
        <row r="5049">
          <cell r="K5049">
            <v>3486.61</v>
          </cell>
          <cell r="M5049" t="str">
            <v>STL-20260929</v>
          </cell>
        </row>
        <row r="5050">
          <cell r="K5050">
            <v>4068.71</v>
          </cell>
          <cell r="M5050" t="str">
            <v>STL-20260929</v>
          </cell>
        </row>
        <row r="5051">
          <cell r="K5051">
            <v>292.64999999999998</v>
          </cell>
          <cell r="M5051" t="str">
            <v>STL-20260929</v>
          </cell>
        </row>
        <row r="5052">
          <cell r="K5052">
            <v>292.64999999999998</v>
          </cell>
          <cell r="M5052" t="str">
            <v>STL-20260929</v>
          </cell>
        </row>
        <row r="5053">
          <cell r="K5053">
            <v>4928.21</v>
          </cell>
          <cell r="M5053" t="str">
            <v>STL-20260929</v>
          </cell>
        </row>
        <row r="5054">
          <cell r="K5054">
            <v>1499</v>
          </cell>
          <cell r="M5054" t="str">
            <v>STL-20260929</v>
          </cell>
        </row>
        <row r="5055">
          <cell r="K5055">
            <v>1499</v>
          </cell>
          <cell r="M5055" t="str">
            <v>STL-20260929</v>
          </cell>
        </row>
        <row r="5056">
          <cell r="K5056">
            <v>3427.83</v>
          </cell>
          <cell r="M5056" t="str">
            <v>STL-20260929</v>
          </cell>
        </row>
        <row r="5057">
          <cell r="K5057">
            <v>7970.68</v>
          </cell>
          <cell r="M5057" t="str">
            <v>STL-20260929</v>
          </cell>
        </row>
        <row r="5058">
          <cell r="K5058">
            <v>976.81</v>
          </cell>
          <cell r="M5058" t="str">
            <v>STL-20260929</v>
          </cell>
        </row>
        <row r="5059">
          <cell r="K5059">
            <v>2489.16</v>
          </cell>
          <cell r="M5059" t="str">
            <v>STL-20260929</v>
          </cell>
        </row>
        <row r="5060">
          <cell r="K5060">
            <v>341.59</v>
          </cell>
          <cell r="M5060" t="str">
            <v>STL-20260929</v>
          </cell>
        </row>
        <row r="5061">
          <cell r="K5061">
            <v>8828.1200000000008</v>
          </cell>
          <cell r="M5061" t="str">
            <v>STL-20260929</v>
          </cell>
        </row>
        <row r="5062">
          <cell r="K5062">
            <v>2942.38</v>
          </cell>
          <cell r="M5062" t="str">
            <v>STL-20260929</v>
          </cell>
        </row>
        <row r="5063">
          <cell r="K5063">
            <v>4282.79</v>
          </cell>
          <cell r="M5063" t="str">
            <v>STL-20260929</v>
          </cell>
        </row>
        <row r="5064">
          <cell r="K5064">
            <v>4282.79</v>
          </cell>
          <cell r="M5064" t="str">
            <v>STL-20260929</v>
          </cell>
        </row>
        <row r="5065">
          <cell r="K5065">
            <v>6125.24</v>
          </cell>
          <cell r="M5065" t="str">
            <v>STL-20260929</v>
          </cell>
        </row>
        <row r="5066">
          <cell r="K5066">
            <v>4211.78</v>
          </cell>
          <cell r="M5066" t="str">
            <v>STL-20260929</v>
          </cell>
        </row>
        <row r="5067">
          <cell r="K5067">
            <v>926.75</v>
          </cell>
          <cell r="M5067" t="str">
            <v>STL-20260929</v>
          </cell>
        </row>
        <row r="5068">
          <cell r="K5068">
            <v>1368.31</v>
          </cell>
          <cell r="M5068" t="str">
            <v>STL-20260929</v>
          </cell>
        </row>
        <row r="5069">
          <cell r="K5069">
            <v>1799</v>
          </cell>
          <cell r="M5069" t="str">
            <v>STL-20260929</v>
          </cell>
        </row>
        <row r="5070">
          <cell r="K5070">
            <v>8377.66</v>
          </cell>
          <cell r="M5070" t="str">
            <v>STL-20260929</v>
          </cell>
        </row>
        <row r="5071">
          <cell r="K5071">
            <v>5279.25</v>
          </cell>
          <cell r="M5071" t="str">
            <v>STL-20260929</v>
          </cell>
        </row>
        <row r="5072">
          <cell r="K5072">
            <v>1299</v>
          </cell>
          <cell r="M5072" t="str">
            <v>STL-20260929</v>
          </cell>
        </row>
        <row r="5073">
          <cell r="K5073">
            <v>2745.17</v>
          </cell>
          <cell r="M5073" t="str">
            <v>STL-20260929</v>
          </cell>
        </row>
        <row r="5074">
          <cell r="K5074">
            <v>829.99</v>
          </cell>
          <cell r="M5074" t="str">
            <v>STL-20260929</v>
          </cell>
        </row>
        <row r="5075">
          <cell r="K5075">
            <v>299</v>
          </cell>
          <cell r="M5075" t="str">
            <v>STL-20260929</v>
          </cell>
        </row>
        <row r="5076">
          <cell r="K5076">
            <v>1648</v>
          </cell>
          <cell r="M5076" t="str">
            <v>STL-20260929</v>
          </cell>
        </row>
        <row r="5077">
          <cell r="K5077">
            <v>7885.73</v>
          </cell>
          <cell r="M5077" t="str">
            <v>STL-20260929</v>
          </cell>
        </row>
        <row r="5078">
          <cell r="K5078">
            <v>3585.27</v>
          </cell>
          <cell r="M5078" t="str">
            <v>STL-20260929</v>
          </cell>
        </row>
        <row r="5079">
          <cell r="K5079">
            <v>1465.39</v>
          </cell>
          <cell r="M5079" t="str">
            <v>STL-20260929</v>
          </cell>
        </row>
        <row r="5080">
          <cell r="K5080">
            <v>4482.08</v>
          </cell>
          <cell r="M5080" t="str">
            <v>STL-20260929</v>
          </cell>
        </row>
        <row r="5081">
          <cell r="K5081">
            <v>349</v>
          </cell>
          <cell r="M5081" t="str">
            <v>STL-20260929</v>
          </cell>
        </row>
        <row r="5082">
          <cell r="K5082">
            <v>4981.3</v>
          </cell>
          <cell r="M5082" t="str">
            <v>STL-20260929</v>
          </cell>
        </row>
        <row r="5083">
          <cell r="K5083">
            <v>1271.4100000000001</v>
          </cell>
          <cell r="M5083" t="str">
            <v>STL-20260929</v>
          </cell>
        </row>
        <row r="5084">
          <cell r="K5084">
            <v>7271.17</v>
          </cell>
          <cell r="M5084" t="str">
            <v>STL-20260929</v>
          </cell>
        </row>
        <row r="5085">
          <cell r="K5085">
            <v>981.31</v>
          </cell>
          <cell r="M5085" t="str">
            <v>STL-20260929</v>
          </cell>
        </row>
        <row r="5086">
          <cell r="K5086">
            <v>4210.8</v>
          </cell>
          <cell r="M5086" t="str">
            <v>STL-20260929</v>
          </cell>
        </row>
        <row r="5087">
          <cell r="K5087">
            <v>349</v>
          </cell>
          <cell r="M5087" t="str">
            <v>STL-20260929</v>
          </cell>
        </row>
        <row r="5088">
          <cell r="K5088">
            <v>8435.67</v>
          </cell>
          <cell r="M5088" t="str">
            <v>STL-20260929</v>
          </cell>
        </row>
        <row r="5089">
          <cell r="K5089">
            <v>1564.06</v>
          </cell>
          <cell r="M5089" t="str">
            <v>STL-20260929</v>
          </cell>
        </row>
        <row r="5090">
          <cell r="K5090">
            <v>1597</v>
          </cell>
          <cell r="M5090" t="str">
            <v>STL-20260929</v>
          </cell>
        </row>
        <row r="5091">
          <cell r="K5091">
            <v>3486.61</v>
          </cell>
          <cell r="M5091" t="str">
            <v>STL-20260929</v>
          </cell>
        </row>
        <row r="5092">
          <cell r="K5092">
            <v>781.09</v>
          </cell>
          <cell r="M5092" t="str">
            <v>STL-20260929</v>
          </cell>
        </row>
        <row r="5093">
          <cell r="K5093">
            <v>1467.16</v>
          </cell>
          <cell r="M5093" t="str">
            <v>STL-20260929</v>
          </cell>
        </row>
        <row r="5094">
          <cell r="K5094">
            <v>2490.15</v>
          </cell>
          <cell r="M5094" t="str">
            <v>STL-20260929</v>
          </cell>
        </row>
        <row r="5095">
          <cell r="K5095">
            <v>341.59</v>
          </cell>
          <cell r="M5095" t="str">
            <v>STL-20260929</v>
          </cell>
        </row>
        <row r="5096">
          <cell r="K5096">
            <v>3087.04</v>
          </cell>
          <cell r="M5096" t="str">
            <v>STL-20260929</v>
          </cell>
        </row>
        <row r="5097">
          <cell r="K5097">
            <v>299</v>
          </cell>
          <cell r="M5097" t="str">
            <v>STL-20260929</v>
          </cell>
        </row>
        <row r="5098">
          <cell r="K5098">
            <v>981.31</v>
          </cell>
          <cell r="M5098" t="str">
            <v>STL-20260929</v>
          </cell>
        </row>
        <row r="5099">
          <cell r="K5099">
            <v>499</v>
          </cell>
          <cell r="M5099" t="str">
            <v>STL-20260929</v>
          </cell>
        </row>
        <row r="5100">
          <cell r="K5100">
            <v>8327.5300000000007</v>
          </cell>
          <cell r="M5100" t="str">
            <v>STL-20260929</v>
          </cell>
        </row>
        <row r="5101">
          <cell r="K5101">
            <v>1707.84</v>
          </cell>
          <cell r="M5101" t="str">
            <v>STL-20260929</v>
          </cell>
        </row>
        <row r="5102">
          <cell r="K5102">
            <v>977.78</v>
          </cell>
          <cell r="M5102" t="str">
            <v>STL-20260929</v>
          </cell>
        </row>
        <row r="5103">
          <cell r="K5103">
            <v>16239.31</v>
          </cell>
          <cell r="M5103" t="str">
            <v>STL-20260929</v>
          </cell>
        </row>
        <row r="5104">
          <cell r="K5104">
            <v>2588.81</v>
          </cell>
          <cell r="M5104" t="str">
            <v>STL-20260929</v>
          </cell>
        </row>
        <row r="5105">
          <cell r="K5105">
            <v>4730.0600000000004</v>
          </cell>
          <cell r="M5105" t="str">
            <v>STL-20260929</v>
          </cell>
        </row>
        <row r="5106">
          <cell r="K5106">
            <v>487.81</v>
          </cell>
          <cell r="M5106" t="str">
            <v>STL-20260929</v>
          </cell>
        </row>
        <row r="5107">
          <cell r="K5107">
            <v>7970.68</v>
          </cell>
          <cell r="M5107" t="str">
            <v>STL-20260929</v>
          </cell>
        </row>
        <row r="5108">
          <cell r="K5108">
            <v>599</v>
          </cell>
          <cell r="M5108" t="str">
            <v>STL-20260929</v>
          </cell>
        </row>
        <row r="5109">
          <cell r="K5109">
            <v>-4097</v>
          </cell>
          <cell r="M5109" t="str">
            <v>STL-20260929</v>
          </cell>
        </row>
        <row r="5110">
          <cell r="K5110">
            <v>-2598</v>
          </cell>
          <cell r="M5110" t="str">
            <v>STL-20260929</v>
          </cell>
        </row>
        <row r="5111">
          <cell r="K5111">
            <v>-1499</v>
          </cell>
          <cell r="M5111" t="str">
            <v>STL-20260929</v>
          </cell>
        </row>
        <row r="5112">
          <cell r="K5112">
            <v>-2897</v>
          </cell>
          <cell r="M5112" t="str">
            <v>STL-20260929</v>
          </cell>
        </row>
        <row r="5113">
          <cell r="K5113">
            <v>-1998</v>
          </cell>
          <cell r="M5113" t="str">
            <v>STL-20260929</v>
          </cell>
        </row>
        <row r="5114">
          <cell r="K5114">
            <v>-2298</v>
          </cell>
          <cell r="M5114" t="str">
            <v>STL-20260929</v>
          </cell>
        </row>
        <row r="5115">
          <cell r="K5115">
            <v>7970.68</v>
          </cell>
          <cell r="M5115" t="str">
            <v>STL-20260930</v>
          </cell>
        </row>
        <row r="5116">
          <cell r="K5116">
            <v>4904.62</v>
          </cell>
          <cell r="M5116" t="str">
            <v>STL-20260930</v>
          </cell>
        </row>
        <row r="5117">
          <cell r="K5117">
            <v>1467.16</v>
          </cell>
          <cell r="M5117" t="str">
            <v>STL-20260930</v>
          </cell>
        </row>
        <row r="5118">
          <cell r="K5118">
            <v>9307.4699999999993</v>
          </cell>
          <cell r="M5118" t="str">
            <v>STL-20260930</v>
          </cell>
        </row>
        <row r="5119">
          <cell r="K5119">
            <v>7686.6</v>
          </cell>
          <cell r="M5119" t="str">
            <v>STL-20260930</v>
          </cell>
        </row>
        <row r="5120">
          <cell r="K5120">
            <v>2956.53</v>
          </cell>
          <cell r="M5120" t="str">
            <v>STL-20260930</v>
          </cell>
        </row>
        <row r="5121">
          <cell r="K5121">
            <v>4981.3</v>
          </cell>
          <cell r="M5121" t="str">
            <v>STL-20260930</v>
          </cell>
        </row>
        <row r="5122">
          <cell r="K5122">
            <v>5246.05</v>
          </cell>
          <cell r="M5122" t="str">
            <v>STL-20260930</v>
          </cell>
        </row>
        <row r="5123">
          <cell r="K5123">
            <v>1466.19</v>
          </cell>
          <cell r="M5123" t="str">
            <v>STL-20260930</v>
          </cell>
        </row>
        <row r="5124">
          <cell r="K5124">
            <v>488.4</v>
          </cell>
          <cell r="M5124" t="str">
            <v>STL-20260930</v>
          </cell>
        </row>
        <row r="5125">
          <cell r="K5125">
            <v>11457.3</v>
          </cell>
          <cell r="M5125" t="str">
            <v>STL-20260930</v>
          </cell>
        </row>
        <row r="5126">
          <cell r="K5126">
            <v>8140.35</v>
          </cell>
          <cell r="M5126" t="str">
            <v>STL-20260930</v>
          </cell>
        </row>
        <row r="5127">
          <cell r="K5127">
            <v>3784.56</v>
          </cell>
          <cell r="M5127" t="str">
            <v>STL-20260930</v>
          </cell>
        </row>
        <row r="5128">
          <cell r="K5128">
            <v>5078.96</v>
          </cell>
          <cell r="M5128" t="str">
            <v>STL-20260930</v>
          </cell>
        </row>
        <row r="5129">
          <cell r="K5129">
            <v>3486.61</v>
          </cell>
          <cell r="M5129" t="str">
            <v>STL-20260930</v>
          </cell>
        </row>
        <row r="5130">
          <cell r="K5130">
            <v>5328.07</v>
          </cell>
          <cell r="M5130" t="str">
            <v>STL-20260930</v>
          </cell>
        </row>
        <row r="5131">
          <cell r="K5131">
            <v>7970.68</v>
          </cell>
          <cell r="M5131" t="str">
            <v>STL-20260930</v>
          </cell>
        </row>
        <row r="5132">
          <cell r="K5132">
            <v>1467.16</v>
          </cell>
          <cell r="M5132" t="str">
            <v>STL-20260930</v>
          </cell>
        </row>
        <row r="5133">
          <cell r="K5133">
            <v>2561.21</v>
          </cell>
          <cell r="M5133" t="str">
            <v>STL-20260930</v>
          </cell>
        </row>
        <row r="5134">
          <cell r="K5134">
            <v>6472.45</v>
          </cell>
          <cell r="M5134" t="str">
            <v>STL-20260930</v>
          </cell>
        </row>
        <row r="5135">
          <cell r="K5135">
            <v>5222.9799999999996</v>
          </cell>
          <cell r="M5135" t="str">
            <v>STL-20260930</v>
          </cell>
        </row>
        <row r="5136">
          <cell r="K5136">
            <v>4903.6400000000003</v>
          </cell>
          <cell r="M5136" t="str">
            <v>STL-20260930</v>
          </cell>
        </row>
        <row r="5137">
          <cell r="K5137">
            <v>2987.39</v>
          </cell>
          <cell r="M5137" t="str">
            <v>STL-20260930</v>
          </cell>
        </row>
        <row r="5138">
          <cell r="K5138">
            <v>1398</v>
          </cell>
          <cell r="M5138" t="str">
            <v>STL-20260930</v>
          </cell>
        </row>
        <row r="5139">
          <cell r="K5139">
            <v>8766.86</v>
          </cell>
          <cell r="M5139" t="str">
            <v>STL-20260930</v>
          </cell>
        </row>
        <row r="5140">
          <cell r="K5140">
            <v>8140.35</v>
          </cell>
          <cell r="M5140" t="str">
            <v>STL-20260930</v>
          </cell>
        </row>
        <row r="5141">
          <cell r="K5141">
            <v>7970.68</v>
          </cell>
          <cell r="M5141" t="str">
            <v>STL-20260930</v>
          </cell>
        </row>
        <row r="5142">
          <cell r="K5142">
            <v>9463.3799999999992</v>
          </cell>
          <cell r="M5142" t="str">
            <v>STL-20260930</v>
          </cell>
        </row>
        <row r="5143">
          <cell r="K5143">
            <v>599</v>
          </cell>
          <cell r="M5143" t="str">
            <v>STL-20260930</v>
          </cell>
        </row>
        <row r="5144">
          <cell r="K5144">
            <v>5884.76</v>
          </cell>
          <cell r="M5144" t="str">
            <v>STL-20260930</v>
          </cell>
        </row>
        <row r="5145">
          <cell r="K5145">
            <v>12064.83</v>
          </cell>
          <cell r="M5145" t="str">
            <v>STL-20260930</v>
          </cell>
        </row>
        <row r="5146">
          <cell r="K5146">
            <v>6772.94</v>
          </cell>
          <cell r="M5146" t="str">
            <v>STL-20260930</v>
          </cell>
        </row>
        <row r="5147">
          <cell r="K5147">
            <v>1148</v>
          </cell>
          <cell r="M5147" t="str">
            <v>STL-20260930</v>
          </cell>
        </row>
        <row r="5148">
          <cell r="K5148">
            <v>3983.85</v>
          </cell>
          <cell r="M5148" t="str">
            <v>STL-20260930</v>
          </cell>
        </row>
        <row r="5149">
          <cell r="K5149">
            <v>7847</v>
          </cell>
          <cell r="M5149" t="str">
            <v>STL-20260930</v>
          </cell>
        </row>
        <row r="5150">
          <cell r="K5150">
            <v>1271.4100000000001</v>
          </cell>
          <cell r="M5150" t="str">
            <v>STL-20260930</v>
          </cell>
        </row>
        <row r="5151">
          <cell r="K5151">
            <v>2745.17</v>
          </cell>
          <cell r="M5151" t="str">
            <v>STL-20260930</v>
          </cell>
        </row>
        <row r="5152">
          <cell r="K5152">
            <v>4282.79</v>
          </cell>
          <cell r="M5152" t="str">
            <v>STL-20260930</v>
          </cell>
        </row>
        <row r="5153">
          <cell r="K5153">
            <v>4730.0600000000004</v>
          </cell>
          <cell r="M5153" t="str">
            <v>STL-20260930</v>
          </cell>
        </row>
        <row r="5154">
          <cell r="K5154">
            <v>1760.79</v>
          </cell>
          <cell r="M5154" t="str">
            <v>STL-20260930</v>
          </cell>
        </row>
        <row r="5155">
          <cell r="K5155">
            <v>4981.3</v>
          </cell>
          <cell r="M5155" t="str">
            <v>STL-20260930</v>
          </cell>
        </row>
        <row r="5156">
          <cell r="K5156">
            <v>1499</v>
          </cell>
          <cell r="M5156" t="str">
            <v>STL-20260930</v>
          </cell>
        </row>
        <row r="5157">
          <cell r="K5157">
            <v>4981.3</v>
          </cell>
          <cell r="M5157" t="str">
            <v>STL-20260930</v>
          </cell>
        </row>
        <row r="5158">
          <cell r="K5158">
            <v>3428.81</v>
          </cell>
          <cell r="M5158" t="str">
            <v>STL-20260930</v>
          </cell>
        </row>
        <row r="5159">
          <cell r="K5159">
            <v>3525.82</v>
          </cell>
          <cell r="M5159" t="str">
            <v>STL-20260930</v>
          </cell>
        </row>
        <row r="5160">
          <cell r="K5160">
            <v>499</v>
          </cell>
          <cell r="M5160" t="str">
            <v>STL-20260930</v>
          </cell>
        </row>
        <row r="5161">
          <cell r="K5161">
            <v>6374.36</v>
          </cell>
          <cell r="M5161" t="str">
            <v>STL-20260930</v>
          </cell>
        </row>
        <row r="5162">
          <cell r="K5162">
            <v>7970.68</v>
          </cell>
          <cell r="M5162" t="str">
            <v>STL-20260930</v>
          </cell>
        </row>
        <row r="5163">
          <cell r="K5163">
            <v>12246.31</v>
          </cell>
          <cell r="M5163" t="str">
            <v>STL-20260930</v>
          </cell>
        </row>
        <row r="5164">
          <cell r="K5164">
            <v>299</v>
          </cell>
          <cell r="M5164" t="str">
            <v>STL-20260930</v>
          </cell>
        </row>
        <row r="5165">
          <cell r="K5165">
            <v>4981.3</v>
          </cell>
          <cell r="M5165" t="str">
            <v>STL-20260930</v>
          </cell>
        </row>
        <row r="5166">
          <cell r="K5166">
            <v>599</v>
          </cell>
          <cell r="M5166" t="str">
            <v>STL-20260930</v>
          </cell>
        </row>
        <row r="5167">
          <cell r="K5167">
            <v>1766.18</v>
          </cell>
          <cell r="M5167" t="str">
            <v>STL-20260930</v>
          </cell>
        </row>
        <row r="5168">
          <cell r="K5168">
            <v>999</v>
          </cell>
          <cell r="M5168" t="str">
            <v>STL-20260930</v>
          </cell>
        </row>
        <row r="5169">
          <cell r="K5169">
            <v>499</v>
          </cell>
          <cell r="M5169" t="str">
            <v>STL-20260930</v>
          </cell>
        </row>
        <row r="5170">
          <cell r="K5170">
            <v>588.39</v>
          </cell>
          <cell r="M5170" t="str">
            <v>STL-20260930</v>
          </cell>
        </row>
        <row r="5171">
          <cell r="K5171">
            <v>7970.68</v>
          </cell>
          <cell r="M5171" t="str">
            <v>STL-20260930</v>
          </cell>
        </row>
        <row r="5172">
          <cell r="K5172">
            <v>499</v>
          </cell>
          <cell r="M5172" t="str">
            <v>STL-20260930</v>
          </cell>
        </row>
        <row r="5173">
          <cell r="K5173">
            <v>7370.82</v>
          </cell>
          <cell r="M5173" t="str">
            <v>STL-20260930</v>
          </cell>
        </row>
        <row r="5174">
          <cell r="K5174">
            <v>2451.8200000000002</v>
          </cell>
          <cell r="M5174" t="str">
            <v>STL-20260930</v>
          </cell>
        </row>
        <row r="5175">
          <cell r="K5175">
            <v>585.57000000000005</v>
          </cell>
          <cell r="M5175" t="str">
            <v>STL-20260930</v>
          </cell>
        </row>
        <row r="5176">
          <cell r="K5176">
            <v>636.53</v>
          </cell>
          <cell r="M5176" t="str">
            <v>STL-20260930</v>
          </cell>
        </row>
        <row r="5177">
          <cell r="K5177">
            <v>292.64999999999998</v>
          </cell>
          <cell r="M5177" t="str">
            <v>STL-20260930</v>
          </cell>
        </row>
        <row r="5178">
          <cell r="K5178">
            <v>4981.3</v>
          </cell>
          <cell r="M5178" t="str">
            <v>STL-20260930</v>
          </cell>
        </row>
        <row r="5179">
          <cell r="K5179">
            <v>1955.57</v>
          </cell>
          <cell r="M5179" t="str">
            <v>STL-20260930</v>
          </cell>
        </row>
        <row r="5180">
          <cell r="K5180">
            <v>4898.72</v>
          </cell>
          <cell r="M5180" t="str">
            <v>STL-20260930</v>
          </cell>
        </row>
        <row r="5181">
          <cell r="K5181">
            <v>1467.16</v>
          </cell>
          <cell r="M5181" t="str">
            <v>STL-20260930</v>
          </cell>
        </row>
        <row r="5182">
          <cell r="K5182">
            <v>3286.33</v>
          </cell>
          <cell r="M5182" t="str">
            <v>STL-20260930</v>
          </cell>
        </row>
        <row r="5183">
          <cell r="K5183">
            <v>599</v>
          </cell>
          <cell r="M5183" t="str">
            <v>STL-20260930</v>
          </cell>
        </row>
        <row r="5184">
          <cell r="K5184">
            <v>4020.63</v>
          </cell>
          <cell r="M5184" t="str">
            <v>STL-20260930</v>
          </cell>
        </row>
        <row r="5185">
          <cell r="K5185">
            <v>3231.84</v>
          </cell>
          <cell r="M5185" t="str">
            <v>STL-20260930</v>
          </cell>
        </row>
        <row r="5186">
          <cell r="K5186">
            <v>341.59</v>
          </cell>
          <cell r="M5186" t="str">
            <v>STL-20260930</v>
          </cell>
        </row>
        <row r="5187">
          <cell r="K5187">
            <v>2988.38</v>
          </cell>
          <cell r="M5187" t="str">
            <v>STL-20260930</v>
          </cell>
        </row>
        <row r="5188">
          <cell r="K5188">
            <v>3917.8</v>
          </cell>
          <cell r="M5188" t="str">
            <v>STL-20260930</v>
          </cell>
        </row>
        <row r="5189">
          <cell r="K5189">
            <v>8621.51</v>
          </cell>
          <cell r="M5189" t="str">
            <v>STL-20260930</v>
          </cell>
        </row>
        <row r="5190">
          <cell r="K5190">
            <v>3530.07</v>
          </cell>
          <cell r="M5190" t="str">
            <v>STL-20260930</v>
          </cell>
        </row>
        <row r="5191">
          <cell r="K5191">
            <v>4981.3</v>
          </cell>
          <cell r="M5191" t="str">
            <v>STL-20260930</v>
          </cell>
        </row>
        <row r="5192">
          <cell r="K5192">
            <v>10360.200000000001</v>
          </cell>
          <cell r="M5192" t="str">
            <v>STL-20260930</v>
          </cell>
        </row>
        <row r="5193">
          <cell r="K5193">
            <v>3726.29</v>
          </cell>
          <cell r="M5193" t="str">
            <v>STL-20260930</v>
          </cell>
        </row>
        <row r="5194">
          <cell r="K5194">
            <v>599</v>
          </cell>
          <cell r="M5194" t="str">
            <v>STL-20260930</v>
          </cell>
        </row>
        <row r="5195">
          <cell r="K5195">
            <v>3585.27</v>
          </cell>
          <cell r="M5195" t="str">
            <v>STL-20260930</v>
          </cell>
        </row>
        <row r="5196">
          <cell r="K5196">
            <v>1348</v>
          </cell>
          <cell r="M5196" t="str">
            <v>STL-20260930</v>
          </cell>
        </row>
        <row r="5197">
          <cell r="K5197">
            <v>3784.56</v>
          </cell>
          <cell r="M5197" t="str">
            <v>STL-20260930</v>
          </cell>
        </row>
        <row r="5198">
          <cell r="K5198">
            <v>2490.15</v>
          </cell>
          <cell r="M5198" t="str">
            <v>STL-20260930</v>
          </cell>
        </row>
        <row r="5199">
          <cell r="K5199">
            <v>784.85</v>
          </cell>
          <cell r="M5199" t="str">
            <v>STL-20260930</v>
          </cell>
        </row>
        <row r="5200">
          <cell r="K5200">
            <v>4707.41</v>
          </cell>
          <cell r="M5200" t="str">
            <v>STL-20260930</v>
          </cell>
        </row>
        <row r="5201">
          <cell r="K5201">
            <v>1299</v>
          </cell>
          <cell r="M5201" t="str">
            <v>STL-20260930</v>
          </cell>
        </row>
        <row r="5202">
          <cell r="K5202">
            <v>341.59</v>
          </cell>
          <cell r="M5202" t="str">
            <v>STL-20260930</v>
          </cell>
        </row>
        <row r="5203">
          <cell r="K5203">
            <v>1269.8800000000001</v>
          </cell>
          <cell r="M5203" t="str">
            <v>STL-20260930</v>
          </cell>
        </row>
        <row r="5204">
          <cell r="K5204">
            <v>4182.1400000000003</v>
          </cell>
          <cell r="M5204" t="str">
            <v>STL-20260930</v>
          </cell>
        </row>
        <row r="5205">
          <cell r="K5205">
            <v>6865.88</v>
          </cell>
          <cell r="M5205" t="str">
            <v>STL-20260930</v>
          </cell>
        </row>
        <row r="5206">
          <cell r="K5206">
            <v>299</v>
          </cell>
          <cell r="M5206" t="str">
            <v>STL-20260930</v>
          </cell>
        </row>
        <row r="5207">
          <cell r="K5207">
            <v>349</v>
          </cell>
          <cell r="M5207" t="str">
            <v>STL-20260930</v>
          </cell>
        </row>
        <row r="5208">
          <cell r="K5208">
            <v>8828.1200000000008</v>
          </cell>
          <cell r="M5208" t="str">
            <v>STL-20260930</v>
          </cell>
        </row>
        <row r="5209">
          <cell r="K5209">
            <v>5394.2</v>
          </cell>
          <cell r="M5209" t="str">
            <v>STL-20260930</v>
          </cell>
        </row>
        <row r="5210">
          <cell r="K5210">
            <v>488.4</v>
          </cell>
          <cell r="M5210" t="str">
            <v>STL-20260930</v>
          </cell>
        </row>
        <row r="5211">
          <cell r="K5211">
            <v>7970.68</v>
          </cell>
          <cell r="M5211" t="str">
            <v>STL-20260930</v>
          </cell>
        </row>
        <row r="5212">
          <cell r="K5212">
            <v>599</v>
          </cell>
          <cell r="M5212" t="str">
            <v>STL-20260930</v>
          </cell>
        </row>
        <row r="5213">
          <cell r="K5213">
            <v>349</v>
          </cell>
          <cell r="M5213" t="str">
            <v>STL-20260930</v>
          </cell>
        </row>
        <row r="5214">
          <cell r="K5214">
            <v>4701.75</v>
          </cell>
          <cell r="M5214" t="str">
            <v>STL-20260930</v>
          </cell>
        </row>
        <row r="5215">
          <cell r="K5215">
            <v>2089.58</v>
          </cell>
          <cell r="M5215" t="str">
            <v>STL-20260930</v>
          </cell>
        </row>
        <row r="5216">
          <cell r="K5216">
            <v>2265.46</v>
          </cell>
          <cell r="M5216" t="str">
            <v>STL-20260930</v>
          </cell>
        </row>
        <row r="5217">
          <cell r="K5217">
            <v>3834.38</v>
          </cell>
          <cell r="M5217" t="str">
            <v>STL-20260930</v>
          </cell>
        </row>
        <row r="5218">
          <cell r="K5218">
            <v>16538.25</v>
          </cell>
          <cell r="M5218" t="str">
            <v>STL-20260930</v>
          </cell>
        </row>
        <row r="5219">
          <cell r="K5219">
            <v>299</v>
          </cell>
          <cell r="M5219" t="str">
            <v>STL-20260930</v>
          </cell>
        </row>
        <row r="5220">
          <cell r="K5220">
            <v>2090.58</v>
          </cell>
          <cell r="M5220" t="str">
            <v>STL-20260930</v>
          </cell>
        </row>
        <row r="5221">
          <cell r="K5221">
            <v>1465.39</v>
          </cell>
          <cell r="M5221" t="str">
            <v>STL-20260930</v>
          </cell>
        </row>
        <row r="5222">
          <cell r="K5222">
            <v>2987.39</v>
          </cell>
          <cell r="M5222" t="str">
            <v>STL-20260930</v>
          </cell>
        </row>
        <row r="5223">
          <cell r="K5223">
            <v>341.59</v>
          </cell>
          <cell r="M5223" t="str">
            <v>STL-20260930</v>
          </cell>
        </row>
        <row r="5224">
          <cell r="K5224">
            <v>7970.68</v>
          </cell>
          <cell r="M5224" t="str">
            <v>STL-20260930</v>
          </cell>
        </row>
        <row r="5225">
          <cell r="K5225">
            <v>2548.9499999999998</v>
          </cell>
          <cell r="M5225" t="str">
            <v>STL-20260930</v>
          </cell>
        </row>
        <row r="5226">
          <cell r="K5226">
            <v>341.59</v>
          </cell>
          <cell r="M5226" t="str">
            <v>STL-20260930</v>
          </cell>
        </row>
        <row r="5227">
          <cell r="K5227">
            <v>2490.15</v>
          </cell>
          <cell r="M5227" t="str">
            <v>STL-20260930</v>
          </cell>
        </row>
        <row r="5228">
          <cell r="K5228">
            <v>4904.62</v>
          </cell>
          <cell r="M5228" t="str">
            <v>STL-20260930</v>
          </cell>
        </row>
        <row r="5229">
          <cell r="K5229">
            <v>977.78</v>
          </cell>
          <cell r="M5229" t="str">
            <v>STL-20260930</v>
          </cell>
        </row>
        <row r="5230">
          <cell r="K5230">
            <v>1271.4100000000001</v>
          </cell>
          <cell r="M5230" t="str">
            <v>STL-20260930</v>
          </cell>
        </row>
        <row r="5231">
          <cell r="K5231">
            <v>3486.61</v>
          </cell>
          <cell r="M5231" t="str">
            <v>STL-20260930</v>
          </cell>
        </row>
        <row r="5232">
          <cell r="K5232">
            <v>3941.38</v>
          </cell>
          <cell r="M5232" t="str">
            <v>STL-20260930</v>
          </cell>
        </row>
        <row r="5233">
          <cell r="K5233">
            <v>299</v>
          </cell>
          <cell r="M5233" t="str">
            <v>STL-20260930</v>
          </cell>
        </row>
        <row r="5234">
          <cell r="K5234">
            <v>8327.5300000000007</v>
          </cell>
          <cell r="M5234" t="str">
            <v>STL-20260930</v>
          </cell>
        </row>
        <row r="5235">
          <cell r="K5235">
            <v>341.18</v>
          </cell>
          <cell r="M5235" t="str">
            <v>STL-20260930</v>
          </cell>
        </row>
        <row r="5236">
          <cell r="K5236">
            <v>8268.6299999999992</v>
          </cell>
          <cell r="M5236" t="str">
            <v>STL-20260930</v>
          </cell>
        </row>
        <row r="5237">
          <cell r="K5237">
            <v>2988.38</v>
          </cell>
          <cell r="M5237" t="str">
            <v>STL-20260930</v>
          </cell>
        </row>
        <row r="5238">
          <cell r="K5238">
            <v>7847</v>
          </cell>
          <cell r="M5238" t="str">
            <v>STL-20260930</v>
          </cell>
        </row>
        <row r="5239">
          <cell r="K5239">
            <v>8963.51</v>
          </cell>
          <cell r="M5239" t="str">
            <v>STL-20260930</v>
          </cell>
        </row>
        <row r="5240">
          <cell r="K5240">
            <v>1499</v>
          </cell>
          <cell r="M5240" t="str">
            <v>STL-20260930</v>
          </cell>
        </row>
        <row r="5241">
          <cell r="K5241">
            <v>780.11</v>
          </cell>
          <cell r="M5241" t="str">
            <v>STL-20260930</v>
          </cell>
        </row>
        <row r="5242">
          <cell r="K5242">
            <v>1760.79</v>
          </cell>
          <cell r="M5242" t="str">
            <v>STL-20260930</v>
          </cell>
        </row>
        <row r="5243">
          <cell r="K5243">
            <v>4308.79</v>
          </cell>
          <cell r="M5243" t="str">
            <v>STL-20260930</v>
          </cell>
        </row>
        <row r="5244">
          <cell r="K5244">
            <v>4981.3</v>
          </cell>
          <cell r="M5244" t="str">
            <v>STL-20260930</v>
          </cell>
        </row>
        <row r="5245">
          <cell r="K5245">
            <v>3922.52</v>
          </cell>
          <cell r="M5245" t="str">
            <v>STL-20260930</v>
          </cell>
        </row>
        <row r="5246">
          <cell r="K5246">
            <v>2289.87</v>
          </cell>
          <cell r="M5246" t="str">
            <v>STL-20260930</v>
          </cell>
        </row>
        <row r="5247">
          <cell r="K5247">
            <v>349</v>
          </cell>
          <cell r="M5247" t="str">
            <v>STL-20260930</v>
          </cell>
        </row>
        <row r="5248">
          <cell r="K5248">
            <v>2788.1</v>
          </cell>
          <cell r="M5248" t="str">
            <v>STL-20260930</v>
          </cell>
        </row>
        <row r="5249">
          <cell r="K5249">
            <v>2988.38</v>
          </cell>
          <cell r="M5249" t="str">
            <v>STL-20260930</v>
          </cell>
        </row>
        <row r="5250">
          <cell r="K5250">
            <v>3486.61</v>
          </cell>
          <cell r="M5250" t="str">
            <v>STL-20260930</v>
          </cell>
        </row>
        <row r="5251">
          <cell r="K5251">
            <v>3775.35</v>
          </cell>
          <cell r="M5251" t="str">
            <v>STL-20260930</v>
          </cell>
        </row>
        <row r="5252">
          <cell r="K5252">
            <v>1499</v>
          </cell>
          <cell r="M5252" t="str">
            <v>STL-20260930</v>
          </cell>
        </row>
        <row r="5253">
          <cell r="K5253">
            <v>1799</v>
          </cell>
          <cell r="M5253" t="str">
            <v>STL-20260930</v>
          </cell>
        </row>
        <row r="5254">
          <cell r="K5254">
            <v>1799</v>
          </cell>
          <cell r="M5254" t="str">
            <v>STL-20260930</v>
          </cell>
        </row>
        <row r="5255">
          <cell r="K5255">
            <v>499</v>
          </cell>
          <cell r="M5255" t="str">
            <v>STL-20260930</v>
          </cell>
        </row>
        <row r="5256">
          <cell r="K5256">
            <v>3485.62</v>
          </cell>
          <cell r="M5256" t="str">
            <v>STL-20260930</v>
          </cell>
        </row>
        <row r="5257">
          <cell r="K5257">
            <v>3286.33</v>
          </cell>
          <cell r="M5257" t="str">
            <v>STL-20260930</v>
          </cell>
        </row>
        <row r="5258">
          <cell r="K5258">
            <v>4282.79</v>
          </cell>
          <cell r="M5258" t="str">
            <v>STL-20260930</v>
          </cell>
        </row>
        <row r="5259">
          <cell r="K5259">
            <v>2090.58</v>
          </cell>
          <cell r="M5259" t="str">
            <v>STL-20260930</v>
          </cell>
        </row>
        <row r="5260">
          <cell r="K5260">
            <v>10386.51</v>
          </cell>
          <cell r="M5260" t="str">
            <v>STL-20260930</v>
          </cell>
        </row>
        <row r="5261">
          <cell r="K5261">
            <v>2788.1</v>
          </cell>
          <cell r="M5261" t="str">
            <v>STL-20260930</v>
          </cell>
        </row>
        <row r="5262">
          <cell r="K5262">
            <v>1760.79</v>
          </cell>
          <cell r="M5262" t="str">
            <v>STL-20260930</v>
          </cell>
        </row>
        <row r="5263">
          <cell r="K5263">
            <v>1799</v>
          </cell>
          <cell r="M5263" t="str">
            <v>STL-20260930</v>
          </cell>
        </row>
        <row r="5264">
          <cell r="K5264">
            <v>9265.09</v>
          </cell>
          <cell r="M5264" t="str">
            <v>STL-20260930</v>
          </cell>
        </row>
        <row r="5265">
          <cell r="K5265">
            <v>4482.08</v>
          </cell>
          <cell r="M5265" t="str">
            <v>STL-20260930</v>
          </cell>
        </row>
        <row r="5266">
          <cell r="K5266">
            <v>3486.61</v>
          </cell>
          <cell r="M5266" t="str">
            <v>STL-20260930</v>
          </cell>
        </row>
        <row r="5267">
          <cell r="K5267">
            <v>2451.8200000000002</v>
          </cell>
          <cell r="M5267" t="str">
            <v>STL-20260930</v>
          </cell>
        </row>
        <row r="5268">
          <cell r="K5268">
            <v>2058.39</v>
          </cell>
          <cell r="M5268" t="str">
            <v>STL-20260930</v>
          </cell>
        </row>
        <row r="5269">
          <cell r="K5269">
            <v>10789.38</v>
          </cell>
          <cell r="M5269" t="str">
            <v>STL-20260930</v>
          </cell>
        </row>
        <row r="5270">
          <cell r="K5270">
            <v>1998</v>
          </cell>
          <cell r="M5270" t="str">
            <v>STL-20260930</v>
          </cell>
        </row>
        <row r="5271">
          <cell r="K5271">
            <v>7838.54</v>
          </cell>
          <cell r="M5271" t="str">
            <v>STL-20260930</v>
          </cell>
        </row>
        <row r="5272">
          <cell r="K5272">
            <v>4413.08</v>
          </cell>
          <cell r="M5272" t="str">
            <v>STL-20260930</v>
          </cell>
        </row>
        <row r="5273">
          <cell r="K5273">
            <v>1760.79</v>
          </cell>
          <cell r="M5273" t="str">
            <v>STL-20260930</v>
          </cell>
        </row>
        <row r="5274">
          <cell r="K5274">
            <v>3449.45</v>
          </cell>
          <cell r="M5274" t="str">
            <v>STL-20260930</v>
          </cell>
        </row>
        <row r="5275">
          <cell r="K5275">
            <v>8327.5300000000007</v>
          </cell>
          <cell r="M5275" t="str">
            <v>STL-20260930</v>
          </cell>
        </row>
        <row r="5276">
          <cell r="K5276">
            <v>8766.86</v>
          </cell>
          <cell r="M5276" t="str">
            <v>STL-20260930</v>
          </cell>
        </row>
        <row r="5277">
          <cell r="K5277">
            <v>3744.22</v>
          </cell>
          <cell r="M5277" t="str">
            <v>STL-20260930</v>
          </cell>
        </row>
        <row r="5278">
          <cell r="K5278">
            <v>2490.15</v>
          </cell>
          <cell r="M5278" t="str">
            <v>STL-20260930</v>
          </cell>
        </row>
        <row r="5279">
          <cell r="K5279">
            <v>1647</v>
          </cell>
          <cell r="M5279" t="str">
            <v>STL-20260930</v>
          </cell>
        </row>
        <row r="5280">
          <cell r="K5280">
            <v>5578.19</v>
          </cell>
          <cell r="M5280" t="str">
            <v>STL-20260930</v>
          </cell>
        </row>
        <row r="5281">
          <cell r="K5281">
            <v>4904.62</v>
          </cell>
          <cell r="M5281" t="str">
            <v>STL-20260930</v>
          </cell>
        </row>
        <row r="5282">
          <cell r="K5282">
            <v>1799</v>
          </cell>
          <cell r="M5282" t="str">
            <v>STL-20260930</v>
          </cell>
        </row>
        <row r="5283">
          <cell r="K5283">
            <v>1767.15</v>
          </cell>
          <cell r="M5283" t="str">
            <v>STL-20260930</v>
          </cell>
        </row>
        <row r="5284">
          <cell r="K5284">
            <v>799</v>
          </cell>
          <cell r="M5284" t="str">
            <v>STL-20260930</v>
          </cell>
        </row>
        <row r="5285">
          <cell r="K5285">
            <v>1467.16</v>
          </cell>
          <cell r="M5285" t="str">
            <v>STL-20260930</v>
          </cell>
        </row>
        <row r="5286">
          <cell r="K5286">
            <v>341.59</v>
          </cell>
          <cell r="M5286" t="str">
            <v>STL-20260930</v>
          </cell>
        </row>
        <row r="5287">
          <cell r="K5287">
            <v>1171.57</v>
          </cell>
          <cell r="M5287" t="str">
            <v>STL-20260930</v>
          </cell>
        </row>
        <row r="5288">
          <cell r="K5288">
            <v>3428.81</v>
          </cell>
          <cell r="M5288" t="str">
            <v>STL-20260930</v>
          </cell>
        </row>
        <row r="5289">
          <cell r="K5289">
            <v>6475</v>
          </cell>
          <cell r="M5289" t="str">
            <v>STL-20260930</v>
          </cell>
        </row>
        <row r="5290">
          <cell r="K5290">
            <v>3284.79</v>
          </cell>
          <cell r="M5290" t="str">
            <v>STL-20260930</v>
          </cell>
        </row>
        <row r="5291">
          <cell r="K5291">
            <v>4904.62</v>
          </cell>
          <cell r="M5291" t="str">
            <v>STL-20260930</v>
          </cell>
        </row>
        <row r="5292">
          <cell r="K5292">
            <v>2942.38</v>
          </cell>
          <cell r="M5292" t="str">
            <v>STL-20260930</v>
          </cell>
        </row>
        <row r="5293">
          <cell r="K5293">
            <v>5976.77</v>
          </cell>
          <cell r="M5293" t="str">
            <v>STL-20260930</v>
          </cell>
        </row>
        <row r="5294">
          <cell r="K5294">
            <v>7970.68</v>
          </cell>
          <cell r="M5294" t="str">
            <v>STL-20260930</v>
          </cell>
        </row>
        <row r="5295">
          <cell r="K5295">
            <v>4928.21</v>
          </cell>
          <cell r="M5295" t="str">
            <v>STL-20260930</v>
          </cell>
        </row>
        <row r="5296">
          <cell r="K5296">
            <v>2988.38</v>
          </cell>
          <cell r="M5296" t="str">
            <v>STL-20260930</v>
          </cell>
        </row>
        <row r="5297">
          <cell r="K5297">
            <v>349</v>
          </cell>
          <cell r="M5297" t="str">
            <v>STL-20260930</v>
          </cell>
        </row>
        <row r="5298">
          <cell r="K5298">
            <v>586.28</v>
          </cell>
          <cell r="M5298" t="str">
            <v>STL-20260930</v>
          </cell>
        </row>
        <row r="5299">
          <cell r="K5299">
            <v>8766.86</v>
          </cell>
          <cell r="M5299" t="str">
            <v>STL-20260930</v>
          </cell>
        </row>
        <row r="5300">
          <cell r="K5300">
            <v>784.85</v>
          </cell>
          <cell r="M5300" t="str">
            <v>STL-20260930</v>
          </cell>
        </row>
        <row r="5301">
          <cell r="K5301">
            <v>-1799</v>
          </cell>
          <cell r="M5301" t="str">
            <v>STL-20260930</v>
          </cell>
        </row>
        <row r="5302">
          <cell r="K5302">
            <v>-2298</v>
          </cell>
          <cell r="M5302" t="str">
            <v>STL-20260930</v>
          </cell>
        </row>
        <row r="5303">
          <cell r="K5303">
            <v>-3499</v>
          </cell>
          <cell r="M5303" t="str">
            <v>STL-20260930</v>
          </cell>
        </row>
        <row r="5304">
          <cell r="K5304">
            <v>-8298</v>
          </cell>
          <cell r="M5304" t="str">
            <v>STL-20260930</v>
          </cell>
        </row>
        <row r="5305">
          <cell r="K5305">
            <v>-3348</v>
          </cell>
          <cell r="M5305" t="str">
            <v>STL-20260930</v>
          </cell>
        </row>
        <row r="5306">
          <cell r="K5306">
            <v>-999</v>
          </cell>
          <cell r="M5306" t="str">
            <v>STL-20260930</v>
          </cell>
        </row>
        <row r="5307">
          <cell r="K5307">
            <v>-1499</v>
          </cell>
          <cell r="M5307" t="str">
            <v>STL-20260930</v>
          </cell>
        </row>
        <row r="5308">
          <cell r="K5308">
            <v>2490.15</v>
          </cell>
          <cell r="M5308" t="str">
            <v>STL-20261001</v>
          </cell>
        </row>
        <row r="5309">
          <cell r="K5309">
            <v>3726.29</v>
          </cell>
          <cell r="M5309" t="str">
            <v>STL-20261001</v>
          </cell>
        </row>
        <row r="5310">
          <cell r="K5310">
            <v>999</v>
          </cell>
          <cell r="M5310" t="str">
            <v>STL-20261001</v>
          </cell>
        </row>
        <row r="5311">
          <cell r="K5311">
            <v>1897</v>
          </cell>
          <cell r="M5311" t="str">
            <v>STL-20261001</v>
          </cell>
        </row>
        <row r="5312">
          <cell r="K5312">
            <v>3486.61</v>
          </cell>
          <cell r="M5312" t="str">
            <v>STL-20261001</v>
          </cell>
        </row>
        <row r="5313">
          <cell r="K5313">
            <v>7970.68</v>
          </cell>
          <cell r="M5313" t="str">
            <v>STL-20261001</v>
          </cell>
        </row>
        <row r="5314">
          <cell r="K5314">
            <v>7847.98</v>
          </cell>
          <cell r="M5314" t="str">
            <v>STL-20261001</v>
          </cell>
        </row>
        <row r="5315">
          <cell r="K5315">
            <v>5222</v>
          </cell>
          <cell r="M5315" t="str">
            <v>STL-20261001</v>
          </cell>
        </row>
        <row r="5316">
          <cell r="K5316">
            <v>3486.61</v>
          </cell>
          <cell r="M5316" t="str">
            <v>STL-20261001</v>
          </cell>
        </row>
        <row r="5317">
          <cell r="K5317">
            <v>3087.04</v>
          </cell>
          <cell r="M5317" t="str">
            <v>STL-20261001</v>
          </cell>
        </row>
        <row r="5318">
          <cell r="K5318">
            <v>1499</v>
          </cell>
          <cell r="M5318" t="str">
            <v>STL-20261001</v>
          </cell>
        </row>
        <row r="5319">
          <cell r="K5319">
            <v>1499</v>
          </cell>
          <cell r="M5319" t="str">
            <v>STL-20261001</v>
          </cell>
        </row>
        <row r="5320">
          <cell r="K5320">
            <v>977.78</v>
          </cell>
          <cell r="M5320" t="str">
            <v>STL-20261001</v>
          </cell>
        </row>
        <row r="5321">
          <cell r="K5321">
            <v>7356.44</v>
          </cell>
          <cell r="M5321" t="str">
            <v>STL-20261001</v>
          </cell>
        </row>
        <row r="5322">
          <cell r="K5322">
            <v>4282.79</v>
          </cell>
          <cell r="M5322" t="str">
            <v>STL-20261001</v>
          </cell>
        </row>
        <row r="5323">
          <cell r="K5323">
            <v>2253.63</v>
          </cell>
          <cell r="M5323" t="str">
            <v>STL-20261001</v>
          </cell>
        </row>
        <row r="5324">
          <cell r="K5324">
            <v>3841.82</v>
          </cell>
          <cell r="M5324" t="str">
            <v>STL-20261001</v>
          </cell>
        </row>
        <row r="5325">
          <cell r="K5325">
            <v>7453.57</v>
          </cell>
          <cell r="M5325" t="str">
            <v>STL-20261001</v>
          </cell>
        </row>
        <row r="5326">
          <cell r="K5326">
            <v>9510.4</v>
          </cell>
          <cell r="M5326" t="str">
            <v>STL-20261001</v>
          </cell>
        </row>
        <row r="5327">
          <cell r="K5327">
            <v>11457.3</v>
          </cell>
          <cell r="M5327" t="str">
            <v>STL-20261001</v>
          </cell>
        </row>
        <row r="5328">
          <cell r="K5328">
            <v>1467.16</v>
          </cell>
          <cell r="M5328" t="str">
            <v>STL-20261001</v>
          </cell>
        </row>
        <row r="5329">
          <cell r="K5329">
            <v>499</v>
          </cell>
          <cell r="M5329" t="str">
            <v>STL-20261001</v>
          </cell>
        </row>
        <row r="5330">
          <cell r="K5330">
            <v>9122.4500000000007</v>
          </cell>
          <cell r="M5330" t="str">
            <v>STL-20261001</v>
          </cell>
        </row>
        <row r="5331">
          <cell r="K5331">
            <v>2140.4</v>
          </cell>
          <cell r="M5331" t="str">
            <v>STL-20261001</v>
          </cell>
        </row>
        <row r="5332">
          <cell r="K5332">
            <v>781.09</v>
          </cell>
          <cell r="M5332" t="str">
            <v>STL-20261001</v>
          </cell>
        </row>
        <row r="5333">
          <cell r="K5333">
            <v>4981.3</v>
          </cell>
          <cell r="M5333" t="str">
            <v>STL-20261001</v>
          </cell>
        </row>
        <row r="5334">
          <cell r="K5334">
            <v>341.59</v>
          </cell>
          <cell r="M5334" t="str">
            <v>STL-20261001</v>
          </cell>
        </row>
        <row r="5335">
          <cell r="K5335">
            <v>927.87</v>
          </cell>
          <cell r="M5335" t="str">
            <v>STL-20261001</v>
          </cell>
        </row>
        <row r="5336">
          <cell r="K5336">
            <v>7970.68</v>
          </cell>
          <cell r="M5336" t="str">
            <v>STL-20261001</v>
          </cell>
        </row>
        <row r="5337">
          <cell r="K5337">
            <v>1271.4100000000001</v>
          </cell>
          <cell r="M5337" t="str">
            <v>STL-20261001</v>
          </cell>
        </row>
        <row r="5338">
          <cell r="K5338">
            <v>9318.68</v>
          </cell>
          <cell r="M5338" t="str">
            <v>STL-20261001</v>
          </cell>
        </row>
        <row r="5339">
          <cell r="K5339">
            <v>2987.39</v>
          </cell>
          <cell r="M5339" t="str">
            <v>STL-20261001</v>
          </cell>
        </row>
        <row r="5340">
          <cell r="K5340">
            <v>698</v>
          </cell>
          <cell r="M5340" t="str">
            <v>STL-20261001</v>
          </cell>
        </row>
        <row r="5341">
          <cell r="K5341">
            <v>3234.75</v>
          </cell>
          <cell r="M5341" t="str">
            <v>STL-20261001</v>
          </cell>
        </row>
        <row r="5342">
          <cell r="K5342">
            <v>1799</v>
          </cell>
          <cell r="M5342" t="str">
            <v>STL-20261001</v>
          </cell>
        </row>
        <row r="5343">
          <cell r="K5343">
            <v>349</v>
          </cell>
          <cell r="M5343" t="str">
            <v>STL-20261001</v>
          </cell>
        </row>
        <row r="5344">
          <cell r="K5344">
            <v>2251.9</v>
          </cell>
          <cell r="M5344" t="str">
            <v>STL-20261001</v>
          </cell>
        </row>
        <row r="5345">
          <cell r="K5345">
            <v>799</v>
          </cell>
          <cell r="M5345" t="str">
            <v>STL-20261001</v>
          </cell>
        </row>
        <row r="5346">
          <cell r="K5346">
            <v>292.3</v>
          </cell>
          <cell r="M5346" t="str">
            <v>STL-20261001</v>
          </cell>
        </row>
        <row r="5347">
          <cell r="K5347">
            <v>9763.32</v>
          </cell>
          <cell r="M5347" t="str">
            <v>STL-20261001</v>
          </cell>
        </row>
        <row r="5348">
          <cell r="K5348">
            <v>3235.73</v>
          </cell>
          <cell r="M5348" t="str">
            <v>STL-20261001</v>
          </cell>
        </row>
        <row r="5349">
          <cell r="K5349">
            <v>3235.73</v>
          </cell>
          <cell r="M5349" t="str">
            <v>STL-20261001</v>
          </cell>
        </row>
        <row r="5350">
          <cell r="K5350">
            <v>4778.37</v>
          </cell>
          <cell r="M5350" t="str">
            <v>STL-20261001</v>
          </cell>
        </row>
        <row r="5351">
          <cell r="K5351">
            <v>2790.86</v>
          </cell>
          <cell r="M5351" t="str">
            <v>STL-20261001</v>
          </cell>
        </row>
        <row r="5352">
          <cell r="K5352">
            <v>5478.54</v>
          </cell>
          <cell r="M5352" t="str">
            <v>STL-20261001</v>
          </cell>
        </row>
        <row r="5353">
          <cell r="K5353">
            <v>3739.03</v>
          </cell>
          <cell r="M5353" t="str">
            <v>STL-20261001</v>
          </cell>
        </row>
        <row r="5354">
          <cell r="K5354">
            <v>4904.62</v>
          </cell>
          <cell r="M5354" t="str">
            <v>STL-20261001</v>
          </cell>
        </row>
        <row r="5355">
          <cell r="K5355">
            <v>5578.19</v>
          </cell>
          <cell r="M5355" t="str">
            <v>STL-20261001</v>
          </cell>
        </row>
        <row r="5356">
          <cell r="K5356">
            <v>488.4</v>
          </cell>
          <cell r="M5356" t="str">
            <v>STL-20261001</v>
          </cell>
        </row>
        <row r="5357">
          <cell r="K5357">
            <v>9110.5</v>
          </cell>
          <cell r="M5357" t="str">
            <v>STL-20261001</v>
          </cell>
        </row>
        <row r="5358">
          <cell r="K5358">
            <v>782.03</v>
          </cell>
          <cell r="M5358" t="str">
            <v>STL-20261001</v>
          </cell>
        </row>
        <row r="5359">
          <cell r="K5359">
            <v>5976.77</v>
          </cell>
          <cell r="M5359" t="str">
            <v>STL-20261001</v>
          </cell>
        </row>
        <row r="5360">
          <cell r="K5360">
            <v>1472.46</v>
          </cell>
          <cell r="M5360" t="str">
            <v>STL-20261001</v>
          </cell>
        </row>
        <row r="5361">
          <cell r="K5361">
            <v>2254.61</v>
          </cell>
          <cell r="M5361" t="str">
            <v>STL-20261001</v>
          </cell>
        </row>
        <row r="5362">
          <cell r="K5362">
            <v>299</v>
          </cell>
          <cell r="M5362" t="str">
            <v>STL-20261001</v>
          </cell>
        </row>
        <row r="5363">
          <cell r="K5363">
            <v>977.78</v>
          </cell>
          <cell r="M5363" t="str">
            <v>STL-20261001</v>
          </cell>
        </row>
        <row r="5364">
          <cell r="K5364">
            <v>5884.76</v>
          </cell>
          <cell r="M5364" t="str">
            <v>STL-20261001</v>
          </cell>
        </row>
        <row r="5365">
          <cell r="K5365">
            <v>1998</v>
          </cell>
          <cell r="M5365" t="str">
            <v>STL-20261001</v>
          </cell>
        </row>
        <row r="5366">
          <cell r="K5366">
            <v>499</v>
          </cell>
          <cell r="M5366" t="str">
            <v>STL-20261001</v>
          </cell>
        </row>
        <row r="5367">
          <cell r="K5367">
            <v>4804.55</v>
          </cell>
          <cell r="M5367" t="str">
            <v>STL-20261001</v>
          </cell>
        </row>
        <row r="5368">
          <cell r="K5368">
            <v>948</v>
          </cell>
          <cell r="M5368" t="str">
            <v>STL-20261001</v>
          </cell>
        </row>
        <row r="5369">
          <cell r="K5369">
            <v>4211.78</v>
          </cell>
          <cell r="M5369" t="str">
            <v>STL-20261001</v>
          </cell>
        </row>
        <row r="5370">
          <cell r="K5370">
            <v>1499</v>
          </cell>
          <cell r="M5370" t="str">
            <v>STL-20261001</v>
          </cell>
        </row>
        <row r="5371">
          <cell r="K5371">
            <v>599</v>
          </cell>
          <cell r="M5371" t="str">
            <v>STL-20261001</v>
          </cell>
        </row>
        <row r="5372">
          <cell r="K5372">
            <v>586.28</v>
          </cell>
          <cell r="M5372" t="str">
            <v>STL-20261001</v>
          </cell>
        </row>
        <row r="5373">
          <cell r="K5373">
            <v>981.31</v>
          </cell>
          <cell r="M5373" t="str">
            <v>STL-20261001</v>
          </cell>
        </row>
        <row r="5374">
          <cell r="K5374">
            <v>299</v>
          </cell>
          <cell r="M5374" t="str">
            <v>STL-20261001</v>
          </cell>
        </row>
        <row r="5375">
          <cell r="K5375">
            <v>799</v>
          </cell>
          <cell r="M5375" t="str">
            <v>STL-20261001</v>
          </cell>
        </row>
        <row r="5376">
          <cell r="K5376">
            <v>7769.4</v>
          </cell>
          <cell r="M5376" t="str">
            <v>STL-20261001</v>
          </cell>
        </row>
        <row r="5377">
          <cell r="K5377">
            <v>6475</v>
          </cell>
          <cell r="M5377" t="str">
            <v>STL-20261001</v>
          </cell>
        </row>
        <row r="5378">
          <cell r="K5378">
            <v>3784.56</v>
          </cell>
          <cell r="M5378" t="str">
            <v>STL-20261001</v>
          </cell>
        </row>
        <row r="5379">
          <cell r="K5379">
            <v>9318.68</v>
          </cell>
          <cell r="M5379" t="str">
            <v>STL-20261001</v>
          </cell>
        </row>
        <row r="5380">
          <cell r="K5380">
            <v>8620.5300000000007</v>
          </cell>
          <cell r="M5380" t="str">
            <v>STL-20261001</v>
          </cell>
        </row>
        <row r="5381">
          <cell r="K5381">
            <v>1798</v>
          </cell>
          <cell r="M5381" t="str">
            <v>STL-20261001</v>
          </cell>
        </row>
        <row r="5382">
          <cell r="K5382">
            <v>499</v>
          </cell>
          <cell r="M5382" t="str">
            <v>STL-20261001</v>
          </cell>
        </row>
        <row r="5383">
          <cell r="K5383">
            <v>349</v>
          </cell>
          <cell r="M5383" t="str">
            <v>STL-20261001</v>
          </cell>
        </row>
        <row r="5384">
          <cell r="K5384">
            <v>1298</v>
          </cell>
          <cell r="M5384" t="str">
            <v>STL-20261001</v>
          </cell>
        </row>
        <row r="5385">
          <cell r="K5385">
            <v>2289.87</v>
          </cell>
          <cell r="M5385" t="str">
            <v>STL-20261001</v>
          </cell>
        </row>
        <row r="5386">
          <cell r="K5386">
            <v>7970.68</v>
          </cell>
          <cell r="M5386" t="str">
            <v>STL-20261001</v>
          </cell>
        </row>
        <row r="5387">
          <cell r="K5387">
            <v>2788.1</v>
          </cell>
          <cell r="M5387" t="str">
            <v>STL-20261001</v>
          </cell>
        </row>
        <row r="5388">
          <cell r="K5388">
            <v>12166.41</v>
          </cell>
          <cell r="M5388" t="str">
            <v>STL-20261001</v>
          </cell>
        </row>
        <row r="5389">
          <cell r="K5389">
            <v>1499</v>
          </cell>
          <cell r="M5389" t="str">
            <v>STL-20261001</v>
          </cell>
        </row>
        <row r="5390">
          <cell r="K5390">
            <v>10808.6</v>
          </cell>
          <cell r="M5390" t="str">
            <v>STL-20261001</v>
          </cell>
        </row>
        <row r="5391">
          <cell r="K5391">
            <v>7346.61</v>
          </cell>
          <cell r="M5391" t="str">
            <v>STL-20261001</v>
          </cell>
        </row>
        <row r="5392">
          <cell r="K5392">
            <v>6475</v>
          </cell>
          <cell r="M5392" t="str">
            <v>STL-20261001</v>
          </cell>
        </row>
        <row r="5393">
          <cell r="K5393">
            <v>3432.94</v>
          </cell>
          <cell r="M5393" t="str">
            <v>STL-20261001</v>
          </cell>
        </row>
        <row r="5394">
          <cell r="K5394">
            <v>7356.44</v>
          </cell>
          <cell r="M5394" t="str">
            <v>STL-20261001</v>
          </cell>
        </row>
        <row r="5395">
          <cell r="K5395">
            <v>3230.86</v>
          </cell>
          <cell r="M5395" t="str">
            <v>STL-20261001</v>
          </cell>
        </row>
        <row r="5396">
          <cell r="K5396">
            <v>4904.62</v>
          </cell>
          <cell r="M5396" t="str">
            <v>STL-20261001</v>
          </cell>
        </row>
        <row r="5397">
          <cell r="K5397">
            <v>3426.85</v>
          </cell>
          <cell r="M5397" t="str">
            <v>STL-20261001</v>
          </cell>
        </row>
        <row r="5398">
          <cell r="K5398">
            <v>4981.3</v>
          </cell>
          <cell r="M5398" t="str">
            <v>STL-20261001</v>
          </cell>
        </row>
        <row r="5399">
          <cell r="K5399">
            <v>1299</v>
          </cell>
          <cell r="M5399" t="str">
            <v>STL-20261001</v>
          </cell>
        </row>
        <row r="5400">
          <cell r="K5400">
            <v>3286.33</v>
          </cell>
          <cell r="M5400" t="str">
            <v>STL-20261001</v>
          </cell>
        </row>
        <row r="5401">
          <cell r="K5401">
            <v>497.23</v>
          </cell>
          <cell r="M5401" t="str">
            <v>STL-20261001</v>
          </cell>
        </row>
        <row r="5402">
          <cell r="K5402">
            <v>11257.01</v>
          </cell>
          <cell r="M5402" t="str">
            <v>STL-20261001</v>
          </cell>
        </row>
        <row r="5403">
          <cell r="K5403">
            <v>2745.17</v>
          </cell>
          <cell r="M5403" t="str">
            <v>STL-20261001</v>
          </cell>
        </row>
        <row r="5404">
          <cell r="K5404">
            <v>4879.67</v>
          </cell>
          <cell r="M5404" t="str">
            <v>STL-20261001</v>
          </cell>
        </row>
        <row r="5405">
          <cell r="K5405">
            <v>1269.8800000000001</v>
          </cell>
          <cell r="M5405" t="str">
            <v>STL-20261001</v>
          </cell>
        </row>
        <row r="5406">
          <cell r="K5406">
            <v>9219.59</v>
          </cell>
          <cell r="M5406" t="str">
            <v>STL-20261001</v>
          </cell>
        </row>
        <row r="5407">
          <cell r="K5407">
            <v>2490.15</v>
          </cell>
          <cell r="M5407" t="str">
            <v>STL-20261001</v>
          </cell>
        </row>
        <row r="5408">
          <cell r="K5408">
            <v>6178.11</v>
          </cell>
          <cell r="M5408" t="str">
            <v>STL-20261001</v>
          </cell>
        </row>
        <row r="5409">
          <cell r="K5409">
            <v>7837.56</v>
          </cell>
          <cell r="M5409" t="str">
            <v>STL-20261001</v>
          </cell>
        </row>
        <row r="5410">
          <cell r="K5410">
            <v>1848</v>
          </cell>
          <cell r="M5410" t="str">
            <v>STL-20261001</v>
          </cell>
        </row>
        <row r="5411">
          <cell r="K5411">
            <v>3983.85</v>
          </cell>
          <cell r="M5411" t="str">
            <v>STL-20261001</v>
          </cell>
        </row>
        <row r="5412">
          <cell r="K5412">
            <v>292.64999999999998</v>
          </cell>
          <cell r="M5412" t="str">
            <v>STL-20261001</v>
          </cell>
        </row>
        <row r="5413">
          <cell r="K5413">
            <v>299</v>
          </cell>
          <cell r="M5413" t="str">
            <v>STL-20261001</v>
          </cell>
        </row>
        <row r="5414">
          <cell r="K5414">
            <v>2448.87</v>
          </cell>
          <cell r="M5414" t="str">
            <v>STL-20261001</v>
          </cell>
        </row>
        <row r="5415">
          <cell r="K5415">
            <v>4981.3</v>
          </cell>
          <cell r="M5415" t="str">
            <v>STL-20261001</v>
          </cell>
        </row>
        <row r="5416">
          <cell r="K5416">
            <v>4282.79</v>
          </cell>
          <cell r="M5416" t="str">
            <v>STL-20261001</v>
          </cell>
        </row>
        <row r="5417">
          <cell r="K5417">
            <v>998</v>
          </cell>
          <cell r="M5417" t="str">
            <v>STL-20261001</v>
          </cell>
        </row>
        <row r="5418">
          <cell r="K5418">
            <v>599</v>
          </cell>
          <cell r="M5418" t="str">
            <v>STL-20261001</v>
          </cell>
        </row>
        <row r="5419">
          <cell r="K5419">
            <v>8620.5300000000007</v>
          </cell>
          <cell r="M5419" t="str">
            <v>STL-20261001</v>
          </cell>
        </row>
        <row r="5420">
          <cell r="K5420">
            <v>999</v>
          </cell>
          <cell r="M5420" t="str">
            <v>STL-20261001</v>
          </cell>
        </row>
        <row r="5421">
          <cell r="K5421">
            <v>1299</v>
          </cell>
          <cell r="M5421" t="str">
            <v>STL-20261001</v>
          </cell>
        </row>
        <row r="5422">
          <cell r="K5422">
            <v>796.17</v>
          </cell>
          <cell r="M5422" t="str">
            <v>STL-20261001</v>
          </cell>
        </row>
        <row r="5423">
          <cell r="K5423">
            <v>3083.87</v>
          </cell>
          <cell r="M5423" t="str">
            <v>STL-20261001</v>
          </cell>
        </row>
        <row r="5424">
          <cell r="K5424">
            <v>8567.57</v>
          </cell>
          <cell r="M5424" t="str">
            <v>STL-20261001</v>
          </cell>
        </row>
        <row r="5425">
          <cell r="K5425">
            <v>782.03</v>
          </cell>
          <cell r="M5425" t="str">
            <v>STL-20261001</v>
          </cell>
        </row>
        <row r="5426">
          <cell r="K5426">
            <v>12751.7</v>
          </cell>
          <cell r="M5426" t="str">
            <v>STL-20261001</v>
          </cell>
        </row>
        <row r="5427">
          <cell r="K5427">
            <v>3087.59</v>
          </cell>
          <cell r="M5427" t="str">
            <v>STL-20261001</v>
          </cell>
        </row>
        <row r="5428">
          <cell r="K5428">
            <v>349</v>
          </cell>
          <cell r="M5428" t="str">
            <v>STL-20261001</v>
          </cell>
        </row>
        <row r="5429">
          <cell r="K5429">
            <v>3922.52</v>
          </cell>
          <cell r="M5429" t="str">
            <v>STL-20261001</v>
          </cell>
        </row>
        <row r="5430">
          <cell r="K5430">
            <v>599</v>
          </cell>
          <cell r="M5430" t="str">
            <v>STL-20261001</v>
          </cell>
        </row>
        <row r="5431">
          <cell r="K5431">
            <v>781.09</v>
          </cell>
          <cell r="M5431" t="str">
            <v>STL-20261001</v>
          </cell>
        </row>
        <row r="5432">
          <cell r="K5432">
            <v>1271.4100000000001</v>
          </cell>
          <cell r="M5432" t="str">
            <v>STL-20261001</v>
          </cell>
        </row>
        <row r="5433">
          <cell r="K5433">
            <v>490.16</v>
          </cell>
          <cell r="M5433" t="str">
            <v>STL-20261001</v>
          </cell>
        </row>
        <row r="5434">
          <cell r="K5434">
            <v>14445.68</v>
          </cell>
          <cell r="M5434" t="str">
            <v>STL-20261001</v>
          </cell>
        </row>
        <row r="5435">
          <cell r="K5435">
            <v>2937.86</v>
          </cell>
          <cell r="M5435" t="str">
            <v>STL-20261001</v>
          </cell>
        </row>
        <row r="5436">
          <cell r="K5436">
            <v>1270.44</v>
          </cell>
          <cell r="M5436" t="str">
            <v>STL-20261001</v>
          </cell>
        </row>
        <row r="5437">
          <cell r="K5437">
            <v>7193.68</v>
          </cell>
          <cell r="M5437" t="str">
            <v>STL-20261001</v>
          </cell>
        </row>
        <row r="5438">
          <cell r="K5438">
            <v>6475</v>
          </cell>
          <cell r="M5438" t="str">
            <v>STL-20261001</v>
          </cell>
        </row>
        <row r="5439">
          <cell r="K5439">
            <v>499</v>
          </cell>
          <cell r="M5439" t="str">
            <v>STL-20261001</v>
          </cell>
        </row>
        <row r="5440">
          <cell r="K5440">
            <v>1759.82</v>
          </cell>
          <cell r="M5440" t="str">
            <v>STL-20261001</v>
          </cell>
        </row>
        <row r="5441">
          <cell r="K5441">
            <v>828.99</v>
          </cell>
          <cell r="M5441" t="str">
            <v>STL-20261001</v>
          </cell>
        </row>
        <row r="5442">
          <cell r="K5442">
            <v>3286.33</v>
          </cell>
          <cell r="M5442" t="str">
            <v>STL-20261001</v>
          </cell>
        </row>
        <row r="5443">
          <cell r="K5443">
            <v>7970.68</v>
          </cell>
          <cell r="M5443" t="str">
            <v>STL-20261001</v>
          </cell>
        </row>
        <row r="5444">
          <cell r="K5444">
            <v>6274.71</v>
          </cell>
          <cell r="M5444" t="str">
            <v>STL-20261001</v>
          </cell>
        </row>
        <row r="5445">
          <cell r="K5445">
            <v>2490.15</v>
          </cell>
          <cell r="M5445" t="str">
            <v>STL-20261001</v>
          </cell>
        </row>
        <row r="5446">
          <cell r="K5446">
            <v>9762.32</v>
          </cell>
          <cell r="M5446" t="str">
            <v>STL-20261001</v>
          </cell>
        </row>
        <row r="5447">
          <cell r="K5447">
            <v>7970.68</v>
          </cell>
          <cell r="M5447" t="str">
            <v>STL-20261001</v>
          </cell>
        </row>
        <row r="5448">
          <cell r="K5448">
            <v>1798</v>
          </cell>
          <cell r="M5448" t="str">
            <v>STL-20261001</v>
          </cell>
        </row>
        <row r="5449">
          <cell r="K5449">
            <v>2987.39</v>
          </cell>
          <cell r="M5449" t="str">
            <v>STL-20261001</v>
          </cell>
        </row>
        <row r="5450">
          <cell r="K5450">
            <v>2448.87</v>
          </cell>
          <cell r="M5450" t="str">
            <v>STL-20261001</v>
          </cell>
        </row>
        <row r="5451">
          <cell r="K5451">
            <v>2886.75</v>
          </cell>
          <cell r="M5451" t="str">
            <v>STL-20261001</v>
          </cell>
        </row>
        <row r="5452">
          <cell r="K5452">
            <v>4781.0200000000004</v>
          </cell>
          <cell r="M5452" t="str">
            <v>STL-20261001</v>
          </cell>
        </row>
        <row r="5453">
          <cell r="K5453">
            <v>3784.56</v>
          </cell>
          <cell r="M5453" t="str">
            <v>STL-20261001</v>
          </cell>
        </row>
        <row r="5454">
          <cell r="K5454">
            <v>292.64999999999998</v>
          </cell>
          <cell r="M5454" t="str">
            <v>STL-20261001</v>
          </cell>
        </row>
        <row r="5455">
          <cell r="K5455">
            <v>6275.71</v>
          </cell>
          <cell r="M5455" t="str">
            <v>STL-20261001</v>
          </cell>
        </row>
        <row r="5456">
          <cell r="K5456">
            <v>3428.81</v>
          </cell>
          <cell r="M5456" t="str">
            <v>STL-20261001</v>
          </cell>
        </row>
        <row r="5457">
          <cell r="K5457">
            <v>2547.9699999999998</v>
          </cell>
          <cell r="M5457" t="str">
            <v>STL-20261001</v>
          </cell>
        </row>
        <row r="5458">
          <cell r="K5458">
            <v>599</v>
          </cell>
          <cell r="M5458" t="str">
            <v>STL-20261001</v>
          </cell>
        </row>
        <row r="5459">
          <cell r="K5459">
            <v>1368.31</v>
          </cell>
          <cell r="M5459" t="str">
            <v>STL-20261001</v>
          </cell>
        </row>
        <row r="5460">
          <cell r="K5460">
            <v>2687.45</v>
          </cell>
          <cell r="M5460" t="str">
            <v>STL-20261001</v>
          </cell>
        </row>
        <row r="5461">
          <cell r="K5461">
            <v>5577.19</v>
          </cell>
          <cell r="M5461" t="str">
            <v>STL-20261001</v>
          </cell>
        </row>
        <row r="5462">
          <cell r="K5462">
            <v>4707.41</v>
          </cell>
          <cell r="M5462" t="str">
            <v>STL-20261001</v>
          </cell>
        </row>
        <row r="5463">
          <cell r="K5463">
            <v>7356.44</v>
          </cell>
          <cell r="M5463" t="str">
            <v>STL-20261001</v>
          </cell>
        </row>
        <row r="5464">
          <cell r="K5464">
            <v>1998</v>
          </cell>
          <cell r="M5464" t="str">
            <v>STL-20261001</v>
          </cell>
        </row>
        <row r="5465">
          <cell r="K5465">
            <v>2490.15</v>
          </cell>
          <cell r="M5465" t="str">
            <v>STL-20261001</v>
          </cell>
        </row>
        <row r="5466">
          <cell r="K5466">
            <v>1447</v>
          </cell>
          <cell r="M5466" t="str">
            <v>STL-20261001</v>
          </cell>
        </row>
        <row r="5467">
          <cell r="K5467">
            <v>2988.38</v>
          </cell>
          <cell r="M5467" t="str">
            <v>STL-20261001</v>
          </cell>
        </row>
        <row r="5468">
          <cell r="K5468">
            <v>4981.3</v>
          </cell>
          <cell r="M5468" t="str">
            <v>STL-20261001</v>
          </cell>
        </row>
        <row r="5469">
          <cell r="K5469">
            <v>3251.3</v>
          </cell>
          <cell r="M5469" t="str">
            <v>STL-20261001</v>
          </cell>
        </row>
        <row r="5470">
          <cell r="K5470">
            <v>13324.24</v>
          </cell>
          <cell r="M5470" t="str">
            <v>STL-20261001</v>
          </cell>
        </row>
        <row r="5471">
          <cell r="K5471">
            <v>349</v>
          </cell>
          <cell r="M5471" t="str">
            <v>STL-20261001</v>
          </cell>
        </row>
        <row r="5472">
          <cell r="K5472">
            <v>1271.4100000000001</v>
          </cell>
          <cell r="M5472" t="str">
            <v>STL-20261001</v>
          </cell>
        </row>
        <row r="5473">
          <cell r="K5473">
            <v>2490.15</v>
          </cell>
          <cell r="M5473" t="str">
            <v>STL-20261001</v>
          </cell>
        </row>
        <row r="5474">
          <cell r="K5474">
            <v>1465.39</v>
          </cell>
          <cell r="M5474" t="str">
            <v>STL-20261001</v>
          </cell>
        </row>
        <row r="5475">
          <cell r="K5475">
            <v>4082.5</v>
          </cell>
          <cell r="M5475" t="str">
            <v>STL-20261001</v>
          </cell>
        </row>
        <row r="5476">
          <cell r="K5476">
            <v>11755.24</v>
          </cell>
          <cell r="M5476" t="str">
            <v>STL-20261001</v>
          </cell>
        </row>
        <row r="5477">
          <cell r="K5477">
            <v>487.81</v>
          </cell>
          <cell r="M5477" t="str">
            <v>STL-20261001</v>
          </cell>
        </row>
        <row r="5478">
          <cell r="K5478">
            <v>7150.62</v>
          </cell>
          <cell r="M5478" t="str">
            <v>STL-20261001</v>
          </cell>
        </row>
        <row r="5479">
          <cell r="K5479">
            <v>11375.89</v>
          </cell>
          <cell r="M5479" t="str">
            <v>STL-20261001</v>
          </cell>
        </row>
        <row r="5480">
          <cell r="K5480">
            <v>2788.1</v>
          </cell>
          <cell r="M5480" t="str">
            <v>STL-20261001</v>
          </cell>
        </row>
        <row r="5481">
          <cell r="K5481">
            <v>3086.04</v>
          </cell>
          <cell r="M5481" t="str">
            <v>STL-20261001</v>
          </cell>
        </row>
        <row r="5482">
          <cell r="K5482">
            <v>2588.81</v>
          </cell>
          <cell r="M5482" t="str">
            <v>STL-20261001</v>
          </cell>
        </row>
        <row r="5483">
          <cell r="K5483">
            <v>349</v>
          </cell>
          <cell r="M5483" t="str">
            <v>STL-20261001</v>
          </cell>
        </row>
        <row r="5484">
          <cell r="K5484">
            <v>4020.63</v>
          </cell>
          <cell r="M5484" t="str">
            <v>STL-20261001</v>
          </cell>
        </row>
        <row r="5485">
          <cell r="K5485">
            <v>3432.94</v>
          </cell>
          <cell r="M5485" t="str">
            <v>STL-20261001</v>
          </cell>
        </row>
        <row r="5486">
          <cell r="K5486">
            <v>599</v>
          </cell>
          <cell r="M5486" t="str">
            <v>STL-20261001</v>
          </cell>
        </row>
        <row r="5487">
          <cell r="K5487">
            <v>-1799</v>
          </cell>
          <cell r="M5487" t="str">
            <v>STL-20261001</v>
          </cell>
        </row>
        <row r="5488">
          <cell r="K5488">
            <v>-1299</v>
          </cell>
          <cell r="M5488" t="str">
            <v>STL-20261001</v>
          </cell>
        </row>
        <row r="5489">
          <cell r="K5489">
            <v>-349</v>
          </cell>
          <cell r="M5489" t="str">
            <v>STL-20261001</v>
          </cell>
        </row>
        <row r="5490">
          <cell r="K5490">
            <v>-3298</v>
          </cell>
          <cell r="M5490" t="str">
            <v>STL-20261001</v>
          </cell>
        </row>
        <row r="5491">
          <cell r="K5491">
            <v>-1299</v>
          </cell>
          <cell r="M5491" t="str">
            <v>STL-20261001</v>
          </cell>
        </row>
        <row r="5492">
          <cell r="K5492">
            <v>-5497</v>
          </cell>
          <cell r="M5492" t="str">
            <v>STL-20261001</v>
          </cell>
        </row>
        <row r="5493">
          <cell r="K5493">
            <v>-7797</v>
          </cell>
          <cell r="M5493" t="str">
            <v>STL-20261001</v>
          </cell>
        </row>
        <row r="5494">
          <cell r="K5494">
            <v>-1799</v>
          </cell>
          <cell r="M5494" t="str">
            <v>STL-20261001</v>
          </cell>
        </row>
        <row r="5495">
          <cell r="K5495">
            <v>-3798</v>
          </cell>
          <cell r="M5495" t="str">
            <v>STL-20261001</v>
          </cell>
        </row>
        <row r="5496">
          <cell r="K5496">
            <v>-799</v>
          </cell>
          <cell r="M5496" t="str">
            <v>STL-20261001</v>
          </cell>
        </row>
        <row r="5497">
          <cell r="K5497">
            <v>-848</v>
          </cell>
          <cell r="M5497" t="str">
            <v>STL-20261001</v>
          </cell>
        </row>
        <row r="5498">
          <cell r="K5498">
            <v>-1498</v>
          </cell>
          <cell r="M5498" t="str">
            <v>STL-20261001</v>
          </cell>
        </row>
        <row r="5499">
          <cell r="K5499">
            <v>7970.68</v>
          </cell>
          <cell r="M5499" t="str">
            <v>STL-20261002</v>
          </cell>
        </row>
        <row r="5500">
          <cell r="K5500">
            <v>499</v>
          </cell>
          <cell r="M5500" t="str">
            <v>STL-20261002</v>
          </cell>
        </row>
        <row r="5501">
          <cell r="K5501">
            <v>349</v>
          </cell>
          <cell r="M5501" t="str">
            <v>STL-20261002</v>
          </cell>
        </row>
        <row r="5502">
          <cell r="K5502">
            <v>8631.89</v>
          </cell>
          <cell r="M5502" t="str">
            <v>STL-20261002</v>
          </cell>
        </row>
        <row r="5503">
          <cell r="K5503">
            <v>3744.22</v>
          </cell>
          <cell r="M5503" t="str">
            <v>STL-20261002</v>
          </cell>
        </row>
        <row r="5504">
          <cell r="K5504">
            <v>1098</v>
          </cell>
          <cell r="M5504" t="str">
            <v>STL-20261002</v>
          </cell>
        </row>
        <row r="5505">
          <cell r="K5505">
            <v>3784.56</v>
          </cell>
          <cell r="M5505" t="str">
            <v>STL-20261002</v>
          </cell>
        </row>
        <row r="5506">
          <cell r="K5506">
            <v>5078.96</v>
          </cell>
          <cell r="M5506" t="str">
            <v>STL-20261002</v>
          </cell>
        </row>
        <row r="5507">
          <cell r="K5507">
            <v>981.31</v>
          </cell>
          <cell r="M5507" t="str">
            <v>STL-20261002</v>
          </cell>
        </row>
        <row r="5508">
          <cell r="K5508">
            <v>1466.19</v>
          </cell>
          <cell r="M5508" t="str">
            <v>STL-20261002</v>
          </cell>
        </row>
        <row r="5509">
          <cell r="K5509">
            <v>2745.17</v>
          </cell>
          <cell r="M5509" t="str">
            <v>STL-20261002</v>
          </cell>
        </row>
        <row r="5510">
          <cell r="K5510">
            <v>1947</v>
          </cell>
          <cell r="M5510" t="str">
            <v>STL-20261002</v>
          </cell>
        </row>
        <row r="5511">
          <cell r="K5511">
            <v>1947</v>
          </cell>
          <cell r="M5511" t="str">
            <v>STL-20261002</v>
          </cell>
        </row>
        <row r="5512">
          <cell r="K5512">
            <v>3784.56</v>
          </cell>
          <cell r="M5512" t="str">
            <v>STL-20261002</v>
          </cell>
        </row>
        <row r="5513">
          <cell r="K5513">
            <v>4216.8500000000004</v>
          </cell>
          <cell r="M5513" t="str">
            <v>STL-20261002</v>
          </cell>
        </row>
        <row r="5514">
          <cell r="K5514">
            <v>2988.38</v>
          </cell>
          <cell r="M5514" t="str">
            <v>STL-20261002</v>
          </cell>
        </row>
        <row r="5515">
          <cell r="K5515">
            <v>8925.25</v>
          </cell>
          <cell r="M5515" t="str">
            <v>STL-20261002</v>
          </cell>
        </row>
        <row r="5516">
          <cell r="K5516">
            <v>1499</v>
          </cell>
          <cell r="M5516" t="str">
            <v>STL-20261002</v>
          </cell>
        </row>
        <row r="5517">
          <cell r="K5517">
            <v>4482.08</v>
          </cell>
          <cell r="M5517" t="str">
            <v>STL-20261002</v>
          </cell>
        </row>
        <row r="5518">
          <cell r="K5518">
            <v>341.59</v>
          </cell>
          <cell r="M5518" t="str">
            <v>STL-20261002</v>
          </cell>
        </row>
        <row r="5519">
          <cell r="K5519">
            <v>4981.3</v>
          </cell>
          <cell r="M5519" t="str">
            <v>STL-20261002</v>
          </cell>
        </row>
        <row r="5520">
          <cell r="K5520">
            <v>1498</v>
          </cell>
          <cell r="M5520" t="str">
            <v>STL-20261002</v>
          </cell>
        </row>
        <row r="5521">
          <cell r="K5521">
            <v>5676.83</v>
          </cell>
          <cell r="M5521" t="str">
            <v>STL-20261002</v>
          </cell>
        </row>
        <row r="5522">
          <cell r="K5522">
            <v>3432.94</v>
          </cell>
          <cell r="M5522" t="str">
            <v>STL-20261002</v>
          </cell>
        </row>
        <row r="5523">
          <cell r="K5523">
            <v>8966.15</v>
          </cell>
          <cell r="M5523" t="str">
            <v>STL-20261002</v>
          </cell>
        </row>
        <row r="5524">
          <cell r="K5524">
            <v>5828.14</v>
          </cell>
          <cell r="M5524" t="str">
            <v>STL-20261002</v>
          </cell>
        </row>
        <row r="5525">
          <cell r="K5525">
            <v>2090.58</v>
          </cell>
          <cell r="M5525" t="str">
            <v>STL-20261002</v>
          </cell>
        </row>
        <row r="5526">
          <cell r="K5526">
            <v>10460.84</v>
          </cell>
          <cell r="M5526" t="str">
            <v>STL-20261002</v>
          </cell>
        </row>
        <row r="5527">
          <cell r="K5527">
            <v>9808.26</v>
          </cell>
          <cell r="M5527" t="str">
            <v>STL-20261002</v>
          </cell>
        </row>
        <row r="5528">
          <cell r="K5528">
            <v>999</v>
          </cell>
          <cell r="M5528" t="str">
            <v>STL-20261002</v>
          </cell>
        </row>
        <row r="5529">
          <cell r="K5529">
            <v>499</v>
          </cell>
          <cell r="M5529" t="str">
            <v>STL-20261002</v>
          </cell>
        </row>
        <row r="5530">
          <cell r="K5530">
            <v>848</v>
          </cell>
          <cell r="M5530" t="str">
            <v>STL-20261002</v>
          </cell>
        </row>
        <row r="5531">
          <cell r="K5531">
            <v>2938.84</v>
          </cell>
          <cell r="M5531" t="str">
            <v>STL-20261002</v>
          </cell>
        </row>
        <row r="5532">
          <cell r="K5532">
            <v>3486.61</v>
          </cell>
          <cell r="M5532" t="str">
            <v>STL-20261002</v>
          </cell>
        </row>
        <row r="5533">
          <cell r="K5533">
            <v>2988.38</v>
          </cell>
          <cell r="M5533" t="str">
            <v>STL-20261002</v>
          </cell>
        </row>
        <row r="5534">
          <cell r="K5534">
            <v>3251.3</v>
          </cell>
          <cell r="M5534" t="str">
            <v>STL-20261002</v>
          </cell>
        </row>
        <row r="5535">
          <cell r="K5535">
            <v>5279.25</v>
          </cell>
          <cell r="M5535" t="str">
            <v>STL-20261002</v>
          </cell>
        </row>
        <row r="5536">
          <cell r="K5536">
            <v>2489.16</v>
          </cell>
          <cell r="M5536" t="str">
            <v>STL-20261002</v>
          </cell>
        </row>
        <row r="5537">
          <cell r="K5537">
            <v>2956.53</v>
          </cell>
          <cell r="M5537" t="str">
            <v>STL-20261002</v>
          </cell>
        </row>
        <row r="5538">
          <cell r="K5538">
            <v>4413.08</v>
          </cell>
          <cell r="M5538" t="str">
            <v>STL-20261002</v>
          </cell>
        </row>
        <row r="5539">
          <cell r="K5539">
            <v>2987.39</v>
          </cell>
          <cell r="M5539" t="str">
            <v>STL-20261002</v>
          </cell>
        </row>
        <row r="5540">
          <cell r="K5540">
            <v>7838.54</v>
          </cell>
          <cell r="M5540" t="str">
            <v>STL-20261002</v>
          </cell>
        </row>
        <row r="5541">
          <cell r="K5541">
            <v>2988.38</v>
          </cell>
          <cell r="M5541" t="str">
            <v>STL-20261002</v>
          </cell>
        </row>
        <row r="5542">
          <cell r="K5542">
            <v>633.47</v>
          </cell>
          <cell r="M5542" t="str">
            <v>STL-20261002</v>
          </cell>
        </row>
        <row r="5543">
          <cell r="K5543">
            <v>488.4</v>
          </cell>
          <cell r="M5543" t="str">
            <v>STL-20261002</v>
          </cell>
        </row>
        <row r="5544">
          <cell r="K5544">
            <v>341.18</v>
          </cell>
          <cell r="M5544" t="str">
            <v>STL-20261002</v>
          </cell>
        </row>
        <row r="5545">
          <cell r="K5545">
            <v>1799</v>
          </cell>
          <cell r="M5545" t="str">
            <v>STL-20261002</v>
          </cell>
        </row>
        <row r="5546">
          <cell r="K5546">
            <v>9110.5</v>
          </cell>
          <cell r="M5546" t="str">
            <v>STL-20261002</v>
          </cell>
        </row>
        <row r="5547">
          <cell r="K5547">
            <v>977.78</v>
          </cell>
          <cell r="M5547" t="str">
            <v>STL-20261002</v>
          </cell>
        </row>
        <row r="5548">
          <cell r="K5548">
            <v>3083.87</v>
          </cell>
          <cell r="M5548" t="str">
            <v>STL-20261002</v>
          </cell>
        </row>
        <row r="5549">
          <cell r="K5549">
            <v>2490.15</v>
          </cell>
          <cell r="M5549" t="str">
            <v>STL-20261002</v>
          </cell>
        </row>
        <row r="5550">
          <cell r="K5550">
            <v>784.85</v>
          </cell>
          <cell r="M5550" t="str">
            <v>STL-20261002</v>
          </cell>
        </row>
        <row r="5551">
          <cell r="K5551">
            <v>2745.17</v>
          </cell>
          <cell r="M5551" t="str">
            <v>STL-20261002</v>
          </cell>
        </row>
        <row r="5552">
          <cell r="K5552">
            <v>4981.3</v>
          </cell>
          <cell r="M5552" t="str">
            <v>STL-20261002</v>
          </cell>
        </row>
        <row r="5553">
          <cell r="K5553">
            <v>1073.3900000000001</v>
          </cell>
          <cell r="M5553" t="str">
            <v>STL-20261002</v>
          </cell>
        </row>
        <row r="5554">
          <cell r="K5554">
            <v>10959.07</v>
          </cell>
          <cell r="M5554" t="str">
            <v>STL-20261002</v>
          </cell>
        </row>
        <row r="5555">
          <cell r="K5555">
            <v>12737.26</v>
          </cell>
          <cell r="M5555" t="str">
            <v>STL-20261002</v>
          </cell>
        </row>
        <row r="5556">
          <cell r="K5556">
            <v>12737.26</v>
          </cell>
          <cell r="M5556" t="str">
            <v>STL-20261002</v>
          </cell>
        </row>
        <row r="5557">
          <cell r="K5557">
            <v>3426.85</v>
          </cell>
          <cell r="M5557" t="str">
            <v>STL-20261002</v>
          </cell>
        </row>
        <row r="5558">
          <cell r="K5558">
            <v>9012.51</v>
          </cell>
          <cell r="M5558" t="str">
            <v>STL-20261002</v>
          </cell>
        </row>
        <row r="5559">
          <cell r="K5559">
            <v>488.4</v>
          </cell>
          <cell r="M5559" t="str">
            <v>STL-20261002</v>
          </cell>
        </row>
        <row r="5560">
          <cell r="K5560">
            <v>4981.3</v>
          </cell>
          <cell r="M5560" t="str">
            <v>STL-20261002</v>
          </cell>
        </row>
        <row r="5561">
          <cell r="K5561">
            <v>1499</v>
          </cell>
          <cell r="M5561" t="str">
            <v>STL-20261002</v>
          </cell>
        </row>
        <row r="5562">
          <cell r="K5562">
            <v>1271.4100000000001</v>
          </cell>
          <cell r="M5562" t="str">
            <v>STL-20261002</v>
          </cell>
        </row>
        <row r="5563">
          <cell r="K5563">
            <v>2090.58</v>
          </cell>
          <cell r="M5563" t="str">
            <v>STL-20261002</v>
          </cell>
        </row>
        <row r="5564">
          <cell r="K5564">
            <v>5197.97</v>
          </cell>
          <cell r="M5564" t="str">
            <v>STL-20261002</v>
          </cell>
        </row>
        <row r="5565">
          <cell r="K5565">
            <v>781.09</v>
          </cell>
          <cell r="M5565" t="str">
            <v>STL-20261002</v>
          </cell>
        </row>
        <row r="5566">
          <cell r="K5566">
            <v>293.7</v>
          </cell>
          <cell r="M5566" t="str">
            <v>STL-20261002</v>
          </cell>
        </row>
        <row r="5567">
          <cell r="K5567">
            <v>999</v>
          </cell>
          <cell r="M5567" t="str">
            <v>STL-20261002</v>
          </cell>
        </row>
        <row r="5568">
          <cell r="K5568">
            <v>5976.77</v>
          </cell>
          <cell r="M5568" t="str">
            <v>STL-20261002</v>
          </cell>
        </row>
        <row r="5569">
          <cell r="K5569">
            <v>2451.8200000000002</v>
          </cell>
          <cell r="M5569" t="str">
            <v>STL-20261002</v>
          </cell>
        </row>
        <row r="5570">
          <cell r="K5570">
            <v>2988.38</v>
          </cell>
          <cell r="M5570" t="str">
            <v>STL-20261002</v>
          </cell>
        </row>
        <row r="5571">
          <cell r="K5571">
            <v>3449.45</v>
          </cell>
          <cell r="M5571" t="str">
            <v>STL-20261002</v>
          </cell>
        </row>
        <row r="5572">
          <cell r="K5572">
            <v>4112.8100000000004</v>
          </cell>
          <cell r="M5572" t="str">
            <v>STL-20261002</v>
          </cell>
        </row>
        <row r="5573">
          <cell r="K5573">
            <v>980.34</v>
          </cell>
          <cell r="M5573" t="str">
            <v>STL-20261002</v>
          </cell>
        </row>
        <row r="5574">
          <cell r="K5574">
            <v>2448.87</v>
          </cell>
          <cell r="M5574" t="str">
            <v>STL-20261002</v>
          </cell>
        </row>
        <row r="5575">
          <cell r="K5575">
            <v>4981.3</v>
          </cell>
          <cell r="M5575" t="str">
            <v>STL-20261002</v>
          </cell>
        </row>
        <row r="5576">
          <cell r="K5576">
            <v>3087.04</v>
          </cell>
          <cell r="M5576" t="str">
            <v>STL-20261002</v>
          </cell>
        </row>
        <row r="5577">
          <cell r="K5577">
            <v>999</v>
          </cell>
          <cell r="M5577" t="str">
            <v>STL-20261002</v>
          </cell>
        </row>
        <row r="5578">
          <cell r="K5578">
            <v>5394.2</v>
          </cell>
          <cell r="M5578" t="str">
            <v>STL-20261002</v>
          </cell>
        </row>
        <row r="5579">
          <cell r="K5579">
            <v>3770.8</v>
          </cell>
          <cell r="M5579" t="str">
            <v>STL-20261002</v>
          </cell>
        </row>
        <row r="5580">
          <cell r="K5580">
            <v>349</v>
          </cell>
          <cell r="M5580" t="str">
            <v>STL-20261002</v>
          </cell>
        </row>
        <row r="5581">
          <cell r="K5581">
            <v>976.6</v>
          </cell>
          <cell r="M5581" t="str">
            <v>STL-20261002</v>
          </cell>
        </row>
        <row r="5582">
          <cell r="K5582">
            <v>5240.71</v>
          </cell>
          <cell r="M5582" t="str">
            <v>STL-20261002</v>
          </cell>
        </row>
        <row r="5583">
          <cell r="K5583">
            <v>11266.37</v>
          </cell>
          <cell r="M5583" t="str">
            <v>STL-20261002</v>
          </cell>
        </row>
        <row r="5584">
          <cell r="K5584">
            <v>4804.55</v>
          </cell>
          <cell r="M5584" t="str">
            <v>STL-20261002</v>
          </cell>
        </row>
        <row r="5585">
          <cell r="K5585">
            <v>1499</v>
          </cell>
          <cell r="M5585" t="str">
            <v>STL-20261002</v>
          </cell>
        </row>
        <row r="5586">
          <cell r="K5586">
            <v>2289.87</v>
          </cell>
          <cell r="M5586" t="str">
            <v>STL-20261002</v>
          </cell>
        </row>
        <row r="5587">
          <cell r="K5587">
            <v>1299</v>
          </cell>
          <cell r="M5587" t="str">
            <v>STL-20261002</v>
          </cell>
        </row>
        <row r="5588">
          <cell r="K5588">
            <v>1760.79</v>
          </cell>
          <cell r="M5588" t="str">
            <v>STL-20261002</v>
          </cell>
        </row>
        <row r="5589">
          <cell r="K5589">
            <v>599</v>
          </cell>
          <cell r="M5589" t="str">
            <v>STL-20261002</v>
          </cell>
        </row>
        <row r="5590">
          <cell r="K5590">
            <v>3530.07</v>
          </cell>
          <cell r="M5590" t="str">
            <v>STL-20261002</v>
          </cell>
        </row>
        <row r="5591">
          <cell r="K5591">
            <v>780.11</v>
          </cell>
          <cell r="M5591" t="str">
            <v>STL-20261002</v>
          </cell>
        </row>
        <row r="5592">
          <cell r="K5592">
            <v>1767.15</v>
          </cell>
          <cell r="M5592" t="str">
            <v>STL-20261002</v>
          </cell>
        </row>
        <row r="5593">
          <cell r="K5593">
            <v>5387.71</v>
          </cell>
          <cell r="M5593" t="str">
            <v>STL-20261002</v>
          </cell>
        </row>
        <row r="5594">
          <cell r="K5594">
            <v>2490.15</v>
          </cell>
          <cell r="M5594" t="str">
            <v>STL-20261002</v>
          </cell>
        </row>
        <row r="5595">
          <cell r="K5595">
            <v>4510.21</v>
          </cell>
          <cell r="M5595" t="str">
            <v>STL-20261002</v>
          </cell>
        </row>
        <row r="5596">
          <cell r="K5596">
            <v>4981.3</v>
          </cell>
          <cell r="M5596" t="str">
            <v>STL-20261002</v>
          </cell>
        </row>
        <row r="5597">
          <cell r="K5597">
            <v>292.64999999999998</v>
          </cell>
          <cell r="M5597" t="str">
            <v>STL-20261002</v>
          </cell>
        </row>
        <row r="5598">
          <cell r="K5598">
            <v>293.7</v>
          </cell>
          <cell r="M5598" t="str">
            <v>STL-20261002</v>
          </cell>
        </row>
        <row r="5599">
          <cell r="K5599">
            <v>782.03</v>
          </cell>
          <cell r="M5599" t="str">
            <v>STL-20261002</v>
          </cell>
        </row>
        <row r="5600">
          <cell r="K5600">
            <v>3486.61</v>
          </cell>
          <cell r="M5600" t="str">
            <v>STL-20261002</v>
          </cell>
        </row>
        <row r="5601">
          <cell r="K5601">
            <v>3432.94</v>
          </cell>
          <cell r="M5601" t="str">
            <v>STL-20261002</v>
          </cell>
        </row>
        <row r="5602">
          <cell r="K5602">
            <v>2988.38</v>
          </cell>
          <cell r="M5602" t="str">
            <v>STL-20261002</v>
          </cell>
        </row>
        <row r="5603">
          <cell r="K5603">
            <v>1760.79</v>
          </cell>
          <cell r="M5603" t="str">
            <v>STL-20261002</v>
          </cell>
        </row>
        <row r="5604">
          <cell r="K5604">
            <v>634.24</v>
          </cell>
          <cell r="M5604" t="str">
            <v>STL-20261002</v>
          </cell>
        </row>
        <row r="5605">
          <cell r="K5605">
            <v>1472.46</v>
          </cell>
          <cell r="M5605" t="str">
            <v>STL-20261002</v>
          </cell>
        </row>
        <row r="5606">
          <cell r="K5606">
            <v>6178.11</v>
          </cell>
          <cell r="M5606" t="str">
            <v>STL-20261002</v>
          </cell>
        </row>
        <row r="5607">
          <cell r="K5607">
            <v>12452.76</v>
          </cell>
          <cell r="M5607" t="str">
            <v>STL-20261002</v>
          </cell>
        </row>
        <row r="5608">
          <cell r="K5608">
            <v>7453.57</v>
          </cell>
          <cell r="M5608" t="str">
            <v>STL-20261002</v>
          </cell>
        </row>
        <row r="5609">
          <cell r="K5609">
            <v>292.64999999999998</v>
          </cell>
          <cell r="M5609" t="str">
            <v>STL-20261002</v>
          </cell>
        </row>
        <row r="5610">
          <cell r="K5610">
            <v>1798</v>
          </cell>
          <cell r="M5610" t="str">
            <v>STL-20261002</v>
          </cell>
        </row>
        <row r="5611">
          <cell r="K5611">
            <v>2788.1</v>
          </cell>
          <cell r="M5611" t="str">
            <v>STL-20261002</v>
          </cell>
        </row>
        <row r="5612">
          <cell r="K5612">
            <v>299</v>
          </cell>
          <cell r="M5612" t="str">
            <v>STL-20261002</v>
          </cell>
        </row>
        <row r="5613">
          <cell r="K5613">
            <v>4904.62</v>
          </cell>
          <cell r="M5613" t="str">
            <v>STL-20261002</v>
          </cell>
        </row>
        <row r="5614">
          <cell r="K5614">
            <v>10386.51</v>
          </cell>
          <cell r="M5614" t="str">
            <v>STL-20261002</v>
          </cell>
        </row>
        <row r="5615">
          <cell r="K5615">
            <v>3428.81</v>
          </cell>
          <cell r="M5615" t="str">
            <v>STL-20261002</v>
          </cell>
        </row>
        <row r="5616">
          <cell r="K5616">
            <v>6772.94</v>
          </cell>
          <cell r="M5616" t="str">
            <v>STL-20261002</v>
          </cell>
        </row>
        <row r="5617">
          <cell r="K5617">
            <v>9265.09</v>
          </cell>
          <cell r="M5617" t="str">
            <v>STL-20261002</v>
          </cell>
        </row>
        <row r="5618">
          <cell r="K5618">
            <v>349</v>
          </cell>
          <cell r="M5618" t="str">
            <v>STL-20261002</v>
          </cell>
        </row>
        <row r="5619">
          <cell r="K5619">
            <v>4980.3100000000004</v>
          </cell>
          <cell r="M5619" t="str">
            <v>STL-20261002</v>
          </cell>
        </row>
        <row r="5620">
          <cell r="K5620">
            <v>4482.08</v>
          </cell>
          <cell r="M5620" t="str">
            <v>STL-20261002</v>
          </cell>
        </row>
        <row r="5621">
          <cell r="K5621">
            <v>9363.5</v>
          </cell>
          <cell r="M5621" t="str">
            <v>STL-20261002</v>
          </cell>
        </row>
        <row r="5622">
          <cell r="K5622">
            <v>499</v>
          </cell>
          <cell r="M5622" t="str">
            <v>STL-20261002</v>
          </cell>
        </row>
        <row r="5623">
          <cell r="K5623">
            <v>2914.06</v>
          </cell>
          <cell r="M5623" t="str">
            <v>STL-20261002</v>
          </cell>
        </row>
        <row r="5624">
          <cell r="K5624">
            <v>8337.56</v>
          </cell>
          <cell r="M5624" t="str">
            <v>STL-20261002</v>
          </cell>
        </row>
        <row r="5625">
          <cell r="K5625">
            <v>1564.06</v>
          </cell>
          <cell r="M5625" t="str">
            <v>STL-20261002</v>
          </cell>
        </row>
        <row r="5626">
          <cell r="K5626">
            <v>2787.1</v>
          </cell>
          <cell r="M5626" t="str">
            <v>STL-20261002</v>
          </cell>
        </row>
        <row r="5627">
          <cell r="K5627">
            <v>5279.25</v>
          </cell>
          <cell r="M5627" t="str">
            <v>STL-20261002</v>
          </cell>
        </row>
        <row r="5628">
          <cell r="K5628">
            <v>3744.22</v>
          </cell>
          <cell r="M5628" t="str">
            <v>STL-20261002</v>
          </cell>
        </row>
        <row r="5629">
          <cell r="K5629">
            <v>4580.7299999999996</v>
          </cell>
          <cell r="M5629" t="str">
            <v>STL-20261002</v>
          </cell>
        </row>
        <row r="5630">
          <cell r="K5630">
            <v>1499</v>
          </cell>
          <cell r="M5630" t="str">
            <v>STL-20261002</v>
          </cell>
        </row>
        <row r="5631">
          <cell r="K5631">
            <v>1078.57</v>
          </cell>
          <cell r="M5631" t="str">
            <v>STL-20261002</v>
          </cell>
        </row>
        <row r="5632">
          <cell r="K5632">
            <v>7970.68</v>
          </cell>
          <cell r="M5632" t="str">
            <v>STL-20261002</v>
          </cell>
        </row>
        <row r="5633">
          <cell r="K5633">
            <v>586.28</v>
          </cell>
          <cell r="M5633" t="str">
            <v>STL-20261002</v>
          </cell>
        </row>
        <row r="5634">
          <cell r="K5634">
            <v>7847.98</v>
          </cell>
          <cell r="M5634" t="str">
            <v>STL-20261002</v>
          </cell>
        </row>
        <row r="5635">
          <cell r="K5635">
            <v>499</v>
          </cell>
          <cell r="M5635" t="str">
            <v>STL-20261002</v>
          </cell>
        </row>
        <row r="5636">
          <cell r="K5636">
            <v>981.31</v>
          </cell>
          <cell r="M5636" t="str">
            <v>STL-20261002</v>
          </cell>
        </row>
        <row r="5637">
          <cell r="K5637">
            <v>8131.54</v>
          </cell>
          <cell r="M5637" t="str">
            <v>STL-20261002</v>
          </cell>
        </row>
        <row r="5638">
          <cell r="K5638">
            <v>878.93</v>
          </cell>
          <cell r="M5638" t="str">
            <v>STL-20261002</v>
          </cell>
        </row>
        <row r="5639">
          <cell r="K5639">
            <v>7847.98</v>
          </cell>
          <cell r="M5639" t="str">
            <v>STL-20261002</v>
          </cell>
        </row>
        <row r="5640">
          <cell r="K5640">
            <v>5329.07</v>
          </cell>
          <cell r="M5640" t="str">
            <v>STL-20261002</v>
          </cell>
        </row>
        <row r="5641">
          <cell r="K5641">
            <v>3983.85</v>
          </cell>
          <cell r="M5641" t="str">
            <v>STL-20261002</v>
          </cell>
        </row>
        <row r="5642">
          <cell r="K5642">
            <v>1299</v>
          </cell>
          <cell r="M5642" t="str">
            <v>STL-20261002</v>
          </cell>
        </row>
        <row r="5643">
          <cell r="K5643">
            <v>11177.03</v>
          </cell>
          <cell r="M5643" t="str">
            <v>STL-20261002</v>
          </cell>
        </row>
        <row r="5644">
          <cell r="K5644">
            <v>898</v>
          </cell>
          <cell r="M5644" t="str">
            <v>STL-20261002</v>
          </cell>
        </row>
        <row r="5645">
          <cell r="K5645">
            <v>2489.16</v>
          </cell>
          <cell r="M5645" t="str">
            <v>STL-20261002</v>
          </cell>
        </row>
        <row r="5646">
          <cell r="K5646">
            <v>4781.0200000000004</v>
          </cell>
          <cell r="M5646" t="str">
            <v>STL-20261002</v>
          </cell>
        </row>
        <row r="5647">
          <cell r="K5647">
            <v>349</v>
          </cell>
          <cell r="M5647" t="str">
            <v>STL-20261002</v>
          </cell>
        </row>
        <row r="5648">
          <cell r="K5648">
            <v>1299</v>
          </cell>
          <cell r="M5648" t="str">
            <v>STL-20261002</v>
          </cell>
        </row>
        <row r="5649">
          <cell r="K5649">
            <v>2090.58</v>
          </cell>
          <cell r="M5649" t="str">
            <v>STL-20261002</v>
          </cell>
        </row>
        <row r="5650">
          <cell r="K5650">
            <v>293.7</v>
          </cell>
          <cell r="M5650" t="str">
            <v>STL-20261002</v>
          </cell>
        </row>
        <row r="5651">
          <cell r="K5651">
            <v>5247.03</v>
          </cell>
          <cell r="M5651" t="str">
            <v>STL-20261002</v>
          </cell>
        </row>
        <row r="5652">
          <cell r="K5652">
            <v>1562.18</v>
          </cell>
          <cell r="M5652" t="str">
            <v>STL-20261002</v>
          </cell>
        </row>
        <row r="5653">
          <cell r="K5653">
            <v>4981.3</v>
          </cell>
          <cell r="M5653" t="str">
            <v>STL-20261002</v>
          </cell>
        </row>
        <row r="5654">
          <cell r="K5654">
            <v>7838.54</v>
          </cell>
          <cell r="M5654" t="str">
            <v>STL-20261002</v>
          </cell>
        </row>
        <row r="5655">
          <cell r="K5655">
            <v>3432.94</v>
          </cell>
          <cell r="M5655" t="str">
            <v>STL-20261002</v>
          </cell>
        </row>
        <row r="5656">
          <cell r="K5656">
            <v>7370.82</v>
          </cell>
          <cell r="M5656" t="str">
            <v>STL-20261002</v>
          </cell>
        </row>
        <row r="5657">
          <cell r="K5657">
            <v>8765.86</v>
          </cell>
          <cell r="M5657" t="str">
            <v>STL-20261002</v>
          </cell>
        </row>
        <row r="5658">
          <cell r="K5658">
            <v>4729.08</v>
          </cell>
          <cell r="M5658" t="str">
            <v>STL-20261002</v>
          </cell>
        </row>
        <row r="5659">
          <cell r="K5659">
            <v>4413.08</v>
          </cell>
          <cell r="M5659" t="str">
            <v>STL-20261002</v>
          </cell>
        </row>
        <row r="5660">
          <cell r="K5660">
            <v>5976.77</v>
          </cell>
          <cell r="M5660" t="str">
            <v>STL-20261002</v>
          </cell>
        </row>
        <row r="5661">
          <cell r="K5661">
            <v>5577.19</v>
          </cell>
          <cell r="M5661" t="str">
            <v>STL-20261002</v>
          </cell>
        </row>
        <row r="5662">
          <cell r="K5662">
            <v>12253.47</v>
          </cell>
          <cell r="M5662" t="str">
            <v>STL-20261002</v>
          </cell>
        </row>
        <row r="5663">
          <cell r="K5663">
            <v>3486.61</v>
          </cell>
          <cell r="M5663" t="str">
            <v>STL-20261002</v>
          </cell>
        </row>
        <row r="5664">
          <cell r="K5664">
            <v>1198</v>
          </cell>
          <cell r="M5664" t="str">
            <v>STL-20261002</v>
          </cell>
        </row>
        <row r="5665">
          <cell r="K5665">
            <v>781.09</v>
          </cell>
          <cell r="M5665" t="str">
            <v>STL-20261002</v>
          </cell>
        </row>
        <row r="5666">
          <cell r="K5666">
            <v>976.6</v>
          </cell>
          <cell r="M5666" t="str">
            <v>STL-20261002</v>
          </cell>
        </row>
        <row r="5667">
          <cell r="K5667">
            <v>3286.33</v>
          </cell>
          <cell r="M5667" t="str">
            <v>STL-20261002</v>
          </cell>
        </row>
        <row r="5668">
          <cell r="K5668">
            <v>2988.38</v>
          </cell>
          <cell r="M5668" t="str">
            <v>STL-20261002</v>
          </cell>
        </row>
        <row r="5669">
          <cell r="K5669">
            <v>13947.45</v>
          </cell>
          <cell r="M5669" t="str">
            <v>STL-20261002</v>
          </cell>
        </row>
        <row r="5670">
          <cell r="K5670">
            <v>3784.56</v>
          </cell>
          <cell r="M5670" t="str">
            <v>STL-20261002</v>
          </cell>
        </row>
        <row r="5671">
          <cell r="K5671">
            <v>4904.62</v>
          </cell>
          <cell r="M5671" t="str">
            <v>STL-20261002</v>
          </cell>
        </row>
        <row r="5672">
          <cell r="K5672">
            <v>1270.44</v>
          </cell>
          <cell r="M5672" t="str">
            <v>STL-20261002</v>
          </cell>
        </row>
        <row r="5673">
          <cell r="K5673">
            <v>5078.96</v>
          </cell>
          <cell r="M5673" t="str">
            <v>STL-20261002</v>
          </cell>
        </row>
        <row r="5674">
          <cell r="K5674">
            <v>799</v>
          </cell>
          <cell r="M5674" t="str">
            <v>STL-20261002</v>
          </cell>
        </row>
        <row r="5675">
          <cell r="K5675">
            <v>3035.85</v>
          </cell>
          <cell r="M5675" t="str">
            <v>STL-20261002</v>
          </cell>
        </row>
        <row r="5676">
          <cell r="K5676">
            <v>4981.3</v>
          </cell>
          <cell r="M5676" t="str">
            <v>STL-20261002</v>
          </cell>
        </row>
        <row r="5677">
          <cell r="K5677">
            <v>2348.91</v>
          </cell>
          <cell r="M5677" t="str">
            <v>STL-20261002</v>
          </cell>
        </row>
        <row r="5678">
          <cell r="K5678">
            <v>1271.4100000000001</v>
          </cell>
          <cell r="M5678" t="str">
            <v>STL-20261002</v>
          </cell>
        </row>
        <row r="5679">
          <cell r="K5679">
            <v>981.31</v>
          </cell>
          <cell r="M5679" t="str">
            <v>STL-20261002</v>
          </cell>
        </row>
        <row r="5680">
          <cell r="K5680">
            <v>599</v>
          </cell>
          <cell r="M5680" t="str">
            <v>STL-20261002</v>
          </cell>
        </row>
        <row r="5681">
          <cell r="K5681">
            <v>299</v>
          </cell>
          <cell r="M5681" t="str">
            <v>STL-20261002</v>
          </cell>
        </row>
        <row r="5682">
          <cell r="K5682">
            <v>499</v>
          </cell>
          <cell r="M5682" t="str">
            <v>STL-20261002</v>
          </cell>
        </row>
        <row r="5683">
          <cell r="K5683">
            <v>981.31</v>
          </cell>
          <cell r="M5683" t="str">
            <v>STL-20261002</v>
          </cell>
        </row>
        <row r="5684">
          <cell r="K5684">
            <v>3431.96</v>
          </cell>
          <cell r="M5684" t="str">
            <v>STL-20261002</v>
          </cell>
        </row>
        <row r="5685">
          <cell r="K5685">
            <v>648</v>
          </cell>
          <cell r="M5685" t="str">
            <v>STL-20261002</v>
          </cell>
        </row>
        <row r="5686">
          <cell r="K5686">
            <v>4482.08</v>
          </cell>
          <cell r="M5686" t="str">
            <v>STL-20261002</v>
          </cell>
        </row>
        <row r="5687">
          <cell r="K5687">
            <v>6700.76</v>
          </cell>
          <cell r="M5687" t="str">
            <v>STL-20261002</v>
          </cell>
        </row>
        <row r="5688">
          <cell r="K5688">
            <v>2838.88</v>
          </cell>
          <cell r="M5688" t="str">
            <v>STL-20261002</v>
          </cell>
        </row>
        <row r="5689">
          <cell r="K5689">
            <v>2490.15</v>
          </cell>
          <cell r="M5689" t="str">
            <v>STL-20261002</v>
          </cell>
        </row>
        <row r="5690">
          <cell r="K5690">
            <v>2330.09</v>
          </cell>
          <cell r="M5690" t="str">
            <v>STL-20261002</v>
          </cell>
        </row>
        <row r="5691">
          <cell r="K5691">
            <v>999</v>
          </cell>
          <cell r="M5691" t="str">
            <v>STL-20261002</v>
          </cell>
        </row>
        <row r="5692">
          <cell r="K5692">
            <v>1758.67</v>
          </cell>
          <cell r="M5692" t="str">
            <v>STL-20261002</v>
          </cell>
        </row>
        <row r="5693">
          <cell r="K5693">
            <v>599</v>
          </cell>
          <cell r="M5693" t="str">
            <v>STL-20261002</v>
          </cell>
        </row>
        <row r="5694">
          <cell r="K5694">
            <v>3432.94</v>
          </cell>
          <cell r="M5694" t="str">
            <v>STL-20261002</v>
          </cell>
        </row>
        <row r="5695">
          <cell r="K5695">
            <v>3432.94</v>
          </cell>
          <cell r="M5695" t="str">
            <v>STL-20261002</v>
          </cell>
        </row>
        <row r="5696">
          <cell r="K5696">
            <v>599</v>
          </cell>
          <cell r="M5696" t="str">
            <v>STL-20261002</v>
          </cell>
        </row>
        <row r="5697">
          <cell r="K5697">
            <v>3039.51</v>
          </cell>
          <cell r="M5697" t="str">
            <v>STL-20261002</v>
          </cell>
        </row>
        <row r="5698">
          <cell r="K5698">
            <v>7071.88</v>
          </cell>
          <cell r="M5698" t="str">
            <v>STL-20261002</v>
          </cell>
        </row>
        <row r="5699">
          <cell r="K5699">
            <v>7847.98</v>
          </cell>
          <cell r="M5699" t="str">
            <v>STL-20261002</v>
          </cell>
        </row>
        <row r="5700">
          <cell r="K5700">
            <v>1499</v>
          </cell>
          <cell r="M5700" t="str">
            <v>STL-20261002</v>
          </cell>
        </row>
        <row r="5701">
          <cell r="K5701">
            <v>2988.38</v>
          </cell>
          <cell r="M5701" t="str">
            <v>STL-20261002</v>
          </cell>
        </row>
        <row r="5702">
          <cell r="K5702">
            <v>499</v>
          </cell>
          <cell r="M5702" t="str">
            <v>STL-20261002</v>
          </cell>
        </row>
        <row r="5703">
          <cell r="K5703">
            <v>292.64999999999998</v>
          </cell>
          <cell r="M5703" t="str">
            <v>STL-20261002</v>
          </cell>
        </row>
        <row r="5704">
          <cell r="K5704">
            <v>2463.61</v>
          </cell>
          <cell r="M5704" t="str">
            <v>STL-20261002</v>
          </cell>
        </row>
        <row r="5705">
          <cell r="K5705">
            <v>976.6</v>
          </cell>
          <cell r="M5705" t="str">
            <v>STL-20261002</v>
          </cell>
        </row>
        <row r="5706">
          <cell r="K5706">
            <v>342.82</v>
          </cell>
          <cell r="M5706" t="str">
            <v>STL-20261002</v>
          </cell>
        </row>
        <row r="5707">
          <cell r="K5707">
            <v>2942.38</v>
          </cell>
          <cell r="M5707" t="str">
            <v>STL-20261002</v>
          </cell>
        </row>
        <row r="5708">
          <cell r="K5708">
            <v>599</v>
          </cell>
          <cell r="M5708" t="str">
            <v>STL-20261002</v>
          </cell>
        </row>
        <row r="5709">
          <cell r="K5709">
            <v>-599</v>
          </cell>
          <cell r="M5709" t="str">
            <v>STL-20261002</v>
          </cell>
        </row>
        <row r="5710">
          <cell r="K5710">
            <v>-499</v>
          </cell>
          <cell r="M5710" t="str">
            <v>STL-20261002</v>
          </cell>
        </row>
        <row r="5711">
          <cell r="K5711">
            <v>-999</v>
          </cell>
          <cell r="M5711" t="str">
            <v>STL-20261002</v>
          </cell>
        </row>
        <row r="5712">
          <cell r="K5712">
            <v>-2999</v>
          </cell>
          <cell r="M5712" t="str">
            <v>STL-20261002</v>
          </cell>
        </row>
        <row r="5713">
          <cell r="K5713">
            <v>-1299</v>
          </cell>
          <cell r="M5713" t="str">
            <v>STL-20261002</v>
          </cell>
        </row>
        <row r="5714">
          <cell r="K5714">
            <v>-1499</v>
          </cell>
          <cell r="M5714" t="str">
            <v>STL-20261002</v>
          </cell>
        </row>
        <row r="5715">
          <cell r="K5715">
            <v>-299</v>
          </cell>
          <cell r="M5715" t="str">
            <v>STL-20261002</v>
          </cell>
        </row>
        <row r="5716">
          <cell r="K5716">
            <v>-4498</v>
          </cell>
          <cell r="M5716" t="str">
            <v>STL-20261002</v>
          </cell>
        </row>
        <row r="5717">
          <cell r="K5717">
            <v>-4999</v>
          </cell>
          <cell r="M5717" t="str">
            <v>STL-20261002</v>
          </cell>
        </row>
        <row r="5718">
          <cell r="K5718">
            <v>-4999</v>
          </cell>
          <cell r="M5718" t="str">
            <v>STL-20261002</v>
          </cell>
        </row>
        <row r="5719">
          <cell r="K5719">
            <v>-1499</v>
          </cell>
          <cell r="M5719" t="str">
            <v>STL-20261002</v>
          </cell>
        </row>
        <row r="5720">
          <cell r="K5720">
            <v>-5498</v>
          </cell>
          <cell r="M5720" t="str">
            <v>STL-20261002</v>
          </cell>
        </row>
        <row r="5721">
          <cell r="K5721">
            <v>-3998</v>
          </cell>
          <cell r="M5721" t="str">
            <v>STL-20261002</v>
          </cell>
        </row>
        <row r="5722">
          <cell r="K5722">
            <v>-5498</v>
          </cell>
          <cell r="M5722" t="str">
            <v>STL-20261002</v>
          </cell>
        </row>
        <row r="5723">
          <cell r="K5723">
            <v>-998</v>
          </cell>
          <cell r="M5723" t="str">
            <v>STL-20261002</v>
          </cell>
        </row>
        <row r="5724">
          <cell r="K5724">
            <v>-1198</v>
          </cell>
          <cell r="M5724" t="str">
            <v>STL-20261002</v>
          </cell>
        </row>
        <row r="5725">
          <cell r="K5725">
            <v>-9298</v>
          </cell>
          <cell r="M5725" t="str">
            <v>STL-20261002</v>
          </cell>
        </row>
        <row r="5726">
          <cell r="K5726">
            <v>-7999</v>
          </cell>
          <cell r="M5726" t="str">
            <v>STL-20261002</v>
          </cell>
        </row>
        <row r="5727">
          <cell r="K5727">
            <v>-2999</v>
          </cell>
          <cell r="M5727" t="str">
            <v>STL-20261002</v>
          </cell>
        </row>
        <row r="5728">
          <cell r="K5728">
            <v>-349</v>
          </cell>
          <cell r="M5728" t="str">
            <v>STL-20261002</v>
          </cell>
        </row>
        <row r="5729">
          <cell r="K5729">
            <v>-7999</v>
          </cell>
          <cell r="M5729" t="str">
            <v>STL-20261002</v>
          </cell>
        </row>
        <row r="5730">
          <cell r="K5730">
            <v>-3499</v>
          </cell>
          <cell r="M5730" t="str">
            <v>STL-20261002</v>
          </cell>
        </row>
        <row r="5731">
          <cell r="K5731">
            <v>-2499</v>
          </cell>
          <cell r="M5731" t="str">
            <v>STL-20261002</v>
          </cell>
        </row>
        <row r="5732">
          <cell r="K5732">
            <v>-349</v>
          </cell>
          <cell r="M5732" t="str">
            <v>STL-20261002</v>
          </cell>
        </row>
        <row r="5733">
          <cell r="K5733">
            <v>-8998</v>
          </cell>
          <cell r="M5733" t="str">
            <v>STL-20261002</v>
          </cell>
        </row>
        <row r="5734">
          <cell r="K5734">
            <v>-2798</v>
          </cell>
          <cell r="M5734" t="str">
            <v>STL-20261002</v>
          </cell>
        </row>
        <row r="5735">
          <cell r="K5735">
            <v>-1799</v>
          </cell>
          <cell r="M5735" t="str">
            <v>STL-20261002</v>
          </cell>
        </row>
        <row r="5736">
          <cell r="K5736">
            <v>-499</v>
          </cell>
          <cell r="M5736" t="str">
            <v>STL-20261002</v>
          </cell>
        </row>
        <row r="5737">
          <cell r="K5737">
            <v>-9498</v>
          </cell>
          <cell r="M5737" t="str">
            <v>STL-20261002</v>
          </cell>
        </row>
        <row r="5738">
          <cell r="K5738">
            <v>-2499</v>
          </cell>
          <cell r="M5738" t="str">
            <v>STL-20261002</v>
          </cell>
        </row>
        <row r="5739">
          <cell r="K5739">
            <v>-3298</v>
          </cell>
          <cell r="M5739" t="str">
            <v>STL-20261002</v>
          </cell>
        </row>
        <row r="5740">
          <cell r="K5740">
            <v>-2697</v>
          </cell>
          <cell r="M5740" t="str">
            <v>STL-20261002</v>
          </cell>
        </row>
        <row r="5741">
          <cell r="K5741">
            <v>-999</v>
          </cell>
          <cell r="M5741" t="str">
            <v>STL-20261002</v>
          </cell>
        </row>
        <row r="5742">
          <cell r="K5742">
            <v>-12297</v>
          </cell>
          <cell r="M5742" t="str">
            <v>STL-20261002</v>
          </cell>
        </row>
        <row r="5743">
          <cell r="K5743">
            <v>-10998</v>
          </cell>
          <cell r="M5743" t="str">
            <v>STL-20261002</v>
          </cell>
        </row>
      </sheetData>
      <sheetData sheetId="2">
        <row r="1">
          <cell r="G1" t="str">
            <v>credit_cleaned</v>
          </cell>
          <cell r="H1" t="str">
            <v>batch_id</v>
          </cell>
          <cell r="I1" t="str">
            <v>source</v>
          </cell>
        </row>
        <row r="2">
          <cell r="G2">
            <v>132980</v>
          </cell>
          <cell r="H2" t="str">
            <v/>
          </cell>
          <cell r="I2" t="str">
            <v>Other</v>
          </cell>
        </row>
        <row r="3">
          <cell r="G3">
            <v>463778.55</v>
          </cell>
          <cell r="H3" t="str">
            <v>STL-20260903</v>
          </cell>
          <cell r="I3" t="str">
            <v>Gateway</v>
          </cell>
        </row>
        <row r="4">
          <cell r="G4">
            <v>680913.82</v>
          </cell>
          <cell r="H4" t="str">
            <v>STL-20260904</v>
          </cell>
          <cell r="I4" t="str">
            <v>Gateway</v>
          </cell>
        </row>
        <row r="5">
          <cell r="G5">
            <v>578249.99</v>
          </cell>
          <cell r="H5" t="str">
            <v>STL-20260905</v>
          </cell>
          <cell r="I5" t="str">
            <v>Gateway</v>
          </cell>
        </row>
        <row r="6">
          <cell r="G6">
            <v>655139.18000000005</v>
          </cell>
          <cell r="H6" t="str">
            <v>STL-20260906</v>
          </cell>
          <cell r="I6" t="str">
            <v>Gateway</v>
          </cell>
        </row>
        <row r="7">
          <cell r="G7">
            <v>614451.5</v>
          </cell>
          <cell r="H7" t="str">
            <v>STL-20260907</v>
          </cell>
          <cell r="I7" t="str">
            <v>Gateway</v>
          </cell>
        </row>
        <row r="8">
          <cell r="G8">
            <v>704983.27</v>
          </cell>
          <cell r="H8" t="str">
            <v>STL-20260908</v>
          </cell>
          <cell r="I8" t="str">
            <v>Gateway</v>
          </cell>
        </row>
        <row r="9">
          <cell r="G9">
            <v>606316.51</v>
          </cell>
          <cell r="H9" t="str">
            <v>STL-20260909</v>
          </cell>
          <cell r="I9" t="str">
            <v>Gateway</v>
          </cell>
        </row>
        <row r="10">
          <cell r="G10">
            <v>740734.12</v>
          </cell>
          <cell r="H10" t="str">
            <v>STL-20260910</v>
          </cell>
          <cell r="I10" t="str">
            <v>Gateway</v>
          </cell>
        </row>
        <row r="11">
          <cell r="G11">
            <v>555161.99</v>
          </cell>
          <cell r="H11" t="str">
            <v>STL-20260911</v>
          </cell>
          <cell r="I11" t="str">
            <v>Gateway</v>
          </cell>
        </row>
        <row r="12">
          <cell r="G12">
            <v>654313.30000000005</v>
          </cell>
          <cell r="H12" t="str">
            <v>STL-20260913</v>
          </cell>
          <cell r="I12" t="str">
            <v>Gateway</v>
          </cell>
        </row>
        <row r="13">
          <cell r="G13">
            <v>0</v>
          </cell>
          <cell r="H13" t="str">
            <v/>
          </cell>
          <cell r="I13" t="str">
            <v>Other</v>
          </cell>
        </row>
        <row r="14">
          <cell r="G14">
            <v>596289.91</v>
          </cell>
          <cell r="H14" t="str">
            <v>STL-20260914</v>
          </cell>
          <cell r="I14" t="str">
            <v>Gateway</v>
          </cell>
        </row>
        <row r="15">
          <cell r="G15">
            <v>773297.25</v>
          </cell>
          <cell r="H15" t="str">
            <v>STL-20260915</v>
          </cell>
          <cell r="I15" t="str">
            <v>Gateway</v>
          </cell>
        </row>
        <row r="16">
          <cell r="G16">
            <v>614772.68000000005</v>
          </cell>
          <cell r="H16" t="str">
            <v>STL-20260916</v>
          </cell>
          <cell r="I16" t="str">
            <v>Gateway</v>
          </cell>
        </row>
        <row r="17">
          <cell r="G17">
            <v>671270.49</v>
          </cell>
          <cell r="H17" t="str">
            <v>STL-20260917</v>
          </cell>
          <cell r="I17" t="str">
            <v>Gateway</v>
          </cell>
        </row>
        <row r="18">
          <cell r="G18">
            <v>74320.55</v>
          </cell>
          <cell r="H18" t="str">
            <v/>
          </cell>
          <cell r="I18" t="str">
            <v>Other</v>
          </cell>
        </row>
        <row r="19">
          <cell r="G19">
            <v>589645.35</v>
          </cell>
          <cell r="H19" t="str">
            <v>STL-20260918</v>
          </cell>
          <cell r="I19" t="str">
            <v>Gateway</v>
          </cell>
        </row>
        <row r="20">
          <cell r="G20">
            <v>610773.29</v>
          </cell>
          <cell r="H20" t="str">
            <v>STL-20260919</v>
          </cell>
          <cell r="I20" t="str">
            <v>Gateway</v>
          </cell>
        </row>
        <row r="21">
          <cell r="G21">
            <v>548940.41</v>
          </cell>
          <cell r="H21" t="str">
            <v>STL-20260920</v>
          </cell>
          <cell r="I21" t="str">
            <v>Gateway</v>
          </cell>
        </row>
        <row r="22">
          <cell r="G22">
            <v>592258.61</v>
          </cell>
          <cell r="H22" t="str">
            <v>STL-20260921</v>
          </cell>
          <cell r="I22" t="str">
            <v>Gateway</v>
          </cell>
        </row>
        <row r="23">
          <cell r="G23">
            <v>584876.78</v>
          </cell>
          <cell r="H23" t="str">
            <v>STL-20260922</v>
          </cell>
          <cell r="I23" t="str">
            <v>Gateway</v>
          </cell>
        </row>
        <row r="24">
          <cell r="G24">
            <v>0</v>
          </cell>
          <cell r="H24" t="str">
            <v/>
          </cell>
          <cell r="I24" t="str">
            <v>Other</v>
          </cell>
        </row>
        <row r="25">
          <cell r="G25">
            <v>590273.39</v>
          </cell>
          <cell r="H25" t="str">
            <v>STL-20260923</v>
          </cell>
          <cell r="I25" t="str">
            <v>Gateway</v>
          </cell>
        </row>
        <row r="26">
          <cell r="G26">
            <v>540644.22</v>
          </cell>
          <cell r="H26" t="str">
            <v>STL-20260924</v>
          </cell>
          <cell r="I26" t="str">
            <v>Gateway</v>
          </cell>
        </row>
        <row r="27">
          <cell r="G27">
            <v>594966.59</v>
          </cell>
          <cell r="H27" t="str">
            <v>STL-20260925</v>
          </cell>
          <cell r="I27" t="str">
            <v>Gateway</v>
          </cell>
        </row>
        <row r="28">
          <cell r="G28">
            <v>0</v>
          </cell>
          <cell r="H28" t="str">
            <v/>
          </cell>
          <cell r="I28" t="str">
            <v>Other</v>
          </cell>
        </row>
        <row r="29">
          <cell r="G29">
            <v>711251.32</v>
          </cell>
          <cell r="H29" t="str">
            <v>STL-20260926</v>
          </cell>
          <cell r="I29" t="str">
            <v>Gateway</v>
          </cell>
        </row>
        <row r="30">
          <cell r="G30">
            <v>0</v>
          </cell>
          <cell r="H30" t="str">
            <v/>
          </cell>
          <cell r="I30" t="str">
            <v>Other</v>
          </cell>
        </row>
        <row r="31">
          <cell r="G31">
            <v>805057.1</v>
          </cell>
          <cell r="H31" t="str">
            <v>STL-20260927</v>
          </cell>
          <cell r="I31" t="str">
            <v>Gateway</v>
          </cell>
        </row>
        <row r="32">
          <cell r="G32">
            <v>0</v>
          </cell>
          <cell r="H32" t="str">
            <v/>
          </cell>
          <cell r="I32" t="str">
            <v>Other</v>
          </cell>
        </row>
        <row r="33">
          <cell r="G33">
            <v>569672.43000000005</v>
          </cell>
          <cell r="H33" t="str">
            <v>STL-20260928</v>
          </cell>
          <cell r="I33" t="str">
            <v>Gateway</v>
          </cell>
        </row>
        <row r="34">
          <cell r="G34">
            <v>641930.73</v>
          </cell>
          <cell r="H34" t="str">
            <v>STL-20260929</v>
          </cell>
          <cell r="I34" t="str">
            <v>Gateway</v>
          </cell>
        </row>
        <row r="35">
          <cell r="G35">
            <v>694085.78</v>
          </cell>
          <cell r="H35" t="str">
            <v>STL-20260930</v>
          </cell>
          <cell r="I35" t="str">
            <v>Gateway</v>
          </cell>
        </row>
        <row r="36">
          <cell r="G36">
            <v>0</v>
          </cell>
          <cell r="H36" t="str">
            <v/>
          </cell>
          <cell r="I36" t="str">
            <v>Other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"/>
  <sheetViews>
    <sheetView topLeftCell="C1" workbookViewId="0">
      <selection activeCell="A2" sqref="A2:M2"/>
    </sheetView>
  </sheetViews>
  <sheetFormatPr defaultRowHeight="14.4" x14ac:dyDescent="0.3"/>
  <cols>
    <col min="1" max="1" width="25.44140625" customWidth="1"/>
    <col min="2" max="2" width="20" customWidth="1"/>
    <col min="3" max="3" width="21.33203125" customWidth="1"/>
    <col min="4" max="4" width="20.109375" customWidth="1"/>
    <col min="5" max="5" width="18.21875" customWidth="1"/>
    <col min="6" max="6" width="20.21875" customWidth="1"/>
    <col min="7" max="7" width="19.33203125" customWidth="1"/>
    <col min="8" max="8" width="17.77734375" customWidth="1"/>
    <col min="9" max="9" width="20.33203125" customWidth="1"/>
    <col min="10" max="10" width="18.88671875" customWidth="1"/>
    <col min="11" max="11" width="25.44140625" customWidth="1"/>
  </cols>
  <sheetData>
    <row r="1" spans="1:11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>
        <v>46266</v>
      </c>
      <c r="B2" s="3" t="s">
        <v>11</v>
      </c>
      <c r="C2" s="3" t="s">
        <v>12</v>
      </c>
      <c r="D2" s="4"/>
      <c r="E2" s="4">
        <v>132980</v>
      </c>
      <c r="F2" s="4">
        <f t="shared" ref="F2:G36" si="0">IF(D2="",0,VALUE(D2))</f>
        <v>0</v>
      </c>
      <c r="G2" s="4">
        <f t="shared" si="0"/>
        <v>132980</v>
      </c>
      <c r="H2" s="3" t="str">
        <f t="shared" ref="H2:H36" si="1">IFERROR(MID(B2,FIND("STL-",B2),12),"")</f>
        <v/>
      </c>
      <c r="I2" s="3" t="str">
        <f t="shared" ref="I2:I36" si="2">IF(ISNUMBER(SEARCH("PAYGATE",B2)),"Gateway","Other")</f>
        <v>Other</v>
      </c>
      <c r="J2" s="3" t="str">
        <f t="shared" ref="J2:J36" si="3">IF(I2="Gateway","Gateway settlement",IF(ISNUMBER(SEARCH("COD",B2)),"COD remittance",IF(ISNUMBER(SEARCH("MARKETPLACE",B2)),"Marketplace payout",IF(ISNUMBER(SEARCH("GST",B2)),"GST payment",IF(ISNUMBER(SEARCH("SALARY",B2)),"Salary",IF(ISNUMBER(SEARCH("AWS",B2)),"Cloud (AWS)",IF(ISNUMBER(SEARCH("RENT",B2)),"Rent",IF(ISNUMBER(SEARCH("PACKAGING",B2)),"Packaging vendor",IF(ISNUMBER(SEARCH("BANK CHARGES",B2)),"Bank charges","Unclassified")))))))))</f>
        <v>COD remittance</v>
      </c>
      <c r="K2" s="4">
        <f t="shared" ref="K2:K36" si="4">G2-F2</f>
        <v>132980</v>
      </c>
    </row>
    <row r="3" spans="1:11" x14ac:dyDescent="0.3">
      <c r="A3" s="2">
        <v>46268</v>
      </c>
      <c r="B3" s="3" t="s">
        <v>13</v>
      </c>
      <c r="C3" s="3" t="s">
        <v>14</v>
      </c>
      <c r="D3" s="4"/>
      <c r="E3" s="4">
        <v>463778.55</v>
      </c>
      <c r="F3" s="4">
        <f t="shared" si="0"/>
        <v>0</v>
      </c>
      <c r="G3" s="4">
        <f t="shared" si="0"/>
        <v>463778.55</v>
      </c>
      <c r="H3" s="3" t="str">
        <f t="shared" si="1"/>
        <v>STL-20260903</v>
      </c>
      <c r="I3" s="3" t="str">
        <f t="shared" si="2"/>
        <v>Gateway</v>
      </c>
      <c r="J3" s="3" t="str">
        <f t="shared" si="3"/>
        <v>Gateway settlement</v>
      </c>
      <c r="K3" s="4">
        <f t="shared" si="4"/>
        <v>463778.55</v>
      </c>
    </row>
    <row r="4" spans="1:11" x14ac:dyDescent="0.3">
      <c r="A4" s="2">
        <v>46269</v>
      </c>
      <c r="B4" s="3" t="s">
        <v>15</v>
      </c>
      <c r="C4" s="3" t="s">
        <v>16</v>
      </c>
      <c r="D4" s="4"/>
      <c r="E4" s="4">
        <v>680913.82</v>
      </c>
      <c r="F4" s="4">
        <f t="shared" si="0"/>
        <v>0</v>
      </c>
      <c r="G4" s="4">
        <f t="shared" si="0"/>
        <v>680913.82</v>
      </c>
      <c r="H4" s="3" t="str">
        <f t="shared" si="1"/>
        <v>STL-20260904</v>
      </c>
      <c r="I4" s="3" t="str">
        <f t="shared" si="2"/>
        <v>Gateway</v>
      </c>
      <c r="J4" s="3" t="str">
        <f t="shared" si="3"/>
        <v>Gateway settlement</v>
      </c>
      <c r="K4" s="4">
        <f t="shared" si="4"/>
        <v>680913.82</v>
      </c>
    </row>
    <row r="5" spans="1:11" x14ac:dyDescent="0.3">
      <c r="A5" s="2">
        <v>46270</v>
      </c>
      <c r="B5" s="3" t="s">
        <v>17</v>
      </c>
      <c r="C5" s="3" t="s">
        <v>18</v>
      </c>
      <c r="D5" s="4"/>
      <c r="E5" s="4">
        <v>578249.99</v>
      </c>
      <c r="F5" s="4">
        <f t="shared" si="0"/>
        <v>0</v>
      </c>
      <c r="G5" s="4">
        <f t="shared" si="0"/>
        <v>578249.99</v>
      </c>
      <c r="H5" s="3" t="str">
        <f t="shared" si="1"/>
        <v>STL-20260905</v>
      </c>
      <c r="I5" s="3" t="str">
        <f t="shared" si="2"/>
        <v>Gateway</v>
      </c>
      <c r="J5" s="3" t="str">
        <f t="shared" si="3"/>
        <v>Gateway settlement</v>
      </c>
      <c r="K5" s="4">
        <f t="shared" si="4"/>
        <v>578249.99</v>
      </c>
    </row>
    <row r="6" spans="1:11" x14ac:dyDescent="0.3">
      <c r="A6" s="2">
        <v>46271</v>
      </c>
      <c r="B6" s="3" t="s">
        <v>19</v>
      </c>
      <c r="C6" s="3" t="s">
        <v>20</v>
      </c>
      <c r="D6" s="4"/>
      <c r="E6" s="4">
        <v>655139.18000000005</v>
      </c>
      <c r="F6" s="4">
        <f t="shared" si="0"/>
        <v>0</v>
      </c>
      <c r="G6" s="4">
        <f t="shared" si="0"/>
        <v>655139.18000000005</v>
      </c>
      <c r="H6" s="3" t="str">
        <f t="shared" si="1"/>
        <v>STL-20260906</v>
      </c>
      <c r="I6" s="3" t="str">
        <f t="shared" si="2"/>
        <v>Gateway</v>
      </c>
      <c r="J6" s="3" t="str">
        <f t="shared" si="3"/>
        <v>Gateway settlement</v>
      </c>
      <c r="K6" s="4">
        <f t="shared" si="4"/>
        <v>655139.18000000005</v>
      </c>
    </row>
    <row r="7" spans="1:11" x14ac:dyDescent="0.3">
      <c r="A7" s="2">
        <v>46272</v>
      </c>
      <c r="B7" s="3" t="s">
        <v>21</v>
      </c>
      <c r="C7" s="3" t="s">
        <v>22</v>
      </c>
      <c r="D7" s="4"/>
      <c r="E7" s="4">
        <v>614451.5</v>
      </c>
      <c r="F7" s="4">
        <f t="shared" si="0"/>
        <v>0</v>
      </c>
      <c r="G7" s="4">
        <f t="shared" si="0"/>
        <v>614451.5</v>
      </c>
      <c r="H7" s="3" t="str">
        <f t="shared" si="1"/>
        <v>STL-20260907</v>
      </c>
      <c r="I7" s="3" t="str">
        <f t="shared" si="2"/>
        <v>Gateway</v>
      </c>
      <c r="J7" s="3" t="str">
        <f t="shared" si="3"/>
        <v>Gateway settlement</v>
      </c>
      <c r="K7" s="4">
        <f t="shared" si="4"/>
        <v>614451.5</v>
      </c>
    </row>
    <row r="8" spans="1:11" x14ac:dyDescent="0.3">
      <c r="A8" s="2">
        <v>46273</v>
      </c>
      <c r="B8" s="3" t="s">
        <v>23</v>
      </c>
      <c r="C8" s="3" t="s">
        <v>24</v>
      </c>
      <c r="D8" s="4"/>
      <c r="E8" s="4">
        <v>704983.27</v>
      </c>
      <c r="F8" s="4">
        <f t="shared" si="0"/>
        <v>0</v>
      </c>
      <c r="G8" s="4">
        <f t="shared" si="0"/>
        <v>704983.27</v>
      </c>
      <c r="H8" s="3" t="str">
        <f t="shared" si="1"/>
        <v>STL-20260908</v>
      </c>
      <c r="I8" s="3" t="str">
        <f t="shared" si="2"/>
        <v>Gateway</v>
      </c>
      <c r="J8" s="3" t="str">
        <f t="shared" si="3"/>
        <v>Gateway settlement</v>
      </c>
      <c r="K8" s="4">
        <f t="shared" si="4"/>
        <v>704983.27</v>
      </c>
    </row>
    <row r="9" spans="1:11" x14ac:dyDescent="0.3">
      <c r="A9" s="2">
        <v>46274</v>
      </c>
      <c r="B9" s="3" t="s">
        <v>25</v>
      </c>
      <c r="C9" s="3" t="s">
        <v>26</v>
      </c>
      <c r="D9" s="4"/>
      <c r="E9" s="4">
        <v>606316.51</v>
      </c>
      <c r="F9" s="4">
        <f t="shared" si="0"/>
        <v>0</v>
      </c>
      <c r="G9" s="4">
        <f t="shared" si="0"/>
        <v>606316.51</v>
      </c>
      <c r="H9" s="3" t="str">
        <f t="shared" si="1"/>
        <v>STL-20260909</v>
      </c>
      <c r="I9" s="3" t="str">
        <f t="shared" si="2"/>
        <v>Gateway</v>
      </c>
      <c r="J9" s="3" t="str">
        <f t="shared" si="3"/>
        <v>Gateway settlement</v>
      </c>
      <c r="K9" s="4">
        <f t="shared" si="4"/>
        <v>606316.51</v>
      </c>
    </row>
    <row r="10" spans="1:11" x14ac:dyDescent="0.3">
      <c r="A10" s="2">
        <v>46275</v>
      </c>
      <c r="B10" s="3" t="s">
        <v>27</v>
      </c>
      <c r="C10" s="3" t="s">
        <v>28</v>
      </c>
      <c r="D10" s="4"/>
      <c r="E10" s="4">
        <v>740734.12</v>
      </c>
      <c r="F10" s="4">
        <f t="shared" si="0"/>
        <v>0</v>
      </c>
      <c r="G10" s="4">
        <f t="shared" si="0"/>
        <v>740734.12</v>
      </c>
      <c r="H10" s="3" t="str">
        <f t="shared" si="1"/>
        <v>STL-20260910</v>
      </c>
      <c r="I10" s="3" t="str">
        <f t="shared" si="2"/>
        <v>Gateway</v>
      </c>
      <c r="J10" s="3" t="str">
        <f t="shared" si="3"/>
        <v>Gateway settlement</v>
      </c>
      <c r="K10" s="4">
        <f t="shared" si="4"/>
        <v>740734.12</v>
      </c>
    </row>
    <row r="11" spans="1:11" x14ac:dyDescent="0.3">
      <c r="A11" s="2">
        <v>46276</v>
      </c>
      <c r="B11" s="3" t="s">
        <v>29</v>
      </c>
      <c r="C11" s="3" t="s">
        <v>30</v>
      </c>
      <c r="D11" s="4"/>
      <c r="E11" s="4">
        <v>555161.99</v>
      </c>
      <c r="F11" s="4">
        <f t="shared" si="0"/>
        <v>0</v>
      </c>
      <c r="G11" s="4">
        <f t="shared" si="0"/>
        <v>555161.99</v>
      </c>
      <c r="H11" s="3" t="str">
        <f t="shared" si="1"/>
        <v>STL-20260911</v>
      </c>
      <c r="I11" s="3" t="str">
        <f t="shared" si="2"/>
        <v>Gateway</v>
      </c>
      <c r="J11" s="3" t="str">
        <f t="shared" si="3"/>
        <v>Gateway settlement</v>
      </c>
      <c r="K11" s="4">
        <f t="shared" si="4"/>
        <v>555161.99</v>
      </c>
    </row>
    <row r="12" spans="1:11" x14ac:dyDescent="0.3">
      <c r="A12" s="2">
        <v>46278</v>
      </c>
      <c r="B12" s="3" t="s">
        <v>31</v>
      </c>
      <c r="C12" s="3" t="s">
        <v>32</v>
      </c>
      <c r="D12" s="4"/>
      <c r="E12" s="4">
        <v>654313.30000000005</v>
      </c>
      <c r="F12" s="4">
        <f t="shared" si="0"/>
        <v>0</v>
      </c>
      <c r="G12" s="4">
        <f t="shared" si="0"/>
        <v>654313.30000000005</v>
      </c>
      <c r="H12" s="3" t="str">
        <f t="shared" si="1"/>
        <v>STL-20260913</v>
      </c>
      <c r="I12" s="3" t="str">
        <f t="shared" si="2"/>
        <v>Gateway</v>
      </c>
      <c r="J12" s="3" t="str">
        <f t="shared" si="3"/>
        <v>Gateway settlement</v>
      </c>
      <c r="K12" s="4">
        <f t="shared" si="4"/>
        <v>654313.30000000005</v>
      </c>
    </row>
    <row r="13" spans="1:11" x14ac:dyDescent="0.3">
      <c r="A13" s="2">
        <v>46279</v>
      </c>
      <c r="B13" s="3" t="s">
        <v>33</v>
      </c>
      <c r="C13" s="3" t="s">
        <v>34</v>
      </c>
      <c r="D13" s="4">
        <v>212450</v>
      </c>
      <c r="E13" s="4"/>
      <c r="F13" s="4">
        <f t="shared" si="0"/>
        <v>212450</v>
      </c>
      <c r="G13" s="4">
        <f t="shared" si="0"/>
        <v>0</v>
      </c>
      <c r="H13" s="3" t="str">
        <f t="shared" si="1"/>
        <v/>
      </c>
      <c r="I13" s="3" t="str">
        <f t="shared" si="2"/>
        <v>Other</v>
      </c>
      <c r="J13" s="3" t="str">
        <f t="shared" si="3"/>
        <v>GST payment</v>
      </c>
      <c r="K13" s="4">
        <f t="shared" si="4"/>
        <v>-212450</v>
      </c>
    </row>
    <row r="14" spans="1:11" x14ac:dyDescent="0.3">
      <c r="A14" s="2">
        <v>46279</v>
      </c>
      <c r="B14" s="3" t="s">
        <v>35</v>
      </c>
      <c r="C14" s="3" t="s">
        <v>36</v>
      </c>
      <c r="D14" s="4"/>
      <c r="E14" s="4">
        <v>596289.91</v>
      </c>
      <c r="F14" s="4">
        <f t="shared" si="0"/>
        <v>0</v>
      </c>
      <c r="G14" s="4">
        <f t="shared" si="0"/>
        <v>596289.91</v>
      </c>
      <c r="H14" s="3" t="str">
        <f t="shared" si="1"/>
        <v>STL-20260914</v>
      </c>
      <c r="I14" s="3" t="str">
        <f t="shared" si="2"/>
        <v>Gateway</v>
      </c>
      <c r="J14" s="3" t="str">
        <f t="shared" si="3"/>
        <v>Gateway settlement</v>
      </c>
      <c r="K14" s="4">
        <f t="shared" si="4"/>
        <v>596289.91</v>
      </c>
    </row>
    <row r="15" spans="1:11" x14ac:dyDescent="0.3">
      <c r="A15" s="2">
        <v>46280</v>
      </c>
      <c r="B15" s="3" t="s">
        <v>37</v>
      </c>
      <c r="C15" s="3" t="s">
        <v>38</v>
      </c>
      <c r="D15" s="4"/>
      <c r="E15" s="4">
        <v>773297.25</v>
      </c>
      <c r="F15" s="4">
        <f t="shared" si="0"/>
        <v>0</v>
      </c>
      <c r="G15" s="4">
        <f t="shared" si="0"/>
        <v>773297.25</v>
      </c>
      <c r="H15" s="3" t="str">
        <f t="shared" si="1"/>
        <v>STL-20260915</v>
      </c>
      <c r="I15" s="3" t="str">
        <f t="shared" si="2"/>
        <v>Gateway</v>
      </c>
      <c r="J15" s="3" t="str">
        <f t="shared" si="3"/>
        <v>Gateway settlement</v>
      </c>
      <c r="K15" s="4">
        <f t="shared" si="4"/>
        <v>773297.25</v>
      </c>
    </row>
    <row r="16" spans="1:11" x14ac:dyDescent="0.3">
      <c r="A16" s="2">
        <v>46281</v>
      </c>
      <c r="B16" s="3" t="s">
        <v>39</v>
      </c>
      <c r="C16" s="3" t="s">
        <v>40</v>
      </c>
      <c r="D16" s="4"/>
      <c r="E16" s="4">
        <v>614772.68000000005</v>
      </c>
      <c r="F16" s="4">
        <f t="shared" si="0"/>
        <v>0</v>
      </c>
      <c r="G16" s="4">
        <f t="shared" si="0"/>
        <v>614772.68000000005</v>
      </c>
      <c r="H16" s="3" t="str">
        <f t="shared" si="1"/>
        <v>STL-20260916</v>
      </c>
      <c r="I16" s="3" t="str">
        <f t="shared" si="2"/>
        <v>Gateway</v>
      </c>
      <c r="J16" s="3" t="str">
        <f t="shared" si="3"/>
        <v>Gateway settlement</v>
      </c>
      <c r="K16" s="4">
        <f t="shared" si="4"/>
        <v>614772.68000000005</v>
      </c>
    </row>
    <row r="17" spans="1:11" x14ac:dyDescent="0.3">
      <c r="A17" s="2">
        <v>46282</v>
      </c>
      <c r="B17" s="3" t="s">
        <v>41</v>
      </c>
      <c r="C17" s="3" t="s">
        <v>42</v>
      </c>
      <c r="D17" s="4"/>
      <c r="E17" s="4">
        <v>671270.49</v>
      </c>
      <c r="F17" s="4">
        <f t="shared" si="0"/>
        <v>0</v>
      </c>
      <c r="G17" s="4">
        <f t="shared" si="0"/>
        <v>671270.49</v>
      </c>
      <c r="H17" s="3" t="str">
        <f t="shared" si="1"/>
        <v>STL-20260917</v>
      </c>
      <c r="I17" s="3" t="str">
        <f t="shared" si="2"/>
        <v>Gateway</v>
      </c>
      <c r="J17" s="3" t="str">
        <f t="shared" si="3"/>
        <v>Gateway settlement</v>
      </c>
      <c r="K17" s="4">
        <f t="shared" si="4"/>
        <v>671270.49</v>
      </c>
    </row>
    <row r="18" spans="1:11" x14ac:dyDescent="0.3">
      <c r="A18" s="2">
        <v>46282</v>
      </c>
      <c r="B18" s="3" t="s">
        <v>43</v>
      </c>
      <c r="C18" s="3" t="s">
        <v>44</v>
      </c>
      <c r="D18" s="4"/>
      <c r="E18" s="4">
        <v>74320.55</v>
      </c>
      <c r="F18" s="4">
        <f t="shared" si="0"/>
        <v>0</v>
      </c>
      <c r="G18" s="4">
        <f t="shared" si="0"/>
        <v>74320.55</v>
      </c>
      <c r="H18" s="3" t="str">
        <f t="shared" si="1"/>
        <v/>
      </c>
      <c r="I18" s="3" t="str">
        <f t="shared" si="2"/>
        <v>Other</v>
      </c>
      <c r="J18" s="3" t="str">
        <f t="shared" si="3"/>
        <v>Marketplace payout</v>
      </c>
      <c r="K18" s="4">
        <f t="shared" si="4"/>
        <v>74320.55</v>
      </c>
    </row>
    <row r="19" spans="1:11" x14ac:dyDescent="0.3">
      <c r="A19" s="2">
        <v>46283</v>
      </c>
      <c r="B19" s="3" t="s">
        <v>45</v>
      </c>
      <c r="C19" s="3" t="s">
        <v>46</v>
      </c>
      <c r="D19" s="4"/>
      <c r="E19" s="4">
        <v>589645.35</v>
      </c>
      <c r="F19" s="4">
        <f t="shared" si="0"/>
        <v>0</v>
      </c>
      <c r="G19" s="4">
        <f t="shared" si="0"/>
        <v>589645.35</v>
      </c>
      <c r="H19" s="3" t="str">
        <f t="shared" si="1"/>
        <v>STL-20260918</v>
      </c>
      <c r="I19" s="3" t="str">
        <f t="shared" si="2"/>
        <v>Gateway</v>
      </c>
      <c r="J19" s="3" t="str">
        <f t="shared" si="3"/>
        <v>Gateway settlement</v>
      </c>
      <c r="K19" s="4">
        <f t="shared" si="4"/>
        <v>589645.35</v>
      </c>
    </row>
    <row r="20" spans="1:11" x14ac:dyDescent="0.3">
      <c r="A20" s="2">
        <v>46284</v>
      </c>
      <c r="B20" s="3" t="s">
        <v>47</v>
      </c>
      <c r="C20" s="3" t="s">
        <v>48</v>
      </c>
      <c r="D20" s="4"/>
      <c r="E20" s="4">
        <v>610773.29</v>
      </c>
      <c r="F20" s="4">
        <f t="shared" si="0"/>
        <v>0</v>
      </c>
      <c r="G20" s="4">
        <f t="shared" si="0"/>
        <v>610773.29</v>
      </c>
      <c r="H20" s="3" t="str">
        <f t="shared" si="1"/>
        <v>STL-20260919</v>
      </c>
      <c r="I20" s="3" t="str">
        <f t="shared" si="2"/>
        <v>Gateway</v>
      </c>
      <c r="J20" s="3" t="str">
        <f t="shared" si="3"/>
        <v>Gateway settlement</v>
      </c>
      <c r="K20" s="4">
        <f t="shared" si="4"/>
        <v>610773.29</v>
      </c>
    </row>
    <row r="21" spans="1:11" x14ac:dyDescent="0.3">
      <c r="A21" s="2">
        <v>46285</v>
      </c>
      <c r="B21" s="3" t="s">
        <v>49</v>
      </c>
      <c r="C21" s="3" t="s">
        <v>50</v>
      </c>
      <c r="D21" s="4"/>
      <c r="E21" s="4">
        <v>548940.41</v>
      </c>
      <c r="F21" s="4">
        <f t="shared" si="0"/>
        <v>0</v>
      </c>
      <c r="G21" s="4">
        <f t="shared" si="0"/>
        <v>548940.41</v>
      </c>
      <c r="H21" s="3" t="str">
        <f t="shared" si="1"/>
        <v>STL-20260920</v>
      </c>
      <c r="I21" s="3" t="str">
        <f t="shared" si="2"/>
        <v>Gateway</v>
      </c>
      <c r="J21" s="3" t="str">
        <f t="shared" si="3"/>
        <v>Gateway settlement</v>
      </c>
      <c r="K21" s="4">
        <f t="shared" si="4"/>
        <v>548940.41</v>
      </c>
    </row>
    <row r="22" spans="1:11" x14ac:dyDescent="0.3">
      <c r="A22" s="2">
        <v>46286</v>
      </c>
      <c r="B22" s="3" t="s">
        <v>51</v>
      </c>
      <c r="C22" s="3" t="s">
        <v>52</v>
      </c>
      <c r="D22" s="4"/>
      <c r="E22" s="4">
        <v>592258.61</v>
      </c>
      <c r="F22" s="4">
        <f t="shared" si="0"/>
        <v>0</v>
      </c>
      <c r="G22" s="4">
        <f t="shared" si="0"/>
        <v>592258.61</v>
      </c>
      <c r="H22" s="3" t="str">
        <f t="shared" si="1"/>
        <v>STL-20260921</v>
      </c>
      <c r="I22" s="3" t="str">
        <f t="shared" si="2"/>
        <v>Gateway</v>
      </c>
      <c r="J22" s="3" t="str">
        <f t="shared" si="3"/>
        <v>Gateway settlement</v>
      </c>
      <c r="K22" s="4">
        <f t="shared" si="4"/>
        <v>592258.61</v>
      </c>
    </row>
    <row r="23" spans="1:11" x14ac:dyDescent="0.3">
      <c r="A23" s="2">
        <v>46287</v>
      </c>
      <c r="B23" s="3" t="s">
        <v>53</v>
      </c>
      <c r="C23" s="3" t="s">
        <v>54</v>
      </c>
      <c r="D23" s="4"/>
      <c r="E23" s="4">
        <v>584876.78</v>
      </c>
      <c r="F23" s="4">
        <f t="shared" si="0"/>
        <v>0</v>
      </c>
      <c r="G23" s="4">
        <f t="shared" si="0"/>
        <v>584876.78</v>
      </c>
      <c r="H23" s="3" t="str">
        <f t="shared" si="1"/>
        <v>STL-20260922</v>
      </c>
      <c r="I23" s="3" t="str">
        <f t="shared" si="2"/>
        <v>Gateway</v>
      </c>
      <c r="J23" s="3" t="str">
        <f t="shared" si="3"/>
        <v>Gateway settlement</v>
      </c>
      <c r="K23" s="4">
        <f t="shared" si="4"/>
        <v>584876.78</v>
      </c>
    </row>
    <row r="24" spans="1:11" x14ac:dyDescent="0.3">
      <c r="A24" s="2">
        <v>46287</v>
      </c>
      <c r="B24" s="3" t="s">
        <v>55</v>
      </c>
      <c r="C24" s="3" t="s">
        <v>56</v>
      </c>
      <c r="D24" s="4">
        <v>640000</v>
      </c>
      <c r="E24" s="4"/>
      <c r="F24" s="4">
        <f t="shared" si="0"/>
        <v>640000</v>
      </c>
      <c r="G24" s="4">
        <f t="shared" si="0"/>
        <v>0</v>
      </c>
      <c r="H24" s="3" t="str">
        <f t="shared" si="1"/>
        <v/>
      </c>
      <c r="I24" s="3" t="str">
        <f t="shared" si="2"/>
        <v>Other</v>
      </c>
      <c r="J24" s="3" t="str">
        <f t="shared" si="3"/>
        <v>Salary</v>
      </c>
      <c r="K24" s="4">
        <f t="shared" si="4"/>
        <v>-640000</v>
      </c>
    </row>
    <row r="25" spans="1:11" x14ac:dyDescent="0.3">
      <c r="A25" s="2">
        <v>46288</v>
      </c>
      <c r="B25" s="3" t="s">
        <v>57</v>
      </c>
      <c r="C25" s="3" t="s">
        <v>58</v>
      </c>
      <c r="D25" s="4"/>
      <c r="E25" s="4">
        <v>590273.39</v>
      </c>
      <c r="F25" s="4">
        <f t="shared" si="0"/>
        <v>0</v>
      </c>
      <c r="G25" s="4">
        <f t="shared" si="0"/>
        <v>590273.39</v>
      </c>
      <c r="H25" s="3" t="str">
        <f t="shared" si="1"/>
        <v>STL-20260923</v>
      </c>
      <c r="I25" s="3" t="str">
        <f t="shared" si="2"/>
        <v>Gateway</v>
      </c>
      <c r="J25" s="3" t="str">
        <f t="shared" si="3"/>
        <v>Gateway settlement</v>
      </c>
      <c r="K25" s="4">
        <f t="shared" si="4"/>
        <v>590273.39</v>
      </c>
    </row>
    <row r="26" spans="1:11" x14ac:dyDescent="0.3">
      <c r="A26" s="2">
        <v>46289</v>
      </c>
      <c r="B26" s="3" t="s">
        <v>59</v>
      </c>
      <c r="C26" s="3" t="s">
        <v>60</v>
      </c>
      <c r="D26" s="4"/>
      <c r="E26" s="4">
        <v>540644.22</v>
      </c>
      <c r="F26" s="4">
        <f t="shared" si="0"/>
        <v>0</v>
      </c>
      <c r="G26" s="4">
        <f t="shared" si="0"/>
        <v>540644.22</v>
      </c>
      <c r="H26" s="3" t="str">
        <f t="shared" si="1"/>
        <v>STL-20260924</v>
      </c>
      <c r="I26" s="3" t="str">
        <f t="shared" si="2"/>
        <v>Gateway</v>
      </c>
      <c r="J26" s="3" t="str">
        <f t="shared" si="3"/>
        <v>Gateway settlement</v>
      </c>
      <c r="K26" s="4">
        <f t="shared" si="4"/>
        <v>540644.22</v>
      </c>
    </row>
    <row r="27" spans="1:11" x14ac:dyDescent="0.3">
      <c r="A27" s="2">
        <v>46290</v>
      </c>
      <c r="B27" s="3" t="s">
        <v>61</v>
      </c>
      <c r="C27" s="3" t="s">
        <v>62</v>
      </c>
      <c r="D27" s="4"/>
      <c r="E27" s="4">
        <v>594966.59</v>
      </c>
      <c r="F27" s="4">
        <f t="shared" si="0"/>
        <v>0</v>
      </c>
      <c r="G27" s="4">
        <f t="shared" si="0"/>
        <v>594966.59</v>
      </c>
      <c r="H27" s="3" t="str">
        <f t="shared" si="1"/>
        <v>STL-20260925</v>
      </c>
      <c r="I27" s="3" t="str">
        <f t="shared" si="2"/>
        <v>Gateway</v>
      </c>
      <c r="J27" s="3" t="str">
        <f t="shared" si="3"/>
        <v>Gateway settlement</v>
      </c>
      <c r="K27" s="4">
        <f t="shared" si="4"/>
        <v>594966.59</v>
      </c>
    </row>
    <row r="28" spans="1:11" x14ac:dyDescent="0.3">
      <c r="A28" s="2">
        <v>46290</v>
      </c>
      <c r="B28" s="3" t="s">
        <v>63</v>
      </c>
      <c r="C28" s="3" t="s">
        <v>64</v>
      </c>
      <c r="D28" s="4">
        <v>48231.199999999997</v>
      </c>
      <c r="E28" s="4"/>
      <c r="F28" s="4">
        <f t="shared" si="0"/>
        <v>48231.199999999997</v>
      </c>
      <c r="G28" s="4">
        <f t="shared" si="0"/>
        <v>0</v>
      </c>
      <c r="H28" s="3" t="str">
        <f t="shared" si="1"/>
        <v/>
      </c>
      <c r="I28" s="3" t="str">
        <f t="shared" si="2"/>
        <v>Other</v>
      </c>
      <c r="J28" s="3" t="str">
        <f t="shared" si="3"/>
        <v>Cloud (AWS)</v>
      </c>
      <c r="K28" s="4">
        <f t="shared" si="4"/>
        <v>-48231.199999999997</v>
      </c>
    </row>
    <row r="29" spans="1:11" x14ac:dyDescent="0.3">
      <c r="A29" s="2">
        <v>46291</v>
      </c>
      <c r="B29" s="3" t="s">
        <v>65</v>
      </c>
      <c r="C29" s="3" t="s">
        <v>66</v>
      </c>
      <c r="D29" s="4"/>
      <c r="E29" s="4">
        <v>711251.32</v>
      </c>
      <c r="F29" s="4">
        <f t="shared" si="0"/>
        <v>0</v>
      </c>
      <c r="G29" s="4">
        <f t="shared" si="0"/>
        <v>711251.32</v>
      </c>
      <c r="H29" s="3" t="str">
        <f t="shared" si="1"/>
        <v>STL-20260926</v>
      </c>
      <c r="I29" s="3" t="str">
        <f t="shared" si="2"/>
        <v>Gateway</v>
      </c>
      <c r="J29" s="3" t="str">
        <f t="shared" si="3"/>
        <v>Gateway settlement</v>
      </c>
      <c r="K29" s="4">
        <f t="shared" si="4"/>
        <v>711251.32</v>
      </c>
    </row>
    <row r="30" spans="1:11" x14ac:dyDescent="0.3">
      <c r="A30" s="2">
        <v>46291</v>
      </c>
      <c r="B30" s="3" t="s">
        <v>67</v>
      </c>
      <c r="C30" s="3" t="s">
        <v>68</v>
      </c>
      <c r="D30" s="4">
        <v>185000</v>
      </c>
      <c r="E30" s="4"/>
      <c r="F30" s="4">
        <f t="shared" si="0"/>
        <v>185000</v>
      </c>
      <c r="G30" s="4">
        <f t="shared" si="0"/>
        <v>0</v>
      </c>
      <c r="H30" s="3" t="str">
        <f t="shared" si="1"/>
        <v/>
      </c>
      <c r="I30" s="3" t="str">
        <f t="shared" si="2"/>
        <v>Other</v>
      </c>
      <c r="J30" s="3" t="str">
        <f t="shared" si="3"/>
        <v>Rent</v>
      </c>
      <c r="K30" s="4">
        <f t="shared" si="4"/>
        <v>-185000</v>
      </c>
    </row>
    <row r="31" spans="1:11" x14ac:dyDescent="0.3">
      <c r="A31" s="2">
        <v>46292</v>
      </c>
      <c r="B31" s="3" t="s">
        <v>69</v>
      </c>
      <c r="C31" s="3" t="s">
        <v>70</v>
      </c>
      <c r="D31" s="4"/>
      <c r="E31" s="4">
        <v>805057.1</v>
      </c>
      <c r="F31" s="4">
        <f t="shared" si="0"/>
        <v>0</v>
      </c>
      <c r="G31" s="4">
        <f t="shared" si="0"/>
        <v>805057.1</v>
      </c>
      <c r="H31" s="3" t="str">
        <f t="shared" si="1"/>
        <v>STL-20260927</v>
      </c>
      <c r="I31" s="3" t="str">
        <f t="shared" si="2"/>
        <v>Gateway</v>
      </c>
      <c r="J31" s="3" t="str">
        <f t="shared" si="3"/>
        <v>Gateway settlement</v>
      </c>
      <c r="K31" s="4">
        <f t="shared" si="4"/>
        <v>805057.1</v>
      </c>
    </row>
    <row r="32" spans="1:11" x14ac:dyDescent="0.3">
      <c r="A32" s="2">
        <v>46292</v>
      </c>
      <c r="B32" s="3" t="s">
        <v>71</v>
      </c>
      <c r="C32" s="3" t="s">
        <v>72</v>
      </c>
      <c r="D32" s="4">
        <v>96500</v>
      </c>
      <c r="E32" s="4"/>
      <c r="F32" s="4">
        <f t="shared" si="0"/>
        <v>96500</v>
      </c>
      <c r="G32" s="4">
        <f t="shared" si="0"/>
        <v>0</v>
      </c>
      <c r="H32" s="3" t="str">
        <f t="shared" si="1"/>
        <v/>
      </c>
      <c r="I32" s="3" t="str">
        <f t="shared" si="2"/>
        <v>Other</v>
      </c>
      <c r="J32" s="3" t="str">
        <f t="shared" si="3"/>
        <v>Packaging vendor</v>
      </c>
      <c r="K32" s="4">
        <f t="shared" si="4"/>
        <v>-96500</v>
      </c>
    </row>
    <row r="33" spans="1:11" x14ac:dyDescent="0.3">
      <c r="A33" s="2">
        <v>46293</v>
      </c>
      <c r="B33" s="3" t="s">
        <v>73</v>
      </c>
      <c r="C33" s="3" t="s">
        <v>74</v>
      </c>
      <c r="D33" s="4"/>
      <c r="E33" s="4">
        <v>569672.43000000005</v>
      </c>
      <c r="F33" s="4">
        <f t="shared" si="0"/>
        <v>0</v>
      </c>
      <c r="G33" s="4">
        <f t="shared" si="0"/>
        <v>569672.43000000005</v>
      </c>
      <c r="H33" s="3" t="str">
        <f t="shared" si="1"/>
        <v>STL-20260928</v>
      </c>
      <c r="I33" s="3" t="str">
        <f t="shared" si="2"/>
        <v>Gateway</v>
      </c>
      <c r="J33" s="3" t="str">
        <f t="shared" si="3"/>
        <v>Gateway settlement</v>
      </c>
      <c r="K33" s="4">
        <f t="shared" si="4"/>
        <v>569672.43000000005</v>
      </c>
    </row>
    <row r="34" spans="1:11" x14ac:dyDescent="0.3">
      <c r="A34" s="2">
        <v>46294</v>
      </c>
      <c r="B34" s="3" t="s">
        <v>75</v>
      </c>
      <c r="C34" s="3" t="s">
        <v>76</v>
      </c>
      <c r="D34" s="4"/>
      <c r="E34" s="4">
        <v>641930.73</v>
      </c>
      <c r="F34" s="4">
        <f t="shared" si="0"/>
        <v>0</v>
      </c>
      <c r="G34" s="4">
        <f t="shared" si="0"/>
        <v>641930.73</v>
      </c>
      <c r="H34" s="3" t="str">
        <f t="shared" si="1"/>
        <v>STL-20260929</v>
      </c>
      <c r="I34" s="3" t="str">
        <f t="shared" si="2"/>
        <v>Gateway</v>
      </c>
      <c r="J34" s="3" t="str">
        <f t="shared" si="3"/>
        <v>Gateway settlement</v>
      </c>
      <c r="K34" s="4">
        <f t="shared" si="4"/>
        <v>641930.73</v>
      </c>
    </row>
    <row r="35" spans="1:11" x14ac:dyDescent="0.3">
      <c r="A35" s="2">
        <v>46295</v>
      </c>
      <c r="B35" s="3" t="s">
        <v>77</v>
      </c>
      <c r="C35" s="3" t="s">
        <v>78</v>
      </c>
      <c r="D35" s="4"/>
      <c r="E35" s="4">
        <v>694085.78</v>
      </c>
      <c r="F35" s="4">
        <f t="shared" si="0"/>
        <v>0</v>
      </c>
      <c r="G35" s="4">
        <f t="shared" si="0"/>
        <v>694085.78</v>
      </c>
      <c r="H35" s="3" t="str">
        <f t="shared" si="1"/>
        <v>STL-20260930</v>
      </c>
      <c r="I35" s="3" t="str">
        <f t="shared" si="2"/>
        <v>Gateway</v>
      </c>
      <c r="J35" s="3" t="str">
        <f t="shared" si="3"/>
        <v>Gateway settlement</v>
      </c>
      <c r="K35" s="4">
        <f t="shared" si="4"/>
        <v>694085.78</v>
      </c>
    </row>
    <row r="36" spans="1:11" x14ac:dyDescent="0.3">
      <c r="A36" s="2">
        <v>46295</v>
      </c>
      <c r="B36" s="3" t="s">
        <v>79</v>
      </c>
      <c r="C36" s="3" t="s">
        <v>80</v>
      </c>
      <c r="D36" s="4">
        <v>59</v>
      </c>
      <c r="E36" s="4"/>
      <c r="F36" s="4">
        <f t="shared" si="0"/>
        <v>59</v>
      </c>
      <c r="G36" s="4">
        <f t="shared" si="0"/>
        <v>0</v>
      </c>
      <c r="H36" s="3" t="str">
        <f t="shared" si="1"/>
        <v/>
      </c>
      <c r="I36" s="3" t="str">
        <f t="shared" si="2"/>
        <v>Other</v>
      </c>
      <c r="J36" s="3" t="str">
        <f t="shared" si="3"/>
        <v>Bank charges</v>
      </c>
      <c r="K36" s="4">
        <f t="shared" si="4"/>
        <v>-59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088ED-84F0-46CD-9CB7-530CD86A4C76}">
  <dimension ref="A1:L32"/>
  <sheetViews>
    <sheetView workbookViewId="0">
      <selection activeCell="E2" sqref="E2"/>
    </sheetView>
  </sheetViews>
  <sheetFormatPr defaultRowHeight="14.4" x14ac:dyDescent="0.3"/>
  <cols>
    <col min="2" max="2" width="20.5546875" customWidth="1"/>
    <col min="3" max="3" width="23.33203125" customWidth="1"/>
    <col min="4" max="4" width="22.44140625" customWidth="1"/>
    <col min="5" max="5" width="19.6640625" customWidth="1"/>
    <col min="6" max="6" width="25" customWidth="1"/>
    <col min="8" max="8" width="18.77734375" customWidth="1"/>
    <col min="9" max="9" width="19.5546875" customWidth="1"/>
    <col min="10" max="10" width="17.77734375" customWidth="1"/>
    <col min="11" max="11" width="15.88671875" customWidth="1"/>
    <col min="12" max="12" width="20.44140625" customWidth="1"/>
  </cols>
  <sheetData>
    <row r="1" spans="1:12" ht="26.4" x14ac:dyDescent="0.3">
      <c r="A1" s="6" t="s">
        <v>7</v>
      </c>
      <c r="B1" s="6" t="s">
        <v>196</v>
      </c>
      <c r="C1" s="6" t="s">
        <v>12339</v>
      </c>
      <c r="D1" s="6" t="s">
        <v>12340</v>
      </c>
      <c r="E1" s="6" t="s">
        <v>12341</v>
      </c>
      <c r="F1" s="6" t="s">
        <v>12342</v>
      </c>
      <c r="H1" s="7" t="s">
        <v>12343</v>
      </c>
    </row>
    <row r="2" spans="1:12" ht="39.6" x14ac:dyDescent="0.3">
      <c r="A2" s="8" t="s">
        <v>206</v>
      </c>
      <c r="B2" s="9">
        <f t="shared" ref="B2:B31" si="0">DATE(MID(A2,5,4),MID(A2,9,2),RIGHT(A2,2))</f>
        <v>46268</v>
      </c>
      <c r="C2" s="10">
        <f>SUMIFS([1]pg_transaction_cleaned!$K:$K,[1]pg_transaction_cleaned!$M:$M,A2)</f>
        <v>463778.55000000005</v>
      </c>
      <c r="D2" s="10">
        <f>SUMIFS([1]bank_statement_cleaned!$G:$G,[1]bank_statement_cleaned!$H:$H,A2)</f>
        <v>463778.55</v>
      </c>
      <c r="E2" s="10">
        <f t="shared" ref="E2:E31" si="1">D2-C2</f>
        <v>0</v>
      </c>
      <c r="F2" s="8" t="str">
        <f>IF(B2&gt;DATE(2026,9,30),"Due in October",IF(COUNTIF([1]bank_statement_cleaned!$H:$H,A2)=0,"Missing",IF(ROUND(E2,2)=0,"Matched",IF(E2&lt;0,"Short-paid","Excess"))))</f>
        <v>Matched</v>
      </c>
      <c r="H2" s="6" t="s">
        <v>12344</v>
      </c>
      <c r="I2" s="6" t="s">
        <v>12345</v>
      </c>
      <c r="J2" s="6" t="s">
        <v>12346</v>
      </c>
      <c r="K2" s="6" t="s">
        <v>12347</v>
      </c>
      <c r="L2" s="6" t="s">
        <v>12348</v>
      </c>
    </row>
    <row r="3" spans="1:12" x14ac:dyDescent="0.3">
      <c r="A3" s="8" t="s">
        <v>491</v>
      </c>
      <c r="B3" s="9">
        <f t="shared" si="0"/>
        <v>46269</v>
      </c>
      <c r="C3" s="10">
        <f>SUMIFS([1]pg_transaction_cleaned!$K:$K,[1]pg_transaction_cleaned!$M:$M,A3)</f>
        <v>680913.82</v>
      </c>
      <c r="D3" s="10">
        <f>SUMIFS([1]bank_statement_cleaned!$G:$G,[1]bank_statement_cleaned!$H:$H,A3)</f>
        <v>680913.82</v>
      </c>
      <c r="E3" s="10">
        <f t="shared" si="1"/>
        <v>0</v>
      </c>
      <c r="F3" s="8" t="str">
        <f>IF(B3&gt;DATE(2026,9,30),"Due in October",IF(COUNTIF([1]bank_statement_cleaned!$H:$H,A3)=0,"Missing",IF(ROUND(E3,2)=0,"Matched",IF(E3&lt;0,"Short-paid","Excess"))))</f>
        <v>Matched</v>
      </c>
      <c r="H3" s="8" t="s">
        <v>12349</v>
      </c>
      <c r="I3" s="8">
        <f>COUNTIF($F$2:$F$31,H3)</f>
        <v>26</v>
      </c>
      <c r="J3" s="10">
        <f>SUMIF($F$2:$F$31,H3,$C$2:$C$31)</f>
        <v>16428886.570000002</v>
      </c>
      <c r="K3" s="10">
        <f>SUMIF($F$2:$F$31,H3,$D$2:$D$31)</f>
        <v>16428886.57</v>
      </c>
      <c r="L3" s="10">
        <f>K3-J3</f>
        <v>0</v>
      </c>
    </row>
    <row r="4" spans="1:12" x14ac:dyDescent="0.3">
      <c r="A4" s="8" t="s">
        <v>925</v>
      </c>
      <c r="B4" s="9">
        <f t="shared" si="0"/>
        <v>46270</v>
      </c>
      <c r="C4" s="10">
        <f>SUMIFS([1]pg_transaction_cleaned!$K:$K,[1]pg_transaction_cleaned!$M:$M,A4)</f>
        <v>578249.99000000022</v>
      </c>
      <c r="D4" s="10">
        <f>SUMIFS([1]bank_statement_cleaned!$G:$G,[1]bank_statement_cleaned!$H:$H,A4)</f>
        <v>578249.99</v>
      </c>
      <c r="E4" s="10">
        <f t="shared" si="1"/>
        <v>0</v>
      </c>
      <c r="F4" s="8" t="str">
        <f>IF(B4&gt;DATE(2026,9,30),"Due in October",IF(COUNTIF([1]bank_statement_cleaned!$H:$H,A4)=0,"Missing",IF(ROUND(E4,2)=0,"Matched",IF(E4&lt;0,"Short-paid","Excess"))))</f>
        <v>Matched</v>
      </c>
      <c r="H4" s="8" t="s">
        <v>12350</v>
      </c>
      <c r="I4" s="8">
        <f>COUNTIF($F$2:$F$31,H4)</f>
        <v>1</v>
      </c>
      <c r="J4" s="10">
        <f>SUMIF($F$2:$F$31,H4,$C$2:$C$31)</f>
        <v>556411.99000000011</v>
      </c>
      <c r="K4" s="10">
        <f>SUMIF($F$2:$F$31,H4,$D$2:$D$31)</f>
        <v>555161.99</v>
      </c>
      <c r="L4" s="10">
        <f>K4-J4</f>
        <v>-1250.0000000001164</v>
      </c>
    </row>
    <row r="5" spans="1:12" x14ac:dyDescent="0.3">
      <c r="A5" s="8" t="s">
        <v>1336</v>
      </c>
      <c r="B5" s="9">
        <f t="shared" si="0"/>
        <v>46271</v>
      </c>
      <c r="C5" s="10">
        <f>SUMIFS([1]pg_transaction_cleaned!$K:$K,[1]pg_transaction_cleaned!$M:$M,A5)</f>
        <v>655139.18000000052</v>
      </c>
      <c r="D5" s="10">
        <f>SUMIFS([1]bank_statement_cleaned!$G:$G,[1]bank_statement_cleaned!$H:$H,A5)</f>
        <v>655139.18000000005</v>
      </c>
      <c r="E5" s="10">
        <f t="shared" si="1"/>
        <v>0</v>
      </c>
      <c r="F5" s="8" t="str">
        <f>IF(B5&gt;DATE(2026,9,30),"Due in October",IF(COUNTIF([1]bank_statement_cleaned!$H:$H,A5)=0,"Missing",IF(ROUND(E5,2)=0,"Matched",IF(E5&lt;0,"Short-paid","Excess"))))</f>
        <v>Matched</v>
      </c>
      <c r="H5" s="8" t="s">
        <v>12351</v>
      </c>
      <c r="I5" s="8">
        <f>COUNTIF($F$2:$F$31,H5)</f>
        <v>1</v>
      </c>
      <c r="J5" s="10">
        <f>SUMIF($F$2:$F$31,H5,$C$2:$C$31)</f>
        <v>551074.03000000026</v>
      </c>
      <c r="K5" s="10">
        <f>SUMIF($F$2:$F$31,H5,$D$2:$D$31)</f>
        <v>0</v>
      </c>
      <c r="L5" s="10">
        <f>K5-J5</f>
        <v>-551074.03000000026</v>
      </c>
    </row>
    <row r="6" spans="1:12" x14ac:dyDescent="0.3">
      <c r="A6" s="8" t="s">
        <v>1765</v>
      </c>
      <c r="B6" s="9">
        <f t="shared" si="0"/>
        <v>46272</v>
      </c>
      <c r="C6" s="10">
        <f>SUMIFS([1]pg_transaction_cleaned!$K:$K,[1]pg_transaction_cleaned!$M:$M,A6)</f>
        <v>614451.50000000012</v>
      </c>
      <c r="D6" s="10">
        <f>SUMIFS([1]bank_statement_cleaned!$G:$G,[1]bank_statement_cleaned!$H:$H,A6)</f>
        <v>614451.5</v>
      </c>
      <c r="E6" s="10">
        <f t="shared" si="1"/>
        <v>0</v>
      </c>
      <c r="F6" s="8" t="str">
        <f>IF(B6&gt;DATE(2026,9,30),"Due in October",IF(COUNTIF([1]bank_statement_cleaned!$H:$H,A6)=0,"Missing",IF(ROUND(E6,2)=0,"Matched",IF(E6&lt;0,"Short-paid","Excess"))))</f>
        <v>Matched</v>
      </c>
      <c r="H6" s="8" t="s">
        <v>12352</v>
      </c>
      <c r="I6" s="8">
        <f>COUNTIF($F$2:$F$31,H6)</f>
        <v>2</v>
      </c>
      <c r="J6" s="10">
        <f>SUMIF($F$2:$F$31,H6,$C$2:$C$31)</f>
        <v>1265526.8999999999</v>
      </c>
      <c r="K6" s="10">
        <f>SUMIF($F$2:$F$31,H6,$D$2:$D$31)</f>
        <v>0</v>
      </c>
      <c r="L6" s="10">
        <f>K6-J6</f>
        <v>-1265526.8999999999</v>
      </c>
    </row>
    <row r="7" spans="1:12" x14ac:dyDescent="0.3">
      <c r="A7" s="8" t="s">
        <v>2163</v>
      </c>
      <c r="B7" s="9">
        <f t="shared" si="0"/>
        <v>46273</v>
      </c>
      <c r="C7" s="10">
        <f>SUMIFS([1]pg_transaction_cleaned!$K:$K,[1]pg_transaction_cleaned!$M:$M,A7)</f>
        <v>704983.27000000025</v>
      </c>
      <c r="D7" s="10">
        <f>SUMIFS([1]bank_statement_cleaned!$G:$G,[1]bank_statement_cleaned!$H:$H,A7)</f>
        <v>704983.27</v>
      </c>
      <c r="E7" s="10">
        <f t="shared" si="1"/>
        <v>0</v>
      </c>
      <c r="F7" s="8" t="str">
        <f>IF(B7&gt;DATE(2026,9,30),"Due in October",IF(COUNTIF([1]bank_statement_cleaned!$H:$H,A7)=0,"Missing",IF(ROUND(E7,2)=0,"Matched",IF(E7&lt;0,"Short-paid","Excess"))))</f>
        <v>Matched</v>
      </c>
      <c r="H7" s="8" t="s">
        <v>12353</v>
      </c>
      <c r="I7" s="8">
        <f>COUNTIF($F$2:$F$31,H7)</f>
        <v>0</v>
      </c>
      <c r="J7" s="10">
        <f>SUMIF($F$2:$F$31,H7,$C$2:$C$31)</f>
        <v>0</v>
      </c>
      <c r="K7" s="10">
        <f>SUMIF($F$2:$F$31,H7,$D$2:$D$31)</f>
        <v>0</v>
      </c>
      <c r="L7" s="10">
        <f>K7-J7</f>
        <v>0</v>
      </c>
    </row>
    <row r="8" spans="1:12" x14ac:dyDescent="0.3">
      <c r="A8" s="8" t="s">
        <v>2572</v>
      </c>
      <c r="B8" s="9">
        <f t="shared" si="0"/>
        <v>46274</v>
      </c>
      <c r="C8" s="10">
        <f>SUMIFS([1]pg_transaction_cleaned!$K:$K,[1]pg_transaction_cleaned!$M:$M,A8)</f>
        <v>606316.51000000024</v>
      </c>
      <c r="D8" s="10">
        <f>SUMIFS([1]bank_statement_cleaned!$G:$G,[1]bank_statement_cleaned!$H:$H,A8)</f>
        <v>606316.51</v>
      </c>
      <c r="E8" s="10">
        <f t="shared" si="1"/>
        <v>0</v>
      </c>
      <c r="F8" s="8" t="str">
        <f>IF(B8&gt;DATE(2026,9,30),"Due in October",IF(COUNTIF([1]bank_statement_cleaned!$H:$H,A8)=0,"Missing",IF(ROUND(E8,2)=0,"Matched",IF(E8&lt;0,"Short-paid","Excess"))))</f>
        <v>Matched</v>
      </c>
      <c r="H8" s="11" t="s">
        <v>12354</v>
      </c>
      <c r="I8" s="11">
        <f>SUM(I3:I7)</f>
        <v>30</v>
      </c>
      <c r="J8" s="12">
        <f>SUM(J3:J7)</f>
        <v>18801899.490000002</v>
      </c>
      <c r="K8" s="12">
        <f>SUM(K3:K7)</f>
        <v>16984048.559999999</v>
      </c>
      <c r="L8" s="12">
        <f>SUM(L3:L7)</f>
        <v>-1817850.9300000002</v>
      </c>
    </row>
    <row r="9" spans="1:12" x14ac:dyDescent="0.3">
      <c r="A9" s="8" t="s">
        <v>2969</v>
      </c>
      <c r="B9" s="9">
        <f t="shared" si="0"/>
        <v>46275</v>
      </c>
      <c r="C9" s="10">
        <f>SUMIFS([1]pg_transaction_cleaned!$K:$K,[1]pg_transaction_cleaned!$M:$M,A9)</f>
        <v>740734.11999999976</v>
      </c>
      <c r="D9" s="10">
        <f>SUMIFS([1]bank_statement_cleaned!$G:$G,[1]bank_statement_cleaned!$H:$H,A9)</f>
        <v>740734.12</v>
      </c>
      <c r="E9" s="10">
        <f t="shared" si="1"/>
        <v>0</v>
      </c>
      <c r="F9" s="8" t="str">
        <f>IF(B9&gt;DATE(2026,9,30),"Due in October",IF(COUNTIF([1]bank_statement_cleaned!$H:$H,A9)=0,"Missing",IF(ROUND(E9,2)=0,"Matched",IF(E9&lt;0,"Short-paid","Excess"))))</f>
        <v>Matched</v>
      </c>
    </row>
    <row r="10" spans="1:12" x14ac:dyDescent="0.3">
      <c r="A10" s="8" t="s">
        <v>3422</v>
      </c>
      <c r="B10" s="9">
        <f t="shared" si="0"/>
        <v>46276</v>
      </c>
      <c r="C10" s="10">
        <f>SUMIFS([1]pg_transaction_cleaned!$K:$K,[1]pg_transaction_cleaned!$M:$M,A10)</f>
        <v>556411.99000000011</v>
      </c>
      <c r="D10" s="10">
        <f>SUMIFS([1]bank_statement_cleaned!$G:$G,[1]bank_statement_cleaned!$H:$H,A10)</f>
        <v>555161.99</v>
      </c>
      <c r="E10" s="10">
        <f t="shared" si="1"/>
        <v>-1250.0000000001164</v>
      </c>
      <c r="F10" s="8" t="str">
        <f>IF(B10&gt;DATE(2026,9,30),"Due in October",IF(COUNTIF([1]bank_statement_cleaned!$H:$H,A10)=0,"Missing",IF(ROUND(E10,2)=0,"Matched",IF(E10&lt;0,"Short-paid","Excess"))))</f>
        <v>Short-paid</v>
      </c>
    </row>
    <row r="11" spans="1:12" ht="15.6" x14ac:dyDescent="0.3">
      <c r="A11" s="8" t="s">
        <v>3797</v>
      </c>
      <c r="B11" s="9">
        <f t="shared" si="0"/>
        <v>46277</v>
      </c>
      <c r="C11" s="10">
        <f>SUMIFS([1]pg_transaction_cleaned!$K:$K,[1]pg_transaction_cleaned!$M:$M,A11)</f>
        <v>551074.03000000026</v>
      </c>
      <c r="D11" s="10">
        <f>SUMIFS([1]bank_statement_cleaned!$G:$G,[1]bank_statement_cleaned!$H:$H,A11)</f>
        <v>0</v>
      </c>
      <c r="E11" s="10">
        <f t="shared" si="1"/>
        <v>-551074.03000000026</v>
      </c>
      <c r="F11" s="8" t="str">
        <f>IF(B11&gt;DATE(2026,9,30),"Due in October",IF(COUNTIF([1]bank_statement_cleaned!$H:$H,A11)=0,"Missing",IF(ROUND(E11,2)=0,"Matched",IF(E11&lt;0,"Short-paid","Excess"))))</f>
        <v>Missing</v>
      </c>
      <c r="H11" s="7" t="s">
        <v>12355</v>
      </c>
    </row>
    <row r="12" spans="1:12" ht="26.4" x14ac:dyDescent="0.3">
      <c r="A12" s="8" t="s">
        <v>4199</v>
      </c>
      <c r="B12" s="9">
        <f t="shared" si="0"/>
        <v>46278</v>
      </c>
      <c r="C12" s="10">
        <f>SUMIFS([1]pg_transaction_cleaned!$K:$K,[1]pg_transaction_cleaned!$M:$M,A12)</f>
        <v>654313.30000000016</v>
      </c>
      <c r="D12" s="10">
        <f>SUMIFS([1]bank_statement_cleaned!$G:$G,[1]bank_statement_cleaned!$H:$H,A12)</f>
        <v>654313.30000000005</v>
      </c>
      <c r="E12" s="10">
        <f t="shared" si="1"/>
        <v>0</v>
      </c>
      <c r="F12" s="8" t="str">
        <f>IF(B12&gt;DATE(2026,9,30),"Due in October",IF(COUNTIF([1]bank_statement_cleaned!$H:$H,A12)=0,"Missing",IF(ROUND(E12,2)=0,"Matched",IF(E12&lt;0,"Short-paid","Excess"))))</f>
        <v>Matched</v>
      </c>
      <c r="H12" s="6" t="s">
        <v>12356</v>
      </c>
      <c r="I12" s="6" t="s">
        <v>12357</v>
      </c>
      <c r="J12" s="6" t="s">
        <v>12358</v>
      </c>
      <c r="K12" s="6" t="s">
        <v>12344</v>
      </c>
    </row>
    <row r="13" spans="1:12" x14ac:dyDescent="0.3">
      <c r="A13" s="8" t="s">
        <v>4653</v>
      </c>
      <c r="B13" s="9">
        <f t="shared" si="0"/>
        <v>46279</v>
      </c>
      <c r="C13" s="10">
        <f>SUMIFS([1]pg_transaction_cleaned!$K:$K,[1]pg_transaction_cleaned!$M:$M,A13)</f>
        <v>596289.91000000015</v>
      </c>
      <c r="D13" s="10">
        <f>SUMIFS([1]bank_statement_cleaned!$G:$G,[1]bank_statement_cleaned!$H:$H,A13)</f>
        <v>596289.91</v>
      </c>
      <c r="E13" s="10">
        <f t="shared" si="1"/>
        <v>0</v>
      </c>
      <c r="F13" s="8" t="str">
        <f>IF(B13&gt;DATE(2026,9,30),"Due in October",IF(COUNTIF([1]bank_statement_cleaned!$H:$H,A13)=0,"Missing",IF(ROUND(E13,2)=0,"Matched",IF(E13&lt;0,"Short-paid","Excess"))))</f>
        <v>Matched</v>
      </c>
      <c r="H13" s="8" t="s">
        <v>12359</v>
      </c>
      <c r="I13" s="13">
        <f>COUNTA(A2:A31)</f>
        <v>30</v>
      </c>
      <c r="J13" s="14">
        <v>30</v>
      </c>
      <c r="K13" s="11" t="str">
        <f t="shared" ref="K13:K26" si="2">IF(ROUND(I13-J13,2)=0,"PASS","FAIL")</f>
        <v>PASS</v>
      </c>
    </row>
    <row r="14" spans="1:12" x14ac:dyDescent="0.3">
      <c r="A14" s="8" t="s">
        <v>5046</v>
      </c>
      <c r="B14" s="9">
        <f t="shared" si="0"/>
        <v>46280</v>
      </c>
      <c r="C14" s="10">
        <f>SUMIFS([1]pg_transaction_cleaned!$K:$K,[1]pg_transaction_cleaned!$M:$M,A14)</f>
        <v>773297.25000000058</v>
      </c>
      <c r="D14" s="10">
        <f>SUMIFS([1]bank_statement_cleaned!$G:$G,[1]bank_statement_cleaned!$H:$H,A14)</f>
        <v>773297.25</v>
      </c>
      <c r="E14" s="10">
        <f t="shared" si="1"/>
        <v>0</v>
      </c>
      <c r="F14" s="8" t="str">
        <f>IF(B14&gt;DATE(2026,9,30),"Due in October",IF(COUNTIF([1]bank_statement_cleaned!$H:$H,A14)=0,"Missing",IF(ROUND(E14,2)=0,"Matched",IF(E14&lt;0,"Short-paid","Excess"))))</f>
        <v>Matched</v>
      </c>
      <c r="H14" s="8" t="s">
        <v>12360</v>
      </c>
      <c r="I14" s="13">
        <f>I3</f>
        <v>26</v>
      </c>
      <c r="J14" s="14">
        <v>26</v>
      </c>
      <c r="K14" s="11" t="str">
        <f t="shared" si="2"/>
        <v>PASS</v>
      </c>
    </row>
    <row r="15" spans="1:12" x14ac:dyDescent="0.3">
      <c r="A15" s="8" t="s">
        <v>5516</v>
      </c>
      <c r="B15" s="9">
        <f t="shared" si="0"/>
        <v>46281</v>
      </c>
      <c r="C15" s="10">
        <f>SUMIFS([1]pg_transaction_cleaned!$K:$K,[1]pg_transaction_cleaned!$M:$M,A15)</f>
        <v>614772.67999999993</v>
      </c>
      <c r="D15" s="10">
        <f>SUMIFS([1]bank_statement_cleaned!$G:$G,[1]bank_statement_cleaned!$H:$H,A15)</f>
        <v>614772.68000000005</v>
      </c>
      <c r="E15" s="10">
        <f t="shared" si="1"/>
        <v>0</v>
      </c>
      <c r="F15" s="8" t="str">
        <f>IF(B15&gt;DATE(2026,9,30),"Due in October",IF(COUNTIF([1]bank_statement_cleaned!$H:$H,A15)=0,"Missing",IF(ROUND(E15,2)=0,"Matched",IF(E15&lt;0,"Short-paid","Excess"))))</f>
        <v>Matched</v>
      </c>
      <c r="H15" s="8" t="s">
        <v>12361</v>
      </c>
      <c r="I15" s="13">
        <f>I4</f>
        <v>1</v>
      </c>
      <c r="J15" s="14">
        <v>1</v>
      </c>
      <c r="K15" s="11" t="str">
        <f t="shared" si="2"/>
        <v>PASS</v>
      </c>
    </row>
    <row r="16" spans="1:12" x14ac:dyDescent="0.3">
      <c r="A16" s="8" t="s">
        <v>5944</v>
      </c>
      <c r="B16" s="9">
        <f t="shared" si="0"/>
        <v>46282</v>
      </c>
      <c r="C16" s="10">
        <f>SUMIFS([1]pg_transaction_cleaned!$K:$K,[1]pg_transaction_cleaned!$M:$M,A16)</f>
        <v>671270.49000000022</v>
      </c>
      <c r="D16" s="10">
        <f>SUMIFS([1]bank_statement_cleaned!$G:$G,[1]bank_statement_cleaned!$H:$H,A16)</f>
        <v>671270.49</v>
      </c>
      <c r="E16" s="10">
        <f t="shared" si="1"/>
        <v>0</v>
      </c>
      <c r="F16" s="8" t="str">
        <f>IF(B16&gt;DATE(2026,9,30),"Due in October",IF(COUNTIF([1]bank_statement_cleaned!$H:$H,A16)=0,"Missing",IF(ROUND(E16,2)=0,"Matched",IF(E16&lt;0,"Short-paid","Excess"))))</f>
        <v>Matched</v>
      </c>
      <c r="H16" s="8" t="s">
        <v>12362</v>
      </c>
      <c r="I16" s="13">
        <f>I5</f>
        <v>1</v>
      </c>
      <c r="J16" s="14">
        <v>1</v>
      </c>
      <c r="K16" s="11" t="str">
        <f t="shared" si="2"/>
        <v>PASS</v>
      </c>
    </row>
    <row r="17" spans="1:11" x14ac:dyDescent="0.3">
      <c r="A17" s="8" t="s">
        <v>6366</v>
      </c>
      <c r="B17" s="9">
        <f t="shared" si="0"/>
        <v>46283</v>
      </c>
      <c r="C17" s="10">
        <f>SUMIFS([1]pg_transaction_cleaned!$K:$K,[1]pg_transaction_cleaned!$M:$M,A17)</f>
        <v>589645.34999999963</v>
      </c>
      <c r="D17" s="10">
        <f>SUMIFS([1]bank_statement_cleaned!$G:$G,[1]bank_statement_cleaned!$H:$H,A17)</f>
        <v>589645.35</v>
      </c>
      <c r="E17" s="10">
        <f t="shared" si="1"/>
        <v>0</v>
      </c>
      <c r="F17" s="8" t="str">
        <f>IF(B17&gt;DATE(2026,9,30),"Due in October",IF(COUNTIF([1]bank_statement_cleaned!$H:$H,A17)=0,"Missing",IF(ROUND(E17,2)=0,"Matched",IF(E17&lt;0,"Short-paid","Excess"))))</f>
        <v>Matched</v>
      </c>
      <c r="H17" s="8" t="s">
        <v>12363</v>
      </c>
      <c r="I17" s="13">
        <f>I6</f>
        <v>2</v>
      </c>
      <c r="J17" s="14">
        <v>2</v>
      </c>
      <c r="K17" s="11" t="str">
        <f t="shared" si="2"/>
        <v>PASS</v>
      </c>
    </row>
    <row r="18" spans="1:11" x14ac:dyDescent="0.3">
      <c r="A18" s="8" t="s">
        <v>6722</v>
      </c>
      <c r="B18" s="9">
        <f t="shared" si="0"/>
        <v>46284</v>
      </c>
      <c r="C18" s="10">
        <f>SUMIFS([1]pg_transaction_cleaned!$K:$K,[1]pg_transaction_cleaned!$M:$M,A18)</f>
        <v>610773.29000000027</v>
      </c>
      <c r="D18" s="10">
        <f>SUMIFS([1]bank_statement_cleaned!$G:$G,[1]bank_statement_cleaned!$H:$H,A18)</f>
        <v>610773.29</v>
      </c>
      <c r="E18" s="10">
        <f t="shared" si="1"/>
        <v>0</v>
      </c>
      <c r="F18" s="8" t="str">
        <f>IF(B18&gt;DATE(2026,9,30),"Due in October",IF(COUNTIF([1]bank_statement_cleaned!$H:$H,A18)=0,"Missing",IF(ROUND(E18,2)=0,"Matched",IF(E18&lt;0,"Short-paid","Excess"))))</f>
        <v>Matched</v>
      </c>
      <c r="H18" s="8" t="s">
        <v>12364</v>
      </c>
      <c r="I18" s="13">
        <f>I7</f>
        <v>0</v>
      </c>
      <c r="J18" s="14">
        <v>0</v>
      </c>
      <c r="K18" s="11" t="str">
        <f t="shared" si="2"/>
        <v>PASS</v>
      </c>
    </row>
    <row r="19" spans="1:11" x14ac:dyDescent="0.3">
      <c r="A19" s="8" t="s">
        <v>7091</v>
      </c>
      <c r="B19" s="9">
        <f t="shared" si="0"/>
        <v>46285</v>
      </c>
      <c r="C19" s="10">
        <f>SUMIFS([1]pg_transaction_cleaned!$K:$K,[1]pg_transaction_cleaned!$M:$M,A19)</f>
        <v>548940.40999999992</v>
      </c>
      <c r="D19" s="10">
        <f>SUMIFS([1]bank_statement_cleaned!$G:$G,[1]bank_statement_cleaned!$H:$H,A19)</f>
        <v>548940.41</v>
      </c>
      <c r="E19" s="10">
        <f t="shared" si="1"/>
        <v>0</v>
      </c>
      <c r="F19" s="8" t="str">
        <f>IF(B19&gt;DATE(2026,9,30),"Due in October",IF(COUNTIF([1]bank_statement_cleaned!$H:$H,A19)=0,"Missing",IF(ROUND(E19,2)=0,"Matched",IF(E19&lt;0,"Short-paid","Excess"))))</f>
        <v>Matched</v>
      </c>
      <c r="H19" s="8" t="s">
        <v>12365</v>
      </c>
      <c r="I19" s="15">
        <f>ROUND(-L4,2)</f>
        <v>1250</v>
      </c>
      <c r="J19" s="16">
        <v>1250</v>
      </c>
      <c r="K19" s="11" t="str">
        <f t="shared" si="2"/>
        <v>PASS</v>
      </c>
    </row>
    <row r="20" spans="1:11" x14ac:dyDescent="0.3">
      <c r="A20" s="8" t="s">
        <v>7468</v>
      </c>
      <c r="B20" s="9">
        <f t="shared" si="0"/>
        <v>46286</v>
      </c>
      <c r="C20" s="10">
        <f>SUMIFS([1]pg_transaction_cleaned!$K:$K,[1]pg_transaction_cleaned!$M:$M,A20)</f>
        <v>592258.60999999987</v>
      </c>
      <c r="D20" s="10">
        <f>SUMIFS([1]bank_statement_cleaned!$G:$G,[1]bank_statement_cleaned!$H:$H,A20)</f>
        <v>592258.61</v>
      </c>
      <c r="E20" s="10">
        <f t="shared" si="1"/>
        <v>0</v>
      </c>
      <c r="F20" s="8" t="str">
        <f>IF(B20&gt;DATE(2026,9,30),"Due in October",IF(COUNTIF([1]bank_statement_cleaned!$H:$H,A20)=0,"Missing",IF(ROUND(E20,2)=0,"Matched",IF(E20&lt;0,"Short-paid","Excess"))))</f>
        <v>Matched</v>
      </c>
      <c r="H20" s="8" t="s">
        <v>12366</v>
      </c>
      <c r="I20" s="15">
        <f>ROUND(J5,2)</f>
        <v>551074.03</v>
      </c>
      <c r="J20" s="16">
        <v>551074.03</v>
      </c>
      <c r="K20" s="11" t="str">
        <f t="shared" si="2"/>
        <v>PASS</v>
      </c>
    </row>
    <row r="21" spans="1:11" x14ac:dyDescent="0.3">
      <c r="A21" s="8" t="s">
        <v>7878</v>
      </c>
      <c r="B21" s="9">
        <f t="shared" si="0"/>
        <v>46287</v>
      </c>
      <c r="C21" s="10">
        <f>SUMIFS([1]pg_transaction_cleaned!$K:$K,[1]pg_transaction_cleaned!$M:$M,A21)</f>
        <v>584876.78000000014</v>
      </c>
      <c r="D21" s="10">
        <f>SUMIFS([1]bank_statement_cleaned!$G:$G,[1]bank_statement_cleaned!$H:$H,A21)</f>
        <v>584876.78</v>
      </c>
      <c r="E21" s="10">
        <f t="shared" si="1"/>
        <v>0</v>
      </c>
      <c r="F21" s="8" t="str">
        <f>IF(B21&gt;DATE(2026,9,30),"Due in October",IF(COUNTIF([1]bank_statement_cleaned!$H:$H,A21)=0,"Missing",IF(ROUND(E21,2)=0,"Matched",IF(E21&lt;0,"Short-paid","Excess"))))</f>
        <v>Matched</v>
      </c>
      <c r="H21" s="8" t="s">
        <v>12367</v>
      </c>
      <c r="I21" s="15">
        <f>ROUND(J6,2)</f>
        <v>1265526.8999999999</v>
      </c>
      <c r="J21" s="16">
        <v>1265526.8999999999</v>
      </c>
      <c r="K21" s="11" t="str">
        <f t="shared" si="2"/>
        <v>PASS</v>
      </c>
    </row>
    <row r="22" spans="1:11" x14ac:dyDescent="0.3">
      <c r="A22" s="8" t="s">
        <v>8302</v>
      </c>
      <c r="B22" s="9">
        <f t="shared" si="0"/>
        <v>46288</v>
      </c>
      <c r="C22" s="10">
        <f>SUMIFS([1]pg_transaction_cleaned!$K:$K,[1]pg_transaction_cleaned!$M:$M,A22)</f>
        <v>590273.39000000025</v>
      </c>
      <c r="D22" s="10">
        <f>SUMIFS([1]bank_statement_cleaned!$G:$G,[1]bank_statement_cleaned!$H:$H,A22)</f>
        <v>590273.39</v>
      </c>
      <c r="E22" s="10">
        <f t="shared" si="1"/>
        <v>0</v>
      </c>
      <c r="F22" s="8" t="str">
        <f>IF(B22&gt;DATE(2026,9,30),"Due in October",IF(COUNTIF([1]bank_statement_cleaned!$H:$H,A22)=0,"Missing",IF(ROUND(E22,2)=0,"Matched",IF(E22&lt;0,"Short-paid","Excess"))))</f>
        <v>Matched</v>
      </c>
      <c r="H22" s="8" t="s">
        <v>12368</v>
      </c>
      <c r="I22" s="15">
        <f>ROUND(C32,2)</f>
        <v>18801899.489999998</v>
      </c>
      <c r="J22" s="16">
        <v>18801899.489999998</v>
      </c>
      <c r="K22" s="11" t="str">
        <f t="shared" si="2"/>
        <v>PASS</v>
      </c>
    </row>
    <row r="23" spans="1:11" x14ac:dyDescent="0.3">
      <c r="A23" s="8" t="s">
        <v>8690</v>
      </c>
      <c r="B23" s="9">
        <f t="shared" si="0"/>
        <v>46289</v>
      </c>
      <c r="C23" s="10">
        <f>SUMIFS([1]pg_transaction_cleaned!$K:$K,[1]pg_transaction_cleaned!$M:$M,A23)</f>
        <v>540644.2200000002</v>
      </c>
      <c r="D23" s="10">
        <f>SUMIFS([1]bank_statement_cleaned!$G:$G,[1]bank_statement_cleaned!$H:$H,A23)</f>
        <v>540644.22</v>
      </c>
      <c r="E23" s="10">
        <f t="shared" si="1"/>
        <v>0</v>
      </c>
      <c r="F23" s="8" t="str">
        <f>IF(B23&gt;DATE(2026,9,30),"Due in October",IF(COUNTIF([1]bank_statement_cleaned!$H:$H,A23)=0,"Missing",IF(ROUND(E23,2)=0,"Matched",IF(E23&lt;0,"Short-paid","Excess"))))</f>
        <v>Matched</v>
      </c>
      <c r="H23" s="8" t="s">
        <v>12369</v>
      </c>
      <c r="I23" s="17">
        <f>ROUND(C32-SUM([1]pg_transaction_cleaned!$K$2:$K$5743),2)</f>
        <v>0</v>
      </c>
      <c r="J23" s="18">
        <v>0</v>
      </c>
      <c r="K23" s="11" t="str">
        <f t="shared" si="2"/>
        <v>PASS</v>
      </c>
    </row>
    <row r="24" spans="1:11" x14ac:dyDescent="0.3">
      <c r="A24" s="8" t="s">
        <v>9048</v>
      </c>
      <c r="B24" s="9">
        <f t="shared" si="0"/>
        <v>46290</v>
      </c>
      <c r="C24" s="10">
        <f>SUMIFS([1]pg_transaction_cleaned!$K:$K,[1]pg_transaction_cleaned!$M:$M,A24)</f>
        <v>594966.58999999985</v>
      </c>
      <c r="D24" s="10">
        <f>SUMIFS([1]bank_statement_cleaned!$G:$G,[1]bank_statement_cleaned!$H:$H,A24)</f>
        <v>594966.59</v>
      </c>
      <c r="E24" s="10">
        <f t="shared" si="1"/>
        <v>0</v>
      </c>
      <c r="F24" s="8" t="str">
        <f>IF(B24&gt;DATE(2026,9,30),"Due in October",IF(COUNTIF([1]bank_statement_cleaned!$H:$H,A24)=0,"Missing",IF(ROUND(E24,2)=0,"Matched",IF(E24&lt;0,"Short-paid","Excess"))))</f>
        <v>Matched</v>
      </c>
      <c r="H24" s="8" t="s">
        <v>12370</v>
      </c>
      <c r="I24" s="15">
        <f>ROUND(D32,2)</f>
        <v>16984048.559999999</v>
      </c>
      <c r="J24" s="16">
        <v>16984048.559999999</v>
      </c>
      <c r="K24" s="11" t="str">
        <f t="shared" si="2"/>
        <v>PASS</v>
      </c>
    </row>
    <row r="25" spans="1:11" x14ac:dyDescent="0.3">
      <c r="A25" s="8" t="s">
        <v>9402</v>
      </c>
      <c r="B25" s="9">
        <f t="shared" si="0"/>
        <v>46291</v>
      </c>
      <c r="C25" s="10">
        <f>SUMIFS([1]pg_transaction_cleaned!$K:$K,[1]pg_transaction_cleaned!$M:$M,A25)</f>
        <v>711251.32000000007</v>
      </c>
      <c r="D25" s="10">
        <f>SUMIFS([1]bank_statement_cleaned!$G:$G,[1]bank_statement_cleaned!$H:$H,A25)</f>
        <v>711251.32</v>
      </c>
      <c r="E25" s="10">
        <f t="shared" si="1"/>
        <v>0</v>
      </c>
      <c r="F25" s="8" t="str">
        <f>IF(B25&gt;DATE(2026,9,30),"Due in October",IF(COUNTIF([1]bank_statement_cleaned!$H:$H,A25)=0,"Missing",IF(ROUND(E25,2)=0,"Matched",IF(E25&lt;0,"Short-paid","Excess"))))</f>
        <v>Matched</v>
      </c>
      <c r="H25" s="8" t="s">
        <v>12371</v>
      </c>
      <c r="I25" s="17">
        <f>ROUND(D32-SUMIF([1]bank_statement_cleaned!$I:$I,"Gateway",[1]bank_statement_cleaned!$G:$G),2)</f>
        <v>0</v>
      </c>
      <c r="J25" s="18">
        <v>0</v>
      </c>
      <c r="K25" s="11" t="str">
        <f t="shared" si="2"/>
        <v>PASS</v>
      </c>
    </row>
    <row r="26" spans="1:11" x14ac:dyDescent="0.3">
      <c r="A26" s="8" t="s">
        <v>9819</v>
      </c>
      <c r="B26" s="9">
        <f t="shared" si="0"/>
        <v>46292</v>
      </c>
      <c r="C26" s="10">
        <f>SUMIFS([1]pg_transaction_cleaned!$K:$K,[1]pg_transaction_cleaned!$M:$M,A26)</f>
        <v>805057.10000000056</v>
      </c>
      <c r="D26" s="10">
        <f>SUMIFS([1]bank_statement_cleaned!$G:$G,[1]bank_statement_cleaned!$H:$H,A26)</f>
        <v>805057.1</v>
      </c>
      <c r="E26" s="10">
        <f t="shared" si="1"/>
        <v>0</v>
      </c>
      <c r="F26" s="8" t="str">
        <f>IF(B26&gt;DATE(2026,9,30),"Due in October",IF(COUNTIF([1]bank_statement_cleaned!$H:$H,A26)=0,"Missing",IF(ROUND(E26,2)=0,"Matched",IF(E26&lt;0,"Short-paid","Excess"))))</f>
        <v>Matched</v>
      </c>
      <c r="H26" s="8" t="s">
        <v>12372</v>
      </c>
      <c r="I26" s="17">
        <f>ROUND((C32-D32)-(-L4+J5+J6),2)</f>
        <v>0</v>
      </c>
      <c r="J26" s="18">
        <v>0</v>
      </c>
      <c r="K26" s="11" t="str">
        <f t="shared" si="2"/>
        <v>PASS</v>
      </c>
    </row>
    <row r="27" spans="1:11" x14ac:dyDescent="0.3">
      <c r="A27" s="8" t="s">
        <v>10261</v>
      </c>
      <c r="B27" s="9">
        <f t="shared" si="0"/>
        <v>46293</v>
      </c>
      <c r="C27" s="10">
        <f>SUMIFS([1]pg_transaction_cleaned!$K:$K,[1]pg_transaction_cleaned!$M:$M,A27)</f>
        <v>569672.42999999959</v>
      </c>
      <c r="D27" s="10">
        <f>SUMIFS([1]bank_statement_cleaned!$G:$G,[1]bank_statement_cleaned!$H:$H,A27)</f>
        <v>569672.43000000005</v>
      </c>
      <c r="E27" s="10">
        <f t="shared" si="1"/>
        <v>0</v>
      </c>
      <c r="F27" s="8" t="str">
        <f>IF(B27&gt;DATE(2026,9,30),"Due in October",IF(COUNTIF([1]bank_statement_cleaned!$H:$H,A27)=0,"Missing",IF(ROUND(E27,2)=0,"Matched",IF(E27&lt;0,"Short-paid","Excess"))))</f>
        <v>Matched</v>
      </c>
    </row>
    <row r="28" spans="1:11" x14ac:dyDescent="0.3">
      <c r="A28" s="8" t="s">
        <v>10627</v>
      </c>
      <c r="B28" s="9">
        <f t="shared" si="0"/>
        <v>46294</v>
      </c>
      <c r="C28" s="10">
        <f>SUMIFS([1]pg_transaction_cleaned!$K:$K,[1]pg_transaction_cleaned!$M:$M,A28)</f>
        <v>641930.7300000008</v>
      </c>
      <c r="D28" s="10">
        <f>SUMIFS([1]bank_statement_cleaned!$G:$G,[1]bank_statement_cleaned!$H:$H,A28)</f>
        <v>641930.73</v>
      </c>
      <c r="E28" s="10">
        <f t="shared" si="1"/>
        <v>0</v>
      </c>
      <c r="F28" s="8" t="str">
        <f>IF(B28&gt;DATE(2026,9,30),"Due in October",IF(COUNTIF([1]bank_statement_cleaned!$H:$H,A28)=0,"Missing",IF(ROUND(E28,2)=0,"Matched",IF(E28&lt;0,"Short-paid","Excess"))))</f>
        <v>Matched</v>
      </c>
      <c r="H28" s="19" t="s">
        <v>12373</v>
      </c>
      <c r="I28" s="19" t="str">
        <f>COUNTIF(K13:K26,"PASS")&amp;" of "&amp;COUNTA(K13:K26)</f>
        <v>14 of 14</v>
      </c>
    </row>
    <row r="29" spans="1:11" x14ac:dyDescent="0.3">
      <c r="A29" s="8" t="s">
        <v>11038</v>
      </c>
      <c r="B29" s="9">
        <f t="shared" si="0"/>
        <v>46295</v>
      </c>
      <c r="C29" s="10">
        <f>SUMIFS([1]pg_transaction_cleaned!$K:$K,[1]pg_transaction_cleaned!$M:$M,A29)</f>
        <v>694085.78</v>
      </c>
      <c r="D29" s="10">
        <f>SUMIFS([1]bank_statement_cleaned!$G:$G,[1]bank_statement_cleaned!$H:$H,A29)</f>
        <v>694085.78</v>
      </c>
      <c r="E29" s="10">
        <f t="shared" si="1"/>
        <v>0</v>
      </c>
      <c r="F29" s="8" t="str">
        <f>IF(B29&gt;DATE(2026,9,30),"Due in October",IF(COUNTIF([1]bank_statement_cleaned!$H:$H,A29)=0,"Missing",IF(ROUND(E29,2)=0,"Matched",IF(E29&lt;0,"Short-paid","Excess"))))</f>
        <v>Matched</v>
      </c>
    </row>
    <row r="30" spans="1:11" x14ac:dyDescent="0.3">
      <c r="A30" s="8" t="s">
        <v>11453</v>
      </c>
      <c r="B30" s="9">
        <f t="shared" si="0"/>
        <v>46296</v>
      </c>
      <c r="C30" s="10">
        <f>SUMIFS([1]pg_transaction_cleaned!$K:$K,[1]pg_transaction_cleaned!$M:$M,A30)</f>
        <v>650622.70000000019</v>
      </c>
      <c r="D30" s="10">
        <f>SUMIFS([1]bank_statement_cleaned!$G:$G,[1]bank_statement_cleaned!$H:$H,A30)</f>
        <v>0</v>
      </c>
      <c r="E30" s="10">
        <f t="shared" si="1"/>
        <v>-650622.70000000019</v>
      </c>
      <c r="F30" s="8" t="str">
        <f>IF(B30&gt;DATE(2026,9,30),"Due in October",IF(COUNTIF([1]bank_statement_cleaned!$H:$H,A30)=0,"Missing",IF(ROUND(E30,2)=0,"Matched",IF(E30&lt;0,"Short-paid","Excess"))))</f>
        <v>Due in October</v>
      </c>
    </row>
    <row r="31" spans="1:11" x14ac:dyDescent="0.3">
      <c r="A31" s="8" t="s">
        <v>11852</v>
      </c>
      <c r="B31" s="9">
        <f t="shared" si="0"/>
        <v>46297</v>
      </c>
      <c r="C31" s="10">
        <f>SUMIFS([1]pg_transaction_cleaned!$K:$K,[1]pg_transaction_cleaned!$M:$M,A31)</f>
        <v>614904.19999999972</v>
      </c>
      <c r="D31" s="10">
        <f>SUMIFS([1]bank_statement_cleaned!$G:$G,[1]bank_statement_cleaned!$H:$H,A31)</f>
        <v>0</v>
      </c>
      <c r="E31" s="10">
        <f t="shared" si="1"/>
        <v>-614904.19999999972</v>
      </c>
      <c r="F31" s="8" t="str">
        <f>IF(B31&gt;DATE(2026,9,30),"Due in October",IF(COUNTIF([1]bank_statement_cleaned!$H:$H,A31)=0,"Missing",IF(ROUND(E31,2)=0,"Matched",IF(E31&lt;0,"Short-paid","Excess"))))</f>
        <v>Due in October</v>
      </c>
    </row>
    <row r="32" spans="1:11" x14ac:dyDescent="0.3">
      <c r="A32" s="11" t="s">
        <v>12354</v>
      </c>
      <c r="B32" s="20"/>
      <c r="C32" s="12">
        <f>SUM(C2:C31)</f>
        <v>18801899.490000006</v>
      </c>
      <c r="D32" s="12">
        <f>SUM(D2:D31)</f>
        <v>16984048.559999999</v>
      </c>
      <c r="E32" s="12">
        <f>SUM(E2:E31)</f>
        <v>-1817850.9300000002</v>
      </c>
      <c r="F32" s="20"/>
    </row>
  </sheetData>
  <conditionalFormatting sqref="F2:F31">
    <cfRule type="cellIs" dxfId="3" priority="1" operator="equal">
      <formula>"Matched"</formula>
    </cfRule>
    <cfRule type="cellIs" dxfId="2" priority="2" operator="equal">
      <formula>"Short-paid"</formula>
    </cfRule>
    <cfRule type="cellIs" dxfId="1" priority="3" operator="equal">
      <formula>"Missing"</formula>
    </cfRule>
    <cfRule type="cellIs" dxfId="0" priority="4" operator="equal">
      <formula>"Due in October"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7EECA-6AD3-4C93-A7F7-705F4E306E4E}">
  <dimension ref="A1:C64"/>
  <sheetViews>
    <sheetView tabSelected="1" topLeftCell="A49" workbookViewId="0">
      <selection activeCell="B60" sqref="B60"/>
    </sheetView>
  </sheetViews>
  <sheetFormatPr defaultRowHeight="14.4" x14ac:dyDescent="0.3"/>
  <cols>
    <col min="1" max="1" width="53" customWidth="1"/>
    <col min="2" max="2" width="46" customWidth="1"/>
    <col min="3" max="3" width="54" customWidth="1"/>
  </cols>
  <sheetData>
    <row r="1" spans="1:3" x14ac:dyDescent="0.3">
      <c r="A1" t="s">
        <v>81</v>
      </c>
    </row>
    <row r="3" spans="1:3" x14ac:dyDescent="0.3">
      <c r="A3" t="s">
        <v>82</v>
      </c>
    </row>
    <row r="5" spans="1:3" x14ac:dyDescent="0.3">
      <c r="A5" t="s">
        <v>83</v>
      </c>
      <c r="B5" t="s">
        <v>84</v>
      </c>
      <c r="C5" t="s">
        <v>85</v>
      </c>
    </row>
    <row r="6" spans="1:3" x14ac:dyDescent="0.3">
      <c r="A6" t="s">
        <v>86</v>
      </c>
      <c r="B6" t="s">
        <v>87</v>
      </c>
      <c r="C6" t="s">
        <v>88</v>
      </c>
    </row>
    <row r="7" spans="1:3" x14ac:dyDescent="0.3">
      <c r="A7" t="s">
        <v>89</v>
      </c>
      <c r="B7" t="s">
        <v>90</v>
      </c>
      <c r="C7" t="s">
        <v>91</v>
      </c>
    </row>
    <row r="8" spans="1:3" x14ac:dyDescent="0.3">
      <c r="A8" t="s">
        <v>92</v>
      </c>
      <c r="B8" t="s">
        <v>93</v>
      </c>
      <c r="C8" t="s">
        <v>94</v>
      </c>
    </row>
    <row r="9" spans="1:3" x14ac:dyDescent="0.3">
      <c r="A9" t="s">
        <v>95</v>
      </c>
      <c r="B9" t="s">
        <v>96</v>
      </c>
      <c r="C9" t="s">
        <v>97</v>
      </c>
    </row>
    <row r="10" spans="1:3" x14ac:dyDescent="0.3">
      <c r="A10" t="s">
        <v>98</v>
      </c>
      <c r="B10" t="s">
        <v>99</v>
      </c>
      <c r="C10" t="s">
        <v>100</v>
      </c>
    </row>
    <row r="11" spans="1:3" x14ac:dyDescent="0.3">
      <c r="A11" t="s">
        <v>101</v>
      </c>
      <c r="B11" t="s">
        <v>102</v>
      </c>
      <c r="C11" t="s">
        <v>103</v>
      </c>
    </row>
    <row r="13" spans="1:3" x14ac:dyDescent="0.3">
      <c r="A13" t="s">
        <v>104</v>
      </c>
    </row>
    <row r="15" spans="1:3" x14ac:dyDescent="0.3">
      <c r="A15" t="s">
        <v>105</v>
      </c>
    </row>
    <row r="16" spans="1:3" x14ac:dyDescent="0.3">
      <c r="A16" t="s">
        <v>106</v>
      </c>
    </row>
    <row r="17" spans="1:3" x14ac:dyDescent="0.3">
      <c r="A17" t="s">
        <v>107</v>
      </c>
    </row>
    <row r="18" spans="1:3" x14ac:dyDescent="0.3">
      <c r="A18" t="s">
        <v>108</v>
      </c>
    </row>
    <row r="19" spans="1:3" x14ac:dyDescent="0.3">
      <c r="A19" t="s">
        <v>109</v>
      </c>
    </row>
    <row r="20" spans="1:3" x14ac:dyDescent="0.3">
      <c r="A20" t="s">
        <v>110</v>
      </c>
    </row>
    <row r="21" spans="1:3" x14ac:dyDescent="0.3">
      <c r="A21" t="s">
        <v>111</v>
      </c>
    </row>
    <row r="22" spans="1:3" x14ac:dyDescent="0.3">
      <c r="A22" t="s">
        <v>112</v>
      </c>
    </row>
    <row r="23" spans="1:3" x14ac:dyDescent="0.3">
      <c r="A23" t="s">
        <v>113</v>
      </c>
    </row>
    <row r="26" spans="1:3" x14ac:dyDescent="0.3">
      <c r="A26" t="s">
        <v>114</v>
      </c>
    </row>
    <row r="28" spans="1:3" x14ac:dyDescent="0.3">
      <c r="A28" t="s">
        <v>115</v>
      </c>
    </row>
    <row r="30" spans="1:3" x14ac:dyDescent="0.3">
      <c r="A30" t="s">
        <v>116</v>
      </c>
    </row>
    <row r="32" spans="1:3" x14ac:dyDescent="0.3">
      <c r="A32" t="s">
        <v>83</v>
      </c>
      <c r="B32" t="s">
        <v>84</v>
      </c>
      <c r="C32" t="s">
        <v>85</v>
      </c>
    </row>
    <row r="33" spans="1:3" x14ac:dyDescent="0.3">
      <c r="A33" t="s">
        <v>117</v>
      </c>
      <c r="B33" t="s">
        <v>118</v>
      </c>
      <c r="C33" t="s">
        <v>119</v>
      </c>
    </row>
    <row r="34" spans="1:3" x14ac:dyDescent="0.3">
      <c r="A34" t="s">
        <v>120</v>
      </c>
      <c r="B34" t="s">
        <v>121</v>
      </c>
      <c r="C34" t="s">
        <v>122</v>
      </c>
    </row>
    <row r="35" spans="1:3" x14ac:dyDescent="0.3">
      <c r="A35" t="s">
        <v>123</v>
      </c>
      <c r="B35" t="s">
        <v>124</v>
      </c>
      <c r="C35" t="s">
        <v>125</v>
      </c>
    </row>
    <row r="36" spans="1:3" x14ac:dyDescent="0.3">
      <c r="A36" t="s">
        <v>126</v>
      </c>
      <c r="B36" t="s">
        <v>127</v>
      </c>
      <c r="C36" t="s">
        <v>128</v>
      </c>
    </row>
    <row r="37" spans="1:3" x14ac:dyDescent="0.3">
      <c r="A37" t="s">
        <v>129</v>
      </c>
      <c r="B37" t="s">
        <v>130</v>
      </c>
      <c r="C37" t="s">
        <v>131</v>
      </c>
    </row>
    <row r="39" spans="1:3" x14ac:dyDescent="0.3">
      <c r="A39" t="s">
        <v>132</v>
      </c>
    </row>
    <row r="41" spans="1:3" x14ac:dyDescent="0.3">
      <c r="A41" t="s">
        <v>133</v>
      </c>
    </row>
    <row r="42" spans="1:3" x14ac:dyDescent="0.3">
      <c r="A42" t="s">
        <v>134</v>
      </c>
    </row>
    <row r="43" spans="1:3" x14ac:dyDescent="0.3">
      <c r="A43" t="s">
        <v>135</v>
      </c>
    </row>
    <row r="44" spans="1:3" x14ac:dyDescent="0.3">
      <c r="A44" t="s">
        <v>136</v>
      </c>
    </row>
    <row r="47" spans="1:3" x14ac:dyDescent="0.3">
      <c r="A47" t="s">
        <v>137</v>
      </c>
    </row>
    <row r="49" spans="1:3" x14ac:dyDescent="0.3">
      <c r="A49" t="s">
        <v>138</v>
      </c>
      <c r="B49" t="s">
        <v>139</v>
      </c>
      <c r="C49" t="s">
        <v>85</v>
      </c>
    </row>
    <row r="50" spans="1:3" x14ac:dyDescent="0.3">
      <c r="A50" t="s">
        <v>140</v>
      </c>
      <c r="B50" t="s">
        <v>141</v>
      </c>
      <c r="C50" t="s">
        <v>142</v>
      </c>
    </row>
    <row r="51" spans="1:3" x14ac:dyDescent="0.3">
      <c r="A51" t="s">
        <v>143</v>
      </c>
      <c r="B51" t="s">
        <v>144</v>
      </c>
      <c r="C51" t="s">
        <v>145</v>
      </c>
    </row>
    <row r="52" spans="1:3" x14ac:dyDescent="0.3">
      <c r="A52" t="s">
        <v>146</v>
      </c>
      <c r="B52" t="s">
        <v>147</v>
      </c>
      <c r="C52" t="s">
        <v>148</v>
      </c>
    </row>
    <row r="53" spans="1:3" x14ac:dyDescent="0.3">
      <c r="A53" t="s">
        <v>149</v>
      </c>
      <c r="B53" t="s">
        <v>150</v>
      </c>
      <c r="C53" t="s">
        <v>151</v>
      </c>
    </row>
    <row r="54" spans="1:3" x14ac:dyDescent="0.3">
      <c r="A54" t="s">
        <v>152</v>
      </c>
      <c r="B54" t="s">
        <v>153</v>
      </c>
      <c r="C54" t="s">
        <v>154</v>
      </c>
    </row>
    <row r="55" spans="1:3" x14ac:dyDescent="0.3">
      <c r="A55" t="s">
        <v>155</v>
      </c>
      <c r="B55" t="s">
        <v>156</v>
      </c>
      <c r="C55" t="s">
        <v>157</v>
      </c>
    </row>
    <row r="56" spans="1:3" x14ac:dyDescent="0.3">
      <c r="A56" t="s">
        <v>158</v>
      </c>
      <c r="B56" t="s">
        <v>159</v>
      </c>
      <c r="C56" t="s">
        <v>160</v>
      </c>
    </row>
    <row r="57" spans="1:3" x14ac:dyDescent="0.3">
      <c r="A57" t="s">
        <v>161</v>
      </c>
      <c r="B57" t="s">
        <v>162</v>
      </c>
      <c r="C57" t="s">
        <v>163</v>
      </c>
    </row>
    <row r="58" spans="1:3" x14ac:dyDescent="0.3">
      <c r="A58" t="s">
        <v>164</v>
      </c>
      <c r="B58" t="s">
        <v>165</v>
      </c>
      <c r="C58" t="s">
        <v>166</v>
      </c>
    </row>
    <row r="59" spans="1:3" x14ac:dyDescent="0.3">
      <c r="A59" t="s">
        <v>167</v>
      </c>
      <c r="B59" t="s">
        <v>168</v>
      </c>
      <c r="C59" t="s">
        <v>169</v>
      </c>
    </row>
    <row r="60" spans="1:3" x14ac:dyDescent="0.3">
      <c r="A60" t="s">
        <v>170</v>
      </c>
      <c r="B60" t="s">
        <v>171</v>
      </c>
      <c r="C60" t="s">
        <v>172</v>
      </c>
    </row>
    <row r="61" spans="1:3" x14ac:dyDescent="0.3">
      <c r="A61" t="s">
        <v>173</v>
      </c>
      <c r="B61" t="s">
        <v>174</v>
      </c>
      <c r="C61" t="s">
        <v>175</v>
      </c>
    </row>
    <row r="62" spans="1:3" x14ac:dyDescent="0.3">
      <c r="A62" t="s">
        <v>176</v>
      </c>
      <c r="B62" t="s">
        <v>177</v>
      </c>
      <c r="C62" t="s">
        <v>178</v>
      </c>
    </row>
    <row r="63" spans="1:3" x14ac:dyDescent="0.3">
      <c r="A63" t="s">
        <v>179</v>
      </c>
      <c r="B63" t="s">
        <v>180</v>
      </c>
      <c r="C63" t="s">
        <v>181</v>
      </c>
    </row>
    <row r="64" spans="1:3" x14ac:dyDescent="0.3">
      <c r="A64" t="s">
        <v>182</v>
      </c>
      <c r="B64" t="s">
        <v>183</v>
      </c>
      <c r="C64" t="s">
        <v>184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04D97-0C4C-44AA-BBB3-3CF7333C9292}">
  <dimension ref="A1:Q5743"/>
  <sheetViews>
    <sheetView workbookViewId="0">
      <selection activeCell="Q2" sqref="Q2"/>
    </sheetView>
  </sheetViews>
  <sheetFormatPr defaultRowHeight="14.4" x14ac:dyDescent="0.3"/>
  <cols>
    <col min="1" max="1" width="24.21875" customWidth="1"/>
    <col min="2" max="2" width="19.6640625" customWidth="1"/>
    <col min="3" max="3" width="29.6640625" customWidth="1"/>
    <col min="4" max="4" width="31.109375" customWidth="1"/>
    <col min="5" max="5" width="20.109375" customWidth="1"/>
    <col min="6" max="6" width="15.6640625" customWidth="1"/>
    <col min="7" max="7" width="24.5546875" customWidth="1"/>
    <col min="8" max="8" width="19" customWidth="1"/>
    <col min="9" max="9" width="20.44140625" customWidth="1"/>
    <col min="10" max="10" width="23.6640625" customWidth="1"/>
    <col min="11" max="11" width="16.21875" customWidth="1"/>
    <col min="12" max="12" width="17" customWidth="1"/>
  </cols>
  <sheetData>
    <row r="1" spans="1:17" x14ac:dyDescent="0.3">
      <c r="A1" t="s">
        <v>185</v>
      </c>
      <c r="B1" t="s">
        <v>186</v>
      </c>
      <c r="C1" t="s">
        <v>187</v>
      </c>
      <c r="D1" t="s">
        <v>188</v>
      </c>
      <c r="E1" t="s">
        <v>189</v>
      </c>
      <c r="F1" t="s">
        <v>190</v>
      </c>
      <c r="G1" t="s">
        <v>191</v>
      </c>
      <c r="H1" t="s">
        <v>192</v>
      </c>
      <c r="I1" t="s">
        <v>193</v>
      </c>
      <c r="J1" t="s">
        <v>194</v>
      </c>
      <c r="K1" t="s">
        <v>195</v>
      </c>
      <c r="L1" t="s">
        <v>196</v>
      </c>
      <c r="M1" t="s">
        <v>197</v>
      </c>
      <c r="N1" t="s">
        <v>198</v>
      </c>
      <c r="O1" t="s">
        <v>199</v>
      </c>
      <c r="P1" t="s">
        <v>200</v>
      </c>
      <c r="Q1" t="s">
        <v>201</v>
      </c>
    </row>
    <row r="2" spans="1:17" x14ac:dyDescent="0.3">
      <c r="A2" t="s">
        <v>202</v>
      </c>
      <c r="C2" t="s">
        <v>203</v>
      </c>
      <c r="D2" t="s">
        <v>203</v>
      </c>
      <c r="E2" s="5">
        <v>46266</v>
      </c>
      <c r="F2" t="s">
        <v>204</v>
      </c>
      <c r="G2" t="s">
        <v>205</v>
      </c>
      <c r="H2">
        <v>6798</v>
      </c>
      <c r="I2">
        <v>163.15</v>
      </c>
      <c r="J2">
        <v>29.37</v>
      </c>
      <c r="K2">
        <v>6605.48</v>
      </c>
      <c r="L2" s="5">
        <v>46268</v>
      </c>
      <c r="M2" t="s">
        <v>206</v>
      </c>
      <c r="N2" t="s">
        <v>207</v>
      </c>
      <c r="O2" t="s">
        <v>203</v>
      </c>
      <c r="P2" t="s">
        <v>208</v>
      </c>
      <c r="Q2" t="s">
        <v>209</v>
      </c>
    </row>
    <row r="3" spans="1:17" x14ac:dyDescent="0.3">
      <c r="A3" t="s">
        <v>210</v>
      </c>
      <c r="C3" t="s">
        <v>211</v>
      </c>
      <c r="D3" t="s">
        <v>212</v>
      </c>
      <c r="E3" s="5">
        <v>46266</v>
      </c>
      <c r="F3" t="s">
        <v>204</v>
      </c>
      <c r="G3" t="s">
        <v>213</v>
      </c>
      <c r="H3">
        <v>11297</v>
      </c>
      <c r="I3">
        <v>180.75</v>
      </c>
      <c r="J3">
        <v>32.54</v>
      </c>
      <c r="K3">
        <v>11083.71</v>
      </c>
      <c r="L3" s="5">
        <v>46268</v>
      </c>
      <c r="M3" t="s">
        <v>206</v>
      </c>
      <c r="N3" t="s">
        <v>207</v>
      </c>
      <c r="O3" t="s">
        <v>212</v>
      </c>
      <c r="P3" t="s">
        <v>208</v>
      </c>
      <c r="Q3" t="s">
        <v>209</v>
      </c>
    </row>
    <row r="4" spans="1:17" x14ac:dyDescent="0.3">
      <c r="A4" t="s">
        <v>214</v>
      </c>
      <c r="C4" t="s">
        <v>215</v>
      </c>
      <c r="D4" t="s">
        <v>215</v>
      </c>
      <c r="E4" s="5">
        <v>46266</v>
      </c>
      <c r="F4" t="s">
        <v>204</v>
      </c>
      <c r="G4" t="s">
        <v>213</v>
      </c>
      <c r="H4">
        <v>4999</v>
      </c>
      <c r="I4">
        <v>79.98</v>
      </c>
      <c r="J4">
        <v>14.4</v>
      </c>
      <c r="K4">
        <v>4904.62</v>
      </c>
      <c r="L4" s="5">
        <v>46268</v>
      </c>
      <c r="M4" t="s">
        <v>206</v>
      </c>
      <c r="N4" t="s">
        <v>207</v>
      </c>
      <c r="O4" t="s">
        <v>215</v>
      </c>
      <c r="P4" t="s">
        <v>208</v>
      </c>
      <c r="Q4" t="s">
        <v>209</v>
      </c>
    </row>
    <row r="5" spans="1:17" x14ac:dyDescent="0.3">
      <c r="A5" t="s">
        <v>216</v>
      </c>
      <c r="C5" t="s">
        <v>217</v>
      </c>
      <c r="D5" t="s">
        <v>217</v>
      </c>
      <c r="E5" s="5">
        <v>46266</v>
      </c>
      <c r="F5" t="s">
        <v>204</v>
      </c>
      <c r="G5" t="s">
        <v>213</v>
      </c>
      <c r="H5">
        <v>349</v>
      </c>
      <c r="I5">
        <v>6.28</v>
      </c>
      <c r="J5">
        <v>1.1299999999999999</v>
      </c>
      <c r="K5">
        <v>341.59</v>
      </c>
      <c r="L5" s="5">
        <v>46268</v>
      </c>
      <c r="M5" t="s">
        <v>206</v>
      </c>
      <c r="N5" t="s">
        <v>207</v>
      </c>
      <c r="O5" t="s">
        <v>217</v>
      </c>
      <c r="P5" t="s">
        <v>208</v>
      </c>
      <c r="Q5" t="s">
        <v>209</v>
      </c>
    </row>
    <row r="6" spans="1:17" x14ac:dyDescent="0.3">
      <c r="A6" t="s">
        <v>218</v>
      </c>
      <c r="C6" t="s">
        <v>219</v>
      </c>
      <c r="D6" t="s">
        <v>219</v>
      </c>
      <c r="E6" s="5">
        <v>46266</v>
      </c>
      <c r="F6" t="s">
        <v>204</v>
      </c>
      <c r="G6" t="s">
        <v>220</v>
      </c>
      <c r="H6">
        <v>9498</v>
      </c>
      <c r="I6">
        <v>28.49</v>
      </c>
      <c r="J6">
        <v>5.13</v>
      </c>
      <c r="K6">
        <v>9464.3799999999992</v>
      </c>
      <c r="L6" s="5">
        <v>46268</v>
      </c>
      <c r="M6" t="s">
        <v>206</v>
      </c>
      <c r="N6" t="s">
        <v>207</v>
      </c>
      <c r="O6" t="s">
        <v>219</v>
      </c>
      <c r="P6" t="s">
        <v>208</v>
      </c>
      <c r="Q6" t="s">
        <v>209</v>
      </c>
    </row>
    <row r="7" spans="1:17" x14ac:dyDescent="0.3">
      <c r="A7" t="s">
        <v>221</v>
      </c>
      <c r="C7" t="s">
        <v>222</v>
      </c>
      <c r="D7" t="s">
        <v>222</v>
      </c>
      <c r="E7" s="5">
        <v>46266</v>
      </c>
      <c r="F7" t="s">
        <v>204</v>
      </c>
      <c r="G7" t="s">
        <v>213</v>
      </c>
      <c r="H7">
        <v>7999</v>
      </c>
      <c r="I7">
        <v>127.98</v>
      </c>
      <c r="J7">
        <v>23.04</v>
      </c>
      <c r="K7">
        <v>7847.98</v>
      </c>
      <c r="L7" s="5">
        <v>46268</v>
      </c>
      <c r="M7" t="s">
        <v>206</v>
      </c>
      <c r="N7" t="s">
        <v>207</v>
      </c>
      <c r="O7" t="s">
        <v>222</v>
      </c>
      <c r="P7" t="s">
        <v>208</v>
      </c>
      <c r="Q7" t="s">
        <v>209</v>
      </c>
    </row>
    <row r="8" spans="1:17" x14ac:dyDescent="0.3">
      <c r="A8" t="s">
        <v>223</v>
      </c>
      <c r="C8" t="s">
        <v>224</v>
      </c>
      <c r="D8" t="s">
        <v>224</v>
      </c>
      <c r="E8" s="5">
        <v>46266</v>
      </c>
      <c r="F8" t="s">
        <v>204</v>
      </c>
      <c r="G8" t="s">
        <v>213</v>
      </c>
      <c r="H8">
        <v>1299</v>
      </c>
      <c r="I8">
        <v>23.38</v>
      </c>
      <c r="J8">
        <v>4.21</v>
      </c>
      <c r="K8">
        <v>1271.4100000000001</v>
      </c>
      <c r="L8" s="5">
        <v>46268</v>
      </c>
      <c r="M8" t="s">
        <v>206</v>
      </c>
      <c r="N8" t="s">
        <v>207</v>
      </c>
      <c r="O8" t="s">
        <v>224</v>
      </c>
      <c r="P8" t="s">
        <v>208</v>
      </c>
      <c r="Q8" t="s">
        <v>209</v>
      </c>
    </row>
    <row r="9" spans="1:17" x14ac:dyDescent="0.3">
      <c r="A9" t="s">
        <v>225</v>
      </c>
      <c r="C9" t="s">
        <v>226</v>
      </c>
      <c r="D9" t="s">
        <v>226</v>
      </c>
      <c r="E9" s="5">
        <v>46266</v>
      </c>
      <c r="F9" t="s">
        <v>204</v>
      </c>
      <c r="G9" t="s">
        <v>220</v>
      </c>
      <c r="H9">
        <v>1799</v>
      </c>
      <c r="I9">
        <v>0</v>
      </c>
      <c r="J9">
        <v>0</v>
      </c>
      <c r="K9">
        <v>1799</v>
      </c>
      <c r="L9" s="5">
        <v>46268</v>
      </c>
      <c r="M9" t="s">
        <v>206</v>
      </c>
      <c r="N9" t="s">
        <v>207</v>
      </c>
      <c r="O9" t="s">
        <v>226</v>
      </c>
      <c r="P9" t="s">
        <v>208</v>
      </c>
      <c r="Q9" t="s">
        <v>209</v>
      </c>
    </row>
    <row r="10" spans="1:17" x14ac:dyDescent="0.3">
      <c r="A10" t="s">
        <v>227</v>
      </c>
      <c r="C10" t="s">
        <v>228</v>
      </c>
      <c r="D10" t="s">
        <v>228</v>
      </c>
      <c r="E10" s="5">
        <v>46266</v>
      </c>
      <c r="F10" t="s">
        <v>204</v>
      </c>
      <c r="G10" t="s">
        <v>220</v>
      </c>
      <c r="H10">
        <v>4298</v>
      </c>
      <c r="I10">
        <v>12.89</v>
      </c>
      <c r="J10">
        <v>2.3199999999999998</v>
      </c>
      <c r="K10">
        <v>4282.79</v>
      </c>
      <c r="L10" s="5">
        <v>46268</v>
      </c>
      <c r="M10" t="s">
        <v>206</v>
      </c>
      <c r="N10" t="s">
        <v>207</v>
      </c>
      <c r="O10" t="s">
        <v>228</v>
      </c>
      <c r="P10" t="s">
        <v>208</v>
      </c>
      <c r="Q10" t="s">
        <v>209</v>
      </c>
    </row>
    <row r="11" spans="1:17" x14ac:dyDescent="0.3">
      <c r="A11" t="s">
        <v>229</v>
      </c>
      <c r="C11" t="s">
        <v>230</v>
      </c>
      <c r="D11" t="s">
        <v>230</v>
      </c>
      <c r="E11" s="5">
        <v>46266</v>
      </c>
      <c r="F11" t="s">
        <v>204</v>
      </c>
      <c r="G11" t="s">
        <v>213</v>
      </c>
      <c r="H11">
        <v>799</v>
      </c>
      <c r="I11">
        <v>14.38</v>
      </c>
      <c r="J11">
        <v>2.59</v>
      </c>
      <c r="K11">
        <v>782.03</v>
      </c>
      <c r="L11" s="5">
        <v>46268</v>
      </c>
      <c r="M11" t="s">
        <v>206</v>
      </c>
      <c r="N11" t="s">
        <v>207</v>
      </c>
      <c r="O11" t="s">
        <v>230</v>
      </c>
      <c r="P11" t="s">
        <v>208</v>
      </c>
      <c r="Q11" t="s">
        <v>209</v>
      </c>
    </row>
    <row r="12" spans="1:17" x14ac:dyDescent="0.3">
      <c r="A12" t="s">
        <v>231</v>
      </c>
      <c r="C12" t="s">
        <v>232</v>
      </c>
      <c r="D12" t="s">
        <v>232</v>
      </c>
      <c r="E12" s="5">
        <v>46266</v>
      </c>
      <c r="F12" t="s">
        <v>204</v>
      </c>
      <c r="G12" t="s">
        <v>205</v>
      </c>
      <c r="H12">
        <v>4297</v>
      </c>
      <c r="I12">
        <v>73.05</v>
      </c>
      <c r="J12">
        <v>13.15</v>
      </c>
      <c r="K12">
        <v>4210.8</v>
      </c>
      <c r="L12" s="5">
        <v>46268</v>
      </c>
      <c r="M12" t="s">
        <v>206</v>
      </c>
      <c r="N12" t="s">
        <v>207</v>
      </c>
      <c r="O12" t="s">
        <v>232</v>
      </c>
      <c r="P12" t="s">
        <v>208</v>
      </c>
      <c r="Q12" t="s">
        <v>209</v>
      </c>
    </row>
    <row r="13" spans="1:17" x14ac:dyDescent="0.3">
      <c r="A13" t="s">
        <v>233</v>
      </c>
      <c r="C13" t="s">
        <v>234</v>
      </c>
      <c r="D13" t="s">
        <v>234</v>
      </c>
      <c r="E13" s="5">
        <v>46266</v>
      </c>
      <c r="F13" t="s">
        <v>204</v>
      </c>
      <c r="G13" t="s">
        <v>213</v>
      </c>
      <c r="H13">
        <v>898</v>
      </c>
      <c r="I13">
        <v>16.16</v>
      </c>
      <c r="J13">
        <v>2.91</v>
      </c>
      <c r="K13">
        <v>878.93</v>
      </c>
      <c r="L13" s="5">
        <v>46268</v>
      </c>
      <c r="M13" t="s">
        <v>206</v>
      </c>
      <c r="N13" t="s">
        <v>207</v>
      </c>
      <c r="O13" t="s">
        <v>234</v>
      </c>
      <c r="P13" t="s">
        <v>208</v>
      </c>
      <c r="Q13" t="s">
        <v>209</v>
      </c>
    </row>
    <row r="14" spans="1:17" x14ac:dyDescent="0.3">
      <c r="A14" t="s">
        <v>235</v>
      </c>
      <c r="C14" t="s">
        <v>236</v>
      </c>
      <c r="D14" t="s">
        <v>236</v>
      </c>
      <c r="E14" s="5">
        <v>46266</v>
      </c>
      <c r="F14" t="s">
        <v>204</v>
      </c>
      <c r="G14" t="s">
        <v>213</v>
      </c>
      <c r="H14">
        <v>9498</v>
      </c>
      <c r="I14">
        <v>151.97</v>
      </c>
      <c r="J14">
        <v>27.35</v>
      </c>
      <c r="K14">
        <v>9318.68</v>
      </c>
      <c r="L14" s="5">
        <v>46268</v>
      </c>
      <c r="M14" t="s">
        <v>206</v>
      </c>
      <c r="N14" t="s">
        <v>207</v>
      </c>
      <c r="O14" t="s">
        <v>236</v>
      </c>
      <c r="P14" t="s">
        <v>208</v>
      </c>
      <c r="Q14" t="s">
        <v>209</v>
      </c>
    </row>
    <row r="15" spans="1:17" x14ac:dyDescent="0.3">
      <c r="A15" t="s">
        <v>237</v>
      </c>
      <c r="C15" t="s">
        <v>238</v>
      </c>
      <c r="D15" t="s">
        <v>238</v>
      </c>
      <c r="E15" s="5">
        <v>46266</v>
      </c>
      <c r="F15" t="s">
        <v>204</v>
      </c>
      <c r="G15" t="s">
        <v>213</v>
      </c>
      <c r="H15">
        <v>1798</v>
      </c>
      <c r="I15">
        <v>32.36</v>
      </c>
      <c r="J15">
        <v>5.82</v>
      </c>
      <c r="K15">
        <v>1759.82</v>
      </c>
      <c r="L15" s="5">
        <v>46268</v>
      </c>
      <c r="M15" t="s">
        <v>206</v>
      </c>
      <c r="N15" t="s">
        <v>207</v>
      </c>
      <c r="O15" t="s">
        <v>238</v>
      </c>
      <c r="P15" t="s">
        <v>208</v>
      </c>
      <c r="Q15" t="s">
        <v>209</v>
      </c>
    </row>
    <row r="16" spans="1:17" x14ac:dyDescent="0.3">
      <c r="A16" t="s">
        <v>239</v>
      </c>
      <c r="C16" t="s">
        <v>240</v>
      </c>
      <c r="D16" t="s">
        <v>240</v>
      </c>
      <c r="E16" s="5">
        <v>46266</v>
      </c>
      <c r="F16" t="s">
        <v>204</v>
      </c>
      <c r="G16" t="s">
        <v>220</v>
      </c>
      <c r="H16">
        <v>7999</v>
      </c>
      <c r="I16">
        <v>24</v>
      </c>
      <c r="J16">
        <v>4.32</v>
      </c>
      <c r="K16">
        <v>7970.68</v>
      </c>
      <c r="L16" s="5">
        <v>46268</v>
      </c>
      <c r="M16" t="s">
        <v>206</v>
      </c>
      <c r="N16" t="s">
        <v>207</v>
      </c>
      <c r="O16" t="s">
        <v>240</v>
      </c>
      <c r="P16" t="s">
        <v>208</v>
      </c>
      <c r="Q16" t="s">
        <v>209</v>
      </c>
    </row>
    <row r="17" spans="1:17" x14ac:dyDescent="0.3">
      <c r="A17" t="s">
        <v>241</v>
      </c>
      <c r="C17" t="s">
        <v>242</v>
      </c>
      <c r="D17" t="s">
        <v>242</v>
      </c>
      <c r="E17" s="5">
        <v>46266</v>
      </c>
      <c r="F17" t="s">
        <v>204</v>
      </c>
      <c r="G17" t="s">
        <v>220</v>
      </c>
      <c r="H17">
        <v>11997</v>
      </c>
      <c r="I17">
        <v>35.99</v>
      </c>
      <c r="J17">
        <v>6.48</v>
      </c>
      <c r="K17">
        <v>11954.53</v>
      </c>
      <c r="L17" s="5">
        <v>46268</v>
      </c>
      <c r="M17" t="s">
        <v>206</v>
      </c>
      <c r="N17" t="s">
        <v>207</v>
      </c>
      <c r="O17" t="s">
        <v>242</v>
      </c>
      <c r="P17" t="s">
        <v>208</v>
      </c>
      <c r="Q17" t="s">
        <v>209</v>
      </c>
    </row>
    <row r="18" spans="1:17" x14ac:dyDescent="0.3">
      <c r="A18" t="s">
        <v>243</v>
      </c>
      <c r="C18" t="s">
        <v>244</v>
      </c>
      <c r="D18" t="s">
        <v>244</v>
      </c>
      <c r="E18" s="5">
        <v>46266</v>
      </c>
      <c r="F18" t="s">
        <v>204</v>
      </c>
      <c r="G18" t="s">
        <v>205</v>
      </c>
      <c r="H18">
        <v>999</v>
      </c>
      <c r="I18">
        <v>18.98</v>
      </c>
      <c r="J18">
        <v>3.42</v>
      </c>
      <c r="K18">
        <v>976.6</v>
      </c>
      <c r="L18" s="5">
        <v>46268</v>
      </c>
      <c r="M18" t="s">
        <v>206</v>
      </c>
      <c r="N18" t="s">
        <v>207</v>
      </c>
      <c r="O18" t="s">
        <v>244</v>
      </c>
      <c r="P18" t="s">
        <v>208</v>
      </c>
      <c r="Q18" t="s">
        <v>209</v>
      </c>
    </row>
    <row r="19" spans="1:17" x14ac:dyDescent="0.3">
      <c r="A19" t="s">
        <v>245</v>
      </c>
      <c r="C19" t="s">
        <v>246</v>
      </c>
      <c r="D19" t="s">
        <v>246</v>
      </c>
      <c r="E19" s="5">
        <v>46266</v>
      </c>
      <c r="F19" t="s">
        <v>204</v>
      </c>
      <c r="G19" t="s">
        <v>220</v>
      </c>
      <c r="H19">
        <v>9798</v>
      </c>
      <c r="I19">
        <v>29.39</v>
      </c>
      <c r="J19">
        <v>5.29</v>
      </c>
      <c r="K19">
        <v>9763.32</v>
      </c>
      <c r="L19" s="5">
        <v>46268</v>
      </c>
      <c r="M19" t="s">
        <v>206</v>
      </c>
      <c r="N19" t="s">
        <v>207</v>
      </c>
      <c r="O19" t="s">
        <v>246</v>
      </c>
      <c r="P19" t="s">
        <v>208</v>
      </c>
      <c r="Q19" t="s">
        <v>209</v>
      </c>
    </row>
    <row r="20" spans="1:17" x14ac:dyDescent="0.3">
      <c r="A20" t="s">
        <v>247</v>
      </c>
      <c r="C20" t="s">
        <v>248</v>
      </c>
      <c r="D20" t="s">
        <v>248</v>
      </c>
      <c r="E20" s="5">
        <v>46266</v>
      </c>
      <c r="F20" t="s">
        <v>204</v>
      </c>
      <c r="G20" t="s">
        <v>213</v>
      </c>
      <c r="H20">
        <v>599</v>
      </c>
      <c r="I20">
        <v>10.78</v>
      </c>
      <c r="J20">
        <v>1.94</v>
      </c>
      <c r="K20">
        <v>586.28</v>
      </c>
      <c r="L20" s="5">
        <v>46268</v>
      </c>
      <c r="M20" t="s">
        <v>206</v>
      </c>
      <c r="N20" t="s">
        <v>207</v>
      </c>
      <c r="O20" t="s">
        <v>248</v>
      </c>
      <c r="P20" t="s">
        <v>208</v>
      </c>
      <c r="Q20" t="s">
        <v>209</v>
      </c>
    </row>
    <row r="21" spans="1:17" x14ac:dyDescent="0.3">
      <c r="A21" t="s">
        <v>249</v>
      </c>
      <c r="C21" t="s">
        <v>250</v>
      </c>
      <c r="D21" t="s">
        <v>250</v>
      </c>
      <c r="E21" s="5">
        <v>46266</v>
      </c>
      <c r="F21" t="s">
        <v>204</v>
      </c>
      <c r="G21" t="s">
        <v>220</v>
      </c>
      <c r="H21">
        <v>1998</v>
      </c>
      <c r="I21">
        <v>0</v>
      </c>
      <c r="J21">
        <v>0</v>
      </c>
      <c r="K21">
        <v>1998</v>
      </c>
      <c r="L21" s="5">
        <v>46268</v>
      </c>
      <c r="M21" t="s">
        <v>206</v>
      </c>
      <c r="N21" t="s">
        <v>207</v>
      </c>
      <c r="O21" t="s">
        <v>250</v>
      </c>
      <c r="P21" t="s">
        <v>208</v>
      </c>
      <c r="Q21" t="s">
        <v>209</v>
      </c>
    </row>
    <row r="22" spans="1:17" x14ac:dyDescent="0.3">
      <c r="A22" t="s">
        <v>251</v>
      </c>
      <c r="C22" t="s">
        <v>252</v>
      </c>
      <c r="D22" t="s">
        <v>252</v>
      </c>
      <c r="E22" s="5">
        <v>46266</v>
      </c>
      <c r="F22" t="s">
        <v>204</v>
      </c>
      <c r="G22" t="s">
        <v>220</v>
      </c>
      <c r="H22">
        <v>499</v>
      </c>
      <c r="I22">
        <v>0</v>
      </c>
      <c r="J22">
        <v>0</v>
      </c>
      <c r="K22">
        <v>499</v>
      </c>
      <c r="L22" s="5">
        <v>46268</v>
      </c>
      <c r="M22" t="s">
        <v>206</v>
      </c>
      <c r="N22" t="s">
        <v>207</v>
      </c>
      <c r="O22" t="s">
        <v>252</v>
      </c>
      <c r="P22" t="s">
        <v>208</v>
      </c>
      <c r="Q22" t="s">
        <v>209</v>
      </c>
    </row>
    <row r="23" spans="1:17" x14ac:dyDescent="0.3">
      <c r="A23" t="s">
        <v>253</v>
      </c>
      <c r="C23" t="s">
        <v>254</v>
      </c>
      <c r="D23" t="s">
        <v>254</v>
      </c>
      <c r="E23" s="5">
        <v>46266</v>
      </c>
      <c r="F23" t="s">
        <v>204</v>
      </c>
      <c r="G23" t="s">
        <v>255</v>
      </c>
      <c r="H23">
        <v>1799</v>
      </c>
      <c r="I23">
        <v>26.99</v>
      </c>
      <c r="J23">
        <v>4.8600000000000003</v>
      </c>
      <c r="K23">
        <v>1767.15</v>
      </c>
      <c r="L23" s="5">
        <v>46268</v>
      </c>
      <c r="M23" t="s">
        <v>206</v>
      </c>
      <c r="N23" t="s">
        <v>207</v>
      </c>
      <c r="O23" t="s">
        <v>254</v>
      </c>
      <c r="P23" t="s">
        <v>208</v>
      </c>
      <c r="Q23" t="s">
        <v>209</v>
      </c>
    </row>
    <row r="24" spans="1:17" x14ac:dyDescent="0.3">
      <c r="A24" t="s">
        <v>256</v>
      </c>
      <c r="C24" t="s">
        <v>257</v>
      </c>
      <c r="D24" t="s">
        <v>257</v>
      </c>
      <c r="E24" s="5">
        <v>46266</v>
      </c>
      <c r="F24" t="s">
        <v>204</v>
      </c>
      <c r="G24" t="s">
        <v>205</v>
      </c>
      <c r="H24">
        <v>1298</v>
      </c>
      <c r="I24">
        <v>24.66</v>
      </c>
      <c r="J24">
        <v>4.4400000000000004</v>
      </c>
      <c r="K24">
        <v>1268.9000000000001</v>
      </c>
      <c r="L24" s="5">
        <v>46268</v>
      </c>
      <c r="M24" t="s">
        <v>206</v>
      </c>
      <c r="N24" t="s">
        <v>207</v>
      </c>
      <c r="O24" t="s">
        <v>257</v>
      </c>
      <c r="P24" t="s">
        <v>208</v>
      </c>
      <c r="Q24" t="s">
        <v>209</v>
      </c>
    </row>
    <row r="25" spans="1:17" x14ac:dyDescent="0.3">
      <c r="A25" t="s">
        <v>258</v>
      </c>
      <c r="C25" t="s">
        <v>259</v>
      </c>
      <c r="D25" t="s">
        <v>259</v>
      </c>
      <c r="E25" s="5">
        <v>46266</v>
      </c>
      <c r="F25" t="s">
        <v>204</v>
      </c>
      <c r="G25" t="s">
        <v>213</v>
      </c>
      <c r="H25">
        <v>10597</v>
      </c>
      <c r="I25">
        <v>169.55</v>
      </c>
      <c r="J25">
        <v>30.52</v>
      </c>
      <c r="K25">
        <v>10396.93</v>
      </c>
      <c r="L25" s="5">
        <v>46268</v>
      </c>
      <c r="M25" t="s">
        <v>206</v>
      </c>
      <c r="N25" t="s">
        <v>207</v>
      </c>
      <c r="O25" t="s">
        <v>259</v>
      </c>
      <c r="P25" t="s">
        <v>208</v>
      </c>
      <c r="Q25" t="s">
        <v>209</v>
      </c>
    </row>
    <row r="26" spans="1:17" x14ac:dyDescent="0.3">
      <c r="A26" t="s">
        <v>260</v>
      </c>
      <c r="C26" t="s">
        <v>261</v>
      </c>
      <c r="D26" t="s">
        <v>261</v>
      </c>
      <c r="E26" s="5">
        <v>46266</v>
      </c>
      <c r="F26" t="s">
        <v>204</v>
      </c>
      <c r="G26" t="s">
        <v>220</v>
      </c>
      <c r="H26">
        <v>10797</v>
      </c>
      <c r="I26">
        <v>32.39</v>
      </c>
      <c r="J26">
        <v>5.83</v>
      </c>
      <c r="K26">
        <v>10758.78</v>
      </c>
      <c r="L26" s="5">
        <v>46268</v>
      </c>
      <c r="M26" t="s">
        <v>206</v>
      </c>
      <c r="N26" t="s">
        <v>207</v>
      </c>
      <c r="O26" t="s">
        <v>261</v>
      </c>
      <c r="P26" t="s">
        <v>208</v>
      </c>
      <c r="Q26" t="s">
        <v>209</v>
      </c>
    </row>
    <row r="27" spans="1:17" x14ac:dyDescent="0.3">
      <c r="A27" t="s">
        <v>262</v>
      </c>
      <c r="C27" t="s">
        <v>263</v>
      </c>
      <c r="D27" t="s">
        <v>263</v>
      </c>
      <c r="E27" s="5">
        <v>46266</v>
      </c>
      <c r="F27" t="s">
        <v>204</v>
      </c>
      <c r="G27" t="s">
        <v>220</v>
      </c>
      <c r="H27">
        <v>6298</v>
      </c>
      <c r="I27">
        <v>18.89</v>
      </c>
      <c r="J27">
        <v>3.4</v>
      </c>
      <c r="K27">
        <v>6275.71</v>
      </c>
      <c r="L27" s="5">
        <v>46268</v>
      </c>
      <c r="M27" t="s">
        <v>206</v>
      </c>
      <c r="N27" t="s">
        <v>207</v>
      </c>
      <c r="O27" t="s">
        <v>263</v>
      </c>
      <c r="P27" t="s">
        <v>208</v>
      </c>
      <c r="Q27" t="s">
        <v>209</v>
      </c>
    </row>
    <row r="28" spans="1:17" x14ac:dyDescent="0.3">
      <c r="A28" t="s">
        <v>264</v>
      </c>
      <c r="C28" t="s">
        <v>265</v>
      </c>
      <c r="D28" t="s">
        <v>265</v>
      </c>
      <c r="E28" s="5">
        <v>46266</v>
      </c>
      <c r="F28" t="s">
        <v>204</v>
      </c>
      <c r="G28" t="s">
        <v>213</v>
      </c>
      <c r="H28">
        <v>3598</v>
      </c>
      <c r="I28">
        <v>57.57</v>
      </c>
      <c r="J28">
        <v>10.36</v>
      </c>
      <c r="K28">
        <v>3530.07</v>
      </c>
      <c r="L28" s="5">
        <v>46268</v>
      </c>
      <c r="M28" t="s">
        <v>206</v>
      </c>
      <c r="N28" t="s">
        <v>207</v>
      </c>
      <c r="O28" t="s">
        <v>265</v>
      </c>
      <c r="P28" t="s">
        <v>208</v>
      </c>
      <c r="Q28" t="s">
        <v>209</v>
      </c>
    </row>
    <row r="29" spans="1:17" x14ac:dyDescent="0.3">
      <c r="A29" t="s">
        <v>266</v>
      </c>
      <c r="C29" t="s">
        <v>267</v>
      </c>
      <c r="D29" t="s">
        <v>267</v>
      </c>
      <c r="E29" s="5">
        <v>46266</v>
      </c>
      <c r="F29" t="s">
        <v>204</v>
      </c>
      <c r="G29" t="s">
        <v>220</v>
      </c>
      <c r="H29">
        <v>1499</v>
      </c>
      <c r="I29">
        <v>0</v>
      </c>
      <c r="J29">
        <v>0</v>
      </c>
      <c r="K29">
        <v>1499</v>
      </c>
      <c r="L29" s="5">
        <v>46268</v>
      </c>
      <c r="M29" t="s">
        <v>206</v>
      </c>
      <c r="N29" t="s">
        <v>207</v>
      </c>
      <c r="O29" t="s">
        <v>267</v>
      </c>
      <c r="P29" t="s">
        <v>208</v>
      </c>
      <c r="Q29" t="s">
        <v>209</v>
      </c>
    </row>
    <row r="30" spans="1:17" x14ac:dyDescent="0.3">
      <c r="A30" t="s">
        <v>268</v>
      </c>
      <c r="C30" t="s">
        <v>269</v>
      </c>
      <c r="D30" t="s">
        <v>269</v>
      </c>
      <c r="E30" s="5">
        <v>46266</v>
      </c>
      <c r="F30" t="s">
        <v>204</v>
      </c>
      <c r="G30" t="s">
        <v>220</v>
      </c>
      <c r="H30">
        <v>848</v>
      </c>
      <c r="I30">
        <v>0</v>
      </c>
      <c r="J30">
        <v>0</v>
      </c>
      <c r="K30">
        <v>848</v>
      </c>
      <c r="L30" s="5">
        <v>46268</v>
      </c>
      <c r="M30" t="s">
        <v>206</v>
      </c>
      <c r="N30" t="s">
        <v>207</v>
      </c>
      <c r="O30" t="s">
        <v>269</v>
      </c>
      <c r="P30" t="s">
        <v>208</v>
      </c>
      <c r="Q30" t="s">
        <v>209</v>
      </c>
    </row>
    <row r="31" spans="1:17" x14ac:dyDescent="0.3">
      <c r="A31" t="s">
        <v>270</v>
      </c>
      <c r="C31" t="s">
        <v>271</v>
      </c>
      <c r="D31" t="s">
        <v>271</v>
      </c>
      <c r="E31" s="5">
        <v>46266</v>
      </c>
      <c r="F31" t="s">
        <v>204</v>
      </c>
      <c r="G31" t="s">
        <v>220</v>
      </c>
      <c r="H31">
        <v>4797</v>
      </c>
      <c r="I31">
        <v>14.39</v>
      </c>
      <c r="J31">
        <v>2.59</v>
      </c>
      <c r="K31">
        <v>4780.0200000000004</v>
      </c>
      <c r="L31" s="5">
        <v>46268</v>
      </c>
      <c r="M31" t="s">
        <v>206</v>
      </c>
      <c r="N31" t="s">
        <v>207</v>
      </c>
      <c r="O31" t="s">
        <v>271</v>
      </c>
      <c r="P31" t="s">
        <v>208</v>
      </c>
      <c r="Q31" t="s">
        <v>209</v>
      </c>
    </row>
    <row r="32" spans="1:17" x14ac:dyDescent="0.3">
      <c r="A32" t="s">
        <v>272</v>
      </c>
      <c r="C32" t="s">
        <v>273</v>
      </c>
      <c r="D32" t="s">
        <v>274</v>
      </c>
      <c r="E32" s="5">
        <v>46266</v>
      </c>
      <c r="F32" t="s">
        <v>204</v>
      </c>
      <c r="G32" t="s">
        <v>213</v>
      </c>
      <c r="H32">
        <v>9297</v>
      </c>
      <c r="I32">
        <v>148.75</v>
      </c>
      <c r="J32">
        <v>26.78</v>
      </c>
      <c r="K32">
        <v>9121.4699999999993</v>
      </c>
      <c r="L32" s="5">
        <v>46268</v>
      </c>
      <c r="M32" t="s">
        <v>206</v>
      </c>
      <c r="N32" t="s">
        <v>207</v>
      </c>
      <c r="O32" t="s">
        <v>274</v>
      </c>
      <c r="P32" t="s">
        <v>208</v>
      </c>
      <c r="Q32" t="s">
        <v>209</v>
      </c>
    </row>
    <row r="33" spans="1:17" x14ac:dyDescent="0.3">
      <c r="A33" t="s">
        <v>275</v>
      </c>
      <c r="C33" t="s">
        <v>276</v>
      </c>
      <c r="D33" t="s">
        <v>277</v>
      </c>
      <c r="E33" s="5">
        <v>46266</v>
      </c>
      <c r="F33" t="s">
        <v>204</v>
      </c>
      <c r="G33" t="s">
        <v>255</v>
      </c>
      <c r="H33">
        <v>9498</v>
      </c>
      <c r="I33">
        <v>113.98</v>
      </c>
      <c r="J33">
        <v>20.52</v>
      </c>
      <c r="K33">
        <v>9363.5</v>
      </c>
      <c r="L33" s="5">
        <v>46268</v>
      </c>
      <c r="M33" t="s">
        <v>206</v>
      </c>
      <c r="N33" t="s">
        <v>207</v>
      </c>
      <c r="O33" t="s">
        <v>277</v>
      </c>
      <c r="P33" t="s">
        <v>208</v>
      </c>
      <c r="Q33" t="s">
        <v>209</v>
      </c>
    </row>
    <row r="34" spans="1:17" x14ac:dyDescent="0.3">
      <c r="A34" t="s">
        <v>278</v>
      </c>
      <c r="C34" t="s">
        <v>279</v>
      </c>
      <c r="D34" t="s">
        <v>279</v>
      </c>
      <c r="E34" s="5">
        <v>46266</v>
      </c>
      <c r="F34" t="s">
        <v>204</v>
      </c>
      <c r="G34" t="s">
        <v>220</v>
      </c>
      <c r="H34">
        <v>6498</v>
      </c>
      <c r="I34">
        <v>19.489999999999998</v>
      </c>
      <c r="J34">
        <v>3.51</v>
      </c>
      <c r="K34">
        <v>6475</v>
      </c>
      <c r="L34" s="5">
        <v>46268</v>
      </c>
      <c r="M34" t="s">
        <v>206</v>
      </c>
      <c r="N34" t="s">
        <v>207</v>
      </c>
      <c r="O34" t="s">
        <v>279</v>
      </c>
      <c r="P34" t="s">
        <v>208</v>
      </c>
      <c r="Q34" t="s">
        <v>209</v>
      </c>
    </row>
    <row r="35" spans="1:17" x14ac:dyDescent="0.3">
      <c r="A35" t="s">
        <v>280</v>
      </c>
      <c r="C35" t="s">
        <v>281</v>
      </c>
      <c r="D35" t="s">
        <v>281</v>
      </c>
      <c r="E35" s="5">
        <v>46266</v>
      </c>
      <c r="F35" t="s">
        <v>204</v>
      </c>
      <c r="G35" t="s">
        <v>220</v>
      </c>
      <c r="H35">
        <v>7999</v>
      </c>
      <c r="I35">
        <v>24</v>
      </c>
      <c r="J35">
        <v>4.32</v>
      </c>
      <c r="K35">
        <v>7970.68</v>
      </c>
      <c r="L35" s="5">
        <v>46268</v>
      </c>
      <c r="M35" t="s">
        <v>206</v>
      </c>
      <c r="N35" t="s">
        <v>207</v>
      </c>
      <c r="O35" t="s">
        <v>281</v>
      </c>
      <c r="P35" t="s">
        <v>208</v>
      </c>
      <c r="Q35" t="s">
        <v>209</v>
      </c>
    </row>
    <row r="36" spans="1:17" x14ac:dyDescent="0.3">
      <c r="A36" t="s">
        <v>282</v>
      </c>
      <c r="C36" t="s">
        <v>283</v>
      </c>
      <c r="D36" t="s">
        <v>283</v>
      </c>
      <c r="E36" s="5">
        <v>46266</v>
      </c>
      <c r="F36" t="s">
        <v>204</v>
      </c>
      <c r="G36" t="s">
        <v>255</v>
      </c>
      <c r="H36">
        <v>4999</v>
      </c>
      <c r="I36">
        <v>59.99</v>
      </c>
      <c r="J36">
        <v>10.8</v>
      </c>
      <c r="K36">
        <v>4928.21</v>
      </c>
      <c r="L36" s="5">
        <v>46268</v>
      </c>
      <c r="M36" t="s">
        <v>206</v>
      </c>
      <c r="N36" t="s">
        <v>207</v>
      </c>
      <c r="O36" t="s">
        <v>283</v>
      </c>
      <c r="P36" t="s">
        <v>208</v>
      </c>
      <c r="Q36" t="s">
        <v>209</v>
      </c>
    </row>
    <row r="37" spans="1:17" x14ac:dyDescent="0.3">
      <c r="A37" t="s">
        <v>284</v>
      </c>
      <c r="C37" t="s">
        <v>285</v>
      </c>
      <c r="D37" t="s">
        <v>285</v>
      </c>
      <c r="E37" s="5">
        <v>46266</v>
      </c>
      <c r="F37" t="s">
        <v>204</v>
      </c>
      <c r="G37" t="s">
        <v>255</v>
      </c>
      <c r="H37">
        <v>1298</v>
      </c>
      <c r="I37">
        <v>19.47</v>
      </c>
      <c r="J37">
        <v>3.5</v>
      </c>
      <c r="K37">
        <v>1275.03</v>
      </c>
      <c r="L37" s="5">
        <v>46268</v>
      </c>
      <c r="M37" t="s">
        <v>206</v>
      </c>
      <c r="N37" t="s">
        <v>207</v>
      </c>
      <c r="O37" t="s">
        <v>285</v>
      </c>
      <c r="P37" t="s">
        <v>208</v>
      </c>
      <c r="Q37" t="s">
        <v>209</v>
      </c>
    </row>
    <row r="38" spans="1:17" x14ac:dyDescent="0.3">
      <c r="A38" t="s">
        <v>286</v>
      </c>
      <c r="C38" t="s">
        <v>287</v>
      </c>
      <c r="D38" t="s">
        <v>287</v>
      </c>
      <c r="E38" s="5">
        <v>46266</v>
      </c>
      <c r="F38" t="s">
        <v>204</v>
      </c>
      <c r="G38" t="s">
        <v>220</v>
      </c>
      <c r="H38">
        <v>1347</v>
      </c>
      <c r="I38">
        <v>0</v>
      </c>
      <c r="J38">
        <v>0</v>
      </c>
      <c r="K38">
        <v>1347</v>
      </c>
      <c r="L38" s="5">
        <v>46268</v>
      </c>
      <c r="M38" t="s">
        <v>206</v>
      </c>
      <c r="N38" t="s">
        <v>207</v>
      </c>
      <c r="O38" t="s">
        <v>287</v>
      </c>
      <c r="P38" t="s">
        <v>208</v>
      </c>
      <c r="Q38" t="s">
        <v>209</v>
      </c>
    </row>
    <row r="39" spans="1:17" x14ac:dyDescent="0.3">
      <c r="A39" t="s">
        <v>288</v>
      </c>
      <c r="C39" t="s">
        <v>289</v>
      </c>
      <c r="D39" t="s">
        <v>289</v>
      </c>
      <c r="E39" s="5">
        <v>46266</v>
      </c>
      <c r="F39" t="s">
        <v>204</v>
      </c>
      <c r="G39" t="s">
        <v>213</v>
      </c>
      <c r="H39">
        <v>3499</v>
      </c>
      <c r="I39">
        <v>55.98</v>
      </c>
      <c r="J39">
        <v>10.08</v>
      </c>
      <c r="K39">
        <v>3432.94</v>
      </c>
      <c r="L39" s="5">
        <v>46268</v>
      </c>
      <c r="M39" t="s">
        <v>206</v>
      </c>
      <c r="N39" t="s">
        <v>207</v>
      </c>
      <c r="O39" t="s">
        <v>289</v>
      </c>
      <c r="P39" t="s">
        <v>208</v>
      </c>
      <c r="Q39" t="s">
        <v>209</v>
      </c>
    </row>
    <row r="40" spans="1:17" x14ac:dyDescent="0.3">
      <c r="A40" t="s">
        <v>290</v>
      </c>
      <c r="C40" t="s">
        <v>291</v>
      </c>
      <c r="D40" t="s">
        <v>291</v>
      </c>
      <c r="E40" s="5">
        <v>46266</v>
      </c>
      <c r="F40" t="s">
        <v>204</v>
      </c>
      <c r="G40" t="s">
        <v>220</v>
      </c>
      <c r="H40">
        <v>10597</v>
      </c>
      <c r="I40">
        <v>31.79</v>
      </c>
      <c r="J40">
        <v>5.72</v>
      </c>
      <c r="K40">
        <v>10559.49</v>
      </c>
      <c r="L40" s="5">
        <v>46268</v>
      </c>
      <c r="M40" t="s">
        <v>206</v>
      </c>
      <c r="N40" t="s">
        <v>207</v>
      </c>
      <c r="O40" t="s">
        <v>291</v>
      </c>
      <c r="P40" t="s">
        <v>208</v>
      </c>
      <c r="Q40" t="s">
        <v>209</v>
      </c>
    </row>
    <row r="41" spans="1:17" x14ac:dyDescent="0.3">
      <c r="A41" t="s">
        <v>292</v>
      </c>
      <c r="C41" t="s">
        <v>293</v>
      </c>
      <c r="D41" t="s">
        <v>294</v>
      </c>
      <c r="E41" s="5">
        <v>46266</v>
      </c>
      <c r="F41" t="s">
        <v>204</v>
      </c>
      <c r="G41" t="s">
        <v>220</v>
      </c>
      <c r="H41">
        <v>10497</v>
      </c>
      <c r="I41">
        <v>31.49</v>
      </c>
      <c r="J41">
        <v>5.67</v>
      </c>
      <c r="K41">
        <v>10459.84</v>
      </c>
      <c r="L41" s="5">
        <v>46268</v>
      </c>
      <c r="M41" t="s">
        <v>206</v>
      </c>
      <c r="N41" t="s">
        <v>207</v>
      </c>
      <c r="O41" t="s">
        <v>294</v>
      </c>
      <c r="P41" t="s">
        <v>208</v>
      </c>
      <c r="Q41" t="s">
        <v>209</v>
      </c>
    </row>
    <row r="42" spans="1:17" x14ac:dyDescent="0.3">
      <c r="A42" t="s">
        <v>295</v>
      </c>
      <c r="C42" t="s">
        <v>296</v>
      </c>
      <c r="D42" t="s">
        <v>296</v>
      </c>
      <c r="E42" s="5">
        <v>46266</v>
      </c>
      <c r="F42" t="s">
        <v>204</v>
      </c>
      <c r="G42" t="s">
        <v>213</v>
      </c>
      <c r="H42">
        <v>999</v>
      </c>
      <c r="I42">
        <v>17.98</v>
      </c>
      <c r="J42">
        <v>3.24</v>
      </c>
      <c r="K42">
        <v>977.78</v>
      </c>
      <c r="L42" s="5">
        <v>46268</v>
      </c>
      <c r="M42" t="s">
        <v>206</v>
      </c>
      <c r="N42" t="s">
        <v>207</v>
      </c>
      <c r="O42" t="s">
        <v>296</v>
      </c>
      <c r="P42" t="s">
        <v>208</v>
      </c>
      <c r="Q42" t="s">
        <v>209</v>
      </c>
    </row>
    <row r="43" spans="1:17" x14ac:dyDescent="0.3">
      <c r="A43" t="s">
        <v>297</v>
      </c>
      <c r="C43" t="s">
        <v>298</v>
      </c>
      <c r="D43" t="s">
        <v>298</v>
      </c>
      <c r="E43" s="5">
        <v>46266</v>
      </c>
      <c r="F43" t="s">
        <v>204</v>
      </c>
      <c r="G43" t="s">
        <v>220</v>
      </c>
      <c r="H43">
        <v>1799</v>
      </c>
      <c r="I43">
        <v>0</v>
      </c>
      <c r="J43">
        <v>0</v>
      </c>
      <c r="K43">
        <v>1799</v>
      </c>
      <c r="L43" s="5">
        <v>46268</v>
      </c>
      <c r="M43" t="s">
        <v>206</v>
      </c>
      <c r="N43" t="s">
        <v>207</v>
      </c>
      <c r="O43" t="s">
        <v>298</v>
      </c>
      <c r="P43" t="s">
        <v>208</v>
      </c>
      <c r="Q43" t="s">
        <v>209</v>
      </c>
    </row>
    <row r="44" spans="1:17" x14ac:dyDescent="0.3">
      <c r="A44" t="s">
        <v>299</v>
      </c>
      <c r="C44" t="s">
        <v>300</v>
      </c>
      <c r="D44" t="s">
        <v>300</v>
      </c>
      <c r="E44" s="5">
        <v>46266</v>
      </c>
      <c r="F44" t="s">
        <v>204</v>
      </c>
      <c r="G44" t="s">
        <v>220</v>
      </c>
      <c r="H44">
        <v>3499</v>
      </c>
      <c r="I44">
        <v>10.5</v>
      </c>
      <c r="J44">
        <v>1.89</v>
      </c>
      <c r="K44">
        <v>3486.61</v>
      </c>
      <c r="L44" s="5">
        <v>46268</v>
      </c>
      <c r="M44" t="s">
        <v>206</v>
      </c>
      <c r="N44" t="s">
        <v>207</v>
      </c>
      <c r="O44" t="s">
        <v>300</v>
      </c>
      <c r="P44" t="s">
        <v>208</v>
      </c>
      <c r="Q44" t="s">
        <v>209</v>
      </c>
    </row>
    <row r="45" spans="1:17" x14ac:dyDescent="0.3">
      <c r="A45" t="s">
        <v>301</v>
      </c>
      <c r="C45" t="s">
        <v>302</v>
      </c>
      <c r="D45" t="s">
        <v>303</v>
      </c>
      <c r="E45" s="5">
        <v>46266</v>
      </c>
      <c r="F45" t="s">
        <v>204</v>
      </c>
      <c r="G45" t="s">
        <v>205</v>
      </c>
      <c r="H45">
        <v>3798</v>
      </c>
      <c r="I45">
        <v>64.569999999999993</v>
      </c>
      <c r="J45">
        <v>11.62</v>
      </c>
      <c r="K45">
        <v>3721.81</v>
      </c>
      <c r="L45" s="5">
        <v>46268</v>
      </c>
      <c r="M45" t="s">
        <v>206</v>
      </c>
      <c r="N45" t="s">
        <v>207</v>
      </c>
      <c r="O45" t="s">
        <v>303</v>
      </c>
      <c r="P45" t="s">
        <v>208</v>
      </c>
      <c r="Q45" t="s">
        <v>209</v>
      </c>
    </row>
    <row r="46" spans="1:17" x14ac:dyDescent="0.3">
      <c r="A46" t="s">
        <v>304</v>
      </c>
      <c r="C46" t="s">
        <v>305</v>
      </c>
      <c r="D46" t="s">
        <v>305</v>
      </c>
      <c r="E46" s="5">
        <v>46266</v>
      </c>
      <c r="F46" t="s">
        <v>204</v>
      </c>
      <c r="G46" t="s">
        <v>213</v>
      </c>
      <c r="H46">
        <v>799</v>
      </c>
      <c r="I46">
        <v>14.38</v>
      </c>
      <c r="J46">
        <v>2.59</v>
      </c>
      <c r="K46">
        <v>782.03</v>
      </c>
      <c r="L46" s="5">
        <v>46268</v>
      </c>
      <c r="M46" t="s">
        <v>206</v>
      </c>
      <c r="N46" t="s">
        <v>207</v>
      </c>
      <c r="O46" t="s">
        <v>305</v>
      </c>
      <c r="P46" t="s">
        <v>208</v>
      </c>
      <c r="Q46" t="s">
        <v>209</v>
      </c>
    </row>
    <row r="47" spans="1:17" x14ac:dyDescent="0.3">
      <c r="A47" t="s">
        <v>306</v>
      </c>
      <c r="C47" t="s">
        <v>307</v>
      </c>
      <c r="D47" t="s">
        <v>307</v>
      </c>
      <c r="E47" s="5">
        <v>46266</v>
      </c>
      <c r="F47" t="s">
        <v>204</v>
      </c>
      <c r="G47" t="s">
        <v>255</v>
      </c>
      <c r="H47">
        <v>1299</v>
      </c>
      <c r="I47">
        <v>19.489999999999998</v>
      </c>
      <c r="J47">
        <v>3.51</v>
      </c>
      <c r="K47">
        <v>1276</v>
      </c>
      <c r="L47" s="5">
        <v>46268</v>
      </c>
      <c r="M47" t="s">
        <v>206</v>
      </c>
      <c r="N47" t="s">
        <v>207</v>
      </c>
      <c r="O47" t="s">
        <v>307</v>
      </c>
      <c r="P47" t="s">
        <v>208</v>
      </c>
      <c r="Q47" t="s">
        <v>209</v>
      </c>
    </row>
    <row r="48" spans="1:17" x14ac:dyDescent="0.3">
      <c r="A48" t="s">
        <v>308</v>
      </c>
      <c r="C48" t="s">
        <v>309</v>
      </c>
      <c r="D48" t="s">
        <v>309</v>
      </c>
      <c r="E48" s="5">
        <v>46266</v>
      </c>
      <c r="F48" t="s">
        <v>204</v>
      </c>
      <c r="G48" t="s">
        <v>220</v>
      </c>
      <c r="H48">
        <v>349</v>
      </c>
      <c r="I48">
        <v>0</v>
      </c>
      <c r="J48">
        <v>0</v>
      </c>
      <c r="K48">
        <v>349</v>
      </c>
      <c r="L48" s="5">
        <v>46268</v>
      </c>
      <c r="M48" t="s">
        <v>206</v>
      </c>
      <c r="N48" t="s">
        <v>207</v>
      </c>
      <c r="O48" t="s">
        <v>309</v>
      </c>
      <c r="P48" t="s">
        <v>208</v>
      </c>
      <c r="Q48" t="s">
        <v>209</v>
      </c>
    </row>
    <row r="49" spans="1:17" x14ac:dyDescent="0.3">
      <c r="A49" t="s">
        <v>310</v>
      </c>
      <c r="C49" t="s">
        <v>311</v>
      </c>
      <c r="D49" t="s">
        <v>311</v>
      </c>
      <c r="E49" s="5">
        <v>46266</v>
      </c>
      <c r="F49" t="s">
        <v>204</v>
      </c>
      <c r="G49" t="s">
        <v>220</v>
      </c>
      <c r="H49">
        <v>799</v>
      </c>
      <c r="I49">
        <v>0</v>
      </c>
      <c r="J49">
        <v>0</v>
      </c>
      <c r="K49">
        <v>799</v>
      </c>
      <c r="L49" s="5">
        <v>46268</v>
      </c>
      <c r="M49" t="s">
        <v>206</v>
      </c>
      <c r="N49" t="s">
        <v>207</v>
      </c>
      <c r="O49" t="s">
        <v>311</v>
      </c>
      <c r="P49" t="s">
        <v>208</v>
      </c>
      <c r="Q49" t="s">
        <v>209</v>
      </c>
    </row>
    <row r="50" spans="1:17" x14ac:dyDescent="0.3">
      <c r="A50" t="s">
        <v>312</v>
      </c>
      <c r="C50" t="s">
        <v>313</v>
      </c>
      <c r="D50" t="s">
        <v>314</v>
      </c>
      <c r="E50" s="5">
        <v>46266</v>
      </c>
      <c r="F50" t="s">
        <v>204</v>
      </c>
      <c r="G50" t="s">
        <v>220</v>
      </c>
      <c r="H50">
        <v>1798</v>
      </c>
      <c r="I50">
        <v>0</v>
      </c>
      <c r="J50">
        <v>0</v>
      </c>
      <c r="K50">
        <v>1798</v>
      </c>
      <c r="L50" s="5">
        <v>46268</v>
      </c>
      <c r="M50" t="s">
        <v>206</v>
      </c>
      <c r="N50" t="s">
        <v>207</v>
      </c>
      <c r="O50" t="s">
        <v>314</v>
      </c>
      <c r="P50" t="s">
        <v>208</v>
      </c>
      <c r="Q50" t="s">
        <v>209</v>
      </c>
    </row>
    <row r="51" spans="1:17" x14ac:dyDescent="0.3">
      <c r="A51" t="s">
        <v>315</v>
      </c>
      <c r="C51" t="s">
        <v>316</v>
      </c>
      <c r="D51" t="s">
        <v>317</v>
      </c>
      <c r="E51" s="5">
        <v>46266</v>
      </c>
      <c r="F51" t="s">
        <v>204</v>
      </c>
      <c r="G51" t="s">
        <v>220</v>
      </c>
      <c r="H51">
        <v>2999</v>
      </c>
      <c r="I51">
        <v>9</v>
      </c>
      <c r="J51">
        <v>1.62</v>
      </c>
      <c r="K51">
        <v>2988.38</v>
      </c>
      <c r="L51" s="5">
        <v>46268</v>
      </c>
      <c r="M51" t="s">
        <v>206</v>
      </c>
      <c r="N51" t="s">
        <v>207</v>
      </c>
      <c r="O51" t="s">
        <v>317</v>
      </c>
      <c r="P51" t="s">
        <v>208</v>
      </c>
      <c r="Q51" t="s">
        <v>209</v>
      </c>
    </row>
    <row r="52" spans="1:17" x14ac:dyDescent="0.3">
      <c r="A52" t="s">
        <v>318</v>
      </c>
      <c r="C52" t="s">
        <v>319</v>
      </c>
      <c r="D52" t="s">
        <v>319</v>
      </c>
      <c r="E52" s="5">
        <v>46266</v>
      </c>
      <c r="F52" t="s">
        <v>204</v>
      </c>
      <c r="G52" t="s">
        <v>220</v>
      </c>
      <c r="H52">
        <v>999</v>
      </c>
      <c r="I52">
        <v>0</v>
      </c>
      <c r="J52">
        <v>0</v>
      </c>
      <c r="K52">
        <v>999</v>
      </c>
      <c r="L52" s="5">
        <v>46268</v>
      </c>
      <c r="M52" t="s">
        <v>206</v>
      </c>
      <c r="N52" t="s">
        <v>207</v>
      </c>
      <c r="O52" t="s">
        <v>319</v>
      </c>
      <c r="P52" t="s">
        <v>208</v>
      </c>
      <c r="Q52" t="s">
        <v>209</v>
      </c>
    </row>
    <row r="53" spans="1:17" x14ac:dyDescent="0.3">
      <c r="A53" t="s">
        <v>320</v>
      </c>
      <c r="C53" t="s">
        <v>321</v>
      </c>
      <c r="D53" t="s">
        <v>322</v>
      </c>
      <c r="E53" s="5">
        <v>46266</v>
      </c>
      <c r="F53" t="s">
        <v>204</v>
      </c>
      <c r="G53" t="s">
        <v>213</v>
      </c>
      <c r="H53">
        <v>1648</v>
      </c>
      <c r="I53">
        <v>29.66</v>
      </c>
      <c r="J53">
        <v>5.34</v>
      </c>
      <c r="K53">
        <v>1613</v>
      </c>
      <c r="L53" s="5">
        <v>46268</v>
      </c>
      <c r="M53" t="s">
        <v>206</v>
      </c>
      <c r="N53" t="s">
        <v>207</v>
      </c>
      <c r="O53" t="s">
        <v>322</v>
      </c>
      <c r="P53" t="s">
        <v>208</v>
      </c>
      <c r="Q53" t="s">
        <v>209</v>
      </c>
    </row>
    <row r="54" spans="1:17" x14ac:dyDescent="0.3">
      <c r="A54" t="s">
        <v>323</v>
      </c>
      <c r="C54" t="s">
        <v>324</v>
      </c>
      <c r="D54" t="s">
        <v>324</v>
      </c>
      <c r="E54" s="5">
        <v>46266</v>
      </c>
      <c r="F54" t="s">
        <v>204</v>
      </c>
      <c r="G54" t="s">
        <v>205</v>
      </c>
      <c r="H54">
        <v>599</v>
      </c>
      <c r="I54">
        <v>11.38</v>
      </c>
      <c r="J54">
        <v>2.0499999999999998</v>
      </c>
      <c r="K54">
        <v>585.57000000000005</v>
      </c>
      <c r="L54" s="5">
        <v>46268</v>
      </c>
      <c r="M54" t="s">
        <v>206</v>
      </c>
      <c r="N54" t="s">
        <v>207</v>
      </c>
      <c r="O54" t="s">
        <v>324</v>
      </c>
      <c r="P54" t="s">
        <v>208</v>
      </c>
      <c r="Q54" t="s">
        <v>209</v>
      </c>
    </row>
    <row r="55" spans="1:17" x14ac:dyDescent="0.3">
      <c r="A55" t="s">
        <v>325</v>
      </c>
      <c r="C55" t="s">
        <v>326</v>
      </c>
      <c r="D55" t="s">
        <v>326</v>
      </c>
      <c r="E55" s="5">
        <v>46266</v>
      </c>
      <c r="F55" t="s">
        <v>204</v>
      </c>
      <c r="G55" t="s">
        <v>213</v>
      </c>
      <c r="H55">
        <v>6498</v>
      </c>
      <c r="I55">
        <v>103.97</v>
      </c>
      <c r="J55">
        <v>18.71</v>
      </c>
      <c r="K55">
        <v>6375.32</v>
      </c>
      <c r="L55" s="5">
        <v>46268</v>
      </c>
      <c r="M55" t="s">
        <v>206</v>
      </c>
      <c r="N55" t="s">
        <v>207</v>
      </c>
      <c r="O55" t="s">
        <v>326</v>
      </c>
      <c r="P55" t="s">
        <v>208</v>
      </c>
      <c r="Q55" t="s">
        <v>209</v>
      </c>
    </row>
    <row r="56" spans="1:17" x14ac:dyDescent="0.3">
      <c r="A56" t="s">
        <v>327</v>
      </c>
      <c r="C56" t="s">
        <v>328</v>
      </c>
      <c r="D56" t="s">
        <v>328</v>
      </c>
      <c r="E56" s="5">
        <v>46266</v>
      </c>
      <c r="F56" t="s">
        <v>204</v>
      </c>
      <c r="G56" t="s">
        <v>220</v>
      </c>
      <c r="H56">
        <v>5348</v>
      </c>
      <c r="I56">
        <v>16.04</v>
      </c>
      <c r="J56">
        <v>2.89</v>
      </c>
      <c r="K56">
        <v>5329.07</v>
      </c>
      <c r="L56" s="5">
        <v>46268</v>
      </c>
      <c r="M56" t="s">
        <v>206</v>
      </c>
      <c r="N56" t="s">
        <v>207</v>
      </c>
      <c r="O56" t="s">
        <v>328</v>
      </c>
      <c r="P56" t="s">
        <v>208</v>
      </c>
      <c r="Q56" t="s">
        <v>209</v>
      </c>
    </row>
    <row r="57" spans="1:17" x14ac:dyDescent="0.3">
      <c r="A57" t="s">
        <v>329</v>
      </c>
      <c r="C57" t="s">
        <v>330</v>
      </c>
      <c r="D57" t="s">
        <v>330</v>
      </c>
      <c r="E57" s="5">
        <v>46266</v>
      </c>
      <c r="F57" t="s">
        <v>204</v>
      </c>
      <c r="G57" t="s">
        <v>220</v>
      </c>
      <c r="H57">
        <v>4798</v>
      </c>
      <c r="I57">
        <v>14.39</v>
      </c>
      <c r="J57">
        <v>2.59</v>
      </c>
      <c r="K57">
        <v>4781.0200000000004</v>
      </c>
      <c r="L57" s="5">
        <v>46268</v>
      </c>
      <c r="M57" t="s">
        <v>206</v>
      </c>
      <c r="N57" t="s">
        <v>207</v>
      </c>
      <c r="O57" t="s">
        <v>330</v>
      </c>
      <c r="P57" t="s">
        <v>208</v>
      </c>
      <c r="Q57" t="s">
        <v>209</v>
      </c>
    </row>
    <row r="58" spans="1:17" x14ac:dyDescent="0.3">
      <c r="A58" t="s">
        <v>331</v>
      </c>
      <c r="C58" t="s">
        <v>332</v>
      </c>
      <c r="D58" t="s">
        <v>332</v>
      </c>
      <c r="E58" s="5">
        <v>46266</v>
      </c>
      <c r="F58" t="s">
        <v>204</v>
      </c>
      <c r="G58" t="s">
        <v>205</v>
      </c>
      <c r="H58">
        <v>1799</v>
      </c>
      <c r="I58">
        <v>34.18</v>
      </c>
      <c r="J58">
        <v>6.15</v>
      </c>
      <c r="K58">
        <v>1758.67</v>
      </c>
      <c r="L58" s="5">
        <v>46268</v>
      </c>
      <c r="M58" t="s">
        <v>206</v>
      </c>
      <c r="N58" t="s">
        <v>207</v>
      </c>
      <c r="O58" t="s">
        <v>332</v>
      </c>
      <c r="P58" t="s">
        <v>208</v>
      </c>
      <c r="Q58" t="s">
        <v>209</v>
      </c>
    </row>
    <row r="59" spans="1:17" x14ac:dyDescent="0.3">
      <c r="A59" t="s">
        <v>333</v>
      </c>
      <c r="C59" t="s">
        <v>334</v>
      </c>
      <c r="D59" t="s">
        <v>335</v>
      </c>
      <c r="E59" s="5">
        <v>46266</v>
      </c>
      <c r="F59" t="s">
        <v>204</v>
      </c>
      <c r="G59" t="s">
        <v>255</v>
      </c>
      <c r="H59">
        <v>8798</v>
      </c>
      <c r="I59">
        <v>105.58</v>
      </c>
      <c r="J59">
        <v>19</v>
      </c>
      <c r="K59">
        <v>8673.42</v>
      </c>
      <c r="L59" s="5">
        <v>46268</v>
      </c>
      <c r="M59" t="s">
        <v>206</v>
      </c>
      <c r="N59" t="s">
        <v>207</v>
      </c>
      <c r="O59" t="s">
        <v>335</v>
      </c>
      <c r="P59" t="s">
        <v>208</v>
      </c>
      <c r="Q59" t="s">
        <v>209</v>
      </c>
    </row>
    <row r="60" spans="1:17" x14ac:dyDescent="0.3">
      <c r="A60" t="s">
        <v>336</v>
      </c>
      <c r="C60" t="s">
        <v>337</v>
      </c>
      <c r="D60" t="s">
        <v>337</v>
      </c>
      <c r="E60" s="5">
        <v>46266</v>
      </c>
      <c r="F60" t="s">
        <v>204</v>
      </c>
      <c r="G60" t="s">
        <v>220</v>
      </c>
      <c r="H60">
        <v>7999</v>
      </c>
      <c r="I60">
        <v>24</v>
      </c>
      <c r="J60">
        <v>4.32</v>
      </c>
      <c r="K60">
        <v>7970.68</v>
      </c>
      <c r="L60" s="5">
        <v>46268</v>
      </c>
      <c r="M60" t="s">
        <v>206</v>
      </c>
      <c r="N60" t="s">
        <v>207</v>
      </c>
      <c r="O60" t="s">
        <v>337</v>
      </c>
      <c r="P60" t="s">
        <v>208</v>
      </c>
      <c r="Q60" t="s">
        <v>209</v>
      </c>
    </row>
    <row r="61" spans="1:17" x14ac:dyDescent="0.3">
      <c r="A61" t="s">
        <v>338</v>
      </c>
      <c r="C61" t="s">
        <v>339</v>
      </c>
      <c r="D61" t="s">
        <v>339</v>
      </c>
      <c r="E61" s="5">
        <v>46266</v>
      </c>
      <c r="F61" t="s">
        <v>204</v>
      </c>
      <c r="G61" t="s">
        <v>220</v>
      </c>
      <c r="H61">
        <v>2499</v>
      </c>
      <c r="I61">
        <v>7.5</v>
      </c>
      <c r="J61">
        <v>1.35</v>
      </c>
      <c r="K61">
        <v>2490.15</v>
      </c>
      <c r="L61" s="5">
        <v>46268</v>
      </c>
      <c r="M61" t="s">
        <v>206</v>
      </c>
      <c r="N61" t="s">
        <v>207</v>
      </c>
      <c r="O61" t="s">
        <v>339</v>
      </c>
      <c r="P61" t="s">
        <v>208</v>
      </c>
      <c r="Q61" t="s">
        <v>209</v>
      </c>
    </row>
    <row r="62" spans="1:17" x14ac:dyDescent="0.3">
      <c r="A62" t="s">
        <v>340</v>
      </c>
      <c r="C62" t="s">
        <v>341</v>
      </c>
      <c r="D62" t="s">
        <v>341</v>
      </c>
      <c r="E62" s="5">
        <v>46266</v>
      </c>
      <c r="F62" t="s">
        <v>204</v>
      </c>
      <c r="G62" t="s">
        <v>220</v>
      </c>
      <c r="H62">
        <v>1499</v>
      </c>
      <c r="I62">
        <v>0</v>
      </c>
      <c r="J62">
        <v>0</v>
      </c>
      <c r="K62">
        <v>1499</v>
      </c>
      <c r="L62" s="5">
        <v>46268</v>
      </c>
      <c r="M62" t="s">
        <v>206</v>
      </c>
      <c r="N62" t="s">
        <v>207</v>
      </c>
      <c r="O62" t="s">
        <v>341</v>
      </c>
      <c r="P62" t="s">
        <v>208</v>
      </c>
      <c r="Q62" t="s">
        <v>209</v>
      </c>
    </row>
    <row r="63" spans="1:17" x14ac:dyDescent="0.3">
      <c r="A63" t="s">
        <v>342</v>
      </c>
      <c r="C63" t="s">
        <v>343</v>
      </c>
      <c r="D63" t="s">
        <v>343</v>
      </c>
      <c r="E63" s="5">
        <v>46266</v>
      </c>
      <c r="F63" t="s">
        <v>204</v>
      </c>
      <c r="G63" t="s">
        <v>220</v>
      </c>
      <c r="H63">
        <v>1499</v>
      </c>
      <c r="I63">
        <v>0</v>
      </c>
      <c r="J63">
        <v>0</v>
      </c>
      <c r="K63">
        <v>1499</v>
      </c>
      <c r="L63" s="5">
        <v>46268</v>
      </c>
      <c r="M63" t="s">
        <v>206</v>
      </c>
      <c r="N63" t="s">
        <v>207</v>
      </c>
      <c r="O63" t="s">
        <v>343</v>
      </c>
      <c r="P63" t="s">
        <v>208</v>
      </c>
      <c r="Q63" t="s">
        <v>209</v>
      </c>
    </row>
    <row r="64" spans="1:17" x14ac:dyDescent="0.3">
      <c r="A64" t="s">
        <v>344</v>
      </c>
      <c r="C64" t="s">
        <v>345</v>
      </c>
      <c r="D64" t="s">
        <v>345</v>
      </c>
      <c r="E64" s="5">
        <v>46266</v>
      </c>
      <c r="F64" t="s">
        <v>204</v>
      </c>
      <c r="G64" t="s">
        <v>220</v>
      </c>
      <c r="H64">
        <v>2598</v>
      </c>
      <c r="I64">
        <v>7.79</v>
      </c>
      <c r="J64">
        <v>1.4</v>
      </c>
      <c r="K64">
        <v>2588.81</v>
      </c>
      <c r="L64" s="5">
        <v>46268</v>
      </c>
      <c r="M64" t="s">
        <v>206</v>
      </c>
      <c r="N64" t="s">
        <v>207</v>
      </c>
      <c r="O64" t="s">
        <v>345</v>
      </c>
      <c r="P64" t="s">
        <v>208</v>
      </c>
      <c r="Q64" t="s">
        <v>209</v>
      </c>
    </row>
    <row r="65" spans="1:17" x14ac:dyDescent="0.3">
      <c r="A65" t="s">
        <v>346</v>
      </c>
      <c r="C65" t="s">
        <v>347</v>
      </c>
      <c r="D65" t="s">
        <v>347</v>
      </c>
      <c r="E65" s="5">
        <v>46266</v>
      </c>
      <c r="F65" t="s">
        <v>204</v>
      </c>
      <c r="G65" t="s">
        <v>220</v>
      </c>
      <c r="H65">
        <v>1098</v>
      </c>
      <c r="I65">
        <v>0</v>
      </c>
      <c r="J65">
        <v>0</v>
      </c>
      <c r="K65">
        <v>1098</v>
      </c>
      <c r="L65" s="5">
        <v>46268</v>
      </c>
      <c r="M65" t="s">
        <v>206</v>
      </c>
      <c r="N65" t="s">
        <v>207</v>
      </c>
      <c r="O65" t="s">
        <v>347</v>
      </c>
      <c r="P65" t="s">
        <v>208</v>
      </c>
      <c r="Q65" t="s">
        <v>209</v>
      </c>
    </row>
    <row r="66" spans="1:17" x14ac:dyDescent="0.3">
      <c r="A66" t="s">
        <v>348</v>
      </c>
      <c r="C66" t="s">
        <v>349</v>
      </c>
      <c r="D66" t="s">
        <v>349</v>
      </c>
      <c r="E66" s="5">
        <v>46266</v>
      </c>
      <c r="F66" t="s">
        <v>204</v>
      </c>
      <c r="G66" t="s">
        <v>220</v>
      </c>
      <c r="H66">
        <v>648</v>
      </c>
      <c r="I66">
        <v>0</v>
      </c>
      <c r="J66">
        <v>0</v>
      </c>
      <c r="K66">
        <v>648</v>
      </c>
      <c r="L66" s="5">
        <v>46268</v>
      </c>
      <c r="M66" t="s">
        <v>206</v>
      </c>
      <c r="N66" t="s">
        <v>207</v>
      </c>
      <c r="O66" t="s">
        <v>349</v>
      </c>
      <c r="P66" t="s">
        <v>208</v>
      </c>
      <c r="Q66" t="s">
        <v>209</v>
      </c>
    </row>
    <row r="67" spans="1:17" x14ac:dyDescent="0.3">
      <c r="A67" t="s">
        <v>350</v>
      </c>
      <c r="C67" t="s">
        <v>351</v>
      </c>
      <c r="D67" t="s">
        <v>352</v>
      </c>
      <c r="E67" s="5">
        <v>46266</v>
      </c>
      <c r="F67" t="s">
        <v>204</v>
      </c>
      <c r="G67" t="s">
        <v>220</v>
      </c>
      <c r="H67">
        <v>4999</v>
      </c>
      <c r="I67">
        <v>15</v>
      </c>
      <c r="J67">
        <v>2.7</v>
      </c>
      <c r="K67">
        <v>4981.3</v>
      </c>
      <c r="L67" s="5">
        <v>46268</v>
      </c>
      <c r="M67" t="s">
        <v>206</v>
      </c>
      <c r="N67" t="s">
        <v>207</v>
      </c>
      <c r="O67" t="s">
        <v>352</v>
      </c>
      <c r="P67" t="s">
        <v>208</v>
      </c>
      <c r="Q67" t="s">
        <v>209</v>
      </c>
    </row>
    <row r="68" spans="1:17" x14ac:dyDescent="0.3">
      <c r="A68" t="s">
        <v>353</v>
      </c>
      <c r="C68" t="s">
        <v>354</v>
      </c>
      <c r="D68" t="s">
        <v>354</v>
      </c>
      <c r="E68" s="5">
        <v>46266</v>
      </c>
      <c r="F68" t="s">
        <v>204</v>
      </c>
      <c r="G68" t="s">
        <v>205</v>
      </c>
      <c r="H68">
        <v>3647</v>
      </c>
      <c r="I68">
        <v>62</v>
      </c>
      <c r="J68">
        <v>11.16</v>
      </c>
      <c r="K68">
        <v>3573.84</v>
      </c>
      <c r="L68" s="5">
        <v>46268</v>
      </c>
      <c r="M68" t="s">
        <v>206</v>
      </c>
      <c r="N68" t="s">
        <v>207</v>
      </c>
      <c r="O68" t="s">
        <v>354</v>
      </c>
      <c r="P68" t="s">
        <v>208</v>
      </c>
      <c r="Q68" t="s">
        <v>209</v>
      </c>
    </row>
    <row r="69" spans="1:17" x14ac:dyDescent="0.3">
      <c r="A69" t="s">
        <v>355</v>
      </c>
      <c r="C69" t="s">
        <v>356</v>
      </c>
      <c r="D69" t="s">
        <v>356</v>
      </c>
      <c r="E69" s="5">
        <v>46266</v>
      </c>
      <c r="F69" t="s">
        <v>204</v>
      </c>
      <c r="G69" t="s">
        <v>220</v>
      </c>
      <c r="H69">
        <v>999</v>
      </c>
      <c r="I69">
        <v>0</v>
      </c>
      <c r="J69">
        <v>0</v>
      </c>
      <c r="K69">
        <v>999</v>
      </c>
      <c r="L69" s="5">
        <v>46268</v>
      </c>
      <c r="M69" t="s">
        <v>206</v>
      </c>
      <c r="N69" t="s">
        <v>207</v>
      </c>
      <c r="O69" t="s">
        <v>356</v>
      </c>
      <c r="P69" t="s">
        <v>208</v>
      </c>
      <c r="Q69" t="s">
        <v>209</v>
      </c>
    </row>
    <row r="70" spans="1:17" x14ac:dyDescent="0.3">
      <c r="A70" t="s">
        <v>357</v>
      </c>
      <c r="C70" t="s">
        <v>358</v>
      </c>
      <c r="D70" t="s">
        <v>359</v>
      </c>
      <c r="E70" s="5">
        <v>46266</v>
      </c>
      <c r="F70" t="s">
        <v>204</v>
      </c>
      <c r="G70" t="s">
        <v>220</v>
      </c>
      <c r="H70">
        <v>1299</v>
      </c>
      <c r="I70">
        <v>0</v>
      </c>
      <c r="J70">
        <v>0</v>
      </c>
      <c r="K70">
        <v>1299</v>
      </c>
      <c r="L70" s="5">
        <v>46268</v>
      </c>
      <c r="M70" t="s">
        <v>206</v>
      </c>
      <c r="N70" t="s">
        <v>207</v>
      </c>
      <c r="O70" t="s">
        <v>359</v>
      </c>
      <c r="P70" t="s">
        <v>208</v>
      </c>
      <c r="Q70" t="s">
        <v>209</v>
      </c>
    </row>
    <row r="71" spans="1:17" x14ac:dyDescent="0.3">
      <c r="A71" t="s">
        <v>360</v>
      </c>
      <c r="C71" t="s">
        <v>361</v>
      </c>
      <c r="D71" t="s">
        <v>361</v>
      </c>
      <c r="E71" s="5">
        <v>46266</v>
      </c>
      <c r="F71" t="s">
        <v>204</v>
      </c>
      <c r="G71" t="s">
        <v>213</v>
      </c>
      <c r="H71">
        <v>499</v>
      </c>
      <c r="I71">
        <v>8.98</v>
      </c>
      <c r="J71">
        <v>1.62</v>
      </c>
      <c r="K71">
        <v>488.4</v>
      </c>
      <c r="L71" s="5">
        <v>46268</v>
      </c>
      <c r="M71" t="s">
        <v>206</v>
      </c>
      <c r="N71" t="s">
        <v>207</v>
      </c>
      <c r="O71" t="s">
        <v>361</v>
      </c>
      <c r="P71" t="s">
        <v>208</v>
      </c>
      <c r="Q71" t="s">
        <v>209</v>
      </c>
    </row>
    <row r="72" spans="1:17" x14ac:dyDescent="0.3">
      <c r="A72" t="s">
        <v>362</v>
      </c>
      <c r="C72" t="s">
        <v>363</v>
      </c>
      <c r="D72" t="s">
        <v>364</v>
      </c>
      <c r="E72" s="5">
        <v>46266</v>
      </c>
      <c r="F72" t="s">
        <v>204</v>
      </c>
      <c r="G72" t="s">
        <v>220</v>
      </c>
      <c r="H72">
        <v>2999</v>
      </c>
      <c r="I72">
        <v>9</v>
      </c>
      <c r="J72">
        <v>1.62</v>
      </c>
      <c r="K72">
        <v>2988.38</v>
      </c>
      <c r="L72" s="5">
        <v>46268</v>
      </c>
      <c r="M72" t="s">
        <v>206</v>
      </c>
      <c r="N72" t="s">
        <v>207</v>
      </c>
      <c r="O72" t="s">
        <v>364</v>
      </c>
      <c r="P72" t="s">
        <v>208</v>
      </c>
      <c r="Q72" t="s">
        <v>209</v>
      </c>
    </row>
    <row r="73" spans="1:17" x14ac:dyDescent="0.3">
      <c r="A73" t="s">
        <v>365</v>
      </c>
      <c r="C73" t="s">
        <v>366</v>
      </c>
      <c r="D73" t="s">
        <v>367</v>
      </c>
      <c r="E73" s="5">
        <v>46266</v>
      </c>
      <c r="F73" t="s">
        <v>204</v>
      </c>
      <c r="G73" t="s">
        <v>220</v>
      </c>
      <c r="H73">
        <v>5998</v>
      </c>
      <c r="I73">
        <v>17.989999999999998</v>
      </c>
      <c r="J73">
        <v>3.24</v>
      </c>
      <c r="K73">
        <v>5976.77</v>
      </c>
      <c r="L73" s="5">
        <v>46268</v>
      </c>
      <c r="M73" t="s">
        <v>206</v>
      </c>
      <c r="N73" t="s">
        <v>207</v>
      </c>
      <c r="O73" t="s">
        <v>367</v>
      </c>
      <c r="P73" t="s">
        <v>208</v>
      </c>
      <c r="Q73" t="s">
        <v>209</v>
      </c>
    </row>
    <row r="74" spans="1:17" x14ac:dyDescent="0.3">
      <c r="A74" t="s">
        <v>368</v>
      </c>
      <c r="C74" t="s">
        <v>369</v>
      </c>
      <c r="D74" t="s">
        <v>369</v>
      </c>
      <c r="E74" s="5">
        <v>46266</v>
      </c>
      <c r="F74" t="s">
        <v>204</v>
      </c>
      <c r="G74" t="s">
        <v>220</v>
      </c>
      <c r="H74">
        <v>1499</v>
      </c>
      <c r="I74">
        <v>0</v>
      </c>
      <c r="J74">
        <v>0</v>
      </c>
      <c r="K74">
        <v>1499</v>
      </c>
      <c r="L74" s="5">
        <v>46268</v>
      </c>
      <c r="M74" t="s">
        <v>206</v>
      </c>
      <c r="N74" t="s">
        <v>207</v>
      </c>
      <c r="O74" t="s">
        <v>369</v>
      </c>
      <c r="P74" t="s">
        <v>208</v>
      </c>
      <c r="Q74" t="s">
        <v>209</v>
      </c>
    </row>
    <row r="75" spans="1:17" x14ac:dyDescent="0.3">
      <c r="A75" t="s">
        <v>370</v>
      </c>
      <c r="C75" t="s">
        <v>371</v>
      </c>
      <c r="D75" t="s">
        <v>372</v>
      </c>
      <c r="E75" s="5">
        <v>46266</v>
      </c>
      <c r="F75" t="s">
        <v>204</v>
      </c>
      <c r="G75" t="s">
        <v>255</v>
      </c>
      <c r="H75">
        <v>3498</v>
      </c>
      <c r="I75">
        <v>41.98</v>
      </c>
      <c r="J75">
        <v>7.56</v>
      </c>
      <c r="K75">
        <v>3448.46</v>
      </c>
      <c r="L75" s="5">
        <v>46268</v>
      </c>
      <c r="M75" t="s">
        <v>206</v>
      </c>
      <c r="N75" t="s">
        <v>207</v>
      </c>
      <c r="O75" t="s">
        <v>372</v>
      </c>
      <c r="P75" t="s">
        <v>208</v>
      </c>
      <c r="Q75" t="s">
        <v>209</v>
      </c>
    </row>
    <row r="76" spans="1:17" x14ac:dyDescent="0.3">
      <c r="A76" t="s">
        <v>373</v>
      </c>
      <c r="C76" t="s">
        <v>374</v>
      </c>
      <c r="D76" t="s">
        <v>374</v>
      </c>
      <c r="E76" s="5">
        <v>46266</v>
      </c>
      <c r="F76" t="s">
        <v>204</v>
      </c>
      <c r="G76" t="s">
        <v>213</v>
      </c>
      <c r="H76">
        <v>599</v>
      </c>
      <c r="I76">
        <v>10.78</v>
      </c>
      <c r="J76">
        <v>1.94</v>
      </c>
      <c r="K76">
        <v>586.28</v>
      </c>
      <c r="L76" s="5">
        <v>46268</v>
      </c>
      <c r="M76" t="s">
        <v>206</v>
      </c>
      <c r="N76" t="s">
        <v>207</v>
      </c>
      <c r="O76" t="s">
        <v>374</v>
      </c>
      <c r="P76" t="s">
        <v>208</v>
      </c>
      <c r="Q76" t="s">
        <v>209</v>
      </c>
    </row>
    <row r="77" spans="1:17" x14ac:dyDescent="0.3">
      <c r="A77" t="s">
        <v>375</v>
      </c>
      <c r="C77" t="s">
        <v>376</v>
      </c>
      <c r="D77" t="s">
        <v>376</v>
      </c>
      <c r="E77" s="5">
        <v>46266</v>
      </c>
      <c r="F77" t="s">
        <v>204</v>
      </c>
      <c r="G77" t="s">
        <v>205</v>
      </c>
      <c r="H77">
        <v>2397</v>
      </c>
      <c r="I77">
        <v>40.75</v>
      </c>
      <c r="J77">
        <v>7.34</v>
      </c>
      <c r="K77">
        <v>2348.91</v>
      </c>
      <c r="L77" s="5">
        <v>46268</v>
      </c>
      <c r="M77" t="s">
        <v>206</v>
      </c>
      <c r="N77" t="s">
        <v>207</v>
      </c>
      <c r="O77" t="s">
        <v>376</v>
      </c>
      <c r="P77" t="s">
        <v>208</v>
      </c>
      <c r="Q77" t="s">
        <v>209</v>
      </c>
    </row>
    <row r="78" spans="1:17" x14ac:dyDescent="0.3">
      <c r="A78" t="s">
        <v>377</v>
      </c>
      <c r="C78" t="s">
        <v>378</v>
      </c>
      <c r="D78" t="s">
        <v>378</v>
      </c>
      <c r="E78" s="5">
        <v>46266</v>
      </c>
      <c r="F78" t="s">
        <v>204</v>
      </c>
      <c r="G78" t="s">
        <v>213</v>
      </c>
      <c r="H78">
        <v>3499</v>
      </c>
      <c r="I78">
        <v>55.98</v>
      </c>
      <c r="J78">
        <v>10.08</v>
      </c>
      <c r="K78">
        <v>3432.94</v>
      </c>
      <c r="L78" s="5">
        <v>46268</v>
      </c>
      <c r="M78" t="s">
        <v>206</v>
      </c>
      <c r="N78" t="s">
        <v>207</v>
      </c>
      <c r="O78" t="s">
        <v>378</v>
      </c>
      <c r="P78" t="s">
        <v>208</v>
      </c>
      <c r="Q78" t="s">
        <v>209</v>
      </c>
    </row>
    <row r="79" spans="1:17" x14ac:dyDescent="0.3">
      <c r="A79" t="s">
        <v>379</v>
      </c>
      <c r="C79" t="s">
        <v>380</v>
      </c>
      <c r="D79" t="s">
        <v>380</v>
      </c>
      <c r="E79" s="5">
        <v>46266</v>
      </c>
      <c r="F79" t="s">
        <v>204</v>
      </c>
      <c r="G79" t="s">
        <v>213</v>
      </c>
      <c r="H79">
        <v>1799</v>
      </c>
      <c r="I79">
        <v>32.380000000000003</v>
      </c>
      <c r="J79">
        <v>5.83</v>
      </c>
      <c r="K79">
        <v>1760.79</v>
      </c>
      <c r="L79" s="5">
        <v>46268</v>
      </c>
      <c r="M79" t="s">
        <v>206</v>
      </c>
      <c r="N79" t="s">
        <v>207</v>
      </c>
      <c r="O79" t="s">
        <v>380</v>
      </c>
      <c r="P79" t="s">
        <v>208</v>
      </c>
      <c r="Q79" t="s">
        <v>209</v>
      </c>
    </row>
    <row r="80" spans="1:17" x14ac:dyDescent="0.3">
      <c r="A80" t="s">
        <v>381</v>
      </c>
      <c r="C80" t="s">
        <v>382</v>
      </c>
      <c r="D80" t="s">
        <v>382</v>
      </c>
      <c r="E80" s="5">
        <v>46266</v>
      </c>
      <c r="F80" t="s">
        <v>204</v>
      </c>
      <c r="G80" t="s">
        <v>220</v>
      </c>
      <c r="H80">
        <v>3098</v>
      </c>
      <c r="I80">
        <v>9.2899999999999991</v>
      </c>
      <c r="J80">
        <v>1.67</v>
      </c>
      <c r="K80">
        <v>3087.04</v>
      </c>
      <c r="L80" s="5">
        <v>46268</v>
      </c>
      <c r="M80" t="s">
        <v>206</v>
      </c>
      <c r="N80" t="s">
        <v>207</v>
      </c>
      <c r="O80" t="s">
        <v>382</v>
      </c>
      <c r="P80" t="s">
        <v>208</v>
      </c>
      <c r="Q80" t="s">
        <v>209</v>
      </c>
    </row>
    <row r="81" spans="1:17" x14ac:dyDescent="0.3">
      <c r="A81" t="s">
        <v>383</v>
      </c>
      <c r="C81" t="s">
        <v>384</v>
      </c>
      <c r="D81" t="s">
        <v>385</v>
      </c>
      <c r="E81" s="5">
        <v>46266</v>
      </c>
      <c r="F81" t="s">
        <v>204</v>
      </c>
      <c r="G81" t="s">
        <v>220</v>
      </c>
      <c r="H81">
        <v>4999</v>
      </c>
      <c r="I81">
        <v>15</v>
      </c>
      <c r="J81">
        <v>2.7</v>
      </c>
      <c r="K81">
        <v>4981.3</v>
      </c>
      <c r="L81" s="5">
        <v>46268</v>
      </c>
      <c r="M81" t="s">
        <v>206</v>
      </c>
      <c r="N81" t="s">
        <v>207</v>
      </c>
      <c r="O81" t="s">
        <v>385</v>
      </c>
      <c r="P81" t="s">
        <v>208</v>
      </c>
      <c r="Q81" t="s">
        <v>209</v>
      </c>
    </row>
    <row r="82" spans="1:17" x14ac:dyDescent="0.3">
      <c r="A82" t="s">
        <v>386</v>
      </c>
      <c r="C82" t="s">
        <v>387</v>
      </c>
      <c r="D82" t="s">
        <v>387</v>
      </c>
      <c r="E82" s="5">
        <v>46266</v>
      </c>
      <c r="F82" t="s">
        <v>204</v>
      </c>
      <c r="G82" t="s">
        <v>220</v>
      </c>
      <c r="H82">
        <v>4999</v>
      </c>
      <c r="I82">
        <v>15</v>
      </c>
      <c r="J82">
        <v>2.7</v>
      </c>
      <c r="K82">
        <v>4981.3</v>
      </c>
      <c r="L82" s="5">
        <v>46268</v>
      </c>
      <c r="M82" t="s">
        <v>206</v>
      </c>
      <c r="N82" t="s">
        <v>207</v>
      </c>
      <c r="O82" t="s">
        <v>387</v>
      </c>
      <c r="P82" t="s">
        <v>208</v>
      </c>
      <c r="Q82" t="s">
        <v>209</v>
      </c>
    </row>
    <row r="83" spans="1:17" x14ac:dyDescent="0.3">
      <c r="A83" t="s">
        <v>388</v>
      </c>
      <c r="C83" t="s">
        <v>389</v>
      </c>
      <c r="D83" t="s">
        <v>389</v>
      </c>
      <c r="E83" s="5">
        <v>46266</v>
      </c>
      <c r="F83" t="s">
        <v>204</v>
      </c>
      <c r="G83" t="s">
        <v>220</v>
      </c>
      <c r="H83">
        <v>3098</v>
      </c>
      <c r="I83">
        <v>9.2899999999999991</v>
      </c>
      <c r="J83">
        <v>1.67</v>
      </c>
      <c r="K83">
        <v>3087.04</v>
      </c>
      <c r="L83" s="5">
        <v>46268</v>
      </c>
      <c r="M83" t="s">
        <v>206</v>
      </c>
      <c r="N83" t="s">
        <v>207</v>
      </c>
      <c r="O83" t="s">
        <v>389</v>
      </c>
      <c r="P83" t="s">
        <v>208</v>
      </c>
      <c r="Q83" t="s">
        <v>209</v>
      </c>
    </row>
    <row r="84" spans="1:17" x14ac:dyDescent="0.3">
      <c r="A84" t="s">
        <v>390</v>
      </c>
      <c r="C84" t="s">
        <v>391</v>
      </c>
      <c r="D84" t="s">
        <v>391</v>
      </c>
      <c r="E84" s="5">
        <v>46266</v>
      </c>
      <c r="F84" t="s">
        <v>204</v>
      </c>
      <c r="G84" t="s">
        <v>213</v>
      </c>
      <c r="H84">
        <v>3447</v>
      </c>
      <c r="I84">
        <v>55.15</v>
      </c>
      <c r="J84">
        <v>9.93</v>
      </c>
      <c r="K84">
        <v>3381.92</v>
      </c>
      <c r="L84" s="5">
        <v>46268</v>
      </c>
      <c r="M84" t="s">
        <v>206</v>
      </c>
      <c r="N84" t="s">
        <v>207</v>
      </c>
      <c r="O84" t="s">
        <v>391</v>
      </c>
      <c r="P84" t="s">
        <v>208</v>
      </c>
      <c r="Q84" t="s">
        <v>209</v>
      </c>
    </row>
    <row r="85" spans="1:17" x14ac:dyDescent="0.3">
      <c r="A85" t="s">
        <v>392</v>
      </c>
      <c r="C85" t="s">
        <v>393</v>
      </c>
      <c r="D85" t="s">
        <v>393</v>
      </c>
      <c r="E85" s="5">
        <v>46266</v>
      </c>
      <c r="F85" t="s">
        <v>204</v>
      </c>
      <c r="G85" t="s">
        <v>220</v>
      </c>
      <c r="H85">
        <v>2499</v>
      </c>
      <c r="I85">
        <v>7.5</v>
      </c>
      <c r="J85">
        <v>1.35</v>
      </c>
      <c r="K85">
        <v>2490.15</v>
      </c>
      <c r="L85" s="5">
        <v>46268</v>
      </c>
      <c r="M85" t="s">
        <v>206</v>
      </c>
      <c r="N85" t="s">
        <v>207</v>
      </c>
      <c r="O85" t="s">
        <v>393</v>
      </c>
      <c r="P85" t="s">
        <v>208</v>
      </c>
      <c r="Q85" t="s">
        <v>209</v>
      </c>
    </row>
    <row r="86" spans="1:17" x14ac:dyDescent="0.3">
      <c r="A86" t="s">
        <v>394</v>
      </c>
      <c r="C86" t="s">
        <v>395</v>
      </c>
      <c r="D86" t="s">
        <v>395</v>
      </c>
      <c r="E86" s="5">
        <v>46266</v>
      </c>
      <c r="F86" t="s">
        <v>204</v>
      </c>
      <c r="G86" t="s">
        <v>220</v>
      </c>
      <c r="H86">
        <v>3499</v>
      </c>
      <c r="I86">
        <v>10.5</v>
      </c>
      <c r="J86">
        <v>1.89</v>
      </c>
      <c r="K86">
        <v>3486.61</v>
      </c>
      <c r="L86" s="5">
        <v>46268</v>
      </c>
      <c r="M86" t="s">
        <v>206</v>
      </c>
      <c r="N86" t="s">
        <v>207</v>
      </c>
      <c r="O86" t="s">
        <v>395</v>
      </c>
      <c r="P86" t="s">
        <v>208</v>
      </c>
      <c r="Q86" t="s">
        <v>209</v>
      </c>
    </row>
    <row r="87" spans="1:17" x14ac:dyDescent="0.3">
      <c r="A87" t="s">
        <v>396</v>
      </c>
      <c r="C87" t="s">
        <v>397</v>
      </c>
      <c r="D87" t="s">
        <v>397</v>
      </c>
      <c r="E87" s="5">
        <v>46266</v>
      </c>
      <c r="F87" t="s">
        <v>204</v>
      </c>
      <c r="G87" t="s">
        <v>205</v>
      </c>
      <c r="H87">
        <v>599</v>
      </c>
      <c r="I87">
        <v>11.38</v>
      </c>
      <c r="J87">
        <v>2.0499999999999998</v>
      </c>
      <c r="K87">
        <v>585.57000000000005</v>
      </c>
      <c r="L87" s="5">
        <v>46268</v>
      </c>
      <c r="M87" t="s">
        <v>206</v>
      </c>
      <c r="N87" t="s">
        <v>207</v>
      </c>
      <c r="O87" t="s">
        <v>397</v>
      </c>
      <c r="P87" t="s">
        <v>208</v>
      </c>
      <c r="Q87" t="s">
        <v>209</v>
      </c>
    </row>
    <row r="88" spans="1:17" x14ac:dyDescent="0.3">
      <c r="A88" t="s">
        <v>398</v>
      </c>
      <c r="C88" t="s">
        <v>399</v>
      </c>
      <c r="D88" t="s">
        <v>399</v>
      </c>
      <c r="E88" s="5">
        <v>46266</v>
      </c>
      <c r="F88" t="s">
        <v>204</v>
      </c>
      <c r="G88" t="s">
        <v>220</v>
      </c>
      <c r="H88">
        <v>2798</v>
      </c>
      <c r="I88">
        <v>8.39</v>
      </c>
      <c r="J88">
        <v>1.51</v>
      </c>
      <c r="K88">
        <v>2788.1</v>
      </c>
      <c r="L88" s="5">
        <v>46268</v>
      </c>
      <c r="M88" t="s">
        <v>206</v>
      </c>
      <c r="N88" t="s">
        <v>207</v>
      </c>
      <c r="O88" t="s">
        <v>399</v>
      </c>
      <c r="P88" t="s">
        <v>208</v>
      </c>
      <c r="Q88" t="s">
        <v>209</v>
      </c>
    </row>
    <row r="89" spans="1:17" x14ac:dyDescent="0.3">
      <c r="A89" t="s">
        <v>400</v>
      </c>
      <c r="C89" t="s">
        <v>401</v>
      </c>
      <c r="D89" t="s">
        <v>401</v>
      </c>
      <c r="E89" s="5">
        <v>46266</v>
      </c>
      <c r="F89" t="s">
        <v>204</v>
      </c>
      <c r="G89" t="s">
        <v>220</v>
      </c>
      <c r="H89">
        <v>1299</v>
      </c>
      <c r="I89">
        <v>0</v>
      </c>
      <c r="J89">
        <v>0</v>
      </c>
      <c r="K89">
        <v>1299</v>
      </c>
      <c r="L89" s="5">
        <v>46268</v>
      </c>
      <c r="M89" t="s">
        <v>206</v>
      </c>
      <c r="N89" t="s">
        <v>207</v>
      </c>
      <c r="O89" t="s">
        <v>401</v>
      </c>
      <c r="P89" t="s">
        <v>208</v>
      </c>
      <c r="Q89" t="s">
        <v>209</v>
      </c>
    </row>
    <row r="90" spans="1:17" x14ac:dyDescent="0.3">
      <c r="A90" t="s">
        <v>402</v>
      </c>
      <c r="C90" t="s">
        <v>403</v>
      </c>
      <c r="D90" t="s">
        <v>403</v>
      </c>
      <c r="E90" s="5">
        <v>46266</v>
      </c>
      <c r="F90" t="s">
        <v>204</v>
      </c>
      <c r="G90" t="s">
        <v>220</v>
      </c>
      <c r="H90">
        <v>2999</v>
      </c>
      <c r="I90">
        <v>9</v>
      </c>
      <c r="J90">
        <v>1.62</v>
      </c>
      <c r="K90">
        <v>2988.38</v>
      </c>
      <c r="L90" s="5">
        <v>46268</v>
      </c>
      <c r="M90" t="s">
        <v>206</v>
      </c>
      <c r="N90" t="s">
        <v>207</v>
      </c>
      <c r="O90" t="s">
        <v>403</v>
      </c>
      <c r="P90" t="s">
        <v>208</v>
      </c>
      <c r="Q90" t="s">
        <v>209</v>
      </c>
    </row>
    <row r="91" spans="1:17" x14ac:dyDescent="0.3">
      <c r="A91" t="s">
        <v>404</v>
      </c>
      <c r="C91" t="s">
        <v>405</v>
      </c>
      <c r="D91" t="s">
        <v>405</v>
      </c>
      <c r="E91" s="5">
        <v>46266</v>
      </c>
      <c r="F91" t="s">
        <v>204</v>
      </c>
      <c r="G91" t="s">
        <v>220</v>
      </c>
      <c r="H91">
        <v>3848</v>
      </c>
      <c r="I91">
        <v>11.54</v>
      </c>
      <c r="J91">
        <v>2.08</v>
      </c>
      <c r="K91">
        <v>3834.38</v>
      </c>
      <c r="L91" s="5">
        <v>46268</v>
      </c>
      <c r="M91" t="s">
        <v>206</v>
      </c>
      <c r="N91" t="s">
        <v>207</v>
      </c>
      <c r="O91" t="s">
        <v>405</v>
      </c>
      <c r="P91" t="s">
        <v>208</v>
      </c>
      <c r="Q91" t="s">
        <v>209</v>
      </c>
    </row>
    <row r="92" spans="1:17" x14ac:dyDescent="0.3">
      <c r="A92" t="s">
        <v>406</v>
      </c>
      <c r="C92" t="s">
        <v>407</v>
      </c>
      <c r="D92" t="s">
        <v>408</v>
      </c>
      <c r="E92" s="5">
        <v>46266</v>
      </c>
      <c r="F92" t="s">
        <v>204</v>
      </c>
      <c r="G92" t="s">
        <v>205</v>
      </c>
      <c r="H92">
        <v>10097</v>
      </c>
      <c r="I92">
        <v>171.65</v>
      </c>
      <c r="J92">
        <v>30.9</v>
      </c>
      <c r="K92">
        <v>9894.4500000000007</v>
      </c>
      <c r="L92" s="5">
        <v>46268</v>
      </c>
      <c r="M92" t="s">
        <v>206</v>
      </c>
      <c r="N92" t="s">
        <v>207</v>
      </c>
      <c r="O92" t="s">
        <v>408</v>
      </c>
      <c r="P92" t="s">
        <v>208</v>
      </c>
      <c r="Q92" t="s">
        <v>209</v>
      </c>
    </row>
    <row r="93" spans="1:17" x14ac:dyDescent="0.3">
      <c r="A93" t="s">
        <v>409</v>
      </c>
      <c r="C93" t="s">
        <v>410</v>
      </c>
      <c r="D93" t="s">
        <v>410</v>
      </c>
      <c r="E93" s="5">
        <v>46266</v>
      </c>
      <c r="F93" t="s">
        <v>204</v>
      </c>
      <c r="G93" t="s">
        <v>255</v>
      </c>
      <c r="H93">
        <v>3499</v>
      </c>
      <c r="I93">
        <v>41.99</v>
      </c>
      <c r="J93">
        <v>7.56</v>
      </c>
      <c r="K93">
        <v>3449.45</v>
      </c>
      <c r="L93" s="5">
        <v>46268</v>
      </c>
      <c r="M93" t="s">
        <v>206</v>
      </c>
      <c r="N93" t="s">
        <v>207</v>
      </c>
      <c r="O93" t="s">
        <v>410</v>
      </c>
      <c r="P93" t="s">
        <v>208</v>
      </c>
      <c r="Q93" t="s">
        <v>209</v>
      </c>
    </row>
    <row r="94" spans="1:17" x14ac:dyDescent="0.3">
      <c r="A94" t="s">
        <v>411</v>
      </c>
      <c r="C94" t="s">
        <v>412</v>
      </c>
      <c r="D94" t="s">
        <v>412</v>
      </c>
      <c r="E94" s="5">
        <v>46266</v>
      </c>
      <c r="F94" t="s">
        <v>204</v>
      </c>
      <c r="G94" t="s">
        <v>205</v>
      </c>
      <c r="H94">
        <v>2499</v>
      </c>
      <c r="I94">
        <v>42.48</v>
      </c>
      <c r="J94">
        <v>7.65</v>
      </c>
      <c r="K94">
        <v>2448.87</v>
      </c>
      <c r="L94" s="5">
        <v>46268</v>
      </c>
      <c r="M94" t="s">
        <v>206</v>
      </c>
      <c r="N94" t="s">
        <v>207</v>
      </c>
      <c r="O94" t="s">
        <v>412</v>
      </c>
      <c r="P94" t="s">
        <v>208</v>
      </c>
      <c r="Q94" t="s">
        <v>209</v>
      </c>
    </row>
    <row r="95" spans="1:17" x14ac:dyDescent="0.3">
      <c r="A95" t="s">
        <v>413</v>
      </c>
      <c r="C95" t="s">
        <v>414</v>
      </c>
      <c r="D95" t="s">
        <v>414</v>
      </c>
      <c r="E95" s="5">
        <v>46266</v>
      </c>
      <c r="F95" t="s">
        <v>204</v>
      </c>
      <c r="G95" t="s">
        <v>213</v>
      </c>
      <c r="H95">
        <v>3798</v>
      </c>
      <c r="I95">
        <v>60.77</v>
      </c>
      <c r="J95">
        <v>10.94</v>
      </c>
      <c r="K95">
        <v>3726.29</v>
      </c>
      <c r="L95" s="5">
        <v>46268</v>
      </c>
      <c r="M95" t="s">
        <v>206</v>
      </c>
      <c r="N95" t="s">
        <v>207</v>
      </c>
      <c r="O95" t="s">
        <v>414</v>
      </c>
      <c r="P95" t="s">
        <v>208</v>
      </c>
      <c r="Q95" t="s">
        <v>209</v>
      </c>
    </row>
    <row r="96" spans="1:17" x14ac:dyDescent="0.3">
      <c r="A96" t="s">
        <v>415</v>
      </c>
      <c r="C96" t="s">
        <v>416</v>
      </c>
      <c r="D96" t="s">
        <v>416</v>
      </c>
      <c r="E96" s="5">
        <v>46266</v>
      </c>
      <c r="F96" t="s">
        <v>204</v>
      </c>
      <c r="G96" t="s">
        <v>213</v>
      </c>
      <c r="H96">
        <v>4999</v>
      </c>
      <c r="I96">
        <v>79.98</v>
      </c>
      <c r="J96">
        <v>14.4</v>
      </c>
      <c r="K96">
        <v>4904.62</v>
      </c>
      <c r="L96" s="5">
        <v>46268</v>
      </c>
      <c r="M96" t="s">
        <v>206</v>
      </c>
      <c r="N96" t="s">
        <v>207</v>
      </c>
      <c r="O96" t="s">
        <v>416</v>
      </c>
      <c r="P96" t="s">
        <v>208</v>
      </c>
      <c r="Q96" t="s">
        <v>209</v>
      </c>
    </row>
    <row r="97" spans="1:17" x14ac:dyDescent="0.3">
      <c r="A97" t="s">
        <v>417</v>
      </c>
      <c r="C97" t="s">
        <v>418</v>
      </c>
      <c r="D97" t="s">
        <v>418</v>
      </c>
      <c r="E97" s="5">
        <v>46266</v>
      </c>
      <c r="F97" t="s">
        <v>204</v>
      </c>
      <c r="G97" t="s">
        <v>213</v>
      </c>
      <c r="H97">
        <v>499</v>
      </c>
      <c r="I97">
        <v>8.98</v>
      </c>
      <c r="J97">
        <v>1.62</v>
      </c>
      <c r="K97">
        <v>488.4</v>
      </c>
      <c r="L97" s="5">
        <v>46268</v>
      </c>
      <c r="M97" t="s">
        <v>206</v>
      </c>
      <c r="N97" t="s">
        <v>207</v>
      </c>
      <c r="O97" t="s">
        <v>418</v>
      </c>
      <c r="P97" t="s">
        <v>208</v>
      </c>
      <c r="Q97" t="s">
        <v>209</v>
      </c>
    </row>
    <row r="98" spans="1:17" x14ac:dyDescent="0.3">
      <c r="A98" t="s">
        <v>419</v>
      </c>
      <c r="C98" t="s">
        <v>420</v>
      </c>
      <c r="D98" t="s">
        <v>421</v>
      </c>
      <c r="E98" s="5">
        <v>46266</v>
      </c>
      <c r="F98" t="s">
        <v>204</v>
      </c>
      <c r="G98" t="s">
        <v>220</v>
      </c>
      <c r="H98">
        <v>1299</v>
      </c>
      <c r="I98">
        <v>0</v>
      </c>
      <c r="J98">
        <v>0</v>
      </c>
      <c r="K98">
        <v>1299</v>
      </c>
      <c r="L98" s="5">
        <v>46268</v>
      </c>
      <c r="M98" t="s">
        <v>206</v>
      </c>
      <c r="N98" t="s">
        <v>207</v>
      </c>
      <c r="O98" t="s">
        <v>421</v>
      </c>
      <c r="P98" t="s">
        <v>208</v>
      </c>
      <c r="Q98" t="s">
        <v>209</v>
      </c>
    </row>
    <row r="99" spans="1:17" x14ac:dyDescent="0.3">
      <c r="A99" t="s">
        <v>422</v>
      </c>
      <c r="C99" t="s">
        <v>423</v>
      </c>
      <c r="D99" t="s">
        <v>423</v>
      </c>
      <c r="E99" s="5">
        <v>46266</v>
      </c>
      <c r="F99" t="s">
        <v>204</v>
      </c>
      <c r="G99" t="s">
        <v>255</v>
      </c>
      <c r="H99">
        <v>8647</v>
      </c>
      <c r="I99">
        <v>103.76</v>
      </c>
      <c r="J99">
        <v>18.68</v>
      </c>
      <c r="K99">
        <v>8524.56</v>
      </c>
      <c r="L99" s="5">
        <v>46268</v>
      </c>
      <c r="M99" t="s">
        <v>206</v>
      </c>
      <c r="N99" t="s">
        <v>207</v>
      </c>
      <c r="O99" t="s">
        <v>423</v>
      </c>
      <c r="P99" t="s">
        <v>208</v>
      </c>
      <c r="Q99" t="s">
        <v>209</v>
      </c>
    </row>
    <row r="100" spans="1:17" x14ac:dyDescent="0.3">
      <c r="A100" t="s">
        <v>424</v>
      </c>
      <c r="C100" t="s">
        <v>425</v>
      </c>
      <c r="D100" t="s">
        <v>425</v>
      </c>
      <c r="E100" s="5">
        <v>46266</v>
      </c>
      <c r="F100" t="s">
        <v>204</v>
      </c>
      <c r="G100" t="s">
        <v>205</v>
      </c>
      <c r="H100">
        <v>3848</v>
      </c>
      <c r="I100">
        <v>65.42</v>
      </c>
      <c r="J100">
        <v>11.78</v>
      </c>
      <c r="K100">
        <v>3770.8</v>
      </c>
      <c r="L100" s="5">
        <v>46268</v>
      </c>
      <c r="M100" t="s">
        <v>206</v>
      </c>
      <c r="N100" t="s">
        <v>207</v>
      </c>
      <c r="O100" t="s">
        <v>425</v>
      </c>
      <c r="P100" t="s">
        <v>208</v>
      </c>
      <c r="Q100" t="s">
        <v>209</v>
      </c>
    </row>
    <row r="101" spans="1:17" x14ac:dyDescent="0.3">
      <c r="A101" t="s">
        <v>426</v>
      </c>
      <c r="C101" t="s">
        <v>427</v>
      </c>
      <c r="D101" t="s">
        <v>427</v>
      </c>
      <c r="E101" s="5">
        <v>46266</v>
      </c>
      <c r="F101" t="s">
        <v>204</v>
      </c>
      <c r="G101" t="s">
        <v>220</v>
      </c>
      <c r="H101">
        <v>1499</v>
      </c>
      <c r="I101">
        <v>0</v>
      </c>
      <c r="J101">
        <v>0</v>
      </c>
      <c r="K101">
        <v>1499</v>
      </c>
      <c r="L101" s="5">
        <v>46268</v>
      </c>
      <c r="M101" t="s">
        <v>206</v>
      </c>
      <c r="N101" t="s">
        <v>207</v>
      </c>
      <c r="O101" t="s">
        <v>427</v>
      </c>
      <c r="P101" t="s">
        <v>208</v>
      </c>
      <c r="Q101" t="s">
        <v>209</v>
      </c>
    </row>
    <row r="102" spans="1:17" x14ac:dyDescent="0.3">
      <c r="A102" t="s">
        <v>428</v>
      </c>
      <c r="C102" t="s">
        <v>429</v>
      </c>
      <c r="D102" t="s">
        <v>429</v>
      </c>
      <c r="E102" s="5">
        <v>46266</v>
      </c>
      <c r="F102" t="s">
        <v>204</v>
      </c>
      <c r="G102" t="s">
        <v>255</v>
      </c>
      <c r="H102">
        <v>5297</v>
      </c>
      <c r="I102">
        <v>63.56</v>
      </c>
      <c r="J102">
        <v>11.44</v>
      </c>
      <c r="K102">
        <v>5222</v>
      </c>
      <c r="L102" s="5">
        <v>46268</v>
      </c>
      <c r="M102" t="s">
        <v>206</v>
      </c>
      <c r="N102" t="s">
        <v>207</v>
      </c>
      <c r="O102" t="s">
        <v>429</v>
      </c>
      <c r="P102" t="s">
        <v>208</v>
      </c>
      <c r="Q102" t="s">
        <v>209</v>
      </c>
    </row>
    <row r="103" spans="1:17" x14ac:dyDescent="0.3">
      <c r="A103" t="s">
        <v>430</v>
      </c>
      <c r="C103" t="s">
        <v>431</v>
      </c>
      <c r="D103" t="s">
        <v>431</v>
      </c>
      <c r="E103" s="5">
        <v>46266</v>
      </c>
      <c r="F103" t="s">
        <v>204</v>
      </c>
      <c r="G103" t="s">
        <v>220</v>
      </c>
      <c r="H103">
        <v>349</v>
      </c>
      <c r="I103">
        <v>0</v>
      </c>
      <c r="J103">
        <v>0</v>
      </c>
      <c r="K103">
        <v>349</v>
      </c>
      <c r="L103" s="5">
        <v>46268</v>
      </c>
      <c r="M103" t="s">
        <v>206</v>
      </c>
      <c r="N103" t="s">
        <v>207</v>
      </c>
      <c r="O103" t="s">
        <v>431</v>
      </c>
      <c r="P103" t="s">
        <v>208</v>
      </c>
      <c r="Q103" t="s">
        <v>209</v>
      </c>
    </row>
    <row r="104" spans="1:17" x14ac:dyDescent="0.3">
      <c r="A104" t="s">
        <v>432</v>
      </c>
      <c r="C104" t="s">
        <v>433</v>
      </c>
      <c r="D104" t="s">
        <v>434</v>
      </c>
      <c r="E104" s="5">
        <v>46266</v>
      </c>
      <c r="F104" t="s">
        <v>204</v>
      </c>
      <c r="G104" t="s">
        <v>213</v>
      </c>
      <c r="H104">
        <v>1198</v>
      </c>
      <c r="I104">
        <v>21.56</v>
      </c>
      <c r="J104">
        <v>3.88</v>
      </c>
      <c r="K104">
        <v>1172.56</v>
      </c>
      <c r="L104" s="5">
        <v>46268</v>
      </c>
      <c r="M104" t="s">
        <v>206</v>
      </c>
      <c r="N104" t="s">
        <v>207</v>
      </c>
      <c r="O104" t="s">
        <v>434</v>
      </c>
      <c r="P104" t="s">
        <v>208</v>
      </c>
      <c r="Q104" t="s">
        <v>209</v>
      </c>
    </row>
    <row r="105" spans="1:17" x14ac:dyDescent="0.3">
      <c r="A105" t="s">
        <v>435</v>
      </c>
      <c r="C105" t="s">
        <v>436</v>
      </c>
      <c r="D105" t="s">
        <v>436</v>
      </c>
      <c r="E105" s="5">
        <v>46266</v>
      </c>
      <c r="F105" t="s">
        <v>204</v>
      </c>
      <c r="G105" t="s">
        <v>213</v>
      </c>
      <c r="H105">
        <v>898</v>
      </c>
      <c r="I105">
        <v>16.16</v>
      </c>
      <c r="J105">
        <v>2.91</v>
      </c>
      <c r="K105">
        <v>878.93</v>
      </c>
      <c r="L105" s="5">
        <v>46268</v>
      </c>
      <c r="M105" t="s">
        <v>206</v>
      </c>
      <c r="N105" t="s">
        <v>207</v>
      </c>
      <c r="O105" t="s">
        <v>436</v>
      </c>
      <c r="P105" t="s">
        <v>208</v>
      </c>
      <c r="Q105" t="s">
        <v>209</v>
      </c>
    </row>
    <row r="106" spans="1:17" x14ac:dyDescent="0.3">
      <c r="A106" t="s">
        <v>437</v>
      </c>
      <c r="C106" t="s">
        <v>438</v>
      </c>
      <c r="D106" t="s">
        <v>438</v>
      </c>
      <c r="E106" s="5">
        <v>46266</v>
      </c>
      <c r="F106" t="s">
        <v>204</v>
      </c>
      <c r="G106" t="s">
        <v>205</v>
      </c>
      <c r="H106">
        <v>1499</v>
      </c>
      <c r="I106">
        <v>28.48</v>
      </c>
      <c r="J106">
        <v>5.13</v>
      </c>
      <c r="K106">
        <v>1465.39</v>
      </c>
      <c r="L106" s="5">
        <v>46268</v>
      </c>
      <c r="M106" t="s">
        <v>206</v>
      </c>
      <c r="N106" t="s">
        <v>207</v>
      </c>
      <c r="O106" t="s">
        <v>438</v>
      </c>
      <c r="P106" t="s">
        <v>208</v>
      </c>
      <c r="Q106" t="s">
        <v>209</v>
      </c>
    </row>
    <row r="107" spans="1:17" x14ac:dyDescent="0.3">
      <c r="A107" t="s">
        <v>439</v>
      </c>
      <c r="C107" t="s">
        <v>440</v>
      </c>
      <c r="D107" t="s">
        <v>440</v>
      </c>
      <c r="E107" s="5">
        <v>46266</v>
      </c>
      <c r="F107" t="s">
        <v>204</v>
      </c>
      <c r="G107" t="s">
        <v>220</v>
      </c>
      <c r="H107">
        <v>798</v>
      </c>
      <c r="I107">
        <v>0</v>
      </c>
      <c r="J107">
        <v>0</v>
      </c>
      <c r="K107">
        <v>798</v>
      </c>
      <c r="L107" s="5">
        <v>46268</v>
      </c>
      <c r="M107" t="s">
        <v>206</v>
      </c>
      <c r="N107" t="s">
        <v>207</v>
      </c>
      <c r="O107" t="s">
        <v>440</v>
      </c>
      <c r="P107" t="s">
        <v>208</v>
      </c>
      <c r="Q107" t="s">
        <v>209</v>
      </c>
    </row>
    <row r="108" spans="1:17" x14ac:dyDescent="0.3">
      <c r="A108" t="s">
        <v>441</v>
      </c>
      <c r="C108" t="s">
        <v>442</v>
      </c>
      <c r="D108" t="s">
        <v>442</v>
      </c>
      <c r="E108" s="5">
        <v>46266</v>
      </c>
      <c r="F108" t="s">
        <v>204</v>
      </c>
      <c r="G108" t="s">
        <v>205</v>
      </c>
      <c r="H108">
        <v>499</v>
      </c>
      <c r="I108">
        <v>9.48</v>
      </c>
      <c r="J108">
        <v>1.71</v>
      </c>
      <c r="K108">
        <v>487.81</v>
      </c>
      <c r="L108" s="5">
        <v>46268</v>
      </c>
      <c r="M108" t="s">
        <v>206</v>
      </c>
      <c r="N108" t="s">
        <v>207</v>
      </c>
      <c r="O108" t="s">
        <v>442</v>
      </c>
      <c r="P108" t="s">
        <v>208</v>
      </c>
      <c r="Q108" t="s">
        <v>209</v>
      </c>
    </row>
    <row r="109" spans="1:17" x14ac:dyDescent="0.3">
      <c r="A109" t="s">
        <v>443</v>
      </c>
      <c r="C109" t="s">
        <v>444</v>
      </c>
      <c r="D109" t="s">
        <v>444</v>
      </c>
      <c r="E109" s="5">
        <v>46266</v>
      </c>
      <c r="F109" t="s">
        <v>204</v>
      </c>
      <c r="G109" t="s">
        <v>255</v>
      </c>
      <c r="H109">
        <v>599</v>
      </c>
      <c r="I109">
        <v>8.99</v>
      </c>
      <c r="J109">
        <v>1.62</v>
      </c>
      <c r="K109">
        <v>588.39</v>
      </c>
      <c r="L109" s="5">
        <v>46268</v>
      </c>
      <c r="M109" t="s">
        <v>206</v>
      </c>
      <c r="N109" t="s">
        <v>207</v>
      </c>
      <c r="O109" t="s">
        <v>444</v>
      </c>
      <c r="P109" t="s">
        <v>208</v>
      </c>
      <c r="Q109" t="s">
        <v>209</v>
      </c>
    </row>
    <row r="110" spans="1:17" x14ac:dyDescent="0.3">
      <c r="A110" t="s">
        <v>445</v>
      </c>
      <c r="C110" t="s">
        <v>446</v>
      </c>
      <c r="D110" t="s">
        <v>446</v>
      </c>
      <c r="E110" s="5">
        <v>46266</v>
      </c>
      <c r="F110" t="s">
        <v>204</v>
      </c>
      <c r="G110" t="s">
        <v>205</v>
      </c>
      <c r="H110">
        <v>1499</v>
      </c>
      <c r="I110">
        <v>28.48</v>
      </c>
      <c r="J110">
        <v>5.13</v>
      </c>
      <c r="K110">
        <v>1465.39</v>
      </c>
      <c r="L110" s="5">
        <v>46268</v>
      </c>
      <c r="M110" t="s">
        <v>206</v>
      </c>
      <c r="N110" t="s">
        <v>207</v>
      </c>
      <c r="O110" t="s">
        <v>446</v>
      </c>
      <c r="P110" t="s">
        <v>208</v>
      </c>
      <c r="Q110" t="s">
        <v>209</v>
      </c>
    </row>
    <row r="111" spans="1:17" x14ac:dyDescent="0.3">
      <c r="A111" t="s">
        <v>447</v>
      </c>
      <c r="C111" t="s">
        <v>448</v>
      </c>
      <c r="D111" t="s">
        <v>448</v>
      </c>
      <c r="E111" s="5">
        <v>46266</v>
      </c>
      <c r="F111" t="s">
        <v>204</v>
      </c>
      <c r="G111" t="s">
        <v>255</v>
      </c>
      <c r="H111">
        <v>10797</v>
      </c>
      <c r="I111">
        <v>97.17</v>
      </c>
      <c r="J111">
        <v>17.489999999999998</v>
      </c>
      <c r="K111">
        <v>10682.34</v>
      </c>
      <c r="L111" s="5">
        <v>46268</v>
      </c>
      <c r="M111" t="s">
        <v>206</v>
      </c>
      <c r="N111" t="s">
        <v>207</v>
      </c>
      <c r="O111" t="s">
        <v>448</v>
      </c>
      <c r="P111" t="s">
        <v>208</v>
      </c>
      <c r="Q111" t="s">
        <v>209</v>
      </c>
    </row>
    <row r="112" spans="1:17" x14ac:dyDescent="0.3">
      <c r="A112" t="s">
        <v>449</v>
      </c>
      <c r="C112" t="s">
        <v>450</v>
      </c>
      <c r="D112" t="s">
        <v>450</v>
      </c>
      <c r="E112" s="5">
        <v>46266</v>
      </c>
      <c r="F112" t="s">
        <v>204</v>
      </c>
      <c r="G112" t="s">
        <v>220</v>
      </c>
      <c r="H112">
        <v>7999</v>
      </c>
      <c r="I112">
        <v>24</v>
      </c>
      <c r="J112">
        <v>4.32</v>
      </c>
      <c r="K112">
        <v>7970.68</v>
      </c>
      <c r="L112" s="5">
        <v>46268</v>
      </c>
      <c r="M112" t="s">
        <v>206</v>
      </c>
      <c r="N112" t="s">
        <v>207</v>
      </c>
      <c r="O112" t="s">
        <v>450</v>
      </c>
      <c r="P112" t="s">
        <v>208</v>
      </c>
      <c r="Q112" t="s">
        <v>209</v>
      </c>
    </row>
    <row r="113" spans="1:17" x14ac:dyDescent="0.3">
      <c r="A113" t="s">
        <v>451</v>
      </c>
      <c r="C113" t="s">
        <v>452</v>
      </c>
      <c r="D113" t="s">
        <v>452</v>
      </c>
      <c r="E113" s="5">
        <v>46266</v>
      </c>
      <c r="F113" t="s">
        <v>204</v>
      </c>
      <c r="G113" t="s">
        <v>220</v>
      </c>
      <c r="H113">
        <v>3848</v>
      </c>
      <c r="I113">
        <v>11.54</v>
      </c>
      <c r="J113">
        <v>2.08</v>
      </c>
      <c r="K113">
        <v>3834.38</v>
      </c>
      <c r="L113" s="5">
        <v>46268</v>
      </c>
      <c r="M113" t="s">
        <v>206</v>
      </c>
      <c r="N113" t="s">
        <v>207</v>
      </c>
      <c r="O113" t="s">
        <v>452</v>
      </c>
      <c r="P113" t="s">
        <v>208</v>
      </c>
      <c r="Q113" t="s">
        <v>209</v>
      </c>
    </row>
    <row r="114" spans="1:17" x14ac:dyDescent="0.3">
      <c r="A114" t="s">
        <v>453</v>
      </c>
      <c r="C114" t="s">
        <v>454</v>
      </c>
      <c r="D114" t="s">
        <v>454</v>
      </c>
      <c r="E114" s="5">
        <v>46266</v>
      </c>
      <c r="F114" t="s">
        <v>204</v>
      </c>
      <c r="G114" t="s">
        <v>213</v>
      </c>
      <c r="H114">
        <v>2499</v>
      </c>
      <c r="I114">
        <v>39.979999999999997</v>
      </c>
      <c r="J114">
        <v>7.2</v>
      </c>
      <c r="K114">
        <v>2451.8200000000002</v>
      </c>
      <c r="L114" s="5">
        <v>46268</v>
      </c>
      <c r="M114" t="s">
        <v>206</v>
      </c>
      <c r="N114" t="s">
        <v>207</v>
      </c>
      <c r="O114" t="s">
        <v>454</v>
      </c>
      <c r="P114" t="s">
        <v>208</v>
      </c>
      <c r="Q114" t="s">
        <v>209</v>
      </c>
    </row>
    <row r="115" spans="1:17" x14ac:dyDescent="0.3">
      <c r="A115" t="s">
        <v>455</v>
      </c>
      <c r="C115" t="s">
        <v>456</v>
      </c>
      <c r="D115" t="s">
        <v>456</v>
      </c>
      <c r="E115" s="5">
        <v>46266</v>
      </c>
      <c r="F115" t="s">
        <v>204</v>
      </c>
      <c r="G115" t="s">
        <v>220</v>
      </c>
      <c r="H115">
        <v>898</v>
      </c>
      <c r="I115">
        <v>0</v>
      </c>
      <c r="J115">
        <v>0</v>
      </c>
      <c r="K115">
        <v>898</v>
      </c>
      <c r="L115" s="5">
        <v>46268</v>
      </c>
      <c r="M115" t="s">
        <v>206</v>
      </c>
      <c r="N115" t="s">
        <v>207</v>
      </c>
      <c r="O115" t="s">
        <v>456</v>
      </c>
      <c r="P115" t="s">
        <v>208</v>
      </c>
      <c r="Q115" t="s">
        <v>209</v>
      </c>
    </row>
    <row r="116" spans="1:17" x14ac:dyDescent="0.3">
      <c r="A116" t="s">
        <v>457</v>
      </c>
      <c r="C116" t="s">
        <v>458</v>
      </c>
      <c r="D116" t="s">
        <v>458</v>
      </c>
      <c r="E116" s="5">
        <v>46266</v>
      </c>
      <c r="F116" t="s">
        <v>204</v>
      </c>
      <c r="G116" t="s">
        <v>220</v>
      </c>
      <c r="H116">
        <v>2999</v>
      </c>
      <c r="I116">
        <v>9</v>
      </c>
      <c r="J116">
        <v>1.62</v>
      </c>
      <c r="K116">
        <v>2988.38</v>
      </c>
      <c r="L116" s="5">
        <v>46268</v>
      </c>
      <c r="M116" t="s">
        <v>206</v>
      </c>
      <c r="N116" t="s">
        <v>207</v>
      </c>
      <c r="O116" t="s">
        <v>458</v>
      </c>
      <c r="P116" t="s">
        <v>208</v>
      </c>
      <c r="Q116" t="s">
        <v>209</v>
      </c>
    </row>
    <row r="117" spans="1:17" x14ac:dyDescent="0.3">
      <c r="A117" t="s">
        <v>459</v>
      </c>
      <c r="C117" t="s">
        <v>460</v>
      </c>
      <c r="D117" t="s">
        <v>460</v>
      </c>
      <c r="E117" s="5">
        <v>46266</v>
      </c>
      <c r="F117" t="s">
        <v>204</v>
      </c>
      <c r="G117" t="s">
        <v>220</v>
      </c>
      <c r="H117">
        <v>599</v>
      </c>
      <c r="I117">
        <v>0</v>
      </c>
      <c r="J117">
        <v>0</v>
      </c>
      <c r="K117">
        <v>599</v>
      </c>
      <c r="L117" s="5">
        <v>46268</v>
      </c>
      <c r="M117" t="s">
        <v>206</v>
      </c>
      <c r="N117" t="s">
        <v>207</v>
      </c>
      <c r="O117" t="s">
        <v>460</v>
      </c>
      <c r="P117" t="s">
        <v>208</v>
      </c>
      <c r="Q117" t="s">
        <v>209</v>
      </c>
    </row>
    <row r="118" spans="1:17" x14ac:dyDescent="0.3">
      <c r="A118" t="s">
        <v>461</v>
      </c>
      <c r="C118" t="s">
        <v>462</v>
      </c>
      <c r="D118" t="s">
        <v>462</v>
      </c>
      <c r="E118" s="5">
        <v>46266</v>
      </c>
      <c r="F118" t="s">
        <v>204</v>
      </c>
      <c r="G118" t="s">
        <v>220</v>
      </c>
      <c r="H118">
        <v>3997</v>
      </c>
      <c r="I118">
        <v>11.99</v>
      </c>
      <c r="J118">
        <v>2.16</v>
      </c>
      <c r="K118">
        <v>3982.85</v>
      </c>
      <c r="L118" s="5">
        <v>46268</v>
      </c>
      <c r="M118" t="s">
        <v>206</v>
      </c>
      <c r="N118" t="s">
        <v>207</v>
      </c>
      <c r="O118" t="s">
        <v>462</v>
      </c>
      <c r="P118" t="s">
        <v>208</v>
      </c>
      <c r="Q118" t="s">
        <v>209</v>
      </c>
    </row>
    <row r="119" spans="1:17" x14ac:dyDescent="0.3">
      <c r="A119" t="s">
        <v>463</v>
      </c>
      <c r="C119" t="s">
        <v>464</v>
      </c>
      <c r="D119" t="s">
        <v>465</v>
      </c>
      <c r="E119" s="5">
        <v>46266</v>
      </c>
      <c r="F119" t="s">
        <v>204</v>
      </c>
      <c r="G119" t="s">
        <v>220</v>
      </c>
      <c r="H119">
        <v>3499</v>
      </c>
      <c r="I119">
        <v>10.5</v>
      </c>
      <c r="J119">
        <v>1.89</v>
      </c>
      <c r="K119">
        <v>3486.61</v>
      </c>
      <c r="L119" s="5">
        <v>46268</v>
      </c>
      <c r="M119" t="s">
        <v>206</v>
      </c>
      <c r="N119" t="s">
        <v>207</v>
      </c>
      <c r="O119" t="s">
        <v>465</v>
      </c>
      <c r="P119" t="s">
        <v>208</v>
      </c>
      <c r="Q119" t="s">
        <v>209</v>
      </c>
    </row>
    <row r="120" spans="1:17" x14ac:dyDescent="0.3">
      <c r="A120" t="s">
        <v>466</v>
      </c>
      <c r="C120" t="s">
        <v>467</v>
      </c>
      <c r="D120" t="s">
        <v>467</v>
      </c>
      <c r="E120" s="5">
        <v>46266</v>
      </c>
      <c r="F120" t="s">
        <v>204</v>
      </c>
      <c r="G120" t="s">
        <v>220</v>
      </c>
      <c r="H120">
        <v>2098</v>
      </c>
      <c r="I120">
        <v>6.29</v>
      </c>
      <c r="J120">
        <v>1.1299999999999999</v>
      </c>
      <c r="K120">
        <v>2090.58</v>
      </c>
      <c r="L120" s="5">
        <v>46268</v>
      </c>
      <c r="M120" t="s">
        <v>206</v>
      </c>
      <c r="N120" t="s">
        <v>207</v>
      </c>
      <c r="O120" t="s">
        <v>467</v>
      </c>
      <c r="P120" t="s">
        <v>208</v>
      </c>
      <c r="Q120" t="s">
        <v>209</v>
      </c>
    </row>
    <row r="121" spans="1:17" x14ac:dyDescent="0.3">
      <c r="A121" t="s">
        <v>468</v>
      </c>
      <c r="C121" t="s">
        <v>469</v>
      </c>
      <c r="D121" t="s">
        <v>469</v>
      </c>
      <c r="E121" s="5">
        <v>46266</v>
      </c>
      <c r="F121" t="s">
        <v>204</v>
      </c>
      <c r="G121" t="s">
        <v>220</v>
      </c>
      <c r="H121">
        <v>5598</v>
      </c>
      <c r="I121">
        <v>16.79</v>
      </c>
      <c r="J121">
        <v>3.02</v>
      </c>
      <c r="K121">
        <v>5578.19</v>
      </c>
      <c r="L121" s="5">
        <v>46268</v>
      </c>
      <c r="M121" t="s">
        <v>206</v>
      </c>
      <c r="N121" t="s">
        <v>207</v>
      </c>
      <c r="O121" t="s">
        <v>469</v>
      </c>
      <c r="P121" t="s">
        <v>208</v>
      </c>
      <c r="Q121" t="s">
        <v>209</v>
      </c>
    </row>
    <row r="122" spans="1:17" x14ac:dyDescent="0.3">
      <c r="A122" t="s">
        <v>470</v>
      </c>
      <c r="C122" t="s">
        <v>471</v>
      </c>
      <c r="D122" t="s">
        <v>471</v>
      </c>
      <c r="E122" s="5">
        <v>46266</v>
      </c>
      <c r="F122" t="s">
        <v>204</v>
      </c>
      <c r="G122" t="s">
        <v>220</v>
      </c>
      <c r="H122">
        <v>2798</v>
      </c>
      <c r="I122">
        <v>8.39</v>
      </c>
      <c r="J122">
        <v>1.51</v>
      </c>
      <c r="K122">
        <v>2788.1</v>
      </c>
      <c r="L122" s="5">
        <v>46268</v>
      </c>
      <c r="M122" t="s">
        <v>206</v>
      </c>
      <c r="N122" t="s">
        <v>207</v>
      </c>
      <c r="O122" t="s">
        <v>471</v>
      </c>
      <c r="P122" t="s">
        <v>208</v>
      </c>
      <c r="Q122" t="s">
        <v>209</v>
      </c>
    </row>
    <row r="123" spans="1:17" x14ac:dyDescent="0.3">
      <c r="A123" t="s">
        <v>472</v>
      </c>
      <c r="C123" t="s">
        <v>473</v>
      </c>
      <c r="D123" t="s">
        <v>473</v>
      </c>
      <c r="E123" s="5">
        <v>46266</v>
      </c>
      <c r="F123" t="s">
        <v>204</v>
      </c>
      <c r="G123" t="s">
        <v>220</v>
      </c>
      <c r="H123">
        <v>1848</v>
      </c>
      <c r="I123">
        <v>0</v>
      </c>
      <c r="J123">
        <v>0</v>
      </c>
      <c r="K123">
        <v>1848</v>
      </c>
      <c r="L123" s="5">
        <v>46268</v>
      </c>
      <c r="M123" t="s">
        <v>206</v>
      </c>
      <c r="N123" t="s">
        <v>207</v>
      </c>
      <c r="O123" t="s">
        <v>473</v>
      </c>
      <c r="P123" t="s">
        <v>208</v>
      </c>
      <c r="Q123" t="s">
        <v>209</v>
      </c>
    </row>
    <row r="124" spans="1:17" x14ac:dyDescent="0.3">
      <c r="A124" t="s">
        <v>474</v>
      </c>
      <c r="C124" t="s">
        <v>475</v>
      </c>
      <c r="D124" t="s">
        <v>475</v>
      </c>
      <c r="E124" s="5">
        <v>46266</v>
      </c>
      <c r="F124" t="s">
        <v>204</v>
      </c>
      <c r="G124" t="s">
        <v>220</v>
      </c>
      <c r="H124">
        <v>299</v>
      </c>
      <c r="I124">
        <v>0</v>
      </c>
      <c r="J124">
        <v>0</v>
      </c>
      <c r="K124">
        <v>299</v>
      </c>
      <c r="L124" s="5">
        <v>46268</v>
      </c>
      <c r="M124" t="s">
        <v>206</v>
      </c>
      <c r="N124" t="s">
        <v>207</v>
      </c>
      <c r="O124" t="s">
        <v>475</v>
      </c>
      <c r="P124" t="s">
        <v>208</v>
      </c>
      <c r="Q124" t="s">
        <v>209</v>
      </c>
    </row>
    <row r="125" spans="1:17" x14ac:dyDescent="0.3">
      <c r="A125" t="s">
        <v>476</v>
      </c>
      <c r="C125" t="s">
        <v>477</v>
      </c>
      <c r="D125" t="s">
        <v>477</v>
      </c>
      <c r="E125" s="5">
        <v>46266</v>
      </c>
      <c r="F125" t="s">
        <v>204</v>
      </c>
      <c r="G125" t="s">
        <v>220</v>
      </c>
      <c r="H125">
        <v>2897</v>
      </c>
      <c r="I125">
        <v>8.69</v>
      </c>
      <c r="J125">
        <v>1.56</v>
      </c>
      <c r="K125">
        <v>2886.75</v>
      </c>
      <c r="L125" s="5">
        <v>46268</v>
      </c>
      <c r="M125" t="s">
        <v>206</v>
      </c>
      <c r="N125" t="s">
        <v>207</v>
      </c>
      <c r="O125" t="s">
        <v>477</v>
      </c>
      <c r="P125" t="s">
        <v>208</v>
      </c>
      <c r="Q125" t="s">
        <v>209</v>
      </c>
    </row>
    <row r="126" spans="1:17" x14ac:dyDescent="0.3">
      <c r="A126" t="s">
        <v>478</v>
      </c>
      <c r="C126" t="s">
        <v>479</v>
      </c>
      <c r="D126" t="s">
        <v>479</v>
      </c>
      <c r="E126" s="5">
        <v>46266</v>
      </c>
      <c r="F126" t="s">
        <v>204</v>
      </c>
      <c r="G126" t="s">
        <v>205</v>
      </c>
      <c r="H126">
        <v>4298</v>
      </c>
      <c r="I126">
        <v>73.069999999999993</v>
      </c>
      <c r="J126">
        <v>13.15</v>
      </c>
      <c r="K126">
        <v>4211.78</v>
      </c>
      <c r="L126" s="5">
        <v>46268</v>
      </c>
      <c r="M126" t="s">
        <v>206</v>
      </c>
      <c r="N126" t="s">
        <v>207</v>
      </c>
      <c r="O126" t="s">
        <v>479</v>
      </c>
      <c r="P126" t="s">
        <v>208</v>
      </c>
      <c r="Q126" t="s">
        <v>209</v>
      </c>
    </row>
    <row r="127" spans="1:17" x14ac:dyDescent="0.3">
      <c r="A127" t="s">
        <v>480</v>
      </c>
      <c r="C127" t="s">
        <v>481</v>
      </c>
      <c r="D127" t="s">
        <v>481</v>
      </c>
      <c r="E127" s="5">
        <v>46266</v>
      </c>
      <c r="F127" t="s">
        <v>204</v>
      </c>
      <c r="G127" t="s">
        <v>213</v>
      </c>
      <c r="H127">
        <v>999</v>
      </c>
      <c r="I127">
        <v>17.98</v>
      </c>
      <c r="J127">
        <v>3.24</v>
      </c>
      <c r="K127">
        <v>977.78</v>
      </c>
      <c r="L127" s="5">
        <v>46268</v>
      </c>
      <c r="M127" t="s">
        <v>206</v>
      </c>
      <c r="N127" t="s">
        <v>207</v>
      </c>
      <c r="O127" t="s">
        <v>481</v>
      </c>
      <c r="P127" t="s">
        <v>208</v>
      </c>
      <c r="Q127" t="s">
        <v>209</v>
      </c>
    </row>
    <row r="128" spans="1:17" x14ac:dyDescent="0.3">
      <c r="A128" t="s">
        <v>482</v>
      </c>
      <c r="C128" t="s">
        <v>483</v>
      </c>
      <c r="D128" t="s">
        <v>483</v>
      </c>
      <c r="E128" s="5">
        <v>46266</v>
      </c>
      <c r="F128" t="s">
        <v>204</v>
      </c>
      <c r="G128" t="s">
        <v>213</v>
      </c>
      <c r="H128">
        <v>1798</v>
      </c>
      <c r="I128">
        <v>32.36</v>
      </c>
      <c r="J128">
        <v>5.82</v>
      </c>
      <c r="K128">
        <v>1759.82</v>
      </c>
      <c r="L128" s="5">
        <v>46268</v>
      </c>
      <c r="M128" t="s">
        <v>206</v>
      </c>
      <c r="N128" t="s">
        <v>207</v>
      </c>
      <c r="O128" t="s">
        <v>483</v>
      </c>
      <c r="P128" t="s">
        <v>208</v>
      </c>
      <c r="Q128" t="s">
        <v>209</v>
      </c>
    </row>
    <row r="129" spans="1:17" x14ac:dyDescent="0.3">
      <c r="A129" t="s">
        <v>484</v>
      </c>
      <c r="C129" t="s">
        <v>485</v>
      </c>
      <c r="D129" t="s">
        <v>485</v>
      </c>
      <c r="E129" s="5">
        <v>46266</v>
      </c>
      <c r="F129" t="s">
        <v>204</v>
      </c>
      <c r="G129" t="s">
        <v>255</v>
      </c>
      <c r="H129">
        <v>3597</v>
      </c>
      <c r="I129">
        <v>43.16</v>
      </c>
      <c r="J129">
        <v>7.77</v>
      </c>
      <c r="K129">
        <v>3546.07</v>
      </c>
      <c r="L129" s="5">
        <v>46268</v>
      </c>
      <c r="M129" t="s">
        <v>206</v>
      </c>
      <c r="N129" t="s">
        <v>207</v>
      </c>
      <c r="O129" t="s">
        <v>485</v>
      </c>
      <c r="P129" t="s">
        <v>208</v>
      </c>
      <c r="Q129" t="s">
        <v>209</v>
      </c>
    </row>
    <row r="130" spans="1:17" x14ac:dyDescent="0.3">
      <c r="A130" t="s">
        <v>486</v>
      </c>
      <c r="C130" t="s">
        <v>487</v>
      </c>
      <c r="D130" t="s">
        <v>487</v>
      </c>
      <c r="E130" s="5">
        <v>46266</v>
      </c>
      <c r="F130" t="s">
        <v>204</v>
      </c>
      <c r="G130" t="s">
        <v>213</v>
      </c>
      <c r="H130">
        <v>7999</v>
      </c>
      <c r="I130">
        <v>127.98</v>
      </c>
      <c r="J130">
        <v>23.04</v>
      </c>
      <c r="K130">
        <v>7847.98</v>
      </c>
      <c r="L130" s="5">
        <v>46268</v>
      </c>
      <c r="M130" t="s">
        <v>206</v>
      </c>
      <c r="N130" t="s">
        <v>207</v>
      </c>
      <c r="O130" t="s">
        <v>487</v>
      </c>
      <c r="P130" t="s">
        <v>208</v>
      </c>
      <c r="Q130" t="s">
        <v>488</v>
      </c>
    </row>
    <row r="131" spans="1:17" x14ac:dyDescent="0.3">
      <c r="A131" t="s">
        <v>489</v>
      </c>
      <c r="C131" t="s">
        <v>490</v>
      </c>
      <c r="D131" t="s">
        <v>490</v>
      </c>
      <c r="E131" s="5">
        <v>46267</v>
      </c>
      <c r="F131" t="s">
        <v>204</v>
      </c>
      <c r="G131" t="s">
        <v>220</v>
      </c>
      <c r="H131">
        <v>4498</v>
      </c>
      <c r="I131">
        <v>13.49</v>
      </c>
      <c r="J131">
        <v>2.4300000000000002</v>
      </c>
      <c r="K131">
        <v>4482.08</v>
      </c>
      <c r="L131" s="5">
        <v>46269</v>
      </c>
      <c r="M131" t="s">
        <v>491</v>
      </c>
      <c r="N131" t="s">
        <v>207</v>
      </c>
      <c r="O131" t="s">
        <v>490</v>
      </c>
      <c r="P131" t="s">
        <v>208</v>
      </c>
      <c r="Q131" t="s">
        <v>209</v>
      </c>
    </row>
    <row r="132" spans="1:17" x14ac:dyDescent="0.3">
      <c r="A132" t="s">
        <v>492</v>
      </c>
      <c r="C132" t="s">
        <v>493</v>
      </c>
      <c r="D132" t="s">
        <v>493</v>
      </c>
      <c r="E132" s="5">
        <v>46267</v>
      </c>
      <c r="F132" t="s">
        <v>204</v>
      </c>
      <c r="G132" t="s">
        <v>220</v>
      </c>
      <c r="H132">
        <v>2499</v>
      </c>
      <c r="I132">
        <v>7.5</v>
      </c>
      <c r="J132">
        <v>1.35</v>
      </c>
      <c r="K132">
        <v>2490.15</v>
      </c>
      <c r="L132" s="5">
        <v>46269</v>
      </c>
      <c r="M132" t="s">
        <v>491</v>
      </c>
      <c r="N132" t="s">
        <v>207</v>
      </c>
      <c r="O132" t="s">
        <v>493</v>
      </c>
      <c r="P132" t="s">
        <v>208</v>
      </c>
      <c r="Q132" t="s">
        <v>209</v>
      </c>
    </row>
    <row r="133" spans="1:17" x14ac:dyDescent="0.3">
      <c r="A133" t="s">
        <v>494</v>
      </c>
      <c r="C133" t="s">
        <v>495</v>
      </c>
      <c r="D133" t="s">
        <v>495</v>
      </c>
      <c r="E133" s="5">
        <v>46267</v>
      </c>
      <c r="F133" t="s">
        <v>204</v>
      </c>
      <c r="G133" t="s">
        <v>213</v>
      </c>
      <c r="H133">
        <v>2499</v>
      </c>
      <c r="I133">
        <v>39.979999999999997</v>
      </c>
      <c r="J133">
        <v>7.2</v>
      </c>
      <c r="K133">
        <v>2451.8200000000002</v>
      </c>
      <c r="L133" s="5">
        <v>46269</v>
      </c>
      <c r="M133" t="s">
        <v>491</v>
      </c>
      <c r="N133" t="s">
        <v>207</v>
      </c>
      <c r="O133" t="s">
        <v>495</v>
      </c>
      <c r="P133" t="s">
        <v>208</v>
      </c>
      <c r="Q133" t="s">
        <v>209</v>
      </c>
    </row>
    <row r="134" spans="1:17" x14ac:dyDescent="0.3">
      <c r="A134" t="s">
        <v>496</v>
      </c>
      <c r="C134" t="s">
        <v>497</v>
      </c>
      <c r="D134" t="s">
        <v>497</v>
      </c>
      <c r="E134" s="5">
        <v>46267</v>
      </c>
      <c r="F134" t="s">
        <v>204</v>
      </c>
      <c r="G134" t="s">
        <v>255</v>
      </c>
      <c r="H134">
        <v>799</v>
      </c>
      <c r="I134">
        <v>11.99</v>
      </c>
      <c r="J134">
        <v>2.16</v>
      </c>
      <c r="K134">
        <v>784.85</v>
      </c>
      <c r="L134" s="5">
        <v>46269</v>
      </c>
      <c r="M134" t="s">
        <v>491</v>
      </c>
      <c r="N134" t="s">
        <v>207</v>
      </c>
      <c r="O134" t="s">
        <v>497</v>
      </c>
      <c r="P134" t="s">
        <v>208</v>
      </c>
      <c r="Q134" t="s">
        <v>209</v>
      </c>
    </row>
    <row r="135" spans="1:17" x14ac:dyDescent="0.3">
      <c r="A135" t="s">
        <v>498</v>
      </c>
      <c r="C135" t="s">
        <v>499</v>
      </c>
      <c r="D135" t="s">
        <v>500</v>
      </c>
      <c r="E135" s="5">
        <v>46267</v>
      </c>
      <c r="F135" t="s">
        <v>204</v>
      </c>
      <c r="G135" t="s">
        <v>220</v>
      </c>
      <c r="H135">
        <v>1299</v>
      </c>
      <c r="I135">
        <v>0</v>
      </c>
      <c r="J135">
        <v>0</v>
      </c>
      <c r="K135">
        <v>1299</v>
      </c>
      <c r="L135" s="5">
        <v>46269</v>
      </c>
      <c r="M135" t="s">
        <v>491</v>
      </c>
      <c r="N135" t="s">
        <v>207</v>
      </c>
      <c r="O135" t="s">
        <v>500</v>
      </c>
      <c r="P135" t="s">
        <v>208</v>
      </c>
      <c r="Q135" t="s">
        <v>209</v>
      </c>
    </row>
    <row r="136" spans="1:17" x14ac:dyDescent="0.3">
      <c r="A136" t="s">
        <v>501</v>
      </c>
      <c r="C136" t="s">
        <v>502</v>
      </c>
      <c r="D136" t="s">
        <v>502</v>
      </c>
      <c r="E136" s="5">
        <v>46267</v>
      </c>
      <c r="F136" t="s">
        <v>204</v>
      </c>
      <c r="G136" t="s">
        <v>205</v>
      </c>
      <c r="H136">
        <v>1799</v>
      </c>
      <c r="I136">
        <v>34.18</v>
      </c>
      <c r="J136">
        <v>6.15</v>
      </c>
      <c r="K136">
        <v>1758.67</v>
      </c>
      <c r="L136" s="5">
        <v>46269</v>
      </c>
      <c r="M136" t="s">
        <v>491</v>
      </c>
      <c r="N136" t="s">
        <v>207</v>
      </c>
      <c r="O136" t="s">
        <v>502</v>
      </c>
      <c r="P136" t="s">
        <v>208</v>
      </c>
      <c r="Q136" t="s">
        <v>209</v>
      </c>
    </row>
    <row r="137" spans="1:17" x14ac:dyDescent="0.3">
      <c r="A137" t="s">
        <v>503</v>
      </c>
      <c r="C137" t="s">
        <v>504</v>
      </c>
      <c r="D137" t="s">
        <v>504</v>
      </c>
      <c r="E137" s="5">
        <v>46267</v>
      </c>
      <c r="F137" t="s">
        <v>204</v>
      </c>
      <c r="G137" t="s">
        <v>255</v>
      </c>
      <c r="H137">
        <v>7999</v>
      </c>
      <c r="I137">
        <v>95.99</v>
      </c>
      <c r="J137">
        <v>17.28</v>
      </c>
      <c r="K137">
        <v>7885.73</v>
      </c>
      <c r="L137" s="5">
        <v>46269</v>
      </c>
      <c r="M137" t="s">
        <v>491</v>
      </c>
      <c r="N137" t="s">
        <v>207</v>
      </c>
      <c r="O137" t="s">
        <v>504</v>
      </c>
      <c r="P137" t="s">
        <v>208</v>
      </c>
      <c r="Q137" t="s">
        <v>209</v>
      </c>
    </row>
    <row r="138" spans="1:17" x14ac:dyDescent="0.3">
      <c r="A138" t="s">
        <v>505</v>
      </c>
      <c r="C138" t="s">
        <v>506</v>
      </c>
      <c r="D138" t="s">
        <v>506</v>
      </c>
      <c r="E138" s="5">
        <v>46267</v>
      </c>
      <c r="F138" t="s">
        <v>204</v>
      </c>
      <c r="G138" t="s">
        <v>213</v>
      </c>
      <c r="H138">
        <v>4999</v>
      </c>
      <c r="I138">
        <v>79.98</v>
      </c>
      <c r="J138">
        <v>14.4</v>
      </c>
      <c r="K138">
        <v>4904.62</v>
      </c>
      <c r="L138" s="5">
        <v>46269</v>
      </c>
      <c r="M138" t="s">
        <v>491</v>
      </c>
      <c r="N138" t="s">
        <v>207</v>
      </c>
      <c r="O138" t="s">
        <v>506</v>
      </c>
      <c r="P138" t="s">
        <v>208</v>
      </c>
      <c r="Q138" t="s">
        <v>209</v>
      </c>
    </row>
    <row r="139" spans="1:17" x14ac:dyDescent="0.3">
      <c r="A139" t="s">
        <v>507</v>
      </c>
      <c r="C139" t="s">
        <v>508</v>
      </c>
      <c r="D139" t="s">
        <v>508</v>
      </c>
      <c r="E139" s="5">
        <v>46267</v>
      </c>
      <c r="F139" t="s">
        <v>204</v>
      </c>
      <c r="G139" t="s">
        <v>205</v>
      </c>
      <c r="H139">
        <v>948</v>
      </c>
      <c r="I139">
        <v>18.010000000000002</v>
      </c>
      <c r="J139">
        <v>3.24</v>
      </c>
      <c r="K139">
        <v>926.75</v>
      </c>
      <c r="L139" s="5">
        <v>46269</v>
      </c>
      <c r="M139" t="s">
        <v>491</v>
      </c>
      <c r="N139" t="s">
        <v>207</v>
      </c>
      <c r="O139" t="s">
        <v>508</v>
      </c>
      <c r="P139" t="s">
        <v>208</v>
      </c>
      <c r="Q139" t="s">
        <v>209</v>
      </c>
    </row>
    <row r="140" spans="1:17" x14ac:dyDescent="0.3">
      <c r="A140" t="s">
        <v>509</v>
      </c>
      <c r="C140" t="s">
        <v>510</v>
      </c>
      <c r="D140" t="s">
        <v>510</v>
      </c>
      <c r="E140" s="5">
        <v>46267</v>
      </c>
      <c r="F140" t="s">
        <v>204</v>
      </c>
      <c r="G140" t="s">
        <v>220</v>
      </c>
      <c r="H140">
        <v>15997</v>
      </c>
      <c r="I140">
        <v>47.99</v>
      </c>
      <c r="J140">
        <v>8.64</v>
      </c>
      <c r="K140">
        <v>15940.37</v>
      </c>
      <c r="L140" s="5">
        <v>46269</v>
      </c>
      <c r="M140" t="s">
        <v>491</v>
      </c>
      <c r="N140" t="s">
        <v>207</v>
      </c>
      <c r="O140" t="s">
        <v>510</v>
      </c>
      <c r="P140" t="s">
        <v>208</v>
      </c>
      <c r="Q140" t="s">
        <v>209</v>
      </c>
    </row>
    <row r="141" spans="1:17" x14ac:dyDescent="0.3">
      <c r="A141" t="s">
        <v>511</v>
      </c>
      <c r="C141" t="s">
        <v>512</v>
      </c>
      <c r="D141" t="s">
        <v>512</v>
      </c>
      <c r="E141" s="5">
        <v>46267</v>
      </c>
      <c r="F141" t="s">
        <v>204</v>
      </c>
      <c r="G141" t="s">
        <v>220</v>
      </c>
      <c r="H141">
        <v>10998</v>
      </c>
      <c r="I141">
        <v>32.99</v>
      </c>
      <c r="J141">
        <v>5.94</v>
      </c>
      <c r="K141">
        <v>10959.07</v>
      </c>
      <c r="L141" s="5">
        <v>46269</v>
      </c>
      <c r="M141" t="s">
        <v>491</v>
      </c>
      <c r="N141" t="s">
        <v>207</v>
      </c>
      <c r="O141" t="s">
        <v>512</v>
      </c>
      <c r="P141" t="s">
        <v>208</v>
      </c>
      <c r="Q141" t="s">
        <v>209</v>
      </c>
    </row>
    <row r="142" spans="1:17" x14ac:dyDescent="0.3">
      <c r="A142" t="s">
        <v>513</v>
      </c>
      <c r="C142" t="s">
        <v>514</v>
      </c>
      <c r="D142" t="s">
        <v>514</v>
      </c>
      <c r="E142" s="5">
        <v>46267</v>
      </c>
      <c r="F142" t="s">
        <v>204</v>
      </c>
      <c r="G142" t="s">
        <v>255</v>
      </c>
      <c r="H142">
        <v>7999</v>
      </c>
      <c r="I142">
        <v>95.99</v>
      </c>
      <c r="J142">
        <v>17.28</v>
      </c>
      <c r="K142">
        <v>7885.73</v>
      </c>
      <c r="L142" s="5">
        <v>46269</v>
      </c>
      <c r="M142" t="s">
        <v>491</v>
      </c>
      <c r="N142" t="s">
        <v>207</v>
      </c>
      <c r="O142" t="s">
        <v>514</v>
      </c>
      <c r="P142" t="s">
        <v>208</v>
      </c>
      <c r="Q142" t="s">
        <v>209</v>
      </c>
    </row>
    <row r="143" spans="1:17" x14ac:dyDescent="0.3">
      <c r="A143" t="s">
        <v>515</v>
      </c>
      <c r="C143" t="s">
        <v>516</v>
      </c>
      <c r="D143" t="s">
        <v>516</v>
      </c>
      <c r="E143" s="5">
        <v>46267</v>
      </c>
      <c r="F143" t="s">
        <v>204</v>
      </c>
      <c r="G143" t="s">
        <v>213</v>
      </c>
      <c r="H143">
        <v>1299</v>
      </c>
      <c r="I143">
        <v>23.38</v>
      </c>
      <c r="J143">
        <v>4.21</v>
      </c>
      <c r="K143">
        <v>1271.4100000000001</v>
      </c>
      <c r="L143" s="5">
        <v>46269</v>
      </c>
      <c r="M143" t="s">
        <v>491</v>
      </c>
      <c r="N143" t="s">
        <v>207</v>
      </c>
      <c r="O143" t="s">
        <v>516</v>
      </c>
      <c r="P143" t="s">
        <v>208</v>
      </c>
      <c r="Q143" t="s">
        <v>209</v>
      </c>
    </row>
    <row r="144" spans="1:17" x14ac:dyDescent="0.3">
      <c r="A144" t="s">
        <v>517</v>
      </c>
      <c r="C144" t="s">
        <v>518</v>
      </c>
      <c r="D144" t="s">
        <v>518</v>
      </c>
      <c r="E144" s="5">
        <v>46267</v>
      </c>
      <c r="F144" t="s">
        <v>204</v>
      </c>
      <c r="G144" t="s">
        <v>213</v>
      </c>
      <c r="H144">
        <v>2298</v>
      </c>
      <c r="I144">
        <v>36.770000000000003</v>
      </c>
      <c r="J144">
        <v>6.62</v>
      </c>
      <c r="K144">
        <v>2254.61</v>
      </c>
      <c r="L144" s="5">
        <v>46269</v>
      </c>
      <c r="M144" t="s">
        <v>491</v>
      </c>
      <c r="N144" t="s">
        <v>207</v>
      </c>
      <c r="O144" t="s">
        <v>518</v>
      </c>
      <c r="P144" t="s">
        <v>208</v>
      </c>
      <c r="Q144" t="s">
        <v>209</v>
      </c>
    </row>
    <row r="145" spans="1:17" x14ac:dyDescent="0.3">
      <c r="A145" t="s">
        <v>519</v>
      </c>
      <c r="C145" t="s">
        <v>520</v>
      </c>
      <c r="D145" t="s">
        <v>520</v>
      </c>
      <c r="E145" s="5">
        <v>46267</v>
      </c>
      <c r="F145" t="s">
        <v>204</v>
      </c>
      <c r="G145" t="s">
        <v>220</v>
      </c>
      <c r="H145">
        <v>299</v>
      </c>
      <c r="I145">
        <v>0</v>
      </c>
      <c r="J145">
        <v>0</v>
      </c>
      <c r="K145">
        <v>299</v>
      </c>
      <c r="L145" s="5">
        <v>46269</v>
      </c>
      <c r="M145" t="s">
        <v>491</v>
      </c>
      <c r="N145" t="s">
        <v>207</v>
      </c>
      <c r="O145" t="s">
        <v>520</v>
      </c>
      <c r="P145" t="s">
        <v>208</v>
      </c>
      <c r="Q145" t="s">
        <v>209</v>
      </c>
    </row>
    <row r="146" spans="1:17" x14ac:dyDescent="0.3">
      <c r="A146" t="s">
        <v>521</v>
      </c>
      <c r="C146" t="s">
        <v>522</v>
      </c>
      <c r="D146" t="s">
        <v>522</v>
      </c>
      <c r="E146" s="5">
        <v>46267</v>
      </c>
      <c r="F146" t="s">
        <v>204</v>
      </c>
      <c r="G146" t="s">
        <v>213</v>
      </c>
      <c r="H146">
        <v>3798</v>
      </c>
      <c r="I146">
        <v>60.77</v>
      </c>
      <c r="J146">
        <v>10.94</v>
      </c>
      <c r="K146">
        <v>3726.29</v>
      </c>
      <c r="L146" s="5">
        <v>46269</v>
      </c>
      <c r="M146" t="s">
        <v>491</v>
      </c>
      <c r="N146" t="s">
        <v>207</v>
      </c>
      <c r="O146" t="s">
        <v>522</v>
      </c>
      <c r="P146" t="s">
        <v>208</v>
      </c>
      <c r="Q146" t="s">
        <v>209</v>
      </c>
    </row>
    <row r="147" spans="1:17" x14ac:dyDescent="0.3">
      <c r="A147" t="s">
        <v>523</v>
      </c>
      <c r="C147" t="s">
        <v>524</v>
      </c>
      <c r="D147" t="s">
        <v>524</v>
      </c>
      <c r="E147" s="5">
        <v>46267</v>
      </c>
      <c r="F147" t="s">
        <v>204</v>
      </c>
      <c r="G147" t="s">
        <v>220</v>
      </c>
      <c r="H147">
        <v>12797</v>
      </c>
      <c r="I147">
        <v>38.39</v>
      </c>
      <c r="J147">
        <v>6.91</v>
      </c>
      <c r="K147">
        <v>12751.7</v>
      </c>
      <c r="L147" s="5">
        <v>46269</v>
      </c>
      <c r="M147" t="s">
        <v>491</v>
      </c>
      <c r="N147" t="s">
        <v>207</v>
      </c>
      <c r="O147" t="s">
        <v>524</v>
      </c>
      <c r="P147" t="s">
        <v>208</v>
      </c>
      <c r="Q147" t="s">
        <v>209</v>
      </c>
    </row>
    <row r="148" spans="1:17" x14ac:dyDescent="0.3">
      <c r="A148" t="s">
        <v>525</v>
      </c>
      <c r="C148" t="s">
        <v>526</v>
      </c>
      <c r="D148" t="s">
        <v>526</v>
      </c>
      <c r="E148" s="5">
        <v>46267</v>
      </c>
      <c r="F148" t="s">
        <v>204</v>
      </c>
      <c r="G148" t="s">
        <v>220</v>
      </c>
      <c r="H148">
        <v>4298</v>
      </c>
      <c r="I148">
        <v>12.89</v>
      </c>
      <c r="J148">
        <v>2.3199999999999998</v>
      </c>
      <c r="K148">
        <v>4282.79</v>
      </c>
      <c r="L148" s="5">
        <v>46269</v>
      </c>
      <c r="M148" t="s">
        <v>491</v>
      </c>
      <c r="N148" t="s">
        <v>207</v>
      </c>
      <c r="O148" t="s">
        <v>526</v>
      </c>
      <c r="P148" t="s">
        <v>208</v>
      </c>
      <c r="Q148" t="s">
        <v>209</v>
      </c>
    </row>
    <row r="149" spans="1:17" x14ac:dyDescent="0.3">
      <c r="A149" t="s">
        <v>527</v>
      </c>
      <c r="C149" t="s">
        <v>528</v>
      </c>
      <c r="D149" t="s">
        <v>528</v>
      </c>
      <c r="E149" s="5">
        <v>46267</v>
      </c>
      <c r="F149" t="s">
        <v>204</v>
      </c>
      <c r="G149" t="s">
        <v>220</v>
      </c>
      <c r="H149">
        <v>599</v>
      </c>
      <c r="I149">
        <v>0</v>
      </c>
      <c r="J149">
        <v>0</v>
      </c>
      <c r="K149">
        <v>599</v>
      </c>
      <c r="L149" s="5">
        <v>46269</v>
      </c>
      <c r="M149" t="s">
        <v>491</v>
      </c>
      <c r="N149" t="s">
        <v>207</v>
      </c>
      <c r="O149" t="s">
        <v>528</v>
      </c>
      <c r="P149" t="s">
        <v>208</v>
      </c>
      <c r="Q149" t="s">
        <v>209</v>
      </c>
    </row>
    <row r="150" spans="1:17" x14ac:dyDescent="0.3">
      <c r="A150" t="s">
        <v>529</v>
      </c>
      <c r="C150" t="s">
        <v>530</v>
      </c>
      <c r="D150" t="s">
        <v>530</v>
      </c>
      <c r="E150" s="5">
        <v>46267</v>
      </c>
      <c r="F150" t="s">
        <v>204</v>
      </c>
      <c r="G150" t="s">
        <v>220</v>
      </c>
      <c r="H150">
        <v>3499</v>
      </c>
      <c r="I150">
        <v>10.5</v>
      </c>
      <c r="J150">
        <v>1.89</v>
      </c>
      <c r="K150">
        <v>3486.61</v>
      </c>
      <c r="L150" s="5">
        <v>46269</v>
      </c>
      <c r="M150" t="s">
        <v>491</v>
      </c>
      <c r="N150" t="s">
        <v>207</v>
      </c>
      <c r="O150" t="s">
        <v>530</v>
      </c>
      <c r="P150" t="s">
        <v>208</v>
      </c>
      <c r="Q150" t="s">
        <v>209</v>
      </c>
    </row>
    <row r="151" spans="1:17" x14ac:dyDescent="0.3">
      <c r="A151" t="s">
        <v>531</v>
      </c>
      <c r="C151" t="s">
        <v>532</v>
      </c>
      <c r="D151" t="s">
        <v>532</v>
      </c>
      <c r="E151" s="5">
        <v>46267</v>
      </c>
      <c r="F151" t="s">
        <v>204</v>
      </c>
      <c r="G151" t="s">
        <v>205</v>
      </c>
      <c r="H151">
        <v>7497</v>
      </c>
      <c r="I151">
        <v>127.45</v>
      </c>
      <c r="J151">
        <v>22.94</v>
      </c>
      <c r="K151">
        <v>7346.61</v>
      </c>
      <c r="L151" s="5">
        <v>46269</v>
      </c>
      <c r="M151" t="s">
        <v>491</v>
      </c>
      <c r="N151" t="s">
        <v>207</v>
      </c>
      <c r="O151" t="s">
        <v>532</v>
      </c>
      <c r="P151" t="s">
        <v>208</v>
      </c>
      <c r="Q151" t="s">
        <v>209</v>
      </c>
    </row>
    <row r="152" spans="1:17" x14ac:dyDescent="0.3">
      <c r="A152" t="s">
        <v>533</v>
      </c>
      <c r="C152" t="s">
        <v>534</v>
      </c>
      <c r="D152" t="s">
        <v>535</v>
      </c>
      <c r="E152" s="5">
        <v>46267</v>
      </c>
      <c r="F152" t="s">
        <v>204</v>
      </c>
      <c r="G152" t="s">
        <v>220</v>
      </c>
      <c r="H152">
        <v>799</v>
      </c>
      <c r="I152">
        <v>2.4</v>
      </c>
      <c r="J152">
        <v>0.43</v>
      </c>
      <c r="K152">
        <v>796.17</v>
      </c>
      <c r="L152" s="5">
        <v>46269</v>
      </c>
      <c r="M152" t="s">
        <v>491</v>
      </c>
      <c r="N152" t="s">
        <v>207</v>
      </c>
      <c r="O152" t="s">
        <v>535</v>
      </c>
      <c r="P152" t="s">
        <v>208</v>
      </c>
      <c r="Q152" t="s">
        <v>209</v>
      </c>
    </row>
    <row r="153" spans="1:17" x14ac:dyDescent="0.3">
      <c r="A153" t="s">
        <v>536</v>
      </c>
      <c r="C153" t="s">
        <v>537</v>
      </c>
      <c r="D153" t="s">
        <v>537</v>
      </c>
      <c r="E153" s="5">
        <v>46267</v>
      </c>
      <c r="F153" t="s">
        <v>204</v>
      </c>
      <c r="G153" t="s">
        <v>220</v>
      </c>
      <c r="H153">
        <v>10297</v>
      </c>
      <c r="I153">
        <v>30.89</v>
      </c>
      <c r="J153">
        <v>5.56</v>
      </c>
      <c r="K153">
        <v>10260.549999999999</v>
      </c>
      <c r="L153" s="5">
        <v>46269</v>
      </c>
      <c r="M153" t="s">
        <v>491</v>
      </c>
      <c r="N153" t="s">
        <v>207</v>
      </c>
      <c r="O153" t="s">
        <v>537</v>
      </c>
      <c r="P153" t="s">
        <v>208</v>
      </c>
      <c r="Q153" t="s">
        <v>209</v>
      </c>
    </row>
    <row r="154" spans="1:17" x14ac:dyDescent="0.3">
      <c r="A154" t="s">
        <v>538</v>
      </c>
      <c r="C154" t="s">
        <v>539</v>
      </c>
      <c r="D154" t="s">
        <v>539</v>
      </c>
      <c r="E154" s="5">
        <v>46267</v>
      </c>
      <c r="F154" t="s">
        <v>204</v>
      </c>
      <c r="G154" t="s">
        <v>213</v>
      </c>
      <c r="H154">
        <v>3499</v>
      </c>
      <c r="I154">
        <v>55.98</v>
      </c>
      <c r="J154">
        <v>10.08</v>
      </c>
      <c r="K154">
        <v>3432.94</v>
      </c>
      <c r="L154" s="5">
        <v>46269</v>
      </c>
      <c r="M154" t="s">
        <v>491</v>
      </c>
      <c r="N154" t="s">
        <v>207</v>
      </c>
      <c r="O154" t="s">
        <v>539</v>
      </c>
      <c r="P154" t="s">
        <v>208</v>
      </c>
      <c r="Q154" t="s">
        <v>209</v>
      </c>
    </row>
    <row r="155" spans="1:17" x14ac:dyDescent="0.3">
      <c r="A155" t="s">
        <v>540</v>
      </c>
      <c r="C155" t="s">
        <v>541</v>
      </c>
      <c r="D155" t="s">
        <v>541</v>
      </c>
      <c r="E155" s="5">
        <v>46267</v>
      </c>
      <c r="F155" t="s">
        <v>204</v>
      </c>
      <c r="G155" t="s">
        <v>255</v>
      </c>
      <c r="H155">
        <v>12998</v>
      </c>
      <c r="I155">
        <v>116.98</v>
      </c>
      <c r="J155">
        <v>21.06</v>
      </c>
      <c r="K155">
        <v>12859.96</v>
      </c>
      <c r="L155" s="5">
        <v>46269</v>
      </c>
      <c r="M155" t="s">
        <v>491</v>
      </c>
      <c r="N155" t="s">
        <v>207</v>
      </c>
      <c r="O155" t="s">
        <v>541</v>
      </c>
      <c r="P155" t="s">
        <v>208</v>
      </c>
      <c r="Q155" t="s">
        <v>209</v>
      </c>
    </row>
    <row r="156" spans="1:17" x14ac:dyDescent="0.3">
      <c r="A156" t="s">
        <v>542</v>
      </c>
      <c r="C156" t="s">
        <v>543</v>
      </c>
      <c r="D156" t="s">
        <v>543</v>
      </c>
      <c r="E156" s="5">
        <v>46267</v>
      </c>
      <c r="F156" t="s">
        <v>204</v>
      </c>
      <c r="G156" t="s">
        <v>220</v>
      </c>
      <c r="H156">
        <v>2999</v>
      </c>
      <c r="I156">
        <v>9</v>
      </c>
      <c r="J156">
        <v>1.62</v>
      </c>
      <c r="K156">
        <v>2988.38</v>
      </c>
      <c r="L156" s="5">
        <v>46269</v>
      </c>
      <c r="M156" t="s">
        <v>491</v>
      </c>
      <c r="N156" t="s">
        <v>207</v>
      </c>
      <c r="O156" t="s">
        <v>543</v>
      </c>
      <c r="P156" t="s">
        <v>208</v>
      </c>
      <c r="Q156" t="s">
        <v>209</v>
      </c>
    </row>
    <row r="157" spans="1:17" x14ac:dyDescent="0.3">
      <c r="A157" t="s">
        <v>544</v>
      </c>
      <c r="C157" t="s">
        <v>545</v>
      </c>
      <c r="D157" t="s">
        <v>546</v>
      </c>
      <c r="E157" s="5">
        <v>46267</v>
      </c>
      <c r="F157" t="s">
        <v>204</v>
      </c>
      <c r="G157" t="s">
        <v>220</v>
      </c>
      <c r="H157">
        <v>6798</v>
      </c>
      <c r="I157">
        <v>20.39</v>
      </c>
      <c r="J157">
        <v>3.67</v>
      </c>
      <c r="K157">
        <v>6773.94</v>
      </c>
      <c r="L157" s="5">
        <v>46269</v>
      </c>
      <c r="M157" t="s">
        <v>491</v>
      </c>
      <c r="N157" t="s">
        <v>207</v>
      </c>
      <c r="O157" t="s">
        <v>546</v>
      </c>
      <c r="P157" t="s">
        <v>208</v>
      </c>
      <c r="Q157" t="s">
        <v>209</v>
      </c>
    </row>
    <row r="158" spans="1:17" x14ac:dyDescent="0.3">
      <c r="A158" t="s">
        <v>547</v>
      </c>
      <c r="C158" t="s">
        <v>548</v>
      </c>
      <c r="D158" t="s">
        <v>548</v>
      </c>
      <c r="E158" s="5">
        <v>46267</v>
      </c>
      <c r="F158" t="s">
        <v>204</v>
      </c>
      <c r="G158" t="s">
        <v>205</v>
      </c>
      <c r="H158">
        <v>3498</v>
      </c>
      <c r="I158">
        <v>83.95</v>
      </c>
      <c r="J158">
        <v>15.11</v>
      </c>
      <c r="K158">
        <v>3398.94</v>
      </c>
      <c r="L158" s="5">
        <v>46269</v>
      </c>
      <c r="M158" t="s">
        <v>491</v>
      </c>
      <c r="N158" t="s">
        <v>207</v>
      </c>
      <c r="O158" t="s">
        <v>548</v>
      </c>
      <c r="P158" t="s">
        <v>208</v>
      </c>
      <c r="Q158" t="s">
        <v>209</v>
      </c>
    </row>
    <row r="159" spans="1:17" x14ac:dyDescent="0.3">
      <c r="A159" t="s">
        <v>549</v>
      </c>
      <c r="C159" t="s">
        <v>550</v>
      </c>
      <c r="D159" t="s">
        <v>550</v>
      </c>
      <c r="E159" s="5">
        <v>46267</v>
      </c>
      <c r="F159" t="s">
        <v>204</v>
      </c>
      <c r="G159" t="s">
        <v>220</v>
      </c>
      <c r="H159">
        <v>9997</v>
      </c>
      <c r="I159">
        <v>29.99</v>
      </c>
      <c r="J159">
        <v>5.4</v>
      </c>
      <c r="K159">
        <v>9961.61</v>
      </c>
      <c r="L159" s="5">
        <v>46269</v>
      </c>
      <c r="M159" t="s">
        <v>491</v>
      </c>
      <c r="N159" t="s">
        <v>207</v>
      </c>
      <c r="O159" t="s">
        <v>550</v>
      </c>
      <c r="P159" t="s">
        <v>208</v>
      </c>
      <c r="Q159" t="s">
        <v>209</v>
      </c>
    </row>
    <row r="160" spans="1:17" x14ac:dyDescent="0.3">
      <c r="A160" t="s">
        <v>551</v>
      </c>
      <c r="C160" t="s">
        <v>552</v>
      </c>
      <c r="D160" t="s">
        <v>552</v>
      </c>
      <c r="E160" s="5">
        <v>46267</v>
      </c>
      <c r="F160" t="s">
        <v>204</v>
      </c>
      <c r="G160" t="s">
        <v>213</v>
      </c>
      <c r="H160">
        <v>5798</v>
      </c>
      <c r="I160">
        <v>92.77</v>
      </c>
      <c r="J160">
        <v>16.7</v>
      </c>
      <c r="K160">
        <v>5688.53</v>
      </c>
      <c r="L160" s="5">
        <v>46269</v>
      </c>
      <c r="M160" t="s">
        <v>491</v>
      </c>
      <c r="N160" t="s">
        <v>207</v>
      </c>
      <c r="O160" t="s">
        <v>552</v>
      </c>
      <c r="P160" t="s">
        <v>208</v>
      </c>
      <c r="Q160" t="s">
        <v>209</v>
      </c>
    </row>
    <row r="161" spans="1:17" x14ac:dyDescent="0.3">
      <c r="A161" t="s">
        <v>553</v>
      </c>
      <c r="C161" t="s">
        <v>554</v>
      </c>
      <c r="D161" t="s">
        <v>554</v>
      </c>
      <c r="E161" s="5">
        <v>46267</v>
      </c>
      <c r="F161" t="s">
        <v>204</v>
      </c>
      <c r="G161" t="s">
        <v>220</v>
      </c>
      <c r="H161">
        <v>499</v>
      </c>
      <c r="I161">
        <v>0</v>
      </c>
      <c r="J161">
        <v>0</v>
      </c>
      <c r="K161">
        <v>499</v>
      </c>
      <c r="L161" s="5">
        <v>46269</v>
      </c>
      <c r="M161" t="s">
        <v>491</v>
      </c>
      <c r="N161" t="s">
        <v>207</v>
      </c>
      <c r="O161" t="s">
        <v>554</v>
      </c>
      <c r="P161" t="s">
        <v>208</v>
      </c>
      <c r="Q161" t="s">
        <v>209</v>
      </c>
    </row>
    <row r="162" spans="1:17" x14ac:dyDescent="0.3">
      <c r="A162" t="s">
        <v>555</v>
      </c>
      <c r="C162" t="s">
        <v>556</v>
      </c>
      <c r="D162" t="s">
        <v>556</v>
      </c>
      <c r="E162" s="5">
        <v>46267</v>
      </c>
      <c r="F162" t="s">
        <v>204</v>
      </c>
      <c r="G162" t="s">
        <v>220</v>
      </c>
      <c r="H162">
        <v>1799</v>
      </c>
      <c r="I162">
        <v>0</v>
      </c>
      <c r="J162">
        <v>0</v>
      </c>
      <c r="K162">
        <v>1799</v>
      </c>
      <c r="L162" s="5">
        <v>46269</v>
      </c>
      <c r="M162" t="s">
        <v>491</v>
      </c>
      <c r="N162" t="s">
        <v>207</v>
      </c>
      <c r="O162" t="s">
        <v>556</v>
      </c>
      <c r="P162" t="s">
        <v>208</v>
      </c>
      <c r="Q162" t="s">
        <v>209</v>
      </c>
    </row>
    <row r="163" spans="1:17" x14ac:dyDescent="0.3">
      <c r="A163" t="s">
        <v>557</v>
      </c>
      <c r="C163" t="s">
        <v>558</v>
      </c>
      <c r="D163" t="s">
        <v>558</v>
      </c>
      <c r="E163" s="5">
        <v>46267</v>
      </c>
      <c r="F163" t="s">
        <v>204</v>
      </c>
      <c r="G163" t="s">
        <v>213</v>
      </c>
      <c r="H163">
        <v>6297</v>
      </c>
      <c r="I163">
        <v>100.75</v>
      </c>
      <c r="J163">
        <v>18.14</v>
      </c>
      <c r="K163">
        <v>6178.11</v>
      </c>
      <c r="L163" s="5">
        <v>46269</v>
      </c>
      <c r="M163" t="s">
        <v>491</v>
      </c>
      <c r="N163" t="s">
        <v>207</v>
      </c>
      <c r="O163" t="s">
        <v>558</v>
      </c>
      <c r="P163" t="s">
        <v>208</v>
      </c>
      <c r="Q163" t="s">
        <v>209</v>
      </c>
    </row>
    <row r="164" spans="1:17" x14ac:dyDescent="0.3">
      <c r="A164" t="s">
        <v>559</v>
      </c>
      <c r="C164" t="s">
        <v>560</v>
      </c>
      <c r="D164" t="s">
        <v>560</v>
      </c>
      <c r="E164" s="5">
        <v>46267</v>
      </c>
      <c r="F164" t="s">
        <v>204</v>
      </c>
      <c r="G164" t="s">
        <v>220</v>
      </c>
      <c r="H164">
        <v>4897</v>
      </c>
      <c r="I164">
        <v>14.69</v>
      </c>
      <c r="J164">
        <v>2.64</v>
      </c>
      <c r="K164">
        <v>4879.67</v>
      </c>
      <c r="L164" s="5">
        <v>46269</v>
      </c>
      <c r="M164" t="s">
        <v>491</v>
      </c>
      <c r="N164" t="s">
        <v>207</v>
      </c>
      <c r="O164" t="s">
        <v>560</v>
      </c>
      <c r="P164" t="s">
        <v>208</v>
      </c>
      <c r="Q164" t="s">
        <v>209</v>
      </c>
    </row>
    <row r="165" spans="1:17" x14ac:dyDescent="0.3">
      <c r="A165" t="s">
        <v>561</v>
      </c>
      <c r="C165" t="s">
        <v>562</v>
      </c>
      <c r="D165" t="s">
        <v>562</v>
      </c>
      <c r="E165" s="5">
        <v>46267</v>
      </c>
      <c r="F165" t="s">
        <v>204</v>
      </c>
      <c r="G165" t="s">
        <v>213</v>
      </c>
      <c r="H165">
        <v>299</v>
      </c>
      <c r="I165">
        <v>5.38</v>
      </c>
      <c r="J165">
        <v>0.97</v>
      </c>
      <c r="K165">
        <v>292.64999999999998</v>
      </c>
      <c r="L165" s="5">
        <v>46269</v>
      </c>
      <c r="M165" t="s">
        <v>491</v>
      </c>
      <c r="N165" t="s">
        <v>207</v>
      </c>
      <c r="O165" t="s">
        <v>562</v>
      </c>
      <c r="P165" t="s">
        <v>208</v>
      </c>
      <c r="Q165" t="s">
        <v>209</v>
      </c>
    </row>
    <row r="166" spans="1:17" x14ac:dyDescent="0.3">
      <c r="A166" t="s">
        <v>563</v>
      </c>
      <c r="C166" t="s">
        <v>564</v>
      </c>
      <c r="D166" t="s">
        <v>565</v>
      </c>
      <c r="E166" s="5">
        <v>46267</v>
      </c>
      <c r="F166" t="s">
        <v>204</v>
      </c>
      <c r="G166" t="s">
        <v>213</v>
      </c>
      <c r="H166">
        <v>1299</v>
      </c>
      <c r="I166">
        <v>23.38</v>
      </c>
      <c r="J166">
        <v>4.21</v>
      </c>
      <c r="K166">
        <v>1271.4100000000001</v>
      </c>
      <c r="L166" s="5">
        <v>46269</v>
      </c>
      <c r="M166" t="s">
        <v>491</v>
      </c>
      <c r="N166" t="s">
        <v>207</v>
      </c>
      <c r="O166" t="s">
        <v>565</v>
      </c>
      <c r="P166" t="s">
        <v>208</v>
      </c>
      <c r="Q166" t="s">
        <v>209</v>
      </c>
    </row>
    <row r="167" spans="1:17" x14ac:dyDescent="0.3">
      <c r="A167" t="s">
        <v>566</v>
      </c>
      <c r="C167" t="s">
        <v>567</v>
      </c>
      <c r="D167" t="s">
        <v>567</v>
      </c>
      <c r="E167" s="5">
        <v>46267</v>
      </c>
      <c r="F167" t="s">
        <v>204</v>
      </c>
      <c r="G167" t="s">
        <v>213</v>
      </c>
      <c r="H167">
        <v>299</v>
      </c>
      <c r="I167">
        <v>5.38</v>
      </c>
      <c r="J167">
        <v>0.97</v>
      </c>
      <c r="K167">
        <v>292.64999999999998</v>
      </c>
      <c r="L167" s="5">
        <v>46269</v>
      </c>
      <c r="M167" t="s">
        <v>491</v>
      </c>
      <c r="N167" t="s">
        <v>207</v>
      </c>
      <c r="O167" t="s">
        <v>567</v>
      </c>
      <c r="P167" t="s">
        <v>208</v>
      </c>
      <c r="Q167" t="s">
        <v>209</v>
      </c>
    </row>
    <row r="168" spans="1:17" x14ac:dyDescent="0.3">
      <c r="A168" t="s">
        <v>568</v>
      </c>
      <c r="C168" t="s">
        <v>569</v>
      </c>
      <c r="D168" t="s">
        <v>570</v>
      </c>
      <c r="E168" s="5">
        <v>46267</v>
      </c>
      <c r="F168" t="s">
        <v>204</v>
      </c>
      <c r="G168" t="s">
        <v>213</v>
      </c>
      <c r="H168">
        <v>299</v>
      </c>
      <c r="I168">
        <v>5.38</v>
      </c>
      <c r="J168">
        <v>0.97</v>
      </c>
      <c r="K168">
        <v>292.64999999999998</v>
      </c>
      <c r="L168" s="5">
        <v>46269</v>
      </c>
      <c r="M168" t="s">
        <v>491</v>
      </c>
      <c r="N168" t="s">
        <v>207</v>
      </c>
      <c r="O168" t="s">
        <v>570</v>
      </c>
      <c r="P168" t="s">
        <v>208</v>
      </c>
      <c r="Q168" t="s">
        <v>209</v>
      </c>
    </row>
    <row r="169" spans="1:17" x14ac:dyDescent="0.3">
      <c r="A169" t="s">
        <v>571</v>
      </c>
      <c r="C169" t="s">
        <v>572</v>
      </c>
      <c r="D169" t="s">
        <v>573</v>
      </c>
      <c r="E169" s="5">
        <v>46267</v>
      </c>
      <c r="F169" t="s">
        <v>204</v>
      </c>
      <c r="G169" t="s">
        <v>220</v>
      </c>
      <c r="H169">
        <v>12797</v>
      </c>
      <c r="I169">
        <v>38.39</v>
      </c>
      <c r="J169">
        <v>6.91</v>
      </c>
      <c r="K169">
        <v>12751.7</v>
      </c>
      <c r="L169" s="5">
        <v>46269</v>
      </c>
      <c r="M169" t="s">
        <v>491</v>
      </c>
      <c r="N169" t="s">
        <v>207</v>
      </c>
      <c r="O169" t="s">
        <v>573</v>
      </c>
      <c r="P169" t="s">
        <v>208</v>
      </c>
      <c r="Q169" t="s">
        <v>209</v>
      </c>
    </row>
    <row r="170" spans="1:17" x14ac:dyDescent="0.3">
      <c r="A170" t="s">
        <v>574</v>
      </c>
      <c r="C170" t="s">
        <v>575</v>
      </c>
      <c r="D170" t="s">
        <v>575</v>
      </c>
      <c r="E170" s="5">
        <v>46267</v>
      </c>
      <c r="F170" t="s">
        <v>204</v>
      </c>
      <c r="G170" t="s">
        <v>213</v>
      </c>
      <c r="H170">
        <v>1299</v>
      </c>
      <c r="I170">
        <v>23.38</v>
      </c>
      <c r="J170">
        <v>4.21</v>
      </c>
      <c r="K170">
        <v>1271.4100000000001</v>
      </c>
      <c r="L170" s="5">
        <v>46269</v>
      </c>
      <c r="M170" t="s">
        <v>491</v>
      </c>
      <c r="N170" t="s">
        <v>207</v>
      </c>
      <c r="O170" t="s">
        <v>575</v>
      </c>
      <c r="P170" t="s">
        <v>208</v>
      </c>
      <c r="Q170" t="s">
        <v>209</v>
      </c>
    </row>
    <row r="171" spans="1:17" x14ac:dyDescent="0.3">
      <c r="A171" t="s">
        <v>576</v>
      </c>
      <c r="C171" t="s">
        <v>577</v>
      </c>
      <c r="D171" t="s">
        <v>577</v>
      </c>
      <c r="E171" s="5">
        <v>46267</v>
      </c>
      <c r="F171" t="s">
        <v>204</v>
      </c>
      <c r="G171" t="s">
        <v>255</v>
      </c>
      <c r="H171">
        <v>1499</v>
      </c>
      <c r="I171">
        <v>22.49</v>
      </c>
      <c r="J171">
        <v>4.05</v>
      </c>
      <c r="K171">
        <v>1472.46</v>
      </c>
      <c r="L171" s="5">
        <v>46269</v>
      </c>
      <c r="M171" t="s">
        <v>491</v>
      </c>
      <c r="N171" t="s">
        <v>207</v>
      </c>
      <c r="O171" t="s">
        <v>577</v>
      </c>
      <c r="P171" t="s">
        <v>208</v>
      </c>
      <c r="Q171" t="s">
        <v>209</v>
      </c>
    </row>
    <row r="172" spans="1:17" x14ac:dyDescent="0.3">
      <c r="A172" t="s">
        <v>578</v>
      </c>
      <c r="C172" t="s">
        <v>579</v>
      </c>
      <c r="D172" t="s">
        <v>580</v>
      </c>
      <c r="E172" s="5">
        <v>46267</v>
      </c>
      <c r="F172" t="s">
        <v>204</v>
      </c>
      <c r="G172" t="s">
        <v>220</v>
      </c>
      <c r="H172">
        <v>1298</v>
      </c>
      <c r="I172">
        <v>0</v>
      </c>
      <c r="J172">
        <v>0</v>
      </c>
      <c r="K172">
        <v>1298</v>
      </c>
      <c r="L172" s="5">
        <v>46269</v>
      </c>
      <c r="M172" t="s">
        <v>491</v>
      </c>
      <c r="N172" t="s">
        <v>207</v>
      </c>
      <c r="O172" t="s">
        <v>580</v>
      </c>
      <c r="P172" t="s">
        <v>208</v>
      </c>
      <c r="Q172" t="s">
        <v>209</v>
      </c>
    </row>
    <row r="173" spans="1:17" x14ac:dyDescent="0.3">
      <c r="A173" t="s">
        <v>581</v>
      </c>
      <c r="C173" t="s">
        <v>582</v>
      </c>
      <c r="D173" t="s">
        <v>582</v>
      </c>
      <c r="E173" s="5">
        <v>46267</v>
      </c>
      <c r="F173" t="s">
        <v>204</v>
      </c>
      <c r="G173" t="s">
        <v>220</v>
      </c>
      <c r="H173">
        <v>499</v>
      </c>
      <c r="I173">
        <v>0</v>
      </c>
      <c r="J173">
        <v>0</v>
      </c>
      <c r="K173">
        <v>499</v>
      </c>
      <c r="L173" s="5">
        <v>46269</v>
      </c>
      <c r="M173" t="s">
        <v>491</v>
      </c>
      <c r="N173" t="s">
        <v>207</v>
      </c>
      <c r="O173" t="s">
        <v>582</v>
      </c>
      <c r="P173" t="s">
        <v>208</v>
      </c>
      <c r="Q173" t="s">
        <v>209</v>
      </c>
    </row>
    <row r="174" spans="1:17" x14ac:dyDescent="0.3">
      <c r="A174" t="s">
        <v>583</v>
      </c>
      <c r="C174" t="s">
        <v>584</v>
      </c>
      <c r="D174" t="s">
        <v>585</v>
      </c>
      <c r="E174" s="5">
        <v>46267</v>
      </c>
      <c r="F174" t="s">
        <v>204</v>
      </c>
      <c r="G174" t="s">
        <v>255</v>
      </c>
      <c r="H174">
        <v>848</v>
      </c>
      <c r="I174">
        <v>12.72</v>
      </c>
      <c r="J174">
        <v>2.29</v>
      </c>
      <c r="K174">
        <v>832.99</v>
      </c>
      <c r="L174" s="5">
        <v>46269</v>
      </c>
      <c r="M174" t="s">
        <v>491</v>
      </c>
      <c r="N174" t="s">
        <v>207</v>
      </c>
      <c r="O174" t="s">
        <v>585</v>
      </c>
      <c r="P174" t="s">
        <v>208</v>
      </c>
      <c r="Q174" t="s">
        <v>209</v>
      </c>
    </row>
    <row r="175" spans="1:17" x14ac:dyDescent="0.3">
      <c r="A175" t="s">
        <v>586</v>
      </c>
      <c r="C175" t="s">
        <v>587</v>
      </c>
      <c r="D175" t="s">
        <v>587</v>
      </c>
      <c r="E175" s="5">
        <v>46267</v>
      </c>
      <c r="F175" t="s">
        <v>204</v>
      </c>
      <c r="G175" t="s">
        <v>220</v>
      </c>
      <c r="H175">
        <v>1799</v>
      </c>
      <c r="I175">
        <v>0</v>
      </c>
      <c r="J175">
        <v>0</v>
      </c>
      <c r="K175">
        <v>1799</v>
      </c>
      <c r="L175" s="5">
        <v>46269</v>
      </c>
      <c r="M175" t="s">
        <v>491</v>
      </c>
      <c r="N175" t="s">
        <v>207</v>
      </c>
      <c r="O175" t="s">
        <v>587</v>
      </c>
      <c r="P175" t="s">
        <v>208</v>
      </c>
      <c r="Q175" t="s">
        <v>209</v>
      </c>
    </row>
    <row r="176" spans="1:17" x14ac:dyDescent="0.3">
      <c r="A176" t="s">
        <v>588</v>
      </c>
      <c r="C176" t="s">
        <v>589</v>
      </c>
      <c r="D176" t="s">
        <v>589</v>
      </c>
      <c r="E176" s="5">
        <v>46267</v>
      </c>
      <c r="F176" t="s">
        <v>204</v>
      </c>
      <c r="G176" t="s">
        <v>255</v>
      </c>
      <c r="H176">
        <v>7999</v>
      </c>
      <c r="I176">
        <v>95.99</v>
      </c>
      <c r="J176">
        <v>17.28</v>
      </c>
      <c r="K176">
        <v>7885.73</v>
      </c>
      <c r="L176" s="5">
        <v>46269</v>
      </c>
      <c r="M176" t="s">
        <v>491</v>
      </c>
      <c r="N176" t="s">
        <v>207</v>
      </c>
      <c r="O176" t="s">
        <v>589</v>
      </c>
      <c r="P176" t="s">
        <v>208</v>
      </c>
      <c r="Q176" t="s">
        <v>209</v>
      </c>
    </row>
    <row r="177" spans="1:17" x14ac:dyDescent="0.3">
      <c r="A177" t="s">
        <v>590</v>
      </c>
      <c r="C177" t="s">
        <v>591</v>
      </c>
      <c r="D177" t="s">
        <v>591</v>
      </c>
      <c r="E177" s="5">
        <v>46267</v>
      </c>
      <c r="F177" t="s">
        <v>204</v>
      </c>
      <c r="G177" t="s">
        <v>220</v>
      </c>
      <c r="H177">
        <v>7999</v>
      </c>
      <c r="I177">
        <v>24</v>
      </c>
      <c r="J177">
        <v>4.32</v>
      </c>
      <c r="K177">
        <v>7970.68</v>
      </c>
      <c r="L177" s="5">
        <v>46269</v>
      </c>
      <c r="M177" t="s">
        <v>491</v>
      </c>
      <c r="N177" t="s">
        <v>207</v>
      </c>
      <c r="O177" t="s">
        <v>591</v>
      </c>
      <c r="P177" t="s">
        <v>208</v>
      </c>
      <c r="Q177" t="s">
        <v>209</v>
      </c>
    </row>
    <row r="178" spans="1:17" x14ac:dyDescent="0.3">
      <c r="A178" t="s">
        <v>592</v>
      </c>
      <c r="C178" t="s">
        <v>593</v>
      </c>
      <c r="D178" t="s">
        <v>593</v>
      </c>
      <c r="E178" s="5">
        <v>46267</v>
      </c>
      <c r="F178" t="s">
        <v>204</v>
      </c>
      <c r="G178" t="s">
        <v>220</v>
      </c>
      <c r="H178">
        <v>1098</v>
      </c>
      <c r="I178">
        <v>0</v>
      </c>
      <c r="J178">
        <v>0</v>
      </c>
      <c r="K178">
        <v>1098</v>
      </c>
      <c r="L178" s="5">
        <v>46269</v>
      </c>
      <c r="M178" t="s">
        <v>491</v>
      </c>
      <c r="N178" t="s">
        <v>207</v>
      </c>
      <c r="O178" t="s">
        <v>593</v>
      </c>
      <c r="P178" t="s">
        <v>208</v>
      </c>
      <c r="Q178" t="s">
        <v>209</v>
      </c>
    </row>
    <row r="179" spans="1:17" x14ac:dyDescent="0.3">
      <c r="A179" t="s">
        <v>594</v>
      </c>
      <c r="C179" t="s">
        <v>595</v>
      </c>
      <c r="D179" t="s">
        <v>595</v>
      </c>
      <c r="E179" s="5">
        <v>46267</v>
      </c>
      <c r="F179" t="s">
        <v>204</v>
      </c>
      <c r="G179" t="s">
        <v>220</v>
      </c>
      <c r="H179">
        <v>599</v>
      </c>
      <c r="I179">
        <v>0</v>
      </c>
      <c r="J179">
        <v>0</v>
      </c>
      <c r="K179">
        <v>599</v>
      </c>
      <c r="L179" s="5">
        <v>46269</v>
      </c>
      <c r="M179" t="s">
        <v>491</v>
      </c>
      <c r="N179" t="s">
        <v>207</v>
      </c>
      <c r="O179" t="s">
        <v>595</v>
      </c>
      <c r="P179" t="s">
        <v>208</v>
      </c>
      <c r="Q179" t="s">
        <v>209</v>
      </c>
    </row>
    <row r="180" spans="1:17" x14ac:dyDescent="0.3">
      <c r="A180" t="s">
        <v>596</v>
      </c>
      <c r="C180" t="s">
        <v>597</v>
      </c>
      <c r="D180" t="s">
        <v>597</v>
      </c>
      <c r="E180" s="5">
        <v>46267</v>
      </c>
      <c r="F180" t="s">
        <v>204</v>
      </c>
      <c r="G180" t="s">
        <v>220</v>
      </c>
      <c r="H180">
        <v>1598</v>
      </c>
      <c r="I180">
        <v>0</v>
      </c>
      <c r="J180">
        <v>0</v>
      </c>
      <c r="K180">
        <v>1598</v>
      </c>
      <c r="L180" s="5">
        <v>46269</v>
      </c>
      <c r="M180" t="s">
        <v>491</v>
      </c>
      <c r="N180" t="s">
        <v>207</v>
      </c>
      <c r="O180" t="s">
        <v>597</v>
      </c>
      <c r="P180" t="s">
        <v>208</v>
      </c>
      <c r="Q180" t="s">
        <v>209</v>
      </c>
    </row>
    <row r="181" spans="1:17" x14ac:dyDescent="0.3">
      <c r="A181" t="s">
        <v>598</v>
      </c>
      <c r="C181" t="s">
        <v>599</v>
      </c>
      <c r="D181" t="s">
        <v>599</v>
      </c>
      <c r="E181" s="5">
        <v>46267</v>
      </c>
      <c r="F181" t="s">
        <v>204</v>
      </c>
      <c r="G181" t="s">
        <v>205</v>
      </c>
      <c r="H181">
        <v>799</v>
      </c>
      <c r="I181">
        <v>15.18</v>
      </c>
      <c r="J181">
        <v>2.73</v>
      </c>
      <c r="K181">
        <v>781.09</v>
      </c>
      <c r="L181" s="5">
        <v>46269</v>
      </c>
      <c r="M181" t="s">
        <v>491</v>
      </c>
      <c r="N181" t="s">
        <v>207</v>
      </c>
      <c r="O181" t="s">
        <v>599</v>
      </c>
      <c r="P181" t="s">
        <v>208</v>
      </c>
      <c r="Q181" t="s">
        <v>209</v>
      </c>
    </row>
    <row r="182" spans="1:17" x14ac:dyDescent="0.3">
      <c r="A182" t="s">
        <v>600</v>
      </c>
      <c r="C182" t="s">
        <v>601</v>
      </c>
      <c r="D182" t="s">
        <v>601</v>
      </c>
      <c r="E182" s="5">
        <v>46267</v>
      </c>
      <c r="F182" t="s">
        <v>204</v>
      </c>
      <c r="G182" t="s">
        <v>213</v>
      </c>
      <c r="H182">
        <v>999</v>
      </c>
      <c r="I182">
        <v>17.98</v>
      </c>
      <c r="J182">
        <v>3.24</v>
      </c>
      <c r="K182">
        <v>977.78</v>
      </c>
      <c r="L182" s="5">
        <v>46269</v>
      </c>
      <c r="M182" t="s">
        <v>491</v>
      </c>
      <c r="N182" t="s">
        <v>207</v>
      </c>
      <c r="O182" t="s">
        <v>601</v>
      </c>
      <c r="P182" t="s">
        <v>208</v>
      </c>
      <c r="Q182" t="s">
        <v>209</v>
      </c>
    </row>
    <row r="183" spans="1:17" x14ac:dyDescent="0.3">
      <c r="A183" t="s">
        <v>602</v>
      </c>
      <c r="C183" t="s">
        <v>603</v>
      </c>
      <c r="D183" t="s">
        <v>603</v>
      </c>
      <c r="E183" s="5">
        <v>46267</v>
      </c>
      <c r="F183" t="s">
        <v>204</v>
      </c>
      <c r="G183" t="s">
        <v>220</v>
      </c>
      <c r="H183">
        <v>349</v>
      </c>
      <c r="I183">
        <v>0</v>
      </c>
      <c r="J183">
        <v>0</v>
      </c>
      <c r="K183">
        <v>349</v>
      </c>
      <c r="L183" s="5">
        <v>46269</v>
      </c>
      <c r="M183" t="s">
        <v>491</v>
      </c>
      <c r="N183" t="s">
        <v>207</v>
      </c>
      <c r="O183" t="s">
        <v>603</v>
      </c>
      <c r="P183" t="s">
        <v>208</v>
      </c>
      <c r="Q183" t="s">
        <v>209</v>
      </c>
    </row>
    <row r="184" spans="1:17" x14ac:dyDescent="0.3">
      <c r="A184" t="s">
        <v>604</v>
      </c>
      <c r="C184" t="s">
        <v>605</v>
      </c>
      <c r="D184" t="s">
        <v>605</v>
      </c>
      <c r="E184" s="5">
        <v>46267</v>
      </c>
      <c r="F184" t="s">
        <v>204</v>
      </c>
      <c r="G184" t="s">
        <v>220</v>
      </c>
      <c r="H184">
        <v>1499</v>
      </c>
      <c r="I184">
        <v>0</v>
      </c>
      <c r="J184">
        <v>0</v>
      </c>
      <c r="K184">
        <v>1499</v>
      </c>
      <c r="L184" s="5">
        <v>46269</v>
      </c>
      <c r="M184" t="s">
        <v>491</v>
      </c>
      <c r="N184" t="s">
        <v>207</v>
      </c>
      <c r="O184" t="s">
        <v>605</v>
      </c>
      <c r="P184" t="s">
        <v>208</v>
      </c>
      <c r="Q184" t="s">
        <v>209</v>
      </c>
    </row>
    <row r="185" spans="1:17" x14ac:dyDescent="0.3">
      <c r="A185" t="s">
        <v>606</v>
      </c>
      <c r="C185" t="s">
        <v>607</v>
      </c>
      <c r="D185" t="s">
        <v>607</v>
      </c>
      <c r="E185" s="5">
        <v>46267</v>
      </c>
      <c r="F185" t="s">
        <v>204</v>
      </c>
      <c r="G185" t="s">
        <v>205</v>
      </c>
      <c r="H185">
        <v>2398</v>
      </c>
      <c r="I185">
        <v>57.55</v>
      </c>
      <c r="J185">
        <v>10.36</v>
      </c>
      <c r="K185">
        <v>2330.09</v>
      </c>
      <c r="L185" s="5">
        <v>46269</v>
      </c>
      <c r="M185" t="s">
        <v>491</v>
      </c>
      <c r="N185" t="s">
        <v>207</v>
      </c>
      <c r="O185" t="s">
        <v>607</v>
      </c>
      <c r="P185" t="s">
        <v>208</v>
      </c>
      <c r="Q185" t="s">
        <v>209</v>
      </c>
    </row>
    <row r="186" spans="1:17" x14ac:dyDescent="0.3">
      <c r="A186" t="s">
        <v>608</v>
      </c>
      <c r="C186" t="s">
        <v>609</v>
      </c>
      <c r="D186" t="s">
        <v>609</v>
      </c>
      <c r="E186" s="5">
        <v>46267</v>
      </c>
      <c r="F186" t="s">
        <v>204</v>
      </c>
      <c r="G186" t="s">
        <v>205</v>
      </c>
      <c r="H186">
        <v>1998</v>
      </c>
      <c r="I186">
        <v>37.96</v>
      </c>
      <c r="J186">
        <v>6.83</v>
      </c>
      <c r="K186">
        <v>1953.21</v>
      </c>
      <c r="L186" s="5">
        <v>46269</v>
      </c>
      <c r="M186" t="s">
        <v>491</v>
      </c>
      <c r="N186" t="s">
        <v>207</v>
      </c>
      <c r="O186" t="s">
        <v>609</v>
      </c>
      <c r="P186" t="s">
        <v>208</v>
      </c>
      <c r="Q186" t="s">
        <v>209</v>
      </c>
    </row>
    <row r="187" spans="1:17" x14ac:dyDescent="0.3">
      <c r="A187" t="s">
        <v>610</v>
      </c>
      <c r="C187" t="s">
        <v>611</v>
      </c>
      <c r="D187" t="s">
        <v>611</v>
      </c>
      <c r="E187" s="5">
        <v>46267</v>
      </c>
      <c r="F187" t="s">
        <v>204</v>
      </c>
      <c r="G187" t="s">
        <v>213</v>
      </c>
      <c r="H187">
        <v>4999</v>
      </c>
      <c r="I187">
        <v>79.98</v>
      </c>
      <c r="J187">
        <v>14.4</v>
      </c>
      <c r="K187">
        <v>4904.62</v>
      </c>
      <c r="L187" s="5">
        <v>46269</v>
      </c>
      <c r="M187" t="s">
        <v>491</v>
      </c>
      <c r="N187" t="s">
        <v>207</v>
      </c>
      <c r="O187" t="s">
        <v>611</v>
      </c>
      <c r="P187" t="s">
        <v>208</v>
      </c>
      <c r="Q187" t="s">
        <v>209</v>
      </c>
    </row>
    <row r="188" spans="1:17" x14ac:dyDescent="0.3">
      <c r="A188" t="s">
        <v>612</v>
      </c>
      <c r="C188" t="s">
        <v>613</v>
      </c>
      <c r="D188" t="s">
        <v>613</v>
      </c>
      <c r="E188" s="5">
        <v>46267</v>
      </c>
      <c r="F188" t="s">
        <v>204</v>
      </c>
      <c r="G188" t="s">
        <v>220</v>
      </c>
      <c r="H188">
        <v>7797</v>
      </c>
      <c r="I188">
        <v>23.39</v>
      </c>
      <c r="J188">
        <v>4.21</v>
      </c>
      <c r="K188">
        <v>7769.4</v>
      </c>
      <c r="L188" s="5">
        <v>46269</v>
      </c>
      <c r="M188" t="s">
        <v>491</v>
      </c>
      <c r="N188" t="s">
        <v>207</v>
      </c>
      <c r="O188" t="s">
        <v>613</v>
      </c>
      <c r="P188" t="s">
        <v>208</v>
      </c>
      <c r="Q188" t="s">
        <v>209</v>
      </c>
    </row>
    <row r="189" spans="1:17" x14ac:dyDescent="0.3">
      <c r="A189" t="s">
        <v>614</v>
      </c>
      <c r="C189" t="s">
        <v>615</v>
      </c>
      <c r="D189" t="s">
        <v>615</v>
      </c>
      <c r="E189" s="5">
        <v>46267</v>
      </c>
      <c r="F189" t="s">
        <v>204</v>
      </c>
      <c r="G189" t="s">
        <v>220</v>
      </c>
      <c r="H189">
        <v>1798</v>
      </c>
      <c r="I189">
        <v>0</v>
      </c>
      <c r="J189">
        <v>0</v>
      </c>
      <c r="K189">
        <v>1798</v>
      </c>
      <c r="L189" s="5">
        <v>46269</v>
      </c>
      <c r="M189" t="s">
        <v>491</v>
      </c>
      <c r="N189" t="s">
        <v>207</v>
      </c>
      <c r="O189" t="s">
        <v>615</v>
      </c>
      <c r="P189" t="s">
        <v>208</v>
      </c>
      <c r="Q189" t="s">
        <v>209</v>
      </c>
    </row>
    <row r="190" spans="1:17" x14ac:dyDescent="0.3">
      <c r="A190" t="s">
        <v>616</v>
      </c>
      <c r="C190" t="s">
        <v>617</v>
      </c>
      <c r="D190" t="s">
        <v>617</v>
      </c>
      <c r="E190" s="5">
        <v>46267</v>
      </c>
      <c r="F190" t="s">
        <v>204</v>
      </c>
      <c r="G190" t="s">
        <v>213</v>
      </c>
      <c r="H190">
        <v>499</v>
      </c>
      <c r="I190">
        <v>8.98</v>
      </c>
      <c r="J190">
        <v>1.62</v>
      </c>
      <c r="K190">
        <v>488.4</v>
      </c>
      <c r="L190" s="5">
        <v>46269</v>
      </c>
      <c r="M190" t="s">
        <v>491</v>
      </c>
      <c r="N190" t="s">
        <v>207</v>
      </c>
      <c r="O190" t="s">
        <v>617</v>
      </c>
      <c r="P190" t="s">
        <v>208</v>
      </c>
      <c r="Q190" t="s">
        <v>209</v>
      </c>
    </row>
    <row r="191" spans="1:17" x14ac:dyDescent="0.3">
      <c r="A191" t="s">
        <v>618</v>
      </c>
      <c r="C191" t="s">
        <v>619</v>
      </c>
      <c r="D191" t="s">
        <v>619</v>
      </c>
      <c r="E191" s="5">
        <v>46267</v>
      </c>
      <c r="F191" t="s">
        <v>204</v>
      </c>
      <c r="G191" t="s">
        <v>213</v>
      </c>
      <c r="H191">
        <v>1148</v>
      </c>
      <c r="I191">
        <v>20.66</v>
      </c>
      <c r="J191">
        <v>3.72</v>
      </c>
      <c r="K191">
        <v>1123.6199999999999</v>
      </c>
      <c r="L191" s="5">
        <v>46269</v>
      </c>
      <c r="M191" t="s">
        <v>491</v>
      </c>
      <c r="N191" t="s">
        <v>207</v>
      </c>
      <c r="O191" t="s">
        <v>619</v>
      </c>
      <c r="P191" t="s">
        <v>208</v>
      </c>
      <c r="Q191" t="s">
        <v>209</v>
      </c>
    </row>
    <row r="192" spans="1:17" x14ac:dyDescent="0.3">
      <c r="A192" t="s">
        <v>620</v>
      </c>
      <c r="C192" t="s">
        <v>621</v>
      </c>
      <c r="D192" t="s">
        <v>622</v>
      </c>
      <c r="E192" s="5">
        <v>46267</v>
      </c>
      <c r="F192" t="s">
        <v>204</v>
      </c>
      <c r="G192" t="s">
        <v>213</v>
      </c>
      <c r="H192">
        <v>5297</v>
      </c>
      <c r="I192">
        <v>84.75</v>
      </c>
      <c r="J192">
        <v>15.26</v>
      </c>
      <c r="K192">
        <v>5196.99</v>
      </c>
      <c r="L192" s="5">
        <v>46269</v>
      </c>
      <c r="M192" t="s">
        <v>491</v>
      </c>
      <c r="N192" t="s">
        <v>207</v>
      </c>
      <c r="O192" t="s">
        <v>622</v>
      </c>
      <c r="P192" t="s">
        <v>208</v>
      </c>
      <c r="Q192" t="s">
        <v>209</v>
      </c>
    </row>
    <row r="193" spans="1:17" x14ac:dyDescent="0.3">
      <c r="A193" t="s">
        <v>623</v>
      </c>
      <c r="C193" t="s">
        <v>624</v>
      </c>
      <c r="D193" t="s">
        <v>625</v>
      </c>
      <c r="E193" s="5">
        <v>46267</v>
      </c>
      <c r="F193" t="s">
        <v>204</v>
      </c>
      <c r="G193" t="s">
        <v>220</v>
      </c>
      <c r="H193">
        <v>5998</v>
      </c>
      <c r="I193">
        <v>17.989999999999998</v>
      </c>
      <c r="J193">
        <v>3.24</v>
      </c>
      <c r="K193">
        <v>5976.77</v>
      </c>
      <c r="L193" s="5">
        <v>46269</v>
      </c>
      <c r="M193" t="s">
        <v>491</v>
      </c>
      <c r="N193" t="s">
        <v>207</v>
      </c>
      <c r="O193" t="s">
        <v>625</v>
      </c>
      <c r="P193" t="s">
        <v>208</v>
      </c>
      <c r="Q193" t="s">
        <v>209</v>
      </c>
    </row>
    <row r="194" spans="1:17" x14ac:dyDescent="0.3">
      <c r="A194" t="s">
        <v>626</v>
      </c>
      <c r="C194" t="s">
        <v>627</v>
      </c>
      <c r="D194" t="s">
        <v>627</v>
      </c>
      <c r="E194" s="5">
        <v>46267</v>
      </c>
      <c r="F194" t="s">
        <v>204</v>
      </c>
      <c r="G194" t="s">
        <v>220</v>
      </c>
      <c r="H194">
        <v>1798</v>
      </c>
      <c r="I194">
        <v>0</v>
      </c>
      <c r="J194">
        <v>0</v>
      </c>
      <c r="K194">
        <v>1798</v>
      </c>
      <c r="L194" s="5">
        <v>46269</v>
      </c>
      <c r="M194" t="s">
        <v>491</v>
      </c>
      <c r="N194" t="s">
        <v>207</v>
      </c>
      <c r="O194" t="s">
        <v>627</v>
      </c>
      <c r="P194" t="s">
        <v>208</v>
      </c>
      <c r="Q194" t="s">
        <v>209</v>
      </c>
    </row>
    <row r="195" spans="1:17" x14ac:dyDescent="0.3">
      <c r="A195" t="s">
        <v>628</v>
      </c>
      <c r="C195" t="s">
        <v>629</v>
      </c>
      <c r="D195" t="s">
        <v>629</v>
      </c>
      <c r="E195" s="5">
        <v>46267</v>
      </c>
      <c r="F195" t="s">
        <v>204</v>
      </c>
      <c r="G195" t="s">
        <v>205</v>
      </c>
      <c r="H195">
        <v>3998</v>
      </c>
      <c r="I195">
        <v>67.97</v>
      </c>
      <c r="J195">
        <v>12.23</v>
      </c>
      <c r="K195">
        <v>3917.8</v>
      </c>
      <c r="L195" s="5">
        <v>46269</v>
      </c>
      <c r="M195" t="s">
        <v>491</v>
      </c>
      <c r="N195" t="s">
        <v>207</v>
      </c>
      <c r="O195" t="s">
        <v>629</v>
      </c>
      <c r="P195" t="s">
        <v>208</v>
      </c>
      <c r="Q195" t="s">
        <v>209</v>
      </c>
    </row>
    <row r="196" spans="1:17" x14ac:dyDescent="0.3">
      <c r="A196" t="s">
        <v>630</v>
      </c>
      <c r="C196" t="s">
        <v>631</v>
      </c>
      <c r="D196" t="s">
        <v>631</v>
      </c>
      <c r="E196" s="5">
        <v>46267</v>
      </c>
      <c r="F196" t="s">
        <v>204</v>
      </c>
      <c r="G196" t="s">
        <v>205</v>
      </c>
      <c r="H196">
        <v>3597</v>
      </c>
      <c r="I196">
        <v>61.15</v>
      </c>
      <c r="J196">
        <v>11.01</v>
      </c>
      <c r="K196">
        <v>3524.84</v>
      </c>
      <c r="L196" s="5">
        <v>46269</v>
      </c>
      <c r="M196" t="s">
        <v>491</v>
      </c>
      <c r="N196" t="s">
        <v>207</v>
      </c>
      <c r="O196" t="s">
        <v>631</v>
      </c>
      <c r="P196" t="s">
        <v>208</v>
      </c>
      <c r="Q196" t="s">
        <v>209</v>
      </c>
    </row>
    <row r="197" spans="1:17" x14ac:dyDescent="0.3">
      <c r="A197" t="s">
        <v>632</v>
      </c>
      <c r="C197" t="s">
        <v>633</v>
      </c>
      <c r="D197" t="s">
        <v>633</v>
      </c>
      <c r="E197" s="5">
        <v>46267</v>
      </c>
      <c r="F197" t="s">
        <v>204</v>
      </c>
      <c r="G197" t="s">
        <v>213</v>
      </c>
      <c r="H197">
        <v>2798</v>
      </c>
      <c r="I197">
        <v>44.77</v>
      </c>
      <c r="J197">
        <v>8.06</v>
      </c>
      <c r="K197">
        <v>2745.17</v>
      </c>
      <c r="L197" s="5">
        <v>46269</v>
      </c>
      <c r="M197" t="s">
        <v>491</v>
      </c>
      <c r="N197" t="s">
        <v>207</v>
      </c>
      <c r="O197" t="s">
        <v>633</v>
      </c>
      <c r="P197" t="s">
        <v>208</v>
      </c>
      <c r="Q197" t="s">
        <v>209</v>
      </c>
    </row>
    <row r="198" spans="1:17" x14ac:dyDescent="0.3">
      <c r="A198" t="s">
        <v>634</v>
      </c>
      <c r="C198" t="s">
        <v>635</v>
      </c>
      <c r="D198" t="s">
        <v>635</v>
      </c>
      <c r="E198" s="5">
        <v>46267</v>
      </c>
      <c r="F198" t="s">
        <v>204</v>
      </c>
      <c r="G198" t="s">
        <v>213</v>
      </c>
      <c r="H198">
        <v>5598</v>
      </c>
      <c r="I198">
        <v>89.57</v>
      </c>
      <c r="J198">
        <v>16.12</v>
      </c>
      <c r="K198">
        <v>5492.31</v>
      </c>
      <c r="L198" s="5">
        <v>46269</v>
      </c>
      <c r="M198" t="s">
        <v>491</v>
      </c>
      <c r="N198" t="s">
        <v>207</v>
      </c>
      <c r="O198" t="s">
        <v>635</v>
      </c>
      <c r="P198" t="s">
        <v>208</v>
      </c>
      <c r="Q198" t="s">
        <v>209</v>
      </c>
    </row>
    <row r="199" spans="1:17" x14ac:dyDescent="0.3">
      <c r="A199" t="s">
        <v>636</v>
      </c>
      <c r="C199" t="s">
        <v>637</v>
      </c>
      <c r="D199" t="s">
        <v>637</v>
      </c>
      <c r="E199" s="5">
        <v>46267</v>
      </c>
      <c r="F199" t="s">
        <v>204</v>
      </c>
      <c r="G199" t="s">
        <v>205</v>
      </c>
      <c r="H199">
        <v>2798</v>
      </c>
      <c r="I199">
        <v>47.57</v>
      </c>
      <c r="J199">
        <v>8.56</v>
      </c>
      <c r="K199">
        <v>2741.87</v>
      </c>
      <c r="L199" s="5">
        <v>46269</v>
      </c>
      <c r="M199" t="s">
        <v>491</v>
      </c>
      <c r="N199" t="s">
        <v>207</v>
      </c>
      <c r="O199" t="s">
        <v>637</v>
      </c>
      <c r="P199" t="s">
        <v>208</v>
      </c>
      <c r="Q199" t="s">
        <v>209</v>
      </c>
    </row>
    <row r="200" spans="1:17" x14ac:dyDescent="0.3">
      <c r="A200" t="s">
        <v>638</v>
      </c>
      <c r="C200" t="s">
        <v>639</v>
      </c>
      <c r="D200" t="s">
        <v>639</v>
      </c>
      <c r="E200" s="5">
        <v>46267</v>
      </c>
      <c r="F200" t="s">
        <v>204</v>
      </c>
      <c r="G200" t="s">
        <v>213</v>
      </c>
      <c r="H200">
        <v>2848</v>
      </c>
      <c r="I200">
        <v>45.57</v>
      </c>
      <c r="J200">
        <v>8.1999999999999993</v>
      </c>
      <c r="K200">
        <v>2794.23</v>
      </c>
      <c r="L200" s="5">
        <v>46269</v>
      </c>
      <c r="M200" t="s">
        <v>491</v>
      </c>
      <c r="N200" t="s">
        <v>207</v>
      </c>
      <c r="O200" t="s">
        <v>639</v>
      </c>
      <c r="P200" t="s">
        <v>208</v>
      </c>
      <c r="Q200" t="s">
        <v>209</v>
      </c>
    </row>
    <row r="201" spans="1:17" x14ac:dyDescent="0.3">
      <c r="A201" t="s">
        <v>640</v>
      </c>
      <c r="C201" t="s">
        <v>641</v>
      </c>
      <c r="D201" t="s">
        <v>641</v>
      </c>
      <c r="E201" s="5">
        <v>46267</v>
      </c>
      <c r="F201" t="s">
        <v>204</v>
      </c>
      <c r="G201" t="s">
        <v>220</v>
      </c>
      <c r="H201">
        <v>1848</v>
      </c>
      <c r="I201">
        <v>0</v>
      </c>
      <c r="J201">
        <v>0</v>
      </c>
      <c r="K201">
        <v>1848</v>
      </c>
      <c r="L201" s="5">
        <v>46269</v>
      </c>
      <c r="M201" t="s">
        <v>491</v>
      </c>
      <c r="N201" t="s">
        <v>207</v>
      </c>
      <c r="O201" t="s">
        <v>641</v>
      </c>
      <c r="P201" t="s">
        <v>208</v>
      </c>
      <c r="Q201" t="s">
        <v>209</v>
      </c>
    </row>
    <row r="202" spans="1:17" x14ac:dyDescent="0.3">
      <c r="A202" t="s">
        <v>642</v>
      </c>
      <c r="C202" t="s">
        <v>643</v>
      </c>
      <c r="D202" t="s">
        <v>643</v>
      </c>
      <c r="E202" s="5">
        <v>46267</v>
      </c>
      <c r="F202" t="s">
        <v>204</v>
      </c>
      <c r="G202" t="s">
        <v>213</v>
      </c>
      <c r="H202">
        <v>8298</v>
      </c>
      <c r="I202">
        <v>132.77000000000001</v>
      </c>
      <c r="J202">
        <v>23.9</v>
      </c>
      <c r="K202">
        <v>8141.33</v>
      </c>
      <c r="L202" s="5">
        <v>46269</v>
      </c>
      <c r="M202" t="s">
        <v>491</v>
      </c>
      <c r="N202" t="s">
        <v>207</v>
      </c>
      <c r="O202" t="s">
        <v>643</v>
      </c>
      <c r="P202" t="s">
        <v>208</v>
      </c>
      <c r="Q202" t="s">
        <v>209</v>
      </c>
    </row>
    <row r="203" spans="1:17" x14ac:dyDescent="0.3">
      <c r="A203" t="s">
        <v>644</v>
      </c>
      <c r="C203" t="s">
        <v>645</v>
      </c>
      <c r="D203" t="s">
        <v>645</v>
      </c>
      <c r="E203" s="5">
        <v>46267</v>
      </c>
      <c r="F203" t="s">
        <v>204</v>
      </c>
      <c r="G203" t="s">
        <v>255</v>
      </c>
      <c r="H203">
        <v>4798</v>
      </c>
      <c r="I203">
        <v>57.58</v>
      </c>
      <c r="J203">
        <v>10.36</v>
      </c>
      <c r="K203">
        <v>4730.0600000000004</v>
      </c>
      <c r="L203" s="5">
        <v>46269</v>
      </c>
      <c r="M203" t="s">
        <v>491</v>
      </c>
      <c r="N203" t="s">
        <v>207</v>
      </c>
      <c r="O203" t="s">
        <v>645</v>
      </c>
      <c r="P203" t="s">
        <v>208</v>
      </c>
      <c r="Q203" t="s">
        <v>209</v>
      </c>
    </row>
    <row r="204" spans="1:17" x14ac:dyDescent="0.3">
      <c r="A204" t="s">
        <v>646</v>
      </c>
      <c r="C204" t="s">
        <v>647</v>
      </c>
      <c r="D204" t="s">
        <v>647</v>
      </c>
      <c r="E204" s="5">
        <v>46267</v>
      </c>
      <c r="F204" t="s">
        <v>204</v>
      </c>
      <c r="G204" t="s">
        <v>220</v>
      </c>
      <c r="H204">
        <v>7297</v>
      </c>
      <c r="I204">
        <v>21.89</v>
      </c>
      <c r="J204">
        <v>3.94</v>
      </c>
      <c r="K204">
        <v>7271.17</v>
      </c>
      <c r="L204" s="5">
        <v>46269</v>
      </c>
      <c r="M204" t="s">
        <v>491</v>
      </c>
      <c r="N204" t="s">
        <v>207</v>
      </c>
      <c r="O204" t="s">
        <v>647</v>
      </c>
      <c r="P204" t="s">
        <v>208</v>
      </c>
      <c r="Q204" t="s">
        <v>209</v>
      </c>
    </row>
    <row r="205" spans="1:17" x14ac:dyDescent="0.3">
      <c r="A205" t="s">
        <v>648</v>
      </c>
      <c r="C205" t="s">
        <v>649</v>
      </c>
      <c r="D205" t="s">
        <v>649</v>
      </c>
      <c r="E205" s="5">
        <v>46267</v>
      </c>
      <c r="F205" t="s">
        <v>204</v>
      </c>
      <c r="G205" t="s">
        <v>220</v>
      </c>
      <c r="H205">
        <v>3797</v>
      </c>
      <c r="I205">
        <v>11.39</v>
      </c>
      <c r="J205">
        <v>2.0499999999999998</v>
      </c>
      <c r="K205">
        <v>3783.56</v>
      </c>
      <c r="L205" s="5">
        <v>46269</v>
      </c>
      <c r="M205" t="s">
        <v>491</v>
      </c>
      <c r="N205" t="s">
        <v>207</v>
      </c>
      <c r="O205" t="s">
        <v>649</v>
      </c>
      <c r="P205" t="s">
        <v>208</v>
      </c>
      <c r="Q205" t="s">
        <v>209</v>
      </c>
    </row>
    <row r="206" spans="1:17" x14ac:dyDescent="0.3">
      <c r="A206" t="s">
        <v>650</v>
      </c>
      <c r="C206" t="s">
        <v>651</v>
      </c>
      <c r="D206" t="s">
        <v>651</v>
      </c>
      <c r="E206" s="5">
        <v>46267</v>
      </c>
      <c r="F206" t="s">
        <v>204</v>
      </c>
      <c r="G206" t="s">
        <v>205</v>
      </c>
      <c r="H206">
        <v>3499</v>
      </c>
      <c r="I206">
        <v>59.48</v>
      </c>
      <c r="J206">
        <v>10.71</v>
      </c>
      <c r="K206">
        <v>3428.81</v>
      </c>
      <c r="L206" s="5">
        <v>46269</v>
      </c>
      <c r="M206" t="s">
        <v>491</v>
      </c>
      <c r="N206" t="s">
        <v>207</v>
      </c>
      <c r="O206" t="s">
        <v>651</v>
      </c>
      <c r="P206" t="s">
        <v>208</v>
      </c>
      <c r="Q206" t="s">
        <v>209</v>
      </c>
    </row>
    <row r="207" spans="1:17" x14ac:dyDescent="0.3">
      <c r="A207" t="s">
        <v>652</v>
      </c>
      <c r="C207" t="s">
        <v>653</v>
      </c>
      <c r="D207" t="s">
        <v>653</v>
      </c>
      <c r="E207" s="5">
        <v>46267</v>
      </c>
      <c r="F207" t="s">
        <v>204</v>
      </c>
      <c r="G207" t="s">
        <v>220</v>
      </c>
      <c r="H207">
        <v>4297</v>
      </c>
      <c r="I207">
        <v>12.89</v>
      </c>
      <c r="J207">
        <v>2.3199999999999998</v>
      </c>
      <c r="K207">
        <v>4281.79</v>
      </c>
      <c r="L207" s="5">
        <v>46269</v>
      </c>
      <c r="M207" t="s">
        <v>491</v>
      </c>
      <c r="N207" t="s">
        <v>207</v>
      </c>
      <c r="O207" t="s">
        <v>653</v>
      </c>
      <c r="P207" t="s">
        <v>208</v>
      </c>
      <c r="Q207" t="s">
        <v>209</v>
      </c>
    </row>
    <row r="208" spans="1:17" x14ac:dyDescent="0.3">
      <c r="A208" t="s">
        <v>654</v>
      </c>
      <c r="C208" t="s">
        <v>655</v>
      </c>
      <c r="D208" t="s">
        <v>655</v>
      </c>
      <c r="E208" s="5">
        <v>46267</v>
      </c>
      <c r="F208" t="s">
        <v>204</v>
      </c>
      <c r="G208" t="s">
        <v>220</v>
      </c>
      <c r="H208">
        <v>599</v>
      </c>
      <c r="I208">
        <v>0</v>
      </c>
      <c r="J208">
        <v>0</v>
      </c>
      <c r="K208">
        <v>599</v>
      </c>
      <c r="L208" s="5">
        <v>46269</v>
      </c>
      <c r="M208" t="s">
        <v>491</v>
      </c>
      <c r="N208" t="s">
        <v>207</v>
      </c>
      <c r="O208" t="s">
        <v>655</v>
      </c>
      <c r="P208" t="s">
        <v>208</v>
      </c>
      <c r="Q208" t="s">
        <v>209</v>
      </c>
    </row>
    <row r="209" spans="1:17" x14ac:dyDescent="0.3">
      <c r="A209" t="s">
        <v>656</v>
      </c>
      <c r="C209" t="s">
        <v>657</v>
      </c>
      <c r="D209" t="s">
        <v>657</v>
      </c>
      <c r="E209" s="5">
        <v>46267</v>
      </c>
      <c r="F209" t="s">
        <v>204</v>
      </c>
      <c r="G209" t="s">
        <v>220</v>
      </c>
      <c r="H209">
        <v>4498</v>
      </c>
      <c r="I209">
        <v>13.49</v>
      </c>
      <c r="J209">
        <v>2.4300000000000002</v>
      </c>
      <c r="K209">
        <v>4482.08</v>
      </c>
      <c r="L209" s="5">
        <v>46269</v>
      </c>
      <c r="M209" t="s">
        <v>491</v>
      </c>
      <c r="N209" t="s">
        <v>207</v>
      </c>
      <c r="O209" t="s">
        <v>657</v>
      </c>
      <c r="P209" t="s">
        <v>208</v>
      </c>
      <c r="Q209" t="s">
        <v>209</v>
      </c>
    </row>
    <row r="210" spans="1:17" x14ac:dyDescent="0.3">
      <c r="A210" t="s">
        <v>658</v>
      </c>
      <c r="C210" t="s">
        <v>659</v>
      </c>
      <c r="D210" t="s">
        <v>659</v>
      </c>
      <c r="E210" s="5">
        <v>46267</v>
      </c>
      <c r="F210" t="s">
        <v>204</v>
      </c>
      <c r="G210" t="s">
        <v>220</v>
      </c>
      <c r="H210">
        <v>349</v>
      </c>
      <c r="I210">
        <v>0</v>
      </c>
      <c r="J210">
        <v>0</v>
      </c>
      <c r="K210">
        <v>349</v>
      </c>
      <c r="L210" s="5">
        <v>46269</v>
      </c>
      <c r="M210" t="s">
        <v>491</v>
      </c>
      <c r="N210" t="s">
        <v>207</v>
      </c>
      <c r="O210" t="s">
        <v>659</v>
      </c>
      <c r="P210" t="s">
        <v>208</v>
      </c>
      <c r="Q210" t="s">
        <v>209</v>
      </c>
    </row>
    <row r="211" spans="1:17" x14ac:dyDescent="0.3">
      <c r="A211" t="s">
        <v>660</v>
      </c>
      <c r="C211" t="s">
        <v>661</v>
      </c>
      <c r="D211" t="s">
        <v>661</v>
      </c>
      <c r="E211" s="5">
        <v>46267</v>
      </c>
      <c r="F211" t="s">
        <v>204</v>
      </c>
      <c r="G211" t="s">
        <v>220</v>
      </c>
      <c r="H211">
        <v>1499</v>
      </c>
      <c r="I211">
        <v>0</v>
      </c>
      <c r="J211">
        <v>0</v>
      </c>
      <c r="K211">
        <v>1499</v>
      </c>
      <c r="L211" s="5">
        <v>46269</v>
      </c>
      <c r="M211" t="s">
        <v>491</v>
      </c>
      <c r="N211" t="s">
        <v>207</v>
      </c>
      <c r="O211" t="s">
        <v>661</v>
      </c>
      <c r="P211" t="s">
        <v>208</v>
      </c>
      <c r="Q211" t="s">
        <v>209</v>
      </c>
    </row>
    <row r="212" spans="1:17" x14ac:dyDescent="0.3">
      <c r="A212" t="s">
        <v>662</v>
      </c>
      <c r="C212" t="s">
        <v>663</v>
      </c>
      <c r="D212" t="s">
        <v>663</v>
      </c>
      <c r="E212" s="5">
        <v>46267</v>
      </c>
      <c r="F212" t="s">
        <v>204</v>
      </c>
      <c r="G212" t="s">
        <v>220</v>
      </c>
      <c r="H212">
        <v>299</v>
      </c>
      <c r="I212">
        <v>0</v>
      </c>
      <c r="J212">
        <v>0</v>
      </c>
      <c r="K212">
        <v>299</v>
      </c>
      <c r="L212" s="5">
        <v>46269</v>
      </c>
      <c r="M212" t="s">
        <v>491</v>
      </c>
      <c r="N212" t="s">
        <v>207</v>
      </c>
      <c r="O212" t="s">
        <v>663</v>
      </c>
      <c r="P212" t="s">
        <v>208</v>
      </c>
      <c r="Q212" t="s">
        <v>209</v>
      </c>
    </row>
    <row r="213" spans="1:17" x14ac:dyDescent="0.3">
      <c r="A213" t="s">
        <v>664</v>
      </c>
      <c r="C213" t="s">
        <v>665</v>
      </c>
      <c r="D213" t="s">
        <v>665</v>
      </c>
      <c r="E213" s="5">
        <v>46267</v>
      </c>
      <c r="F213" t="s">
        <v>204</v>
      </c>
      <c r="G213" t="s">
        <v>213</v>
      </c>
      <c r="H213">
        <v>799</v>
      </c>
      <c r="I213">
        <v>14.38</v>
      </c>
      <c r="J213">
        <v>2.59</v>
      </c>
      <c r="K213">
        <v>782.03</v>
      </c>
      <c r="L213" s="5">
        <v>46269</v>
      </c>
      <c r="M213" t="s">
        <v>491</v>
      </c>
      <c r="N213" t="s">
        <v>207</v>
      </c>
      <c r="O213" t="s">
        <v>665</v>
      </c>
      <c r="P213" t="s">
        <v>208</v>
      </c>
      <c r="Q213" t="s">
        <v>209</v>
      </c>
    </row>
    <row r="214" spans="1:17" x14ac:dyDescent="0.3">
      <c r="A214" t="s">
        <v>666</v>
      </c>
      <c r="C214" t="s">
        <v>667</v>
      </c>
      <c r="D214" t="s">
        <v>667</v>
      </c>
      <c r="E214" s="5">
        <v>46267</v>
      </c>
      <c r="F214" t="s">
        <v>204</v>
      </c>
      <c r="G214" t="s">
        <v>220</v>
      </c>
      <c r="H214">
        <v>3499</v>
      </c>
      <c r="I214">
        <v>10.5</v>
      </c>
      <c r="J214">
        <v>1.89</v>
      </c>
      <c r="K214">
        <v>3486.61</v>
      </c>
      <c r="L214" s="5">
        <v>46269</v>
      </c>
      <c r="M214" t="s">
        <v>491</v>
      </c>
      <c r="N214" t="s">
        <v>207</v>
      </c>
      <c r="O214" t="s">
        <v>667</v>
      </c>
      <c r="P214" t="s">
        <v>208</v>
      </c>
      <c r="Q214" t="s">
        <v>209</v>
      </c>
    </row>
    <row r="215" spans="1:17" x14ac:dyDescent="0.3">
      <c r="A215" t="s">
        <v>668</v>
      </c>
      <c r="C215" t="s">
        <v>669</v>
      </c>
      <c r="D215" t="s">
        <v>669</v>
      </c>
      <c r="E215" s="5">
        <v>46267</v>
      </c>
      <c r="F215" t="s">
        <v>204</v>
      </c>
      <c r="G215" t="s">
        <v>213</v>
      </c>
      <c r="H215">
        <v>4999</v>
      </c>
      <c r="I215">
        <v>79.98</v>
      </c>
      <c r="J215">
        <v>14.4</v>
      </c>
      <c r="K215">
        <v>4904.62</v>
      </c>
      <c r="L215" s="5">
        <v>46269</v>
      </c>
      <c r="M215" t="s">
        <v>491</v>
      </c>
      <c r="N215" t="s">
        <v>207</v>
      </c>
      <c r="O215" t="s">
        <v>669</v>
      </c>
      <c r="P215" t="s">
        <v>208</v>
      </c>
      <c r="Q215" t="s">
        <v>209</v>
      </c>
    </row>
    <row r="216" spans="1:17" x14ac:dyDescent="0.3">
      <c r="A216" t="s">
        <v>670</v>
      </c>
      <c r="C216" t="s">
        <v>671</v>
      </c>
      <c r="D216" t="s">
        <v>671</v>
      </c>
      <c r="E216" s="5">
        <v>46267</v>
      </c>
      <c r="F216" t="s">
        <v>204</v>
      </c>
      <c r="G216" t="s">
        <v>205</v>
      </c>
      <c r="H216">
        <v>6297</v>
      </c>
      <c r="I216">
        <v>107.05</v>
      </c>
      <c r="J216">
        <v>19.27</v>
      </c>
      <c r="K216">
        <v>6170.68</v>
      </c>
      <c r="L216" s="5">
        <v>46269</v>
      </c>
      <c r="M216" t="s">
        <v>491</v>
      </c>
      <c r="N216" t="s">
        <v>207</v>
      </c>
      <c r="O216" t="s">
        <v>671</v>
      </c>
      <c r="P216" t="s">
        <v>208</v>
      </c>
      <c r="Q216" t="s">
        <v>209</v>
      </c>
    </row>
    <row r="217" spans="1:17" x14ac:dyDescent="0.3">
      <c r="A217" t="s">
        <v>672</v>
      </c>
      <c r="C217" t="s">
        <v>673</v>
      </c>
      <c r="D217" t="s">
        <v>674</v>
      </c>
      <c r="E217" s="5">
        <v>46267</v>
      </c>
      <c r="F217" t="s">
        <v>204</v>
      </c>
      <c r="G217" t="s">
        <v>213</v>
      </c>
      <c r="H217">
        <v>2798</v>
      </c>
      <c r="I217">
        <v>44.77</v>
      </c>
      <c r="J217">
        <v>8.06</v>
      </c>
      <c r="K217">
        <v>2745.17</v>
      </c>
      <c r="L217" s="5">
        <v>46269</v>
      </c>
      <c r="M217" t="s">
        <v>491</v>
      </c>
      <c r="N217" t="s">
        <v>207</v>
      </c>
      <c r="O217" t="s">
        <v>674</v>
      </c>
      <c r="P217" t="s">
        <v>208</v>
      </c>
      <c r="Q217" t="s">
        <v>209</v>
      </c>
    </row>
    <row r="218" spans="1:17" x14ac:dyDescent="0.3">
      <c r="A218" t="s">
        <v>675</v>
      </c>
      <c r="C218" t="s">
        <v>676</v>
      </c>
      <c r="D218" t="s">
        <v>676</v>
      </c>
      <c r="E218" s="5">
        <v>46267</v>
      </c>
      <c r="F218" t="s">
        <v>204</v>
      </c>
      <c r="G218" t="s">
        <v>213</v>
      </c>
      <c r="H218">
        <v>1299</v>
      </c>
      <c r="I218">
        <v>23.38</v>
      </c>
      <c r="J218">
        <v>4.21</v>
      </c>
      <c r="K218">
        <v>1271.4100000000001</v>
      </c>
      <c r="L218" s="5">
        <v>46269</v>
      </c>
      <c r="M218" t="s">
        <v>491</v>
      </c>
      <c r="N218" t="s">
        <v>207</v>
      </c>
      <c r="O218" t="s">
        <v>676</v>
      </c>
      <c r="P218" t="s">
        <v>208</v>
      </c>
      <c r="Q218" t="s">
        <v>209</v>
      </c>
    </row>
    <row r="219" spans="1:17" x14ac:dyDescent="0.3">
      <c r="A219" t="s">
        <v>677</v>
      </c>
      <c r="C219" t="s">
        <v>678</v>
      </c>
      <c r="D219" t="s">
        <v>679</v>
      </c>
      <c r="E219" s="5">
        <v>46267</v>
      </c>
      <c r="F219" t="s">
        <v>204</v>
      </c>
      <c r="G219" t="s">
        <v>220</v>
      </c>
      <c r="H219">
        <v>4597</v>
      </c>
      <c r="I219">
        <v>13.79</v>
      </c>
      <c r="J219">
        <v>2.48</v>
      </c>
      <c r="K219">
        <v>4580.7299999999996</v>
      </c>
      <c r="L219" s="5">
        <v>46269</v>
      </c>
      <c r="M219" t="s">
        <v>491</v>
      </c>
      <c r="N219" t="s">
        <v>207</v>
      </c>
      <c r="O219" t="s">
        <v>679</v>
      </c>
      <c r="P219" t="s">
        <v>208</v>
      </c>
      <c r="Q219" t="s">
        <v>209</v>
      </c>
    </row>
    <row r="220" spans="1:17" x14ac:dyDescent="0.3">
      <c r="A220" t="s">
        <v>680</v>
      </c>
      <c r="C220" t="s">
        <v>681</v>
      </c>
      <c r="D220" t="s">
        <v>681</v>
      </c>
      <c r="E220" s="5">
        <v>46267</v>
      </c>
      <c r="F220" t="s">
        <v>204</v>
      </c>
      <c r="G220" t="s">
        <v>220</v>
      </c>
      <c r="H220">
        <v>2298</v>
      </c>
      <c r="I220">
        <v>6.89</v>
      </c>
      <c r="J220">
        <v>1.24</v>
      </c>
      <c r="K220">
        <v>2289.87</v>
      </c>
      <c r="L220" s="5">
        <v>46269</v>
      </c>
      <c r="M220" t="s">
        <v>491</v>
      </c>
      <c r="N220" t="s">
        <v>207</v>
      </c>
      <c r="O220" t="s">
        <v>681</v>
      </c>
      <c r="P220" t="s">
        <v>208</v>
      </c>
      <c r="Q220" t="s">
        <v>209</v>
      </c>
    </row>
    <row r="221" spans="1:17" x14ac:dyDescent="0.3">
      <c r="A221" t="s">
        <v>682</v>
      </c>
      <c r="C221" t="s">
        <v>683</v>
      </c>
      <c r="D221" t="s">
        <v>683</v>
      </c>
      <c r="E221" s="5">
        <v>46267</v>
      </c>
      <c r="F221" t="s">
        <v>204</v>
      </c>
      <c r="G221" t="s">
        <v>220</v>
      </c>
      <c r="H221">
        <v>799</v>
      </c>
      <c r="I221">
        <v>0</v>
      </c>
      <c r="J221">
        <v>0</v>
      </c>
      <c r="K221">
        <v>799</v>
      </c>
      <c r="L221" s="5">
        <v>46269</v>
      </c>
      <c r="M221" t="s">
        <v>491</v>
      </c>
      <c r="N221" t="s">
        <v>207</v>
      </c>
      <c r="O221" t="s">
        <v>683</v>
      </c>
      <c r="P221" t="s">
        <v>208</v>
      </c>
      <c r="Q221" t="s">
        <v>209</v>
      </c>
    </row>
    <row r="222" spans="1:17" x14ac:dyDescent="0.3">
      <c r="A222" t="s">
        <v>684</v>
      </c>
      <c r="C222" t="s">
        <v>685</v>
      </c>
      <c r="D222" t="s">
        <v>686</v>
      </c>
      <c r="E222" s="5">
        <v>46267</v>
      </c>
      <c r="F222" t="s">
        <v>204</v>
      </c>
      <c r="G222" t="s">
        <v>220</v>
      </c>
      <c r="H222">
        <v>2499</v>
      </c>
      <c r="I222">
        <v>7.5</v>
      </c>
      <c r="J222">
        <v>1.35</v>
      </c>
      <c r="K222">
        <v>2490.15</v>
      </c>
      <c r="L222" s="5">
        <v>46269</v>
      </c>
      <c r="M222" t="s">
        <v>491</v>
      </c>
      <c r="N222" t="s">
        <v>207</v>
      </c>
      <c r="O222" t="s">
        <v>686</v>
      </c>
      <c r="P222" t="s">
        <v>208</v>
      </c>
      <c r="Q222" t="s">
        <v>209</v>
      </c>
    </row>
    <row r="223" spans="1:17" x14ac:dyDescent="0.3">
      <c r="A223" t="s">
        <v>687</v>
      </c>
      <c r="C223" t="s">
        <v>688</v>
      </c>
      <c r="D223" t="s">
        <v>689</v>
      </c>
      <c r="E223" s="5">
        <v>46267</v>
      </c>
      <c r="F223" t="s">
        <v>204</v>
      </c>
      <c r="G223" t="s">
        <v>213</v>
      </c>
      <c r="H223">
        <v>299</v>
      </c>
      <c r="I223">
        <v>5.38</v>
      </c>
      <c r="J223">
        <v>0.97</v>
      </c>
      <c r="K223">
        <v>292.64999999999998</v>
      </c>
      <c r="L223" s="5">
        <v>46269</v>
      </c>
      <c r="M223" t="s">
        <v>491</v>
      </c>
      <c r="N223" t="s">
        <v>207</v>
      </c>
      <c r="O223" t="s">
        <v>689</v>
      </c>
      <c r="P223" t="s">
        <v>208</v>
      </c>
      <c r="Q223" t="s">
        <v>209</v>
      </c>
    </row>
    <row r="224" spans="1:17" x14ac:dyDescent="0.3">
      <c r="A224" t="s">
        <v>690</v>
      </c>
      <c r="C224" t="s">
        <v>691</v>
      </c>
      <c r="D224" t="s">
        <v>691</v>
      </c>
      <c r="E224" s="5">
        <v>46267</v>
      </c>
      <c r="F224" t="s">
        <v>204</v>
      </c>
      <c r="G224" t="s">
        <v>220</v>
      </c>
      <c r="H224">
        <v>799</v>
      </c>
      <c r="I224">
        <v>0</v>
      </c>
      <c r="J224">
        <v>0</v>
      </c>
      <c r="K224">
        <v>799</v>
      </c>
      <c r="L224" s="5">
        <v>46269</v>
      </c>
      <c r="M224" t="s">
        <v>491</v>
      </c>
      <c r="N224" t="s">
        <v>207</v>
      </c>
      <c r="O224" t="s">
        <v>691</v>
      </c>
      <c r="P224" t="s">
        <v>208</v>
      </c>
      <c r="Q224" t="s">
        <v>209</v>
      </c>
    </row>
    <row r="225" spans="1:17" x14ac:dyDescent="0.3">
      <c r="A225" t="s">
        <v>692</v>
      </c>
      <c r="C225" t="s">
        <v>693</v>
      </c>
      <c r="D225" t="s">
        <v>693</v>
      </c>
      <c r="E225" s="5">
        <v>46267</v>
      </c>
      <c r="F225" t="s">
        <v>204</v>
      </c>
      <c r="G225" t="s">
        <v>220</v>
      </c>
      <c r="H225">
        <v>7498</v>
      </c>
      <c r="I225">
        <v>22.49</v>
      </c>
      <c r="J225">
        <v>4.05</v>
      </c>
      <c r="K225">
        <v>7471.46</v>
      </c>
      <c r="L225" s="5">
        <v>46269</v>
      </c>
      <c r="M225" t="s">
        <v>491</v>
      </c>
      <c r="N225" t="s">
        <v>207</v>
      </c>
      <c r="O225" t="s">
        <v>693</v>
      </c>
      <c r="P225" t="s">
        <v>208</v>
      </c>
      <c r="Q225" t="s">
        <v>209</v>
      </c>
    </row>
    <row r="226" spans="1:17" x14ac:dyDescent="0.3">
      <c r="A226" t="s">
        <v>694</v>
      </c>
      <c r="C226" t="s">
        <v>695</v>
      </c>
      <c r="D226" t="s">
        <v>696</v>
      </c>
      <c r="E226" s="5">
        <v>46267</v>
      </c>
      <c r="F226" t="s">
        <v>204</v>
      </c>
      <c r="G226" t="s">
        <v>213</v>
      </c>
      <c r="H226">
        <v>2499</v>
      </c>
      <c r="I226">
        <v>39.979999999999997</v>
      </c>
      <c r="J226">
        <v>7.2</v>
      </c>
      <c r="K226">
        <v>2451.8200000000002</v>
      </c>
      <c r="L226" s="5">
        <v>46269</v>
      </c>
      <c r="M226" t="s">
        <v>491</v>
      </c>
      <c r="N226" t="s">
        <v>207</v>
      </c>
      <c r="O226" t="s">
        <v>696</v>
      </c>
      <c r="P226" t="s">
        <v>208</v>
      </c>
      <c r="Q226" t="s">
        <v>209</v>
      </c>
    </row>
    <row r="227" spans="1:17" x14ac:dyDescent="0.3">
      <c r="A227" t="s">
        <v>697</v>
      </c>
      <c r="C227" t="s">
        <v>698</v>
      </c>
      <c r="D227" t="s">
        <v>698</v>
      </c>
      <c r="E227" s="5">
        <v>46267</v>
      </c>
      <c r="F227" t="s">
        <v>204</v>
      </c>
      <c r="G227" t="s">
        <v>213</v>
      </c>
      <c r="H227">
        <v>1299</v>
      </c>
      <c r="I227">
        <v>23.38</v>
      </c>
      <c r="J227">
        <v>4.21</v>
      </c>
      <c r="K227">
        <v>1271.4100000000001</v>
      </c>
      <c r="L227" s="5">
        <v>46269</v>
      </c>
      <c r="M227" t="s">
        <v>491</v>
      </c>
      <c r="N227" t="s">
        <v>207</v>
      </c>
      <c r="O227" t="s">
        <v>698</v>
      </c>
      <c r="P227" t="s">
        <v>208</v>
      </c>
      <c r="Q227" t="s">
        <v>209</v>
      </c>
    </row>
    <row r="228" spans="1:17" x14ac:dyDescent="0.3">
      <c r="A228" t="s">
        <v>699</v>
      </c>
      <c r="C228" t="s">
        <v>700</v>
      </c>
      <c r="D228" t="s">
        <v>701</v>
      </c>
      <c r="E228" s="5">
        <v>46267</v>
      </c>
      <c r="F228" t="s">
        <v>204</v>
      </c>
      <c r="G228" t="s">
        <v>220</v>
      </c>
      <c r="H228">
        <v>2897</v>
      </c>
      <c r="I228">
        <v>8.69</v>
      </c>
      <c r="J228">
        <v>1.56</v>
      </c>
      <c r="K228">
        <v>2886.75</v>
      </c>
      <c r="L228" s="5">
        <v>46269</v>
      </c>
      <c r="M228" t="s">
        <v>491</v>
      </c>
      <c r="N228" t="s">
        <v>207</v>
      </c>
      <c r="O228" t="s">
        <v>701</v>
      </c>
      <c r="P228" t="s">
        <v>208</v>
      </c>
      <c r="Q228" t="s">
        <v>209</v>
      </c>
    </row>
    <row r="229" spans="1:17" x14ac:dyDescent="0.3">
      <c r="A229" t="s">
        <v>702</v>
      </c>
      <c r="C229" t="s">
        <v>703</v>
      </c>
      <c r="D229" t="s">
        <v>703</v>
      </c>
      <c r="E229" s="5">
        <v>46267</v>
      </c>
      <c r="F229" t="s">
        <v>204</v>
      </c>
      <c r="G229" t="s">
        <v>205</v>
      </c>
      <c r="H229">
        <v>2499</v>
      </c>
      <c r="I229">
        <v>59.98</v>
      </c>
      <c r="J229">
        <v>10.8</v>
      </c>
      <c r="K229">
        <v>2428.2199999999998</v>
      </c>
      <c r="L229" s="5">
        <v>46269</v>
      </c>
      <c r="M229" t="s">
        <v>491</v>
      </c>
      <c r="N229" t="s">
        <v>207</v>
      </c>
      <c r="O229" t="s">
        <v>703</v>
      </c>
      <c r="P229" t="s">
        <v>208</v>
      </c>
      <c r="Q229" t="s">
        <v>209</v>
      </c>
    </row>
    <row r="230" spans="1:17" x14ac:dyDescent="0.3">
      <c r="A230" t="s">
        <v>704</v>
      </c>
      <c r="C230" t="s">
        <v>705</v>
      </c>
      <c r="D230" t="s">
        <v>705</v>
      </c>
      <c r="E230" s="5">
        <v>46267</v>
      </c>
      <c r="F230" t="s">
        <v>204</v>
      </c>
      <c r="G230" t="s">
        <v>205</v>
      </c>
      <c r="H230">
        <v>599</v>
      </c>
      <c r="I230">
        <v>11.38</v>
      </c>
      <c r="J230">
        <v>2.0499999999999998</v>
      </c>
      <c r="K230">
        <v>585.57000000000005</v>
      </c>
      <c r="L230" s="5">
        <v>46269</v>
      </c>
      <c r="M230" t="s">
        <v>491</v>
      </c>
      <c r="N230" t="s">
        <v>207</v>
      </c>
      <c r="O230" t="s">
        <v>705</v>
      </c>
      <c r="P230" t="s">
        <v>208</v>
      </c>
      <c r="Q230" t="s">
        <v>209</v>
      </c>
    </row>
    <row r="231" spans="1:17" x14ac:dyDescent="0.3">
      <c r="A231" t="s">
        <v>706</v>
      </c>
      <c r="C231" t="s">
        <v>707</v>
      </c>
      <c r="D231" t="s">
        <v>707</v>
      </c>
      <c r="E231" s="5">
        <v>46267</v>
      </c>
      <c r="F231" t="s">
        <v>204</v>
      </c>
      <c r="G231" t="s">
        <v>213</v>
      </c>
      <c r="H231">
        <v>2798</v>
      </c>
      <c r="I231">
        <v>44.77</v>
      </c>
      <c r="J231">
        <v>8.06</v>
      </c>
      <c r="K231">
        <v>2745.17</v>
      </c>
      <c r="L231" s="5">
        <v>46269</v>
      </c>
      <c r="M231" t="s">
        <v>491</v>
      </c>
      <c r="N231" t="s">
        <v>207</v>
      </c>
      <c r="O231" t="s">
        <v>707</v>
      </c>
      <c r="P231" t="s">
        <v>208</v>
      </c>
      <c r="Q231" t="s">
        <v>209</v>
      </c>
    </row>
    <row r="232" spans="1:17" x14ac:dyDescent="0.3">
      <c r="A232" t="s">
        <v>708</v>
      </c>
      <c r="C232" t="s">
        <v>709</v>
      </c>
      <c r="D232" t="s">
        <v>709</v>
      </c>
      <c r="E232" s="5">
        <v>46267</v>
      </c>
      <c r="F232" t="s">
        <v>204</v>
      </c>
      <c r="G232" t="s">
        <v>205</v>
      </c>
      <c r="H232">
        <v>1499</v>
      </c>
      <c r="I232">
        <v>28.48</v>
      </c>
      <c r="J232">
        <v>5.13</v>
      </c>
      <c r="K232">
        <v>1465.39</v>
      </c>
      <c r="L232" s="5">
        <v>46269</v>
      </c>
      <c r="M232" t="s">
        <v>491</v>
      </c>
      <c r="N232" t="s">
        <v>207</v>
      </c>
      <c r="O232" t="s">
        <v>709</v>
      </c>
      <c r="P232" t="s">
        <v>208</v>
      </c>
      <c r="Q232" t="s">
        <v>209</v>
      </c>
    </row>
    <row r="233" spans="1:17" x14ac:dyDescent="0.3">
      <c r="A233" t="s">
        <v>710</v>
      </c>
      <c r="C233" t="s">
        <v>711</v>
      </c>
      <c r="D233" t="s">
        <v>712</v>
      </c>
      <c r="E233" s="5">
        <v>46267</v>
      </c>
      <c r="F233" t="s">
        <v>204</v>
      </c>
      <c r="G233" t="s">
        <v>220</v>
      </c>
      <c r="H233">
        <v>1098</v>
      </c>
      <c r="I233">
        <v>0</v>
      </c>
      <c r="J233">
        <v>0</v>
      </c>
      <c r="K233">
        <v>1098</v>
      </c>
      <c r="L233" s="5">
        <v>46269</v>
      </c>
      <c r="M233" t="s">
        <v>491</v>
      </c>
      <c r="N233" t="s">
        <v>207</v>
      </c>
      <c r="O233" t="s">
        <v>712</v>
      </c>
      <c r="P233" t="s">
        <v>208</v>
      </c>
      <c r="Q233" t="s">
        <v>209</v>
      </c>
    </row>
    <row r="234" spans="1:17" x14ac:dyDescent="0.3">
      <c r="A234" t="s">
        <v>713</v>
      </c>
      <c r="C234" t="s">
        <v>714</v>
      </c>
      <c r="D234" t="s">
        <v>714</v>
      </c>
      <c r="E234" s="5">
        <v>46267</v>
      </c>
      <c r="F234" t="s">
        <v>204</v>
      </c>
      <c r="G234" t="s">
        <v>220</v>
      </c>
      <c r="H234">
        <v>6498</v>
      </c>
      <c r="I234">
        <v>19.489999999999998</v>
      </c>
      <c r="J234">
        <v>3.51</v>
      </c>
      <c r="K234">
        <v>6475</v>
      </c>
      <c r="L234" s="5">
        <v>46269</v>
      </c>
      <c r="M234" t="s">
        <v>491</v>
      </c>
      <c r="N234" t="s">
        <v>207</v>
      </c>
      <c r="O234" t="s">
        <v>714</v>
      </c>
      <c r="P234" t="s">
        <v>208</v>
      </c>
      <c r="Q234" t="s">
        <v>209</v>
      </c>
    </row>
    <row r="235" spans="1:17" x14ac:dyDescent="0.3">
      <c r="A235" t="s">
        <v>715</v>
      </c>
      <c r="C235" t="s">
        <v>716</v>
      </c>
      <c r="D235" t="s">
        <v>716</v>
      </c>
      <c r="E235" s="5">
        <v>46267</v>
      </c>
      <c r="F235" t="s">
        <v>204</v>
      </c>
      <c r="G235" t="s">
        <v>213</v>
      </c>
      <c r="H235">
        <v>3897</v>
      </c>
      <c r="I235">
        <v>62.35</v>
      </c>
      <c r="J235">
        <v>11.22</v>
      </c>
      <c r="K235">
        <v>3823.43</v>
      </c>
      <c r="L235" s="5">
        <v>46269</v>
      </c>
      <c r="M235" t="s">
        <v>491</v>
      </c>
      <c r="N235" t="s">
        <v>207</v>
      </c>
      <c r="O235" t="s">
        <v>716</v>
      </c>
      <c r="P235" t="s">
        <v>208</v>
      </c>
      <c r="Q235" t="s">
        <v>209</v>
      </c>
    </row>
    <row r="236" spans="1:17" x14ac:dyDescent="0.3">
      <c r="A236" t="s">
        <v>717</v>
      </c>
      <c r="C236" t="s">
        <v>718</v>
      </c>
      <c r="D236" t="s">
        <v>718</v>
      </c>
      <c r="E236" s="5">
        <v>46267</v>
      </c>
      <c r="F236" t="s">
        <v>204</v>
      </c>
      <c r="G236" t="s">
        <v>213</v>
      </c>
      <c r="H236">
        <v>999</v>
      </c>
      <c r="I236">
        <v>17.98</v>
      </c>
      <c r="J236">
        <v>3.24</v>
      </c>
      <c r="K236">
        <v>977.78</v>
      </c>
      <c r="L236" s="5">
        <v>46269</v>
      </c>
      <c r="M236" t="s">
        <v>491</v>
      </c>
      <c r="N236" t="s">
        <v>207</v>
      </c>
      <c r="O236" t="s">
        <v>718</v>
      </c>
      <c r="P236" t="s">
        <v>208</v>
      </c>
      <c r="Q236" t="s">
        <v>209</v>
      </c>
    </row>
    <row r="237" spans="1:17" x14ac:dyDescent="0.3">
      <c r="A237" t="s">
        <v>719</v>
      </c>
      <c r="C237" t="s">
        <v>720</v>
      </c>
      <c r="D237" t="s">
        <v>720</v>
      </c>
      <c r="E237" s="5">
        <v>46267</v>
      </c>
      <c r="F237" t="s">
        <v>204</v>
      </c>
      <c r="G237" t="s">
        <v>213</v>
      </c>
      <c r="H237">
        <v>7998</v>
      </c>
      <c r="I237">
        <v>127.97</v>
      </c>
      <c r="J237">
        <v>23.03</v>
      </c>
      <c r="K237">
        <v>7847</v>
      </c>
      <c r="L237" s="5">
        <v>46269</v>
      </c>
      <c r="M237" t="s">
        <v>491</v>
      </c>
      <c r="N237" t="s">
        <v>207</v>
      </c>
      <c r="O237" t="s">
        <v>720</v>
      </c>
      <c r="P237" t="s">
        <v>208</v>
      </c>
      <c r="Q237" t="s">
        <v>209</v>
      </c>
    </row>
    <row r="238" spans="1:17" x14ac:dyDescent="0.3">
      <c r="A238" t="s">
        <v>721</v>
      </c>
      <c r="C238" t="s">
        <v>722</v>
      </c>
      <c r="D238" t="s">
        <v>722</v>
      </c>
      <c r="E238" s="5">
        <v>46267</v>
      </c>
      <c r="F238" t="s">
        <v>204</v>
      </c>
      <c r="G238" t="s">
        <v>220</v>
      </c>
      <c r="H238">
        <v>599</v>
      </c>
      <c r="I238">
        <v>0</v>
      </c>
      <c r="J238">
        <v>0</v>
      </c>
      <c r="K238">
        <v>599</v>
      </c>
      <c r="L238" s="5">
        <v>46269</v>
      </c>
      <c r="M238" t="s">
        <v>491</v>
      </c>
      <c r="N238" t="s">
        <v>207</v>
      </c>
      <c r="O238" t="s">
        <v>722</v>
      </c>
      <c r="P238" t="s">
        <v>208</v>
      </c>
      <c r="Q238" t="s">
        <v>209</v>
      </c>
    </row>
    <row r="239" spans="1:17" x14ac:dyDescent="0.3">
      <c r="A239" t="s">
        <v>723</v>
      </c>
      <c r="C239" t="s">
        <v>724</v>
      </c>
      <c r="D239" t="s">
        <v>724</v>
      </c>
      <c r="E239" s="5">
        <v>46267</v>
      </c>
      <c r="F239" t="s">
        <v>204</v>
      </c>
      <c r="G239" t="s">
        <v>213</v>
      </c>
      <c r="H239">
        <v>2499</v>
      </c>
      <c r="I239">
        <v>39.979999999999997</v>
      </c>
      <c r="J239">
        <v>7.2</v>
      </c>
      <c r="K239">
        <v>2451.8200000000002</v>
      </c>
      <c r="L239" s="5">
        <v>46269</v>
      </c>
      <c r="M239" t="s">
        <v>491</v>
      </c>
      <c r="N239" t="s">
        <v>207</v>
      </c>
      <c r="O239" t="s">
        <v>724</v>
      </c>
      <c r="P239" t="s">
        <v>208</v>
      </c>
      <c r="Q239" t="s">
        <v>209</v>
      </c>
    </row>
    <row r="240" spans="1:17" x14ac:dyDescent="0.3">
      <c r="A240" t="s">
        <v>725</v>
      </c>
      <c r="C240" t="s">
        <v>726</v>
      </c>
      <c r="D240" t="s">
        <v>726</v>
      </c>
      <c r="E240" s="5">
        <v>46267</v>
      </c>
      <c r="F240" t="s">
        <v>204</v>
      </c>
      <c r="G240" t="s">
        <v>220</v>
      </c>
      <c r="H240">
        <v>599</v>
      </c>
      <c r="I240">
        <v>0</v>
      </c>
      <c r="J240">
        <v>0</v>
      </c>
      <c r="K240">
        <v>599</v>
      </c>
      <c r="L240" s="5">
        <v>46269</v>
      </c>
      <c r="M240" t="s">
        <v>491</v>
      </c>
      <c r="N240" t="s">
        <v>207</v>
      </c>
      <c r="O240" t="s">
        <v>726</v>
      </c>
      <c r="P240" t="s">
        <v>208</v>
      </c>
      <c r="Q240" t="s">
        <v>209</v>
      </c>
    </row>
    <row r="241" spans="1:17" x14ac:dyDescent="0.3">
      <c r="A241" t="s">
        <v>727</v>
      </c>
      <c r="C241" t="s">
        <v>728</v>
      </c>
      <c r="D241" t="s">
        <v>728</v>
      </c>
      <c r="E241" s="5">
        <v>46267</v>
      </c>
      <c r="F241" t="s">
        <v>204</v>
      </c>
      <c r="G241" t="s">
        <v>213</v>
      </c>
      <c r="H241">
        <v>1299</v>
      </c>
      <c r="I241">
        <v>23.38</v>
      </c>
      <c r="J241">
        <v>4.21</v>
      </c>
      <c r="K241">
        <v>1271.4100000000001</v>
      </c>
      <c r="L241" s="5">
        <v>46269</v>
      </c>
      <c r="M241" t="s">
        <v>491</v>
      </c>
      <c r="N241" t="s">
        <v>207</v>
      </c>
      <c r="O241" t="s">
        <v>728</v>
      </c>
      <c r="P241" t="s">
        <v>208</v>
      </c>
      <c r="Q241" t="s">
        <v>209</v>
      </c>
    </row>
    <row r="242" spans="1:17" x14ac:dyDescent="0.3">
      <c r="A242" t="s">
        <v>729</v>
      </c>
      <c r="C242" t="s">
        <v>730</v>
      </c>
      <c r="D242" t="s">
        <v>730</v>
      </c>
      <c r="E242" s="5">
        <v>46267</v>
      </c>
      <c r="F242" t="s">
        <v>204</v>
      </c>
      <c r="G242" t="s">
        <v>205</v>
      </c>
      <c r="H242">
        <v>2298</v>
      </c>
      <c r="I242">
        <v>39.07</v>
      </c>
      <c r="J242">
        <v>7.03</v>
      </c>
      <c r="K242">
        <v>2251.9</v>
      </c>
      <c r="L242" s="5">
        <v>46269</v>
      </c>
      <c r="M242" t="s">
        <v>491</v>
      </c>
      <c r="N242" t="s">
        <v>207</v>
      </c>
      <c r="O242" t="s">
        <v>730</v>
      </c>
      <c r="P242" t="s">
        <v>208</v>
      </c>
      <c r="Q242" t="s">
        <v>209</v>
      </c>
    </row>
    <row r="243" spans="1:17" x14ac:dyDescent="0.3">
      <c r="A243" t="s">
        <v>731</v>
      </c>
      <c r="C243" t="s">
        <v>732</v>
      </c>
      <c r="D243" t="s">
        <v>732</v>
      </c>
      <c r="E243" s="5">
        <v>46267</v>
      </c>
      <c r="F243" t="s">
        <v>204</v>
      </c>
      <c r="G243" t="s">
        <v>255</v>
      </c>
      <c r="H243">
        <v>999</v>
      </c>
      <c r="I243">
        <v>14.99</v>
      </c>
      <c r="J243">
        <v>2.7</v>
      </c>
      <c r="K243">
        <v>981.31</v>
      </c>
      <c r="L243" s="5">
        <v>46269</v>
      </c>
      <c r="M243" t="s">
        <v>491</v>
      </c>
      <c r="N243" t="s">
        <v>207</v>
      </c>
      <c r="O243" t="s">
        <v>732</v>
      </c>
      <c r="P243" t="s">
        <v>208</v>
      </c>
      <c r="Q243" t="s">
        <v>209</v>
      </c>
    </row>
    <row r="244" spans="1:17" x14ac:dyDescent="0.3">
      <c r="A244" t="s">
        <v>733</v>
      </c>
      <c r="C244" t="s">
        <v>734</v>
      </c>
      <c r="D244" t="s">
        <v>734</v>
      </c>
      <c r="E244" s="5">
        <v>46267</v>
      </c>
      <c r="F244" t="s">
        <v>204</v>
      </c>
      <c r="G244" t="s">
        <v>220</v>
      </c>
      <c r="H244">
        <v>1499</v>
      </c>
      <c r="I244">
        <v>0</v>
      </c>
      <c r="J244">
        <v>0</v>
      </c>
      <c r="K244">
        <v>1499</v>
      </c>
      <c r="L244" s="5">
        <v>46269</v>
      </c>
      <c r="M244" t="s">
        <v>491</v>
      </c>
      <c r="N244" t="s">
        <v>207</v>
      </c>
      <c r="O244" t="s">
        <v>734</v>
      </c>
      <c r="P244" t="s">
        <v>208</v>
      </c>
      <c r="Q244" t="s">
        <v>209</v>
      </c>
    </row>
    <row r="245" spans="1:17" x14ac:dyDescent="0.3">
      <c r="A245" t="s">
        <v>735</v>
      </c>
      <c r="C245" t="s">
        <v>736</v>
      </c>
      <c r="D245" t="s">
        <v>737</v>
      </c>
      <c r="E245" s="5">
        <v>46267</v>
      </c>
      <c r="F245" t="s">
        <v>204</v>
      </c>
      <c r="G245" t="s">
        <v>213</v>
      </c>
      <c r="H245">
        <v>999</v>
      </c>
      <c r="I245">
        <v>17.98</v>
      </c>
      <c r="J245">
        <v>3.24</v>
      </c>
      <c r="K245">
        <v>977.78</v>
      </c>
      <c r="L245" s="5">
        <v>46269</v>
      </c>
      <c r="M245" t="s">
        <v>491</v>
      </c>
      <c r="N245" t="s">
        <v>207</v>
      </c>
      <c r="O245" t="s">
        <v>737</v>
      </c>
      <c r="P245" t="s">
        <v>208</v>
      </c>
      <c r="Q245" t="s">
        <v>209</v>
      </c>
    </row>
    <row r="246" spans="1:17" x14ac:dyDescent="0.3">
      <c r="A246" t="s">
        <v>738</v>
      </c>
      <c r="C246" t="s">
        <v>739</v>
      </c>
      <c r="D246" t="s">
        <v>739</v>
      </c>
      <c r="E246" s="5">
        <v>46267</v>
      </c>
      <c r="F246" t="s">
        <v>204</v>
      </c>
      <c r="G246" t="s">
        <v>220</v>
      </c>
      <c r="H246">
        <v>1799</v>
      </c>
      <c r="I246">
        <v>0</v>
      </c>
      <c r="J246">
        <v>0</v>
      </c>
      <c r="K246">
        <v>1799</v>
      </c>
      <c r="L246" s="5">
        <v>46269</v>
      </c>
      <c r="M246" t="s">
        <v>491</v>
      </c>
      <c r="N246" t="s">
        <v>207</v>
      </c>
      <c r="O246" t="s">
        <v>739</v>
      </c>
      <c r="P246" t="s">
        <v>208</v>
      </c>
      <c r="Q246" t="s">
        <v>209</v>
      </c>
    </row>
    <row r="247" spans="1:17" x14ac:dyDescent="0.3">
      <c r="A247" t="s">
        <v>740</v>
      </c>
      <c r="C247" t="s">
        <v>741</v>
      </c>
      <c r="D247" t="s">
        <v>741</v>
      </c>
      <c r="E247" s="5">
        <v>46267</v>
      </c>
      <c r="F247" t="s">
        <v>204</v>
      </c>
      <c r="G247" t="s">
        <v>220</v>
      </c>
      <c r="H247">
        <v>1799</v>
      </c>
      <c r="I247">
        <v>0</v>
      </c>
      <c r="J247">
        <v>0</v>
      </c>
      <c r="K247">
        <v>1799</v>
      </c>
      <c r="L247" s="5">
        <v>46269</v>
      </c>
      <c r="M247" t="s">
        <v>491</v>
      </c>
      <c r="N247" t="s">
        <v>207</v>
      </c>
      <c r="O247" t="s">
        <v>741</v>
      </c>
      <c r="P247" t="s">
        <v>208</v>
      </c>
      <c r="Q247" t="s">
        <v>209</v>
      </c>
    </row>
    <row r="248" spans="1:17" x14ac:dyDescent="0.3">
      <c r="A248" t="s">
        <v>742</v>
      </c>
      <c r="C248" t="s">
        <v>743</v>
      </c>
      <c r="D248" t="s">
        <v>743</v>
      </c>
      <c r="E248" s="5">
        <v>46267</v>
      </c>
      <c r="F248" t="s">
        <v>204</v>
      </c>
      <c r="G248" t="s">
        <v>220</v>
      </c>
      <c r="H248">
        <v>4798</v>
      </c>
      <c r="I248">
        <v>14.39</v>
      </c>
      <c r="J248">
        <v>2.59</v>
      </c>
      <c r="K248">
        <v>4781.0200000000004</v>
      </c>
      <c r="L248" s="5">
        <v>46269</v>
      </c>
      <c r="M248" t="s">
        <v>491</v>
      </c>
      <c r="N248" t="s">
        <v>207</v>
      </c>
      <c r="O248" t="s">
        <v>743</v>
      </c>
      <c r="P248" t="s">
        <v>208</v>
      </c>
      <c r="Q248" t="s">
        <v>209</v>
      </c>
    </row>
    <row r="249" spans="1:17" x14ac:dyDescent="0.3">
      <c r="A249" t="s">
        <v>744</v>
      </c>
      <c r="C249" t="s">
        <v>745</v>
      </c>
      <c r="D249" t="s">
        <v>745</v>
      </c>
      <c r="E249" s="5">
        <v>46267</v>
      </c>
      <c r="F249" t="s">
        <v>204</v>
      </c>
      <c r="G249" t="s">
        <v>255</v>
      </c>
      <c r="H249">
        <v>3447</v>
      </c>
      <c r="I249">
        <v>41.36</v>
      </c>
      <c r="J249">
        <v>7.44</v>
      </c>
      <c r="K249">
        <v>3398.2</v>
      </c>
      <c r="L249" s="5">
        <v>46269</v>
      </c>
      <c r="M249" t="s">
        <v>491</v>
      </c>
      <c r="N249" t="s">
        <v>207</v>
      </c>
      <c r="O249" t="s">
        <v>745</v>
      </c>
      <c r="P249" t="s">
        <v>208</v>
      </c>
      <c r="Q249" t="s">
        <v>209</v>
      </c>
    </row>
    <row r="250" spans="1:17" x14ac:dyDescent="0.3">
      <c r="A250" t="s">
        <v>746</v>
      </c>
      <c r="C250" t="s">
        <v>747</v>
      </c>
      <c r="D250" t="s">
        <v>747</v>
      </c>
      <c r="E250" s="5">
        <v>46267</v>
      </c>
      <c r="F250" t="s">
        <v>204</v>
      </c>
      <c r="G250" t="s">
        <v>220</v>
      </c>
      <c r="H250">
        <v>349</v>
      </c>
      <c r="I250">
        <v>0</v>
      </c>
      <c r="J250">
        <v>0</v>
      </c>
      <c r="K250">
        <v>349</v>
      </c>
      <c r="L250" s="5">
        <v>46269</v>
      </c>
      <c r="M250" t="s">
        <v>491</v>
      </c>
      <c r="N250" t="s">
        <v>207</v>
      </c>
      <c r="O250" t="s">
        <v>747</v>
      </c>
      <c r="P250" t="s">
        <v>208</v>
      </c>
      <c r="Q250" t="s">
        <v>209</v>
      </c>
    </row>
    <row r="251" spans="1:17" x14ac:dyDescent="0.3">
      <c r="A251" t="s">
        <v>748</v>
      </c>
      <c r="C251" t="s">
        <v>749</v>
      </c>
      <c r="D251" t="s">
        <v>749</v>
      </c>
      <c r="E251" s="5">
        <v>46267</v>
      </c>
      <c r="F251" t="s">
        <v>204</v>
      </c>
      <c r="G251" t="s">
        <v>220</v>
      </c>
      <c r="H251">
        <v>2499</v>
      </c>
      <c r="I251">
        <v>7.5</v>
      </c>
      <c r="J251">
        <v>1.35</v>
      </c>
      <c r="K251">
        <v>2490.15</v>
      </c>
      <c r="L251" s="5">
        <v>46269</v>
      </c>
      <c r="M251" t="s">
        <v>491</v>
      </c>
      <c r="N251" t="s">
        <v>207</v>
      </c>
      <c r="O251" t="s">
        <v>749</v>
      </c>
      <c r="P251" t="s">
        <v>208</v>
      </c>
      <c r="Q251" t="s">
        <v>209</v>
      </c>
    </row>
    <row r="252" spans="1:17" x14ac:dyDescent="0.3">
      <c r="A252" t="s">
        <v>750</v>
      </c>
      <c r="C252" t="s">
        <v>751</v>
      </c>
      <c r="D252" t="s">
        <v>751</v>
      </c>
      <c r="E252" s="5">
        <v>46267</v>
      </c>
      <c r="F252" t="s">
        <v>204</v>
      </c>
      <c r="G252" t="s">
        <v>213</v>
      </c>
      <c r="H252">
        <v>999</v>
      </c>
      <c r="I252">
        <v>17.98</v>
      </c>
      <c r="J252">
        <v>3.24</v>
      </c>
      <c r="K252">
        <v>977.78</v>
      </c>
      <c r="L252" s="5">
        <v>46269</v>
      </c>
      <c r="M252" t="s">
        <v>491</v>
      </c>
      <c r="N252" t="s">
        <v>207</v>
      </c>
      <c r="O252" t="s">
        <v>751</v>
      </c>
      <c r="P252" t="s">
        <v>208</v>
      </c>
      <c r="Q252" t="s">
        <v>209</v>
      </c>
    </row>
    <row r="253" spans="1:17" x14ac:dyDescent="0.3">
      <c r="A253" t="s">
        <v>752</v>
      </c>
      <c r="C253" t="s">
        <v>753</v>
      </c>
      <c r="D253" t="s">
        <v>753</v>
      </c>
      <c r="E253" s="5">
        <v>46267</v>
      </c>
      <c r="F253" t="s">
        <v>204</v>
      </c>
      <c r="G253" t="s">
        <v>213</v>
      </c>
      <c r="H253">
        <v>4999</v>
      </c>
      <c r="I253">
        <v>79.98</v>
      </c>
      <c r="J253">
        <v>14.4</v>
      </c>
      <c r="K253">
        <v>4904.62</v>
      </c>
      <c r="L253" s="5">
        <v>46269</v>
      </c>
      <c r="M253" t="s">
        <v>491</v>
      </c>
      <c r="N253" t="s">
        <v>207</v>
      </c>
      <c r="O253" t="s">
        <v>753</v>
      </c>
      <c r="P253" t="s">
        <v>208</v>
      </c>
      <c r="Q253" t="s">
        <v>209</v>
      </c>
    </row>
    <row r="254" spans="1:17" x14ac:dyDescent="0.3">
      <c r="A254" t="s">
        <v>754</v>
      </c>
      <c r="C254" t="s">
        <v>755</v>
      </c>
      <c r="D254" t="s">
        <v>755</v>
      </c>
      <c r="E254" s="5">
        <v>46267</v>
      </c>
      <c r="F254" t="s">
        <v>204</v>
      </c>
      <c r="G254" t="s">
        <v>213</v>
      </c>
      <c r="H254">
        <v>349</v>
      </c>
      <c r="I254">
        <v>6.28</v>
      </c>
      <c r="J254">
        <v>1.1299999999999999</v>
      </c>
      <c r="K254">
        <v>341.59</v>
      </c>
      <c r="L254" s="5">
        <v>46269</v>
      </c>
      <c r="M254" t="s">
        <v>491</v>
      </c>
      <c r="N254" t="s">
        <v>207</v>
      </c>
      <c r="O254" t="s">
        <v>755</v>
      </c>
      <c r="P254" t="s">
        <v>208</v>
      </c>
      <c r="Q254" t="s">
        <v>209</v>
      </c>
    </row>
    <row r="255" spans="1:17" x14ac:dyDescent="0.3">
      <c r="A255" t="s">
        <v>756</v>
      </c>
      <c r="C255" t="s">
        <v>757</v>
      </c>
      <c r="D255" t="s">
        <v>757</v>
      </c>
      <c r="E255" s="5">
        <v>46267</v>
      </c>
      <c r="F255" t="s">
        <v>204</v>
      </c>
      <c r="G255" t="s">
        <v>220</v>
      </c>
      <c r="H255">
        <v>2998</v>
      </c>
      <c r="I255">
        <v>8.99</v>
      </c>
      <c r="J255">
        <v>1.62</v>
      </c>
      <c r="K255">
        <v>2987.39</v>
      </c>
      <c r="L255" s="5">
        <v>46269</v>
      </c>
      <c r="M255" t="s">
        <v>491</v>
      </c>
      <c r="N255" t="s">
        <v>207</v>
      </c>
      <c r="O255" t="s">
        <v>757</v>
      </c>
      <c r="P255" t="s">
        <v>208</v>
      </c>
      <c r="Q255" t="s">
        <v>209</v>
      </c>
    </row>
    <row r="256" spans="1:17" x14ac:dyDescent="0.3">
      <c r="A256" t="s">
        <v>758</v>
      </c>
      <c r="C256" t="s">
        <v>759</v>
      </c>
      <c r="D256" t="s">
        <v>760</v>
      </c>
      <c r="E256" s="5">
        <v>46267</v>
      </c>
      <c r="F256" t="s">
        <v>204</v>
      </c>
      <c r="G256" t="s">
        <v>213</v>
      </c>
      <c r="H256">
        <v>1299</v>
      </c>
      <c r="I256">
        <v>23.38</v>
      </c>
      <c r="J256">
        <v>4.21</v>
      </c>
      <c r="K256">
        <v>1271.4100000000001</v>
      </c>
      <c r="L256" s="5">
        <v>46269</v>
      </c>
      <c r="M256" t="s">
        <v>491</v>
      </c>
      <c r="N256" t="s">
        <v>207</v>
      </c>
      <c r="O256" t="s">
        <v>760</v>
      </c>
      <c r="P256" t="s">
        <v>208</v>
      </c>
      <c r="Q256" t="s">
        <v>209</v>
      </c>
    </row>
    <row r="257" spans="1:17" x14ac:dyDescent="0.3">
      <c r="A257" t="s">
        <v>761</v>
      </c>
      <c r="C257" t="s">
        <v>762</v>
      </c>
      <c r="D257" t="s">
        <v>763</v>
      </c>
      <c r="E257" s="5">
        <v>46267</v>
      </c>
      <c r="F257" t="s">
        <v>204</v>
      </c>
      <c r="G257" t="s">
        <v>213</v>
      </c>
      <c r="H257">
        <v>3499</v>
      </c>
      <c r="I257">
        <v>55.98</v>
      </c>
      <c r="J257">
        <v>10.08</v>
      </c>
      <c r="K257">
        <v>3432.94</v>
      </c>
      <c r="L257" s="5">
        <v>46269</v>
      </c>
      <c r="M257" t="s">
        <v>491</v>
      </c>
      <c r="N257" t="s">
        <v>207</v>
      </c>
      <c r="O257" t="s">
        <v>763</v>
      </c>
      <c r="P257" t="s">
        <v>208</v>
      </c>
      <c r="Q257" t="s">
        <v>209</v>
      </c>
    </row>
    <row r="258" spans="1:17" x14ac:dyDescent="0.3">
      <c r="A258" t="s">
        <v>764</v>
      </c>
      <c r="C258" t="s">
        <v>765</v>
      </c>
      <c r="D258" t="s">
        <v>765</v>
      </c>
      <c r="E258" s="5">
        <v>46267</v>
      </c>
      <c r="F258" t="s">
        <v>204</v>
      </c>
      <c r="G258" t="s">
        <v>255</v>
      </c>
      <c r="H258">
        <v>799</v>
      </c>
      <c r="I258">
        <v>11.99</v>
      </c>
      <c r="J258">
        <v>2.16</v>
      </c>
      <c r="K258">
        <v>784.85</v>
      </c>
      <c r="L258" s="5">
        <v>46269</v>
      </c>
      <c r="M258" t="s">
        <v>491</v>
      </c>
      <c r="N258" t="s">
        <v>207</v>
      </c>
      <c r="O258" t="s">
        <v>765</v>
      </c>
      <c r="P258" t="s">
        <v>208</v>
      </c>
      <c r="Q258" t="s">
        <v>209</v>
      </c>
    </row>
    <row r="259" spans="1:17" x14ac:dyDescent="0.3">
      <c r="A259" t="s">
        <v>766</v>
      </c>
      <c r="C259" t="s">
        <v>767</v>
      </c>
      <c r="D259" t="s">
        <v>767</v>
      </c>
      <c r="E259" s="5">
        <v>46267</v>
      </c>
      <c r="F259" t="s">
        <v>204</v>
      </c>
      <c r="G259" t="s">
        <v>220</v>
      </c>
      <c r="H259">
        <v>5298</v>
      </c>
      <c r="I259">
        <v>15.89</v>
      </c>
      <c r="J259">
        <v>2.86</v>
      </c>
      <c r="K259">
        <v>5279.25</v>
      </c>
      <c r="L259" s="5">
        <v>46269</v>
      </c>
      <c r="M259" t="s">
        <v>491</v>
      </c>
      <c r="N259" t="s">
        <v>207</v>
      </c>
      <c r="O259" t="s">
        <v>767</v>
      </c>
      <c r="P259" t="s">
        <v>208</v>
      </c>
      <c r="Q259" t="s">
        <v>209</v>
      </c>
    </row>
    <row r="260" spans="1:17" x14ac:dyDescent="0.3">
      <c r="A260" t="s">
        <v>768</v>
      </c>
      <c r="C260" t="s">
        <v>769</v>
      </c>
      <c r="D260" t="s">
        <v>770</v>
      </c>
      <c r="E260" s="5">
        <v>46267</v>
      </c>
      <c r="F260" t="s">
        <v>204</v>
      </c>
      <c r="G260" t="s">
        <v>220</v>
      </c>
      <c r="H260">
        <v>799</v>
      </c>
      <c r="I260">
        <v>0</v>
      </c>
      <c r="J260">
        <v>0</v>
      </c>
      <c r="K260">
        <v>799</v>
      </c>
      <c r="L260" s="5">
        <v>46269</v>
      </c>
      <c r="M260" t="s">
        <v>491</v>
      </c>
      <c r="N260" t="s">
        <v>207</v>
      </c>
      <c r="O260" t="s">
        <v>770</v>
      </c>
      <c r="P260" t="s">
        <v>208</v>
      </c>
      <c r="Q260" t="s">
        <v>209</v>
      </c>
    </row>
    <row r="261" spans="1:17" x14ac:dyDescent="0.3">
      <c r="A261" t="s">
        <v>771</v>
      </c>
      <c r="C261" t="s">
        <v>772</v>
      </c>
      <c r="D261" t="s">
        <v>772</v>
      </c>
      <c r="E261" s="5">
        <v>46267</v>
      </c>
      <c r="F261" t="s">
        <v>204</v>
      </c>
      <c r="G261" t="s">
        <v>220</v>
      </c>
      <c r="H261">
        <v>2499</v>
      </c>
      <c r="I261">
        <v>7.5</v>
      </c>
      <c r="J261">
        <v>1.35</v>
      </c>
      <c r="K261">
        <v>2490.15</v>
      </c>
      <c r="L261" s="5">
        <v>46269</v>
      </c>
      <c r="M261" t="s">
        <v>491</v>
      </c>
      <c r="N261" t="s">
        <v>207</v>
      </c>
      <c r="O261" t="s">
        <v>772</v>
      </c>
      <c r="P261" t="s">
        <v>208</v>
      </c>
      <c r="Q261" t="s">
        <v>209</v>
      </c>
    </row>
    <row r="262" spans="1:17" x14ac:dyDescent="0.3">
      <c r="A262" t="s">
        <v>773</v>
      </c>
      <c r="C262" t="s">
        <v>774</v>
      </c>
      <c r="D262" t="s">
        <v>774</v>
      </c>
      <c r="E262" s="5">
        <v>46267</v>
      </c>
      <c r="F262" t="s">
        <v>204</v>
      </c>
      <c r="G262" t="s">
        <v>220</v>
      </c>
      <c r="H262">
        <v>499</v>
      </c>
      <c r="I262">
        <v>0</v>
      </c>
      <c r="J262">
        <v>0</v>
      </c>
      <c r="K262">
        <v>499</v>
      </c>
      <c r="L262" s="5">
        <v>46269</v>
      </c>
      <c r="M262" t="s">
        <v>491</v>
      </c>
      <c r="N262" t="s">
        <v>207</v>
      </c>
      <c r="O262" t="s">
        <v>774</v>
      </c>
      <c r="P262" t="s">
        <v>208</v>
      </c>
      <c r="Q262" t="s">
        <v>209</v>
      </c>
    </row>
    <row r="263" spans="1:17" x14ac:dyDescent="0.3">
      <c r="A263" t="s">
        <v>775</v>
      </c>
      <c r="C263" t="s">
        <v>776</v>
      </c>
      <c r="D263" t="s">
        <v>776</v>
      </c>
      <c r="E263" s="5">
        <v>46267</v>
      </c>
      <c r="F263" t="s">
        <v>204</v>
      </c>
      <c r="G263" t="s">
        <v>213</v>
      </c>
      <c r="H263">
        <v>999</v>
      </c>
      <c r="I263">
        <v>17.98</v>
      </c>
      <c r="J263">
        <v>3.24</v>
      </c>
      <c r="K263">
        <v>977.78</v>
      </c>
      <c r="L263" s="5">
        <v>46269</v>
      </c>
      <c r="M263" t="s">
        <v>491</v>
      </c>
      <c r="N263" t="s">
        <v>207</v>
      </c>
      <c r="O263" t="s">
        <v>776</v>
      </c>
      <c r="P263" t="s">
        <v>208</v>
      </c>
      <c r="Q263" t="s">
        <v>209</v>
      </c>
    </row>
    <row r="264" spans="1:17" x14ac:dyDescent="0.3">
      <c r="A264" t="s">
        <v>777</v>
      </c>
      <c r="C264" t="s">
        <v>778</v>
      </c>
      <c r="D264" t="s">
        <v>778</v>
      </c>
      <c r="E264" s="5">
        <v>46267</v>
      </c>
      <c r="F264" t="s">
        <v>204</v>
      </c>
      <c r="G264" t="s">
        <v>213</v>
      </c>
      <c r="H264">
        <v>1098</v>
      </c>
      <c r="I264">
        <v>19.760000000000002</v>
      </c>
      <c r="J264">
        <v>3.56</v>
      </c>
      <c r="K264">
        <v>1074.68</v>
      </c>
      <c r="L264" s="5">
        <v>46269</v>
      </c>
      <c r="M264" t="s">
        <v>491</v>
      </c>
      <c r="N264" t="s">
        <v>207</v>
      </c>
      <c r="O264" t="s">
        <v>778</v>
      </c>
      <c r="P264" t="s">
        <v>208</v>
      </c>
      <c r="Q264" t="s">
        <v>209</v>
      </c>
    </row>
    <row r="265" spans="1:17" x14ac:dyDescent="0.3">
      <c r="A265" t="s">
        <v>779</v>
      </c>
      <c r="C265" t="s">
        <v>780</v>
      </c>
      <c r="D265" t="s">
        <v>780</v>
      </c>
      <c r="E265" s="5">
        <v>46267</v>
      </c>
      <c r="F265" t="s">
        <v>204</v>
      </c>
      <c r="G265" t="s">
        <v>220</v>
      </c>
      <c r="H265">
        <v>499</v>
      </c>
      <c r="I265">
        <v>0</v>
      </c>
      <c r="J265">
        <v>0</v>
      </c>
      <c r="K265">
        <v>499</v>
      </c>
      <c r="L265" s="5">
        <v>46269</v>
      </c>
      <c r="M265" t="s">
        <v>491</v>
      </c>
      <c r="N265" t="s">
        <v>207</v>
      </c>
      <c r="O265" t="s">
        <v>780</v>
      </c>
      <c r="P265" t="s">
        <v>208</v>
      </c>
      <c r="Q265" t="s">
        <v>209</v>
      </c>
    </row>
    <row r="266" spans="1:17" x14ac:dyDescent="0.3">
      <c r="A266" t="s">
        <v>781</v>
      </c>
      <c r="C266" t="s">
        <v>782</v>
      </c>
      <c r="D266" t="s">
        <v>782</v>
      </c>
      <c r="E266" s="5">
        <v>46267</v>
      </c>
      <c r="F266" t="s">
        <v>204</v>
      </c>
      <c r="G266" t="s">
        <v>213</v>
      </c>
      <c r="H266">
        <v>3499</v>
      </c>
      <c r="I266">
        <v>55.98</v>
      </c>
      <c r="J266">
        <v>10.08</v>
      </c>
      <c r="K266">
        <v>3432.94</v>
      </c>
      <c r="L266" s="5">
        <v>46269</v>
      </c>
      <c r="M266" t="s">
        <v>491</v>
      </c>
      <c r="N266" t="s">
        <v>207</v>
      </c>
      <c r="O266" t="s">
        <v>782</v>
      </c>
      <c r="P266" t="s">
        <v>208</v>
      </c>
      <c r="Q266" t="s">
        <v>209</v>
      </c>
    </row>
    <row r="267" spans="1:17" x14ac:dyDescent="0.3">
      <c r="A267" t="s">
        <v>783</v>
      </c>
      <c r="C267" t="s">
        <v>784</v>
      </c>
      <c r="D267" t="s">
        <v>784</v>
      </c>
      <c r="E267" s="5">
        <v>46267</v>
      </c>
      <c r="F267" t="s">
        <v>204</v>
      </c>
      <c r="G267" t="s">
        <v>213</v>
      </c>
      <c r="H267">
        <v>2298</v>
      </c>
      <c r="I267">
        <v>36.770000000000003</v>
      </c>
      <c r="J267">
        <v>6.62</v>
      </c>
      <c r="K267">
        <v>2254.61</v>
      </c>
      <c r="L267" s="5">
        <v>46269</v>
      </c>
      <c r="M267" t="s">
        <v>491</v>
      </c>
      <c r="N267" t="s">
        <v>207</v>
      </c>
      <c r="O267" t="s">
        <v>784</v>
      </c>
      <c r="P267" t="s">
        <v>208</v>
      </c>
      <c r="Q267" t="s">
        <v>209</v>
      </c>
    </row>
    <row r="268" spans="1:17" x14ac:dyDescent="0.3">
      <c r="A268" t="s">
        <v>785</v>
      </c>
      <c r="C268" t="s">
        <v>786</v>
      </c>
      <c r="D268" t="s">
        <v>786</v>
      </c>
      <c r="E268" s="5">
        <v>46267</v>
      </c>
      <c r="F268" t="s">
        <v>204</v>
      </c>
      <c r="G268" t="s">
        <v>220</v>
      </c>
      <c r="H268">
        <v>898</v>
      </c>
      <c r="I268">
        <v>0</v>
      </c>
      <c r="J268">
        <v>0</v>
      </c>
      <c r="K268">
        <v>898</v>
      </c>
      <c r="L268" s="5">
        <v>46269</v>
      </c>
      <c r="M268" t="s">
        <v>491</v>
      </c>
      <c r="N268" t="s">
        <v>207</v>
      </c>
      <c r="O268" t="s">
        <v>786</v>
      </c>
      <c r="P268" t="s">
        <v>208</v>
      </c>
      <c r="Q268" t="s">
        <v>209</v>
      </c>
    </row>
    <row r="269" spans="1:17" x14ac:dyDescent="0.3">
      <c r="A269" t="s">
        <v>787</v>
      </c>
      <c r="C269" t="s">
        <v>788</v>
      </c>
      <c r="D269" t="s">
        <v>788</v>
      </c>
      <c r="E269" s="5">
        <v>46267</v>
      </c>
      <c r="F269" t="s">
        <v>204</v>
      </c>
      <c r="G269" t="s">
        <v>255</v>
      </c>
      <c r="H269">
        <v>2999</v>
      </c>
      <c r="I269">
        <v>35.99</v>
      </c>
      <c r="J269">
        <v>6.48</v>
      </c>
      <c r="K269">
        <v>2956.53</v>
      </c>
      <c r="L269" s="5">
        <v>46269</v>
      </c>
      <c r="M269" t="s">
        <v>491</v>
      </c>
      <c r="N269" t="s">
        <v>207</v>
      </c>
      <c r="O269" t="s">
        <v>788</v>
      </c>
      <c r="P269" t="s">
        <v>208</v>
      </c>
      <c r="Q269" t="s">
        <v>209</v>
      </c>
    </row>
    <row r="270" spans="1:17" x14ac:dyDescent="0.3">
      <c r="A270" t="s">
        <v>789</v>
      </c>
      <c r="C270" t="s">
        <v>790</v>
      </c>
      <c r="D270" t="s">
        <v>790</v>
      </c>
      <c r="E270" s="5">
        <v>46267</v>
      </c>
      <c r="F270" t="s">
        <v>204</v>
      </c>
      <c r="G270" t="s">
        <v>220</v>
      </c>
      <c r="H270">
        <v>7597</v>
      </c>
      <c r="I270">
        <v>22.79</v>
      </c>
      <c r="J270">
        <v>4.0999999999999996</v>
      </c>
      <c r="K270">
        <v>7570.11</v>
      </c>
      <c r="L270" s="5">
        <v>46269</v>
      </c>
      <c r="M270" t="s">
        <v>491</v>
      </c>
      <c r="N270" t="s">
        <v>207</v>
      </c>
      <c r="O270" t="s">
        <v>790</v>
      </c>
      <c r="P270" t="s">
        <v>208</v>
      </c>
      <c r="Q270" t="s">
        <v>209</v>
      </c>
    </row>
    <row r="271" spans="1:17" x14ac:dyDescent="0.3">
      <c r="A271" t="s">
        <v>791</v>
      </c>
      <c r="C271" t="s">
        <v>792</v>
      </c>
      <c r="D271" t="s">
        <v>793</v>
      </c>
      <c r="E271" s="5">
        <v>46267</v>
      </c>
      <c r="F271" t="s">
        <v>204</v>
      </c>
      <c r="G271" t="s">
        <v>220</v>
      </c>
      <c r="H271">
        <v>3499</v>
      </c>
      <c r="I271">
        <v>10.5</v>
      </c>
      <c r="J271">
        <v>1.89</v>
      </c>
      <c r="K271">
        <v>3486.61</v>
      </c>
      <c r="L271" s="5">
        <v>46269</v>
      </c>
      <c r="M271" t="s">
        <v>491</v>
      </c>
      <c r="N271" t="s">
        <v>207</v>
      </c>
      <c r="O271" t="s">
        <v>793</v>
      </c>
      <c r="P271" t="s">
        <v>208</v>
      </c>
      <c r="Q271" t="s">
        <v>209</v>
      </c>
    </row>
    <row r="272" spans="1:17" x14ac:dyDescent="0.3">
      <c r="A272" t="s">
        <v>794</v>
      </c>
      <c r="C272" t="s">
        <v>795</v>
      </c>
      <c r="D272" t="s">
        <v>795</v>
      </c>
      <c r="E272" s="5">
        <v>46267</v>
      </c>
      <c r="F272" t="s">
        <v>204</v>
      </c>
      <c r="G272" t="s">
        <v>220</v>
      </c>
      <c r="H272">
        <v>499</v>
      </c>
      <c r="I272">
        <v>0</v>
      </c>
      <c r="J272">
        <v>0</v>
      </c>
      <c r="K272">
        <v>499</v>
      </c>
      <c r="L272" s="5">
        <v>46269</v>
      </c>
      <c r="M272" t="s">
        <v>491</v>
      </c>
      <c r="N272" t="s">
        <v>207</v>
      </c>
      <c r="O272" t="s">
        <v>795</v>
      </c>
      <c r="P272" t="s">
        <v>208</v>
      </c>
      <c r="Q272" t="s">
        <v>209</v>
      </c>
    </row>
    <row r="273" spans="1:17" x14ac:dyDescent="0.3">
      <c r="A273" t="s">
        <v>796</v>
      </c>
      <c r="C273" t="s">
        <v>797</v>
      </c>
      <c r="D273" t="s">
        <v>797</v>
      </c>
      <c r="E273" s="5">
        <v>46267</v>
      </c>
      <c r="F273" t="s">
        <v>204</v>
      </c>
      <c r="G273" t="s">
        <v>213</v>
      </c>
      <c r="H273">
        <v>349</v>
      </c>
      <c r="I273">
        <v>6.28</v>
      </c>
      <c r="J273">
        <v>1.1299999999999999</v>
      </c>
      <c r="K273">
        <v>341.59</v>
      </c>
      <c r="L273" s="5">
        <v>46269</v>
      </c>
      <c r="M273" t="s">
        <v>491</v>
      </c>
      <c r="N273" t="s">
        <v>207</v>
      </c>
      <c r="O273" t="s">
        <v>797</v>
      </c>
      <c r="P273" t="s">
        <v>208</v>
      </c>
      <c r="Q273" t="s">
        <v>209</v>
      </c>
    </row>
    <row r="274" spans="1:17" x14ac:dyDescent="0.3">
      <c r="A274" t="s">
        <v>798</v>
      </c>
      <c r="C274" t="s">
        <v>799</v>
      </c>
      <c r="D274" t="s">
        <v>800</v>
      </c>
      <c r="E274" s="5">
        <v>46267</v>
      </c>
      <c r="F274" t="s">
        <v>204</v>
      </c>
      <c r="G274" t="s">
        <v>220</v>
      </c>
      <c r="H274">
        <v>2499</v>
      </c>
      <c r="I274">
        <v>7.5</v>
      </c>
      <c r="J274">
        <v>1.35</v>
      </c>
      <c r="K274">
        <v>2490.15</v>
      </c>
      <c r="L274" s="5">
        <v>46269</v>
      </c>
      <c r="M274" t="s">
        <v>491</v>
      </c>
      <c r="N274" t="s">
        <v>207</v>
      </c>
      <c r="O274" t="s">
        <v>800</v>
      </c>
      <c r="P274" t="s">
        <v>208</v>
      </c>
      <c r="Q274" t="s">
        <v>209</v>
      </c>
    </row>
    <row r="275" spans="1:17" x14ac:dyDescent="0.3">
      <c r="A275" t="s">
        <v>801</v>
      </c>
      <c r="C275" t="s">
        <v>802</v>
      </c>
      <c r="D275" t="s">
        <v>802</v>
      </c>
      <c r="E275" s="5">
        <v>46267</v>
      </c>
      <c r="F275" t="s">
        <v>204</v>
      </c>
      <c r="G275" t="s">
        <v>220</v>
      </c>
      <c r="H275">
        <v>299</v>
      </c>
      <c r="I275">
        <v>0</v>
      </c>
      <c r="J275">
        <v>0</v>
      </c>
      <c r="K275">
        <v>299</v>
      </c>
      <c r="L275" s="5">
        <v>46269</v>
      </c>
      <c r="M275" t="s">
        <v>491</v>
      </c>
      <c r="N275" t="s">
        <v>207</v>
      </c>
      <c r="O275" t="s">
        <v>802</v>
      </c>
      <c r="P275" t="s">
        <v>208</v>
      </c>
      <c r="Q275" t="s">
        <v>209</v>
      </c>
    </row>
    <row r="276" spans="1:17" x14ac:dyDescent="0.3">
      <c r="A276" t="s">
        <v>803</v>
      </c>
      <c r="C276" t="s">
        <v>804</v>
      </c>
      <c r="D276" t="s">
        <v>804</v>
      </c>
      <c r="E276" s="5">
        <v>46267</v>
      </c>
      <c r="F276" t="s">
        <v>204</v>
      </c>
      <c r="G276" t="s">
        <v>220</v>
      </c>
      <c r="H276">
        <v>4298</v>
      </c>
      <c r="I276">
        <v>12.89</v>
      </c>
      <c r="J276">
        <v>2.3199999999999998</v>
      </c>
      <c r="K276">
        <v>4282.79</v>
      </c>
      <c r="L276" s="5">
        <v>46269</v>
      </c>
      <c r="M276" t="s">
        <v>491</v>
      </c>
      <c r="N276" t="s">
        <v>207</v>
      </c>
      <c r="O276" t="s">
        <v>804</v>
      </c>
      <c r="P276" t="s">
        <v>208</v>
      </c>
      <c r="Q276" t="s">
        <v>209</v>
      </c>
    </row>
    <row r="277" spans="1:17" x14ac:dyDescent="0.3">
      <c r="A277" t="s">
        <v>805</v>
      </c>
      <c r="C277" t="s">
        <v>806</v>
      </c>
      <c r="D277" t="s">
        <v>806</v>
      </c>
      <c r="E277" s="5">
        <v>46267</v>
      </c>
      <c r="F277" t="s">
        <v>204</v>
      </c>
      <c r="G277" t="s">
        <v>213</v>
      </c>
      <c r="H277">
        <v>7999</v>
      </c>
      <c r="I277">
        <v>127.98</v>
      </c>
      <c r="J277">
        <v>23.04</v>
      </c>
      <c r="K277">
        <v>7847.98</v>
      </c>
      <c r="L277" s="5">
        <v>46269</v>
      </c>
      <c r="M277" t="s">
        <v>491</v>
      </c>
      <c r="N277" t="s">
        <v>207</v>
      </c>
      <c r="O277" t="s">
        <v>806</v>
      </c>
      <c r="P277" t="s">
        <v>208</v>
      </c>
      <c r="Q277" t="s">
        <v>209</v>
      </c>
    </row>
    <row r="278" spans="1:17" x14ac:dyDescent="0.3">
      <c r="A278" t="s">
        <v>807</v>
      </c>
      <c r="C278" t="s">
        <v>808</v>
      </c>
      <c r="D278" t="s">
        <v>808</v>
      </c>
      <c r="E278" s="5">
        <v>46267</v>
      </c>
      <c r="F278" t="s">
        <v>204</v>
      </c>
      <c r="G278" t="s">
        <v>220</v>
      </c>
      <c r="H278">
        <v>999</v>
      </c>
      <c r="I278">
        <v>0</v>
      </c>
      <c r="J278">
        <v>0</v>
      </c>
      <c r="K278">
        <v>999</v>
      </c>
      <c r="L278" s="5">
        <v>46269</v>
      </c>
      <c r="M278" t="s">
        <v>491</v>
      </c>
      <c r="N278" t="s">
        <v>207</v>
      </c>
      <c r="O278" t="s">
        <v>808</v>
      </c>
      <c r="P278" t="s">
        <v>208</v>
      </c>
      <c r="Q278" t="s">
        <v>209</v>
      </c>
    </row>
    <row r="279" spans="1:17" x14ac:dyDescent="0.3">
      <c r="A279" t="s">
        <v>809</v>
      </c>
      <c r="C279" t="s">
        <v>810</v>
      </c>
      <c r="D279" t="s">
        <v>810</v>
      </c>
      <c r="E279" s="5">
        <v>46267</v>
      </c>
      <c r="F279" t="s">
        <v>204</v>
      </c>
      <c r="G279" t="s">
        <v>220</v>
      </c>
      <c r="H279">
        <v>2999</v>
      </c>
      <c r="I279">
        <v>9</v>
      </c>
      <c r="J279">
        <v>1.62</v>
      </c>
      <c r="K279">
        <v>2988.38</v>
      </c>
      <c r="L279" s="5">
        <v>46269</v>
      </c>
      <c r="M279" t="s">
        <v>491</v>
      </c>
      <c r="N279" t="s">
        <v>207</v>
      </c>
      <c r="O279" t="s">
        <v>810</v>
      </c>
      <c r="P279" t="s">
        <v>208</v>
      </c>
      <c r="Q279" t="s">
        <v>209</v>
      </c>
    </row>
    <row r="280" spans="1:17" x14ac:dyDescent="0.3">
      <c r="A280" t="s">
        <v>811</v>
      </c>
      <c r="C280" t="s">
        <v>812</v>
      </c>
      <c r="D280" t="s">
        <v>813</v>
      </c>
      <c r="E280" s="5">
        <v>46267</v>
      </c>
      <c r="F280" t="s">
        <v>204</v>
      </c>
      <c r="G280" t="s">
        <v>220</v>
      </c>
      <c r="H280">
        <v>349</v>
      </c>
      <c r="I280">
        <v>0</v>
      </c>
      <c r="J280">
        <v>0</v>
      </c>
      <c r="K280">
        <v>349</v>
      </c>
      <c r="L280" s="5">
        <v>46269</v>
      </c>
      <c r="M280" t="s">
        <v>491</v>
      </c>
      <c r="N280" t="s">
        <v>207</v>
      </c>
      <c r="O280" t="s">
        <v>813</v>
      </c>
      <c r="P280" t="s">
        <v>208</v>
      </c>
      <c r="Q280" t="s">
        <v>209</v>
      </c>
    </row>
    <row r="281" spans="1:17" x14ac:dyDescent="0.3">
      <c r="A281" t="s">
        <v>814</v>
      </c>
      <c r="C281" t="s">
        <v>815</v>
      </c>
      <c r="D281" t="s">
        <v>815</v>
      </c>
      <c r="E281" s="5">
        <v>46267</v>
      </c>
      <c r="F281" t="s">
        <v>204</v>
      </c>
      <c r="G281" t="s">
        <v>213</v>
      </c>
      <c r="H281">
        <v>1799</v>
      </c>
      <c r="I281">
        <v>32.380000000000003</v>
      </c>
      <c r="J281">
        <v>5.83</v>
      </c>
      <c r="K281">
        <v>1760.79</v>
      </c>
      <c r="L281" s="5">
        <v>46269</v>
      </c>
      <c r="M281" t="s">
        <v>491</v>
      </c>
      <c r="N281" t="s">
        <v>207</v>
      </c>
      <c r="O281" t="s">
        <v>815</v>
      </c>
      <c r="P281" t="s">
        <v>208</v>
      </c>
      <c r="Q281" t="s">
        <v>209</v>
      </c>
    </row>
    <row r="282" spans="1:17" x14ac:dyDescent="0.3">
      <c r="A282" t="s">
        <v>816</v>
      </c>
      <c r="C282" t="s">
        <v>817</v>
      </c>
      <c r="D282" t="s">
        <v>817</v>
      </c>
      <c r="E282" s="5">
        <v>46267</v>
      </c>
      <c r="F282" t="s">
        <v>204</v>
      </c>
      <c r="G282" t="s">
        <v>220</v>
      </c>
      <c r="H282">
        <v>2597</v>
      </c>
      <c r="I282">
        <v>7.79</v>
      </c>
      <c r="J282">
        <v>1.4</v>
      </c>
      <c r="K282">
        <v>2587.81</v>
      </c>
      <c r="L282" s="5">
        <v>46269</v>
      </c>
      <c r="M282" t="s">
        <v>491</v>
      </c>
      <c r="N282" t="s">
        <v>207</v>
      </c>
      <c r="O282" t="s">
        <v>817</v>
      </c>
      <c r="P282" t="s">
        <v>208</v>
      </c>
      <c r="Q282" t="s">
        <v>209</v>
      </c>
    </row>
    <row r="283" spans="1:17" x14ac:dyDescent="0.3">
      <c r="A283" t="s">
        <v>818</v>
      </c>
      <c r="C283" t="s">
        <v>819</v>
      </c>
      <c r="D283" t="s">
        <v>819</v>
      </c>
      <c r="E283" s="5">
        <v>46267</v>
      </c>
      <c r="F283" t="s">
        <v>204</v>
      </c>
      <c r="G283" t="s">
        <v>213</v>
      </c>
      <c r="H283">
        <v>4999</v>
      </c>
      <c r="I283">
        <v>79.98</v>
      </c>
      <c r="J283">
        <v>14.4</v>
      </c>
      <c r="K283">
        <v>4904.62</v>
      </c>
      <c r="L283" s="5">
        <v>46269</v>
      </c>
      <c r="M283" t="s">
        <v>491</v>
      </c>
      <c r="N283" t="s">
        <v>207</v>
      </c>
      <c r="O283" t="s">
        <v>819</v>
      </c>
      <c r="P283" t="s">
        <v>208</v>
      </c>
      <c r="Q283" t="s">
        <v>209</v>
      </c>
    </row>
    <row r="284" spans="1:17" x14ac:dyDescent="0.3">
      <c r="A284" t="s">
        <v>820</v>
      </c>
      <c r="C284" t="s">
        <v>821</v>
      </c>
      <c r="D284" t="s">
        <v>821</v>
      </c>
      <c r="E284" s="5">
        <v>46267</v>
      </c>
      <c r="F284" t="s">
        <v>204</v>
      </c>
      <c r="G284" t="s">
        <v>205</v>
      </c>
      <c r="H284">
        <v>7999</v>
      </c>
      <c r="I284">
        <v>191.98</v>
      </c>
      <c r="J284">
        <v>34.56</v>
      </c>
      <c r="K284">
        <v>7772.46</v>
      </c>
      <c r="L284" s="5">
        <v>46269</v>
      </c>
      <c r="M284" t="s">
        <v>491</v>
      </c>
      <c r="N284" t="s">
        <v>207</v>
      </c>
      <c r="O284" t="s">
        <v>821</v>
      </c>
      <c r="P284" t="s">
        <v>208</v>
      </c>
      <c r="Q284" t="s">
        <v>209</v>
      </c>
    </row>
    <row r="285" spans="1:17" x14ac:dyDescent="0.3">
      <c r="A285" t="s">
        <v>822</v>
      </c>
      <c r="C285" t="s">
        <v>823</v>
      </c>
      <c r="D285" t="s">
        <v>823</v>
      </c>
      <c r="E285" s="5">
        <v>46267</v>
      </c>
      <c r="F285" t="s">
        <v>204</v>
      </c>
      <c r="G285" t="s">
        <v>255</v>
      </c>
      <c r="H285">
        <v>1299</v>
      </c>
      <c r="I285">
        <v>19.489999999999998</v>
      </c>
      <c r="J285">
        <v>3.51</v>
      </c>
      <c r="K285">
        <v>1276</v>
      </c>
      <c r="L285" s="5">
        <v>46269</v>
      </c>
      <c r="M285" t="s">
        <v>491</v>
      </c>
      <c r="N285" t="s">
        <v>207</v>
      </c>
      <c r="O285" t="s">
        <v>823</v>
      </c>
      <c r="P285" t="s">
        <v>208</v>
      </c>
      <c r="Q285" t="s">
        <v>209</v>
      </c>
    </row>
    <row r="286" spans="1:17" x14ac:dyDescent="0.3">
      <c r="A286" t="s">
        <v>824</v>
      </c>
      <c r="C286" t="s">
        <v>825</v>
      </c>
      <c r="D286" t="s">
        <v>825</v>
      </c>
      <c r="E286" s="5">
        <v>46267</v>
      </c>
      <c r="F286" t="s">
        <v>204</v>
      </c>
      <c r="G286" t="s">
        <v>255</v>
      </c>
      <c r="H286">
        <v>349</v>
      </c>
      <c r="I286">
        <v>5.24</v>
      </c>
      <c r="J286">
        <v>0.94</v>
      </c>
      <c r="K286">
        <v>342.82</v>
      </c>
      <c r="L286" s="5">
        <v>46269</v>
      </c>
      <c r="M286" t="s">
        <v>491</v>
      </c>
      <c r="N286" t="s">
        <v>207</v>
      </c>
      <c r="O286" t="s">
        <v>825</v>
      </c>
      <c r="P286" t="s">
        <v>208</v>
      </c>
      <c r="Q286" t="s">
        <v>209</v>
      </c>
    </row>
    <row r="287" spans="1:17" x14ac:dyDescent="0.3">
      <c r="A287" t="s">
        <v>826</v>
      </c>
      <c r="C287" t="s">
        <v>827</v>
      </c>
      <c r="D287" t="s">
        <v>827</v>
      </c>
      <c r="E287" s="5">
        <v>46267</v>
      </c>
      <c r="F287" t="s">
        <v>204</v>
      </c>
      <c r="G287" t="s">
        <v>220</v>
      </c>
      <c r="H287">
        <v>4098</v>
      </c>
      <c r="I287">
        <v>12.29</v>
      </c>
      <c r="J287">
        <v>2.21</v>
      </c>
      <c r="K287">
        <v>4083.5</v>
      </c>
      <c r="L287" s="5">
        <v>46269</v>
      </c>
      <c r="M287" t="s">
        <v>491</v>
      </c>
      <c r="N287" t="s">
        <v>207</v>
      </c>
      <c r="O287" t="s">
        <v>827</v>
      </c>
      <c r="P287" t="s">
        <v>208</v>
      </c>
      <c r="Q287" t="s">
        <v>209</v>
      </c>
    </row>
    <row r="288" spans="1:17" x14ac:dyDescent="0.3">
      <c r="A288" t="s">
        <v>828</v>
      </c>
      <c r="C288" t="s">
        <v>829</v>
      </c>
      <c r="D288" t="s">
        <v>829</v>
      </c>
      <c r="E288" s="5">
        <v>46267</v>
      </c>
      <c r="F288" t="s">
        <v>204</v>
      </c>
      <c r="G288" t="s">
        <v>220</v>
      </c>
      <c r="H288">
        <v>1798</v>
      </c>
      <c r="I288">
        <v>0</v>
      </c>
      <c r="J288">
        <v>0</v>
      </c>
      <c r="K288">
        <v>1798</v>
      </c>
      <c r="L288" s="5">
        <v>46269</v>
      </c>
      <c r="M288" t="s">
        <v>491</v>
      </c>
      <c r="N288" t="s">
        <v>207</v>
      </c>
      <c r="O288" t="s">
        <v>829</v>
      </c>
      <c r="P288" t="s">
        <v>208</v>
      </c>
      <c r="Q288" t="s">
        <v>209</v>
      </c>
    </row>
    <row r="289" spans="1:17" x14ac:dyDescent="0.3">
      <c r="A289" t="s">
        <v>830</v>
      </c>
      <c r="C289" t="s">
        <v>831</v>
      </c>
      <c r="D289" t="s">
        <v>831</v>
      </c>
      <c r="E289" s="5">
        <v>46267</v>
      </c>
      <c r="F289" t="s">
        <v>204</v>
      </c>
      <c r="G289" t="s">
        <v>213</v>
      </c>
      <c r="H289">
        <v>2947</v>
      </c>
      <c r="I289">
        <v>47.15</v>
      </c>
      <c r="J289">
        <v>8.49</v>
      </c>
      <c r="K289">
        <v>2891.36</v>
      </c>
      <c r="L289" s="5">
        <v>46269</v>
      </c>
      <c r="M289" t="s">
        <v>491</v>
      </c>
      <c r="N289" t="s">
        <v>207</v>
      </c>
      <c r="O289" t="s">
        <v>831</v>
      </c>
      <c r="P289" t="s">
        <v>208</v>
      </c>
      <c r="Q289" t="s">
        <v>209</v>
      </c>
    </row>
    <row r="290" spans="1:17" x14ac:dyDescent="0.3">
      <c r="A290" t="s">
        <v>832</v>
      </c>
      <c r="C290" t="s">
        <v>833</v>
      </c>
      <c r="D290" t="s">
        <v>833</v>
      </c>
      <c r="E290" s="5">
        <v>46267</v>
      </c>
      <c r="F290" t="s">
        <v>204</v>
      </c>
      <c r="G290" t="s">
        <v>213</v>
      </c>
      <c r="H290">
        <v>6998</v>
      </c>
      <c r="I290">
        <v>111.97</v>
      </c>
      <c r="J290">
        <v>20.149999999999999</v>
      </c>
      <c r="K290">
        <v>6865.88</v>
      </c>
      <c r="L290" s="5">
        <v>46269</v>
      </c>
      <c r="M290" t="s">
        <v>491</v>
      </c>
      <c r="N290" t="s">
        <v>207</v>
      </c>
      <c r="O290" t="s">
        <v>833</v>
      </c>
      <c r="P290" t="s">
        <v>208</v>
      </c>
      <c r="Q290" t="s">
        <v>209</v>
      </c>
    </row>
    <row r="291" spans="1:17" x14ac:dyDescent="0.3">
      <c r="A291" t="s">
        <v>834</v>
      </c>
      <c r="C291" t="s">
        <v>835</v>
      </c>
      <c r="D291" t="s">
        <v>836</v>
      </c>
      <c r="E291" s="5">
        <v>46267</v>
      </c>
      <c r="F291" t="s">
        <v>204</v>
      </c>
      <c r="G291" t="s">
        <v>205</v>
      </c>
      <c r="H291">
        <v>8798</v>
      </c>
      <c r="I291">
        <v>149.57</v>
      </c>
      <c r="J291">
        <v>26.92</v>
      </c>
      <c r="K291">
        <v>8621.51</v>
      </c>
      <c r="L291" s="5">
        <v>46269</v>
      </c>
      <c r="M291" t="s">
        <v>491</v>
      </c>
      <c r="N291" t="s">
        <v>207</v>
      </c>
      <c r="O291" t="s">
        <v>836</v>
      </c>
      <c r="P291" t="s">
        <v>208</v>
      </c>
      <c r="Q291" t="s">
        <v>209</v>
      </c>
    </row>
    <row r="292" spans="1:17" x14ac:dyDescent="0.3">
      <c r="A292" t="s">
        <v>837</v>
      </c>
      <c r="C292" t="s">
        <v>838</v>
      </c>
      <c r="D292" t="s">
        <v>838</v>
      </c>
      <c r="E292" s="5">
        <v>46267</v>
      </c>
      <c r="F292" t="s">
        <v>204</v>
      </c>
      <c r="G292" t="s">
        <v>255</v>
      </c>
      <c r="H292">
        <v>3998</v>
      </c>
      <c r="I292">
        <v>47.98</v>
      </c>
      <c r="J292">
        <v>8.64</v>
      </c>
      <c r="K292">
        <v>3941.38</v>
      </c>
      <c r="L292" s="5">
        <v>46269</v>
      </c>
      <c r="M292" t="s">
        <v>491</v>
      </c>
      <c r="N292" t="s">
        <v>207</v>
      </c>
      <c r="O292" t="s">
        <v>838</v>
      </c>
      <c r="P292" t="s">
        <v>208</v>
      </c>
      <c r="Q292" t="s">
        <v>209</v>
      </c>
    </row>
    <row r="293" spans="1:17" x14ac:dyDescent="0.3">
      <c r="A293" t="s">
        <v>839</v>
      </c>
      <c r="C293" t="s">
        <v>840</v>
      </c>
      <c r="D293" t="s">
        <v>840</v>
      </c>
      <c r="E293" s="5">
        <v>46267</v>
      </c>
      <c r="F293" t="s">
        <v>204</v>
      </c>
      <c r="G293" t="s">
        <v>220</v>
      </c>
      <c r="H293">
        <v>499</v>
      </c>
      <c r="I293">
        <v>0</v>
      </c>
      <c r="J293">
        <v>0</v>
      </c>
      <c r="K293">
        <v>499</v>
      </c>
      <c r="L293" s="5">
        <v>46269</v>
      </c>
      <c r="M293" t="s">
        <v>491</v>
      </c>
      <c r="N293" t="s">
        <v>207</v>
      </c>
      <c r="O293" t="s">
        <v>840</v>
      </c>
      <c r="P293" t="s">
        <v>208</v>
      </c>
      <c r="Q293" t="s">
        <v>209</v>
      </c>
    </row>
    <row r="294" spans="1:17" x14ac:dyDescent="0.3">
      <c r="A294" t="s">
        <v>841</v>
      </c>
      <c r="C294" t="s">
        <v>842</v>
      </c>
      <c r="D294" t="s">
        <v>843</v>
      </c>
      <c r="E294" s="5">
        <v>46267</v>
      </c>
      <c r="F294" t="s">
        <v>204</v>
      </c>
      <c r="G294" t="s">
        <v>255</v>
      </c>
      <c r="H294">
        <v>349</v>
      </c>
      <c r="I294">
        <v>5.24</v>
      </c>
      <c r="J294">
        <v>0.94</v>
      </c>
      <c r="K294">
        <v>342.82</v>
      </c>
      <c r="L294" s="5">
        <v>46269</v>
      </c>
      <c r="M294" t="s">
        <v>491</v>
      </c>
      <c r="N294" t="s">
        <v>207</v>
      </c>
      <c r="O294" t="s">
        <v>843</v>
      </c>
      <c r="P294" t="s">
        <v>208</v>
      </c>
      <c r="Q294" t="s">
        <v>209</v>
      </c>
    </row>
    <row r="295" spans="1:17" x14ac:dyDescent="0.3">
      <c r="A295" t="s">
        <v>844</v>
      </c>
      <c r="C295" t="s">
        <v>845</v>
      </c>
      <c r="D295" t="s">
        <v>845</v>
      </c>
      <c r="E295" s="5">
        <v>46267</v>
      </c>
      <c r="F295" t="s">
        <v>204</v>
      </c>
      <c r="G295" t="s">
        <v>220</v>
      </c>
      <c r="H295">
        <v>1098</v>
      </c>
      <c r="I295">
        <v>0</v>
      </c>
      <c r="J295">
        <v>0</v>
      </c>
      <c r="K295">
        <v>1098</v>
      </c>
      <c r="L295" s="5">
        <v>46269</v>
      </c>
      <c r="M295" t="s">
        <v>491</v>
      </c>
      <c r="N295" t="s">
        <v>207</v>
      </c>
      <c r="O295" t="s">
        <v>845</v>
      </c>
      <c r="P295" t="s">
        <v>208</v>
      </c>
      <c r="Q295" t="s">
        <v>209</v>
      </c>
    </row>
    <row r="296" spans="1:17" x14ac:dyDescent="0.3">
      <c r="A296" t="s">
        <v>846</v>
      </c>
      <c r="C296" t="s">
        <v>847</v>
      </c>
      <c r="D296" t="s">
        <v>847</v>
      </c>
      <c r="E296" s="5">
        <v>46267</v>
      </c>
      <c r="F296" t="s">
        <v>204</v>
      </c>
      <c r="G296" t="s">
        <v>213</v>
      </c>
      <c r="H296">
        <v>10347</v>
      </c>
      <c r="I296">
        <v>165.55</v>
      </c>
      <c r="J296">
        <v>29.8</v>
      </c>
      <c r="K296">
        <v>10151.65</v>
      </c>
      <c r="L296" s="5">
        <v>46269</v>
      </c>
      <c r="M296" t="s">
        <v>491</v>
      </c>
      <c r="N296" t="s">
        <v>207</v>
      </c>
      <c r="O296" t="s">
        <v>847</v>
      </c>
      <c r="P296" t="s">
        <v>208</v>
      </c>
      <c r="Q296" t="s">
        <v>209</v>
      </c>
    </row>
    <row r="297" spans="1:17" x14ac:dyDescent="0.3">
      <c r="A297" t="s">
        <v>848</v>
      </c>
      <c r="C297" t="s">
        <v>849</v>
      </c>
      <c r="D297" t="s">
        <v>849</v>
      </c>
      <c r="E297" s="5">
        <v>46267</v>
      </c>
      <c r="F297" t="s">
        <v>204</v>
      </c>
      <c r="G297" t="s">
        <v>213</v>
      </c>
      <c r="H297">
        <v>5598</v>
      </c>
      <c r="I297">
        <v>89.57</v>
      </c>
      <c r="J297">
        <v>16.12</v>
      </c>
      <c r="K297">
        <v>5492.31</v>
      </c>
      <c r="L297" s="5">
        <v>46269</v>
      </c>
      <c r="M297" t="s">
        <v>491</v>
      </c>
      <c r="N297" t="s">
        <v>207</v>
      </c>
      <c r="O297" t="s">
        <v>849</v>
      </c>
      <c r="P297" t="s">
        <v>208</v>
      </c>
      <c r="Q297" t="s">
        <v>209</v>
      </c>
    </row>
    <row r="298" spans="1:17" x14ac:dyDescent="0.3">
      <c r="A298" t="s">
        <v>850</v>
      </c>
      <c r="C298" t="s">
        <v>851</v>
      </c>
      <c r="D298" t="s">
        <v>851</v>
      </c>
      <c r="E298" s="5">
        <v>46267</v>
      </c>
      <c r="F298" t="s">
        <v>204</v>
      </c>
      <c r="G298" t="s">
        <v>220</v>
      </c>
      <c r="H298">
        <v>6498</v>
      </c>
      <c r="I298">
        <v>19.489999999999998</v>
      </c>
      <c r="J298">
        <v>3.51</v>
      </c>
      <c r="K298">
        <v>6475</v>
      </c>
      <c r="L298" s="5">
        <v>46269</v>
      </c>
      <c r="M298" t="s">
        <v>491</v>
      </c>
      <c r="N298" t="s">
        <v>207</v>
      </c>
      <c r="O298" t="s">
        <v>851</v>
      </c>
      <c r="P298" t="s">
        <v>208</v>
      </c>
      <c r="Q298" t="s">
        <v>209</v>
      </c>
    </row>
    <row r="299" spans="1:17" x14ac:dyDescent="0.3">
      <c r="A299" t="s">
        <v>852</v>
      </c>
      <c r="C299" t="s">
        <v>853</v>
      </c>
      <c r="D299" t="s">
        <v>854</v>
      </c>
      <c r="E299" s="5">
        <v>46267</v>
      </c>
      <c r="F299" t="s">
        <v>204</v>
      </c>
      <c r="G299" t="s">
        <v>205</v>
      </c>
      <c r="H299">
        <v>6797</v>
      </c>
      <c r="I299">
        <v>115.55</v>
      </c>
      <c r="J299">
        <v>20.8</v>
      </c>
      <c r="K299">
        <v>6660.65</v>
      </c>
      <c r="L299" s="5">
        <v>46269</v>
      </c>
      <c r="M299" t="s">
        <v>491</v>
      </c>
      <c r="N299" t="s">
        <v>207</v>
      </c>
      <c r="O299" t="s">
        <v>854</v>
      </c>
      <c r="P299" t="s">
        <v>208</v>
      </c>
      <c r="Q299" t="s">
        <v>209</v>
      </c>
    </row>
    <row r="300" spans="1:17" x14ac:dyDescent="0.3">
      <c r="A300" t="s">
        <v>855</v>
      </c>
      <c r="C300" t="s">
        <v>856</v>
      </c>
      <c r="D300" t="s">
        <v>857</v>
      </c>
      <c r="E300" s="5">
        <v>46267</v>
      </c>
      <c r="F300" t="s">
        <v>204</v>
      </c>
      <c r="G300" t="s">
        <v>220</v>
      </c>
      <c r="H300">
        <v>5797</v>
      </c>
      <c r="I300">
        <v>17.39</v>
      </c>
      <c r="J300">
        <v>3.13</v>
      </c>
      <c r="K300">
        <v>5776.48</v>
      </c>
      <c r="L300" s="5">
        <v>46269</v>
      </c>
      <c r="M300" t="s">
        <v>491</v>
      </c>
      <c r="N300" t="s">
        <v>207</v>
      </c>
      <c r="O300" t="s">
        <v>857</v>
      </c>
      <c r="P300" t="s">
        <v>208</v>
      </c>
      <c r="Q300" t="s">
        <v>209</v>
      </c>
    </row>
    <row r="301" spans="1:17" x14ac:dyDescent="0.3">
      <c r="A301" t="s">
        <v>858</v>
      </c>
      <c r="C301" t="s">
        <v>859</v>
      </c>
      <c r="D301" t="s">
        <v>859</v>
      </c>
      <c r="E301" s="5">
        <v>46267</v>
      </c>
      <c r="F301" t="s">
        <v>204</v>
      </c>
      <c r="G301" t="s">
        <v>213</v>
      </c>
      <c r="H301">
        <v>2998</v>
      </c>
      <c r="I301">
        <v>47.97</v>
      </c>
      <c r="J301">
        <v>8.6300000000000008</v>
      </c>
      <c r="K301">
        <v>2941.4</v>
      </c>
      <c r="L301" s="5">
        <v>46269</v>
      </c>
      <c r="M301" t="s">
        <v>491</v>
      </c>
      <c r="N301" t="s">
        <v>207</v>
      </c>
      <c r="O301" t="s">
        <v>859</v>
      </c>
      <c r="P301" t="s">
        <v>208</v>
      </c>
      <c r="Q301" t="s">
        <v>209</v>
      </c>
    </row>
    <row r="302" spans="1:17" x14ac:dyDescent="0.3">
      <c r="A302" t="s">
        <v>860</v>
      </c>
      <c r="C302" t="s">
        <v>861</v>
      </c>
      <c r="D302" t="s">
        <v>861</v>
      </c>
      <c r="E302" s="5">
        <v>46267</v>
      </c>
      <c r="F302" t="s">
        <v>204</v>
      </c>
      <c r="G302" t="s">
        <v>213</v>
      </c>
      <c r="H302">
        <v>4498</v>
      </c>
      <c r="I302">
        <v>71.97</v>
      </c>
      <c r="J302">
        <v>12.95</v>
      </c>
      <c r="K302">
        <v>4413.08</v>
      </c>
      <c r="L302" s="5">
        <v>46269</v>
      </c>
      <c r="M302" t="s">
        <v>491</v>
      </c>
      <c r="N302" t="s">
        <v>207</v>
      </c>
      <c r="O302" t="s">
        <v>861</v>
      </c>
      <c r="P302" t="s">
        <v>208</v>
      </c>
      <c r="Q302" t="s">
        <v>209</v>
      </c>
    </row>
    <row r="303" spans="1:17" x14ac:dyDescent="0.3">
      <c r="A303" t="s">
        <v>862</v>
      </c>
      <c r="C303" t="s">
        <v>863</v>
      </c>
      <c r="D303" t="s">
        <v>863</v>
      </c>
      <c r="E303" s="5">
        <v>46267</v>
      </c>
      <c r="F303" t="s">
        <v>204</v>
      </c>
      <c r="G303" t="s">
        <v>220</v>
      </c>
      <c r="H303">
        <v>10297</v>
      </c>
      <c r="I303">
        <v>30.89</v>
      </c>
      <c r="J303">
        <v>5.56</v>
      </c>
      <c r="K303">
        <v>10260.549999999999</v>
      </c>
      <c r="L303" s="5">
        <v>46269</v>
      </c>
      <c r="M303" t="s">
        <v>491</v>
      </c>
      <c r="N303" t="s">
        <v>207</v>
      </c>
      <c r="O303" t="s">
        <v>863</v>
      </c>
      <c r="P303" t="s">
        <v>208</v>
      </c>
      <c r="Q303" t="s">
        <v>209</v>
      </c>
    </row>
    <row r="304" spans="1:17" x14ac:dyDescent="0.3">
      <c r="A304" t="s">
        <v>864</v>
      </c>
      <c r="C304" t="s">
        <v>865</v>
      </c>
      <c r="D304" t="s">
        <v>865</v>
      </c>
      <c r="E304" s="5">
        <v>46267</v>
      </c>
      <c r="F304" t="s">
        <v>204</v>
      </c>
      <c r="G304" t="s">
        <v>213</v>
      </c>
      <c r="H304">
        <v>9797</v>
      </c>
      <c r="I304">
        <v>156.75</v>
      </c>
      <c r="J304">
        <v>28.22</v>
      </c>
      <c r="K304">
        <v>9612.0300000000007</v>
      </c>
      <c r="L304" s="5">
        <v>46269</v>
      </c>
      <c r="M304" t="s">
        <v>491</v>
      </c>
      <c r="N304" t="s">
        <v>207</v>
      </c>
      <c r="O304" t="s">
        <v>865</v>
      </c>
      <c r="P304" t="s">
        <v>208</v>
      </c>
      <c r="Q304" t="s">
        <v>209</v>
      </c>
    </row>
    <row r="305" spans="1:17" x14ac:dyDescent="0.3">
      <c r="A305" t="s">
        <v>866</v>
      </c>
      <c r="C305" t="s">
        <v>867</v>
      </c>
      <c r="D305" t="s">
        <v>868</v>
      </c>
      <c r="E305" s="5">
        <v>46267</v>
      </c>
      <c r="F305" t="s">
        <v>204</v>
      </c>
      <c r="G305" t="s">
        <v>220</v>
      </c>
      <c r="H305">
        <v>3499</v>
      </c>
      <c r="I305">
        <v>10.5</v>
      </c>
      <c r="J305">
        <v>1.89</v>
      </c>
      <c r="K305">
        <v>3486.61</v>
      </c>
      <c r="L305" s="5">
        <v>46269</v>
      </c>
      <c r="M305" t="s">
        <v>491</v>
      </c>
      <c r="N305" t="s">
        <v>207</v>
      </c>
      <c r="O305" t="s">
        <v>868</v>
      </c>
      <c r="P305" t="s">
        <v>208</v>
      </c>
      <c r="Q305" t="s">
        <v>209</v>
      </c>
    </row>
    <row r="306" spans="1:17" x14ac:dyDescent="0.3">
      <c r="A306" t="s">
        <v>869</v>
      </c>
      <c r="C306" t="s">
        <v>870</v>
      </c>
      <c r="D306" t="s">
        <v>871</v>
      </c>
      <c r="E306" s="5">
        <v>46267</v>
      </c>
      <c r="F306" t="s">
        <v>204</v>
      </c>
      <c r="G306" t="s">
        <v>220</v>
      </c>
      <c r="H306">
        <v>799</v>
      </c>
      <c r="I306">
        <v>0</v>
      </c>
      <c r="J306">
        <v>0</v>
      </c>
      <c r="K306">
        <v>799</v>
      </c>
      <c r="L306" s="5">
        <v>46269</v>
      </c>
      <c r="M306" t="s">
        <v>491</v>
      </c>
      <c r="N306" t="s">
        <v>207</v>
      </c>
      <c r="O306" t="s">
        <v>871</v>
      </c>
      <c r="P306" t="s">
        <v>208</v>
      </c>
      <c r="Q306" t="s">
        <v>209</v>
      </c>
    </row>
    <row r="307" spans="1:17" x14ac:dyDescent="0.3">
      <c r="A307" t="s">
        <v>872</v>
      </c>
      <c r="C307" t="s">
        <v>873</v>
      </c>
      <c r="D307" t="s">
        <v>873</v>
      </c>
      <c r="E307" s="5">
        <v>46267</v>
      </c>
      <c r="F307" t="s">
        <v>204</v>
      </c>
      <c r="G307" t="s">
        <v>255</v>
      </c>
      <c r="H307">
        <v>698</v>
      </c>
      <c r="I307">
        <v>10.47</v>
      </c>
      <c r="J307">
        <v>1.88</v>
      </c>
      <c r="K307">
        <v>685.65</v>
      </c>
      <c r="L307" s="5">
        <v>46269</v>
      </c>
      <c r="M307" t="s">
        <v>491</v>
      </c>
      <c r="N307" t="s">
        <v>207</v>
      </c>
      <c r="O307" t="s">
        <v>873</v>
      </c>
      <c r="P307" t="s">
        <v>208</v>
      </c>
      <c r="Q307" t="s">
        <v>209</v>
      </c>
    </row>
    <row r="308" spans="1:17" x14ac:dyDescent="0.3">
      <c r="A308" t="s">
        <v>874</v>
      </c>
      <c r="C308" t="s">
        <v>875</v>
      </c>
      <c r="D308" t="s">
        <v>875</v>
      </c>
      <c r="E308" s="5">
        <v>46267</v>
      </c>
      <c r="F308" t="s">
        <v>204</v>
      </c>
      <c r="G308" t="s">
        <v>213</v>
      </c>
      <c r="H308">
        <v>5097</v>
      </c>
      <c r="I308">
        <v>81.55</v>
      </c>
      <c r="J308">
        <v>14.68</v>
      </c>
      <c r="K308">
        <v>5000.7700000000004</v>
      </c>
      <c r="L308" s="5">
        <v>46269</v>
      </c>
      <c r="M308" t="s">
        <v>491</v>
      </c>
      <c r="N308" t="s">
        <v>207</v>
      </c>
      <c r="O308" t="s">
        <v>875</v>
      </c>
      <c r="P308" t="s">
        <v>208</v>
      </c>
      <c r="Q308" t="s">
        <v>209</v>
      </c>
    </row>
    <row r="309" spans="1:17" x14ac:dyDescent="0.3">
      <c r="A309" t="s">
        <v>876</v>
      </c>
      <c r="C309" t="s">
        <v>877</v>
      </c>
      <c r="D309" t="s">
        <v>878</v>
      </c>
      <c r="E309" s="5">
        <v>46267</v>
      </c>
      <c r="F309" t="s">
        <v>204</v>
      </c>
      <c r="G309" t="s">
        <v>220</v>
      </c>
      <c r="H309">
        <v>499</v>
      </c>
      <c r="I309">
        <v>0</v>
      </c>
      <c r="J309">
        <v>0</v>
      </c>
      <c r="K309">
        <v>499</v>
      </c>
      <c r="L309" s="5">
        <v>46269</v>
      </c>
      <c r="M309" t="s">
        <v>491</v>
      </c>
      <c r="N309" t="s">
        <v>207</v>
      </c>
      <c r="O309" t="s">
        <v>878</v>
      </c>
      <c r="P309" t="s">
        <v>208</v>
      </c>
      <c r="Q309" t="s">
        <v>209</v>
      </c>
    </row>
    <row r="310" spans="1:17" x14ac:dyDescent="0.3">
      <c r="A310" t="s">
        <v>879</v>
      </c>
      <c r="C310" t="s">
        <v>880</v>
      </c>
      <c r="D310" t="s">
        <v>880</v>
      </c>
      <c r="E310" s="5">
        <v>46267</v>
      </c>
      <c r="F310" t="s">
        <v>204</v>
      </c>
      <c r="G310" t="s">
        <v>220</v>
      </c>
      <c r="H310">
        <v>999</v>
      </c>
      <c r="I310">
        <v>0</v>
      </c>
      <c r="J310">
        <v>0</v>
      </c>
      <c r="K310">
        <v>999</v>
      </c>
      <c r="L310" s="5">
        <v>46269</v>
      </c>
      <c r="M310" t="s">
        <v>491</v>
      </c>
      <c r="N310" t="s">
        <v>207</v>
      </c>
      <c r="O310" t="s">
        <v>880</v>
      </c>
      <c r="P310" t="s">
        <v>208</v>
      </c>
      <c r="Q310" t="s">
        <v>209</v>
      </c>
    </row>
    <row r="311" spans="1:17" x14ac:dyDescent="0.3">
      <c r="A311" t="s">
        <v>881</v>
      </c>
      <c r="C311" t="s">
        <v>882</v>
      </c>
      <c r="D311" t="s">
        <v>882</v>
      </c>
      <c r="E311" s="5">
        <v>46267</v>
      </c>
      <c r="F311" t="s">
        <v>204</v>
      </c>
      <c r="G311" t="s">
        <v>255</v>
      </c>
      <c r="H311">
        <v>7999</v>
      </c>
      <c r="I311">
        <v>95.99</v>
      </c>
      <c r="J311">
        <v>17.28</v>
      </c>
      <c r="K311">
        <v>7885.73</v>
      </c>
      <c r="L311" s="5">
        <v>46269</v>
      </c>
      <c r="M311" t="s">
        <v>491</v>
      </c>
      <c r="N311" t="s">
        <v>207</v>
      </c>
      <c r="O311" t="s">
        <v>882</v>
      </c>
      <c r="P311" t="s">
        <v>208</v>
      </c>
      <c r="Q311" t="s">
        <v>209</v>
      </c>
    </row>
    <row r="312" spans="1:17" x14ac:dyDescent="0.3">
      <c r="A312" t="s">
        <v>883</v>
      </c>
      <c r="C312" t="s">
        <v>884</v>
      </c>
      <c r="D312" t="s">
        <v>884</v>
      </c>
      <c r="E312" s="5">
        <v>46267</v>
      </c>
      <c r="F312" t="s">
        <v>204</v>
      </c>
      <c r="G312" t="s">
        <v>205</v>
      </c>
      <c r="H312">
        <v>3499</v>
      </c>
      <c r="I312">
        <v>59.48</v>
      </c>
      <c r="J312">
        <v>10.71</v>
      </c>
      <c r="K312">
        <v>3428.81</v>
      </c>
      <c r="L312" s="5">
        <v>46269</v>
      </c>
      <c r="M312" t="s">
        <v>491</v>
      </c>
      <c r="N312" t="s">
        <v>207</v>
      </c>
      <c r="O312" t="s">
        <v>884</v>
      </c>
      <c r="P312" t="s">
        <v>208</v>
      </c>
      <c r="Q312" t="s">
        <v>209</v>
      </c>
    </row>
    <row r="313" spans="1:17" x14ac:dyDescent="0.3">
      <c r="A313" t="s">
        <v>885</v>
      </c>
      <c r="C313" t="s">
        <v>886</v>
      </c>
      <c r="D313" t="s">
        <v>886</v>
      </c>
      <c r="E313" s="5">
        <v>46267</v>
      </c>
      <c r="F313" t="s">
        <v>204</v>
      </c>
      <c r="G313" t="s">
        <v>213</v>
      </c>
      <c r="H313">
        <v>799</v>
      </c>
      <c r="I313">
        <v>14.38</v>
      </c>
      <c r="J313">
        <v>2.59</v>
      </c>
      <c r="K313">
        <v>782.03</v>
      </c>
      <c r="L313" s="5">
        <v>46269</v>
      </c>
      <c r="M313" t="s">
        <v>491</v>
      </c>
      <c r="N313" t="s">
        <v>207</v>
      </c>
      <c r="O313" t="s">
        <v>886</v>
      </c>
      <c r="P313" t="s">
        <v>208</v>
      </c>
      <c r="Q313" t="s">
        <v>209</v>
      </c>
    </row>
    <row r="314" spans="1:17" x14ac:dyDescent="0.3">
      <c r="A314" t="s">
        <v>887</v>
      </c>
      <c r="C314" t="s">
        <v>888</v>
      </c>
      <c r="D314" t="s">
        <v>888</v>
      </c>
      <c r="E314" s="5">
        <v>46267</v>
      </c>
      <c r="F314" t="s">
        <v>204</v>
      </c>
      <c r="G314" t="s">
        <v>220</v>
      </c>
      <c r="H314">
        <v>3647</v>
      </c>
      <c r="I314">
        <v>10.94</v>
      </c>
      <c r="J314">
        <v>1.97</v>
      </c>
      <c r="K314">
        <v>3634.09</v>
      </c>
      <c r="L314" s="5">
        <v>46269</v>
      </c>
      <c r="M314" t="s">
        <v>491</v>
      </c>
      <c r="N314" t="s">
        <v>207</v>
      </c>
      <c r="O314" t="s">
        <v>888</v>
      </c>
      <c r="P314" t="s">
        <v>208</v>
      </c>
      <c r="Q314" t="s">
        <v>209</v>
      </c>
    </row>
    <row r="315" spans="1:17" x14ac:dyDescent="0.3">
      <c r="A315" t="s">
        <v>889</v>
      </c>
      <c r="C315" t="s">
        <v>890</v>
      </c>
      <c r="D315" t="s">
        <v>890</v>
      </c>
      <c r="E315" s="5">
        <v>46267</v>
      </c>
      <c r="F315" t="s">
        <v>204</v>
      </c>
      <c r="G315" t="s">
        <v>220</v>
      </c>
      <c r="H315">
        <v>7999</v>
      </c>
      <c r="I315">
        <v>24</v>
      </c>
      <c r="J315">
        <v>4.32</v>
      </c>
      <c r="K315">
        <v>7970.68</v>
      </c>
      <c r="L315" s="5">
        <v>46269</v>
      </c>
      <c r="M315" t="s">
        <v>491</v>
      </c>
      <c r="N315" t="s">
        <v>207</v>
      </c>
      <c r="O315" t="s">
        <v>890</v>
      </c>
      <c r="P315" t="s">
        <v>208</v>
      </c>
      <c r="Q315" t="s">
        <v>209</v>
      </c>
    </row>
    <row r="316" spans="1:17" x14ac:dyDescent="0.3">
      <c r="A316" t="s">
        <v>891</v>
      </c>
      <c r="C316" t="s">
        <v>892</v>
      </c>
      <c r="D316" t="s">
        <v>892</v>
      </c>
      <c r="E316" s="5">
        <v>46267</v>
      </c>
      <c r="F316" t="s">
        <v>204</v>
      </c>
      <c r="G316" t="s">
        <v>255</v>
      </c>
      <c r="H316">
        <v>7999</v>
      </c>
      <c r="I316">
        <v>95.99</v>
      </c>
      <c r="J316">
        <v>17.28</v>
      </c>
      <c r="K316">
        <v>7885.73</v>
      </c>
      <c r="L316" s="5">
        <v>46269</v>
      </c>
      <c r="M316" t="s">
        <v>491</v>
      </c>
      <c r="N316" t="s">
        <v>207</v>
      </c>
      <c r="O316" t="s">
        <v>892</v>
      </c>
      <c r="P316" t="s">
        <v>208</v>
      </c>
      <c r="Q316" t="s">
        <v>209</v>
      </c>
    </row>
    <row r="317" spans="1:17" x14ac:dyDescent="0.3">
      <c r="A317" t="s">
        <v>893</v>
      </c>
      <c r="C317" t="s">
        <v>894</v>
      </c>
      <c r="D317" t="s">
        <v>894</v>
      </c>
      <c r="E317" s="5">
        <v>46267</v>
      </c>
      <c r="F317" t="s">
        <v>204</v>
      </c>
      <c r="G317" t="s">
        <v>220</v>
      </c>
      <c r="H317">
        <v>1499</v>
      </c>
      <c r="I317">
        <v>4.5</v>
      </c>
      <c r="J317">
        <v>0.81</v>
      </c>
      <c r="K317">
        <v>1493.69</v>
      </c>
      <c r="L317" s="5">
        <v>46269</v>
      </c>
      <c r="M317" t="s">
        <v>491</v>
      </c>
      <c r="N317" t="s">
        <v>207</v>
      </c>
      <c r="O317" t="s">
        <v>894</v>
      </c>
      <c r="P317" t="s">
        <v>208</v>
      </c>
      <c r="Q317" t="s">
        <v>209</v>
      </c>
    </row>
    <row r="318" spans="1:17" x14ac:dyDescent="0.3">
      <c r="A318" t="s">
        <v>895</v>
      </c>
      <c r="C318" t="s">
        <v>896</v>
      </c>
      <c r="D318" t="s">
        <v>897</v>
      </c>
      <c r="E318" s="5">
        <v>46267</v>
      </c>
      <c r="F318" t="s">
        <v>204</v>
      </c>
      <c r="G318" t="s">
        <v>213</v>
      </c>
      <c r="H318">
        <v>2598</v>
      </c>
      <c r="I318">
        <v>41.57</v>
      </c>
      <c r="J318">
        <v>7.48</v>
      </c>
      <c r="K318">
        <v>2548.9499999999998</v>
      </c>
      <c r="L318" s="5">
        <v>46269</v>
      </c>
      <c r="M318" t="s">
        <v>491</v>
      </c>
      <c r="N318" t="s">
        <v>207</v>
      </c>
      <c r="O318" t="s">
        <v>897</v>
      </c>
      <c r="P318" t="s">
        <v>208</v>
      </c>
      <c r="Q318" t="s">
        <v>209</v>
      </c>
    </row>
    <row r="319" spans="1:17" x14ac:dyDescent="0.3">
      <c r="A319" t="s">
        <v>898</v>
      </c>
      <c r="C319" t="s">
        <v>899</v>
      </c>
      <c r="D319" t="s">
        <v>899</v>
      </c>
      <c r="E319" s="5">
        <v>46267</v>
      </c>
      <c r="F319" t="s">
        <v>204</v>
      </c>
      <c r="G319" t="s">
        <v>205</v>
      </c>
      <c r="H319">
        <v>4999</v>
      </c>
      <c r="I319">
        <v>84.98</v>
      </c>
      <c r="J319">
        <v>15.3</v>
      </c>
      <c r="K319">
        <v>4898.72</v>
      </c>
      <c r="L319" s="5">
        <v>46269</v>
      </c>
      <c r="M319" t="s">
        <v>491</v>
      </c>
      <c r="N319" t="s">
        <v>207</v>
      </c>
      <c r="O319" t="s">
        <v>899</v>
      </c>
      <c r="P319" t="s">
        <v>208</v>
      </c>
      <c r="Q319" t="s">
        <v>209</v>
      </c>
    </row>
    <row r="320" spans="1:17" x14ac:dyDescent="0.3">
      <c r="A320" t="s">
        <v>900</v>
      </c>
      <c r="C320" t="s">
        <v>901</v>
      </c>
      <c r="D320" t="s">
        <v>901</v>
      </c>
      <c r="E320" s="5">
        <v>46267</v>
      </c>
      <c r="F320" t="s">
        <v>204</v>
      </c>
      <c r="G320" t="s">
        <v>213</v>
      </c>
      <c r="H320">
        <v>15997</v>
      </c>
      <c r="I320">
        <v>255.95</v>
      </c>
      <c r="J320">
        <v>46.07</v>
      </c>
      <c r="K320">
        <v>15694.98</v>
      </c>
      <c r="L320" s="5">
        <v>46269</v>
      </c>
      <c r="M320" t="s">
        <v>491</v>
      </c>
      <c r="N320" t="s">
        <v>207</v>
      </c>
      <c r="O320" t="s">
        <v>901</v>
      </c>
      <c r="P320" t="s">
        <v>208</v>
      </c>
      <c r="Q320" t="s">
        <v>209</v>
      </c>
    </row>
    <row r="321" spans="1:17" x14ac:dyDescent="0.3">
      <c r="A321" t="s">
        <v>902</v>
      </c>
      <c r="C321" t="s">
        <v>903</v>
      </c>
      <c r="D321" t="s">
        <v>903</v>
      </c>
      <c r="E321" s="5">
        <v>46267</v>
      </c>
      <c r="F321" t="s">
        <v>204</v>
      </c>
      <c r="G321" t="s">
        <v>220</v>
      </c>
      <c r="H321">
        <v>6997</v>
      </c>
      <c r="I321">
        <v>20.99</v>
      </c>
      <c r="J321">
        <v>3.78</v>
      </c>
      <c r="K321">
        <v>6972.23</v>
      </c>
      <c r="L321" s="5">
        <v>46269</v>
      </c>
      <c r="M321" t="s">
        <v>491</v>
      </c>
      <c r="N321" t="s">
        <v>207</v>
      </c>
      <c r="O321" t="s">
        <v>903</v>
      </c>
      <c r="P321" t="s">
        <v>208</v>
      </c>
      <c r="Q321" t="s">
        <v>209</v>
      </c>
    </row>
    <row r="322" spans="1:17" x14ac:dyDescent="0.3">
      <c r="A322" t="s">
        <v>904</v>
      </c>
      <c r="C322" t="s">
        <v>905</v>
      </c>
      <c r="D322" t="s">
        <v>905</v>
      </c>
      <c r="E322" s="5">
        <v>46267</v>
      </c>
      <c r="F322" t="s">
        <v>204</v>
      </c>
      <c r="G322" t="s">
        <v>220</v>
      </c>
      <c r="H322">
        <v>2298</v>
      </c>
      <c r="I322">
        <v>6.89</v>
      </c>
      <c r="J322">
        <v>1.24</v>
      </c>
      <c r="K322">
        <v>2289.87</v>
      </c>
      <c r="L322" s="5">
        <v>46269</v>
      </c>
      <c r="M322" t="s">
        <v>491</v>
      </c>
      <c r="N322" t="s">
        <v>207</v>
      </c>
      <c r="O322" t="s">
        <v>905</v>
      </c>
      <c r="P322" t="s">
        <v>208</v>
      </c>
      <c r="Q322" t="s">
        <v>209</v>
      </c>
    </row>
    <row r="323" spans="1:17" x14ac:dyDescent="0.3">
      <c r="A323" t="s">
        <v>906</v>
      </c>
      <c r="C323" t="s">
        <v>907</v>
      </c>
      <c r="D323" t="s">
        <v>907</v>
      </c>
      <c r="E323" s="5">
        <v>46267</v>
      </c>
      <c r="F323" t="s">
        <v>204</v>
      </c>
      <c r="G323" t="s">
        <v>213</v>
      </c>
      <c r="H323">
        <v>6498</v>
      </c>
      <c r="I323">
        <v>103.97</v>
      </c>
      <c r="J323">
        <v>18.71</v>
      </c>
      <c r="K323">
        <v>6375.32</v>
      </c>
      <c r="L323" s="5">
        <v>46269</v>
      </c>
      <c r="M323" t="s">
        <v>491</v>
      </c>
      <c r="N323" t="s">
        <v>207</v>
      </c>
      <c r="O323" t="s">
        <v>907</v>
      </c>
      <c r="P323" t="s">
        <v>208</v>
      </c>
      <c r="Q323" t="s">
        <v>209</v>
      </c>
    </row>
    <row r="324" spans="1:17" x14ac:dyDescent="0.3">
      <c r="A324" t="s">
        <v>908</v>
      </c>
      <c r="C324" t="s">
        <v>909</v>
      </c>
      <c r="D324" t="s">
        <v>909</v>
      </c>
      <c r="E324" s="5">
        <v>46267</v>
      </c>
      <c r="F324" t="s">
        <v>204</v>
      </c>
      <c r="G324" t="s">
        <v>255</v>
      </c>
      <c r="H324">
        <v>10498</v>
      </c>
      <c r="I324">
        <v>94.48</v>
      </c>
      <c r="J324">
        <v>17.010000000000002</v>
      </c>
      <c r="K324">
        <v>10386.51</v>
      </c>
      <c r="L324" s="5">
        <v>46269</v>
      </c>
      <c r="M324" t="s">
        <v>491</v>
      </c>
      <c r="N324" t="s">
        <v>207</v>
      </c>
      <c r="O324" t="s">
        <v>909</v>
      </c>
      <c r="P324" t="s">
        <v>208</v>
      </c>
      <c r="Q324" t="s">
        <v>209</v>
      </c>
    </row>
    <row r="325" spans="1:17" x14ac:dyDescent="0.3">
      <c r="A325" t="s">
        <v>910</v>
      </c>
      <c r="C325" t="s">
        <v>911</v>
      </c>
      <c r="D325" t="s">
        <v>911</v>
      </c>
      <c r="E325" s="5">
        <v>46267</v>
      </c>
      <c r="F325" t="s">
        <v>204</v>
      </c>
      <c r="G325" t="s">
        <v>220</v>
      </c>
      <c r="H325">
        <v>2499</v>
      </c>
      <c r="I325">
        <v>7.5</v>
      </c>
      <c r="J325">
        <v>1.35</v>
      </c>
      <c r="K325">
        <v>2490.15</v>
      </c>
      <c r="L325" s="5">
        <v>46269</v>
      </c>
      <c r="M325" t="s">
        <v>491</v>
      </c>
      <c r="N325" t="s">
        <v>207</v>
      </c>
      <c r="O325" t="s">
        <v>911</v>
      </c>
      <c r="P325" t="s">
        <v>208</v>
      </c>
      <c r="Q325" t="s">
        <v>209</v>
      </c>
    </row>
    <row r="326" spans="1:17" x14ac:dyDescent="0.3">
      <c r="A326" t="s">
        <v>912</v>
      </c>
      <c r="C326" t="s">
        <v>913</v>
      </c>
      <c r="D326" t="s">
        <v>913</v>
      </c>
      <c r="E326" s="5">
        <v>46267</v>
      </c>
      <c r="F326" t="s">
        <v>204</v>
      </c>
      <c r="G326" t="s">
        <v>213</v>
      </c>
      <c r="H326">
        <v>1498</v>
      </c>
      <c r="I326">
        <v>26.96</v>
      </c>
      <c r="J326">
        <v>4.8499999999999996</v>
      </c>
      <c r="K326">
        <v>1466.19</v>
      </c>
      <c r="L326" s="5">
        <v>46269</v>
      </c>
      <c r="M326" t="s">
        <v>491</v>
      </c>
      <c r="N326" t="s">
        <v>207</v>
      </c>
      <c r="O326" t="s">
        <v>913</v>
      </c>
      <c r="P326" t="s">
        <v>208</v>
      </c>
      <c r="Q326" t="s">
        <v>209</v>
      </c>
    </row>
    <row r="327" spans="1:17" x14ac:dyDescent="0.3">
      <c r="A327" t="s">
        <v>914</v>
      </c>
      <c r="C327" t="s">
        <v>915</v>
      </c>
      <c r="D327" t="s">
        <v>915</v>
      </c>
      <c r="E327" s="5">
        <v>46267</v>
      </c>
      <c r="F327" t="s">
        <v>204</v>
      </c>
      <c r="G327" t="s">
        <v>220</v>
      </c>
      <c r="H327">
        <v>499</v>
      </c>
      <c r="I327">
        <v>0</v>
      </c>
      <c r="J327">
        <v>0</v>
      </c>
      <c r="K327">
        <v>499</v>
      </c>
      <c r="L327" s="5">
        <v>46269</v>
      </c>
      <c r="M327" t="s">
        <v>491</v>
      </c>
      <c r="N327" t="s">
        <v>207</v>
      </c>
      <c r="O327" t="s">
        <v>915</v>
      </c>
      <c r="P327" t="s">
        <v>208</v>
      </c>
      <c r="Q327" t="s">
        <v>209</v>
      </c>
    </row>
    <row r="328" spans="1:17" x14ac:dyDescent="0.3">
      <c r="A328" t="s">
        <v>916</v>
      </c>
      <c r="C328" t="s">
        <v>917</v>
      </c>
      <c r="D328" t="s">
        <v>917</v>
      </c>
      <c r="E328" s="5">
        <v>46267</v>
      </c>
      <c r="F328" t="s">
        <v>204</v>
      </c>
      <c r="G328" t="s">
        <v>220</v>
      </c>
      <c r="H328">
        <v>1299</v>
      </c>
      <c r="I328">
        <v>0</v>
      </c>
      <c r="J328">
        <v>0</v>
      </c>
      <c r="K328">
        <v>1299</v>
      </c>
      <c r="L328" s="5">
        <v>46269</v>
      </c>
      <c r="M328" t="s">
        <v>491</v>
      </c>
      <c r="N328" t="s">
        <v>207</v>
      </c>
      <c r="O328" t="s">
        <v>917</v>
      </c>
      <c r="P328" t="s">
        <v>208</v>
      </c>
      <c r="Q328" t="s">
        <v>209</v>
      </c>
    </row>
    <row r="329" spans="1:17" x14ac:dyDescent="0.3">
      <c r="A329" t="s">
        <v>918</v>
      </c>
      <c r="C329" t="s">
        <v>919</v>
      </c>
      <c r="D329" t="s">
        <v>919</v>
      </c>
      <c r="E329" s="5">
        <v>46267</v>
      </c>
      <c r="F329" t="s">
        <v>204</v>
      </c>
      <c r="G329" t="s">
        <v>205</v>
      </c>
      <c r="H329">
        <v>1499</v>
      </c>
      <c r="I329">
        <v>28.48</v>
      </c>
      <c r="J329">
        <v>5.13</v>
      </c>
      <c r="K329">
        <v>1465.39</v>
      </c>
      <c r="L329" s="5">
        <v>46269</v>
      </c>
      <c r="M329" t="s">
        <v>491</v>
      </c>
      <c r="N329" t="s">
        <v>207</v>
      </c>
      <c r="O329" t="s">
        <v>919</v>
      </c>
      <c r="P329" t="s">
        <v>208</v>
      </c>
      <c r="Q329" t="s">
        <v>209</v>
      </c>
    </row>
    <row r="330" spans="1:17" x14ac:dyDescent="0.3">
      <c r="A330" t="s">
        <v>920</v>
      </c>
      <c r="B330" t="s">
        <v>331</v>
      </c>
      <c r="E330" s="5">
        <v>46267</v>
      </c>
      <c r="F330" t="s">
        <v>921</v>
      </c>
      <c r="G330" t="s">
        <v>205</v>
      </c>
      <c r="H330">
        <v>1799</v>
      </c>
      <c r="I330">
        <v>0</v>
      </c>
      <c r="J330">
        <v>0</v>
      </c>
      <c r="K330">
        <v>-1799</v>
      </c>
      <c r="L330" s="5">
        <v>46269</v>
      </c>
      <c r="M330" t="s">
        <v>491</v>
      </c>
      <c r="N330" t="s">
        <v>207</v>
      </c>
      <c r="O330" t="s">
        <v>332</v>
      </c>
      <c r="P330" t="s">
        <v>208</v>
      </c>
    </row>
    <row r="331" spans="1:17" x14ac:dyDescent="0.3">
      <c r="A331" t="s">
        <v>922</v>
      </c>
      <c r="B331" t="s">
        <v>443</v>
      </c>
      <c r="E331" s="5">
        <v>46267</v>
      </c>
      <c r="F331" t="s">
        <v>921</v>
      </c>
      <c r="G331" t="s">
        <v>255</v>
      </c>
      <c r="H331">
        <v>599</v>
      </c>
      <c r="I331">
        <v>0</v>
      </c>
      <c r="J331">
        <v>0</v>
      </c>
      <c r="K331">
        <v>-599</v>
      </c>
      <c r="L331" s="5">
        <v>46269</v>
      </c>
      <c r="M331" t="s">
        <v>491</v>
      </c>
      <c r="N331" t="s">
        <v>207</v>
      </c>
      <c r="O331" t="s">
        <v>444</v>
      </c>
      <c r="P331" t="s">
        <v>208</v>
      </c>
    </row>
    <row r="332" spans="1:17" x14ac:dyDescent="0.3">
      <c r="A332" t="s">
        <v>923</v>
      </c>
      <c r="C332" t="s">
        <v>924</v>
      </c>
      <c r="D332" t="s">
        <v>924</v>
      </c>
      <c r="E332" s="5">
        <v>46268</v>
      </c>
      <c r="F332" t="s">
        <v>204</v>
      </c>
      <c r="G332" t="s">
        <v>213</v>
      </c>
      <c r="H332">
        <v>349</v>
      </c>
      <c r="I332">
        <v>6.28</v>
      </c>
      <c r="J332">
        <v>1.1299999999999999</v>
      </c>
      <c r="K332">
        <v>341.59</v>
      </c>
      <c r="L332" s="5">
        <v>46270</v>
      </c>
      <c r="M332" t="s">
        <v>925</v>
      </c>
      <c r="N332" t="s">
        <v>207</v>
      </c>
      <c r="O332" t="s">
        <v>924</v>
      </c>
      <c r="P332" t="s">
        <v>208</v>
      </c>
      <c r="Q332" t="s">
        <v>209</v>
      </c>
    </row>
    <row r="333" spans="1:17" x14ac:dyDescent="0.3">
      <c r="A333" t="s">
        <v>926</v>
      </c>
      <c r="C333" t="s">
        <v>927</v>
      </c>
      <c r="D333" t="s">
        <v>927</v>
      </c>
      <c r="E333" s="5">
        <v>46268</v>
      </c>
      <c r="F333" t="s">
        <v>204</v>
      </c>
      <c r="G333" t="s">
        <v>205</v>
      </c>
      <c r="H333">
        <v>2197</v>
      </c>
      <c r="I333">
        <v>37.35</v>
      </c>
      <c r="J333">
        <v>6.72</v>
      </c>
      <c r="K333">
        <v>2152.9299999999998</v>
      </c>
      <c r="L333" s="5">
        <v>46270</v>
      </c>
      <c r="M333" t="s">
        <v>925</v>
      </c>
      <c r="N333" t="s">
        <v>207</v>
      </c>
      <c r="O333" t="s">
        <v>927</v>
      </c>
      <c r="P333" t="s">
        <v>208</v>
      </c>
      <c r="Q333" t="s">
        <v>209</v>
      </c>
    </row>
    <row r="334" spans="1:17" x14ac:dyDescent="0.3">
      <c r="A334" t="s">
        <v>928</v>
      </c>
      <c r="C334" t="s">
        <v>929</v>
      </c>
      <c r="D334" t="s">
        <v>929</v>
      </c>
      <c r="E334" s="5">
        <v>46268</v>
      </c>
      <c r="F334" t="s">
        <v>204</v>
      </c>
      <c r="G334" t="s">
        <v>220</v>
      </c>
      <c r="H334">
        <v>599</v>
      </c>
      <c r="I334">
        <v>0</v>
      </c>
      <c r="J334">
        <v>0</v>
      </c>
      <c r="K334">
        <v>599</v>
      </c>
      <c r="L334" s="5">
        <v>46270</v>
      </c>
      <c r="M334" t="s">
        <v>925</v>
      </c>
      <c r="N334" t="s">
        <v>207</v>
      </c>
      <c r="O334" t="s">
        <v>929</v>
      </c>
      <c r="P334" t="s">
        <v>208</v>
      </c>
      <c r="Q334" t="s">
        <v>209</v>
      </c>
    </row>
    <row r="335" spans="1:17" x14ac:dyDescent="0.3">
      <c r="A335" t="s">
        <v>930</v>
      </c>
      <c r="C335" t="s">
        <v>931</v>
      </c>
      <c r="D335" t="s">
        <v>931</v>
      </c>
      <c r="E335" s="5">
        <v>46268</v>
      </c>
      <c r="F335" t="s">
        <v>204</v>
      </c>
      <c r="G335" t="s">
        <v>220</v>
      </c>
      <c r="H335">
        <v>349</v>
      </c>
      <c r="I335">
        <v>0</v>
      </c>
      <c r="J335">
        <v>0</v>
      </c>
      <c r="K335">
        <v>349</v>
      </c>
      <c r="L335" s="5">
        <v>46270</v>
      </c>
      <c r="M335" t="s">
        <v>925</v>
      </c>
      <c r="N335" t="s">
        <v>207</v>
      </c>
      <c r="O335" t="s">
        <v>931</v>
      </c>
      <c r="P335" t="s">
        <v>208</v>
      </c>
      <c r="Q335" t="s">
        <v>209</v>
      </c>
    </row>
    <row r="336" spans="1:17" x14ac:dyDescent="0.3">
      <c r="A336" t="s">
        <v>932</v>
      </c>
      <c r="C336" t="s">
        <v>933</v>
      </c>
      <c r="D336" t="s">
        <v>933</v>
      </c>
      <c r="E336" s="5">
        <v>46268</v>
      </c>
      <c r="F336" t="s">
        <v>204</v>
      </c>
      <c r="G336" t="s">
        <v>213</v>
      </c>
      <c r="H336">
        <v>6397</v>
      </c>
      <c r="I336">
        <v>102.35</v>
      </c>
      <c r="J336">
        <v>18.420000000000002</v>
      </c>
      <c r="K336">
        <v>6276.23</v>
      </c>
      <c r="L336" s="5">
        <v>46270</v>
      </c>
      <c r="M336" t="s">
        <v>925</v>
      </c>
      <c r="N336" t="s">
        <v>207</v>
      </c>
      <c r="O336" t="s">
        <v>933</v>
      </c>
      <c r="P336" t="s">
        <v>208</v>
      </c>
      <c r="Q336" t="s">
        <v>209</v>
      </c>
    </row>
    <row r="337" spans="1:17" x14ac:dyDescent="0.3">
      <c r="A337" t="s">
        <v>934</v>
      </c>
      <c r="C337" t="s">
        <v>935</v>
      </c>
      <c r="D337" t="s">
        <v>935</v>
      </c>
      <c r="E337" s="5">
        <v>46268</v>
      </c>
      <c r="F337" t="s">
        <v>204</v>
      </c>
      <c r="G337" t="s">
        <v>205</v>
      </c>
      <c r="H337">
        <v>2798</v>
      </c>
      <c r="I337">
        <v>47.57</v>
      </c>
      <c r="J337">
        <v>8.56</v>
      </c>
      <c r="K337">
        <v>2741.87</v>
      </c>
      <c r="L337" s="5">
        <v>46270</v>
      </c>
      <c r="M337" t="s">
        <v>925</v>
      </c>
      <c r="N337" t="s">
        <v>207</v>
      </c>
      <c r="O337" t="s">
        <v>935</v>
      </c>
      <c r="P337" t="s">
        <v>208</v>
      </c>
      <c r="Q337" t="s">
        <v>209</v>
      </c>
    </row>
    <row r="338" spans="1:17" x14ac:dyDescent="0.3">
      <c r="A338" t="s">
        <v>936</v>
      </c>
      <c r="C338" t="s">
        <v>937</v>
      </c>
      <c r="D338" t="s">
        <v>937</v>
      </c>
      <c r="E338" s="5">
        <v>46268</v>
      </c>
      <c r="F338" t="s">
        <v>204</v>
      </c>
      <c r="G338" t="s">
        <v>220</v>
      </c>
      <c r="H338">
        <v>4999</v>
      </c>
      <c r="I338">
        <v>15</v>
      </c>
      <c r="J338">
        <v>2.7</v>
      </c>
      <c r="K338">
        <v>4981.3</v>
      </c>
      <c r="L338" s="5">
        <v>46270</v>
      </c>
      <c r="M338" t="s">
        <v>925</v>
      </c>
      <c r="N338" t="s">
        <v>207</v>
      </c>
      <c r="O338" t="s">
        <v>937</v>
      </c>
      <c r="P338" t="s">
        <v>208</v>
      </c>
      <c r="Q338" t="s">
        <v>209</v>
      </c>
    </row>
    <row r="339" spans="1:17" x14ac:dyDescent="0.3">
      <c r="A339" t="s">
        <v>938</v>
      </c>
      <c r="C339" t="s">
        <v>939</v>
      </c>
      <c r="D339" t="s">
        <v>939</v>
      </c>
      <c r="E339" s="5">
        <v>46268</v>
      </c>
      <c r="F339" t="s">
        <v>204</v>
      </c>
      <c r="G339" t="s">
        <v>213</v>
      </c>
      <c r="H339">
        <v>349</v>
      </c>
      <c r="I339">
        <v>6.28</v>
      </c>
      <c r="J339">
        <v>1.1299999999999999</v>
      </c>
      <c r="K339">
        <v>341.59</v>
      </c>
      <c r="L339" s="5">
        <v>46270</v>
      </c>
      <c r="M339" t="s">
        <v>925</v>
      </c>
      <c r="N339" t="s">
        <v>207</v>
      </c>
      <c r="O339" t="s">
        <v>939</v>
      </c>
      <c r="P339" t="s">
        <v>208</v>
      </c>
      <c r="Q339" t="s">
        <v>209</v>
      </c>
    </row>
    <row r="340" spans="1:17" x14ac:dyDescent="0.3">
      <c r="A340" t="s">
        <v>940</v>
      </c>
      <c r="C340" t="s">
        <v>941</v>
      </c>
      <c r="D340" t="s">
        <v>942</v>
      </c>
      <c r="E340" s="5">
        <v>46268</v>
      </c>
      <c r="F340" t="s">
        <v>204</v>
      </c>
      <c r="G340" t="s">
        <v>220</v>
      </c>
      <c r="H340">
        <v>2398</v>
      </c>
      <c r="I340">
        <v>7.19</v>
      </c>
      <c r="J340">
        <v>1.29</v>
      </c>
      <c r="K340">
        <v>2389.52</v>
      </c>
      <c r="L340" s="5">
        <v>46270</v>
      </c>
      <c r="M340" t="s">
        <v>925</v>
      </c>
      <c r="N340" t="s">
        <v>207</v>
      </c>
      <c r="O340" t="s">
        <v>942</v>
      </c>
      <c r="P340" t="s">
        <v>208</v>
      </c>
      <c r="Q340" t="s">
        <v>209</v>
      </c>
    </row>
    <row r="341" spans="1:17" x14ac:dyDescent="0.3">
      <c r="A341" t="s">
        <v>943</v>
      </c>
      <c r="C341" t="s">
        <v>944</v>
      </c>
      <c r="D341" t="s">
        <v>944</v>
      </c>
      <c r="E341" s="5">
        <v>46268</v>
      </c>
      <c r="F341" t="s">
        <v>204</v>
      </c>
      <c r="G341" t="s">
        <v>220</v>
      </c>
      <c r="H341">
        <v>3348</v>
      </c>
      <c r="I341">
        <v>10.039999999999999</v>
      </c>
      <c r="J341">
        <v>1.81</v>
      </c>
      <c r="K341">
        <v>3336.15</v>
      </c>
      <c r="L341" s="5">
        <v>46270</v>
      </c>
      <c r="M341" t="s">
        <v>925</v>
      </c>
      <c r="N341" t="s">
        <v>207</v>
      </c>
      <c r="O341" t="s">
        <v>944</v>
      </c>
      <c r="P341" t="s">
        <v>208</v>
      </c>
      <c r="Q341" t="s">
        <v>209</v>
      </c>
    </row>
    <row r="342" spans="1:17" x14ac:dyDescent="0.3">
      <c r="A342" t="s">
        <v>945</v>
      </c>
      <c r="C342" t="s">
        <v>946</v>
      </c>
      <c r="D342" t="s">
        <v>946</v>
      </c>
      <c r="E342" s="5">
        <v>46268</v>
      </c>
      <c r="F342" t="s">
        <v>204</v>
      </c>
      <c r="G342" t="s">
        <v>220</v>
      </c>
      <c r="H342">
        <v>2999</v>
      </c>
      <c r="I342">
        <v>9</v>
      </c>
      <c r="J342">
        <v>1.62</v>
      </c>
      <c r="K342">
        <v>2988.38</v>
      </c>
      <c r="L342" s="5">
        <v>46270</v>
      </c>
      <c r="M342" t="s">
        <v>925</v>
      </c>
      <c r="N342" t="s">
        <v>207</v>
      </c>
      <c r="O342" t="s">
        <v>946</v>
      </c>
      <c r="P342" t="s">
        <v>208</v>
      </c>
      <c r="Q342" t="s">
        <v>209</v>
      </c>
    </row>
    <row r="343" spans="1:17" x14ac:dyDescent="0.3">
      <c r="A343" t="s">
        <v>947</v>
      </c>
      <c r="C343" t="s">
        <v>948</v>
      </c>
      <c r="D343" t="s">
        <v>949</v>
      </c>
      <c r="E343" s="5">
        <v>46268</v>
      </c>
      <c r="F343" t="s">
        <v>204</v>
      </c>
      <c r="G343" t="s">
        <v>220</v>
      </c>
      <c r="H343">
        <v>2798</v>
      </c>
      <c r="I343">
        <v>8.39</v>
      </c>
      <c r="J343">
        <v>1.51</v>
      </c>
      <c r="K343">
        <v>2788.1</v>
      </c>
      <c r="L343" s="5">
        <v>46270</v>
      </c>
      <c r="M343" t="s">
        <v>925</v>
      </c>
      <c r="N343" t="s">
        <v>207</v>
      </c>
      <c r="O343" t="s">
        <v>949</v>
      </c>
      <c r="P343" t="s">
        <v>208</v>
      </c>
      <c r="Q343" t="s">
        <v>209</v>
      </c>
    </row>
    <row r="344" spans="1:17" x14ac:dyDescent="0.3">
      <c r="A344" t="s">
        <v>950</v>
      </c>
      <c r="C344" t="s">
        <v>951</v>
      </c>
      <c r="D344" t="s">
        <v>951</v>
      </c>
      <c r="E344" s="5">
        <v>46268</v>
      </c>
      <c r="F344" t="s">
        <v>204</v>
      </c>
      <c r="G344" t="s">
        <v>205</v>
      </c>
      <c r="H344">
        <v>2798</v>
      </c>
      <c r="I344">
        <v>47.57</v>
      </c>
      <c r="J344">
        <v>8.56</v>
      </c>
      <c r="K344">
        <v>2741.87</v>
      </c>
      <c r="L344" s="5">
        <v>46270</v>
      </c>
      <c r="M344" t="s">
        <v>925</v>
      </c>
      <c r="N344" t="s">
        <v>207</v>
      </c>
      <c r="O344" t="s">
        <v>951</v>
      </c>
      <c r="P344" t="s">
        <v>208</v>
      </c>
      <c r="Q344" t="s">
        <v>209</v>
      </c>
    </row>
    <row r="345" spans="1:17" x14ac:dyDescent="0.3">
      <c r="A345" t="s">
        <v>952</v>
      </c>
      <c r="C345" t="s">
        <v>953</v>
      </c>
      <c r="D345" t="s">
        <v>953</v>
      </c>
      <c r="E345" s="5">
        <v>46268</v>
      </c>
      <c r="F345" t="s">
        <v>204</v>
      </c>
      <c r="G345" t="s">
        <v>213</v>
      </c>
      <c r="H345">
        <v>2897</v>
      </c>
      <c r="I345">
        <v>46.35</v>
      </c>
      <c r="J345">
        <v>8.34</v>
      </c>
      <c r="K345">
        <v>2842.31</v>
      </c>
      <c r="L345" s="5">
        <v>46270</v>
      </c>
      <c r="M345" t="s">
        <v>925</v>
      </c>
      <c r="N345" t="s">
        <v>207</v>
      </c>
      <c r="O345" t="s">
        <v>953</v>
      </c>
      <c r="P345" t="s">
        <v>208</v>
      </c>
      <c r="Q345" t="s">
        <v>209</v>
      </c>
    </row>
    <row r="346" spans="1:17" x14ac:dyDescent="0.3">
      <c r="A346" t="s">
        <v>954</v>
      </c>
      <c r="C346" t="s">
        <v>955</v>
      </c>
      <c r="D346" t="s">
        <v>955</v>
      </c>
      <c r="E346" s="5">
        <v>46268</v>
      </c>
      <c r="F346" t="s">
        <v>204</v>
      </c>
      <c r="G346" t="s">
        <v>205</v>
      </c>
      <c r="H346">
        <v>2798</v>
      </c>
      <c r="I346">
        <v>47.57</v>
      </c>
      <c r="J346">
        <v>8.56</v>
      </c>
      <c r="K346">
        <v>2741.87</v>
      </c>
      <c r="L346" s="5">
        <v>46270</v>
      </c>
      <c r="M346" t="s">
        <v>925</v>
      </c>
      <c r="N346" t="s">
        <v>207</v>
      </c>
      <c r="O346" t="s">
        <v>955</v>
      </c>
      <c r="P346" t="s">
        <v>208</v>
      </c>
      <c r="Q346" t="s">
        <v>209</v>
      </c>
    </row>
    <row r="347" spans="1:17" x14ac:dyDescent="0.3">
      <c r="A347" t="s">
        <v>956</v>
      </c>
      <c r="C347" t="s">
        <v>957</v>
      </c>
      <c r="D347" t="s">
        <v>957</v>
      </c>
      <c r="E347" s="5">
        <v>46268</v>
      </c>
      <c r="F347" t="s">
        <v>204</v>
      </c>
      <c r="G347" t="s">
        <v>220</v>
      </c>
      <c r="H347">
        <v>3597</v>
      </c>
      <c r="I347">
        <v>10.79</v>
      </c>
      <c r="J347">
        <v>1.94</v>
      </c>
      <c r="K347">
        <v>3584.27</v>
      </c>
      <c r="L347" s="5">
        <v>46270</v>
      </c>
      <c r="M347" t="s">
        <v>925</v>
      </c>
      <c r="N347" t="s">
        <v>207</v>
      </c>
      <c r="O347" t="s">
        <v>957</v>
      </c>
      <c r="P347" t="s">
        <v>208</v>
      </c>
      <c r="Q347" t="s">
        <v>209</v>
      </c>
    </row>
    <row r="348" spans="1:17" x14ac:dyDescent="0.3">
      <c r="A348" t="s">
        <v>958</v>
      </c>
      <c r="C348" t="s">
        <v>959</v>
      </c>
      <c r="D348" t="s">
        <v>959</v>
      </c>
      <c r="E348" s="5">
        <v>46268</v>
      </c>
      <c r="F348" t="s">
        <v>204</v>
      </c>
      <c r="G348" t="s">
        <v>220</v>
      </c>
      <c r="H348">
        <v>4999</v>
      </c>
      <c r="I348">
        <v>15</v>
      </c>
      <c r="J348">
        <v>2.7</v>
      </c>
      <c r="K348">
        <v>4981.3</v>
      </c>
      <c r="L348" s="5">
        <v>46270</v>
      </c>
      <c r="M348" t="s">
        <v>925</v>
      </c>
      <c r="N348" t="s">
        <v>207</v>
      </c>
      <c r="O348" t="s">
        <v>959</v>
      </c>
      <c r="P348" t="s">
        <v>208</v>
      </c>
      <c r="Q348" t="s">
        <v>209</v>
      </c>
    </row>
    <row r="349" spans="1:17" x14ac:dyDescent="0.3">
      <c r="A349" t="s">
        <v>960</v>
      </c>
      <c r="C349" t="s">
        <v>961</v>
      </c>
      <c r="D349" t="s">
        <v>961</v>
      </c>
      <c r="E349" s="5">
        <v>46268</v>
      </c>
      <c r="F349" t="s">
        <v>204</v>
      </c>
      <c r="G349" t="s">
        <v>220</v>
      </c>
      <c r="H349">
        <v>2498</v>
      </c>
      <c r="I349">
        <v>7.49</v>
      </c>
      <c r="J349">
        <v>1.35</v>
      </c>
      <c r="K349">
        <v>2489.16</v>
      </c>
      <c r="L349" s="5">
        <v>46270</v>
      </c>
      <c r="M349" t="s">
        <v>925</v>
      </c>
      <c r="N349" t="s">
        <v>207</v>
      </c>
      <c r="O349" t="s">
        <v>961</v>
      </c>
      <c r="P349" t="s">
        <v>208</v>
      </c>
      <c r="Q349" t="s">
        <v>209</v>
      </c>
    </row>
    <row r="350" spans="1:17" x14ac:dyDescent="0.3">
      <c r="A350" t="s">
        <v>962</v>
      </c>
      <c r="C350" t="s">
        <v>963</v>
      </c>
      <c r="D350" t="s">
        <v>963</v>
      </c>
      <c r="E350" s="5">
        <v>46268</v>
      </c>
      <c r="F350" t="s">
        <v>204</v>
      </c>
      <c r="G350" t="s">
        <v>205</v>
      </c>
      <c r="H350">
        <v>7999</v>
      </c>
      <c r="I350">
        <v>135.97999999999999</v>
      </c>
      <c r="J350">
        <v>24.48</v>
      </c>
      <c r="K350">
        <v>7838.54</v>
      </c>
      <c r="L350" s="5">
        <v>46270</v>
      </c>
      <c r="M350" t="s">
        <v>925</v>
      </c>
      <c r="N350" t="s">
        <v>207</v>
      </c>
      <c r="O350" t="s">
        <v>963</v>
      </c>
      <c r="P350" t="s">
        <v>208</v>
      </c>
      <c r="Q350" t="s">
        <v>209</v>
      </c>
    </row>
    <row r="351" spans="1:17" x14ac:dyDescent="0.3">
      <c r="A351" t="s">
        <v>964</v>
      </c>
      <c r="C351" t="s">
        <v>965</v>
      </c>
      <c r="D351" t="s">
        <v>965</v>
      </c>
      <c r="E351" s="5">
        <v>46268</v>
      </c>
      <c r="F351" t="s">
        <v>204</v>
      </c>
      <c r="G351" t="s">
        <v>220</v>
      </c>
      <c r="H351">
        <v>798</v>
      </c>
      <c r="I351">
        <v>0</v>
      </c>
      <c r="J351">
        <v>0</v>
      </c>
      <c r="K351">
        <v>798</v>
      </c>
      <c r="L351" s="5">
        <v>46270</v>
      </c>
      <c r="M351" t="s">
        <v>925</v>
      </c>
      <c r="N351" t="s">
        <v>207</v>
      </c>
      <c r="O351" t="s">
        <v>965</v>
      </c>
      <c r="P351" t="s">
        <v>208</v>
      </c>
      <c r="Q351" t="s">
        <v>209</v>
      </c>
    </row>
    <row r="352" spans="1:17" x14ac:dyDescent="0.3">
      <c r="A352" t="s">
        <v>966</v>
      </c>
      <c r="C352" t="s">
        <v>967</v>
      </c>
      <c r="D352" t="s">
        <v>967</v>
      </c>
      <c r="E352" s="5">
        <v>46268</v>
      </c>
      <c r="F352" t="s">
        <v>204</v>
      </c>
      <c r="G352" t="s">
        <v>255</v>
      </c>
      <c r="H352">
        <v>1998</v>
      </c>
      <c r="I352">
        <v>29.97</v>
      </c>
      <c r="J352">
        <v>5.39</v>
      </c>
      <c r="K352">
        <v>1962.64</v>
      </c>
      <c r="L352" s="5">
        <v>46270</v>
      </c>
      <c r="M352" t="s">
        <v>925</v>
      </c>
      <c r="N352" t="s">
        <v>207</v>
      </c>
      <c r="O352" t="s">
        <v>967</v>
      </c>
      <c r="P352" t="s">
        <v>208</v>
      </c>
      <c r="Q352" t="s">
        <v>209</v>
      </c>
    </row>
    <row r="353" spans="1:17" x14ac:dyDescent="0.3">
      <c r="A353" t="s">
        <v>968</v>
      </c>
      <c r="C353" t="s">
        <v>969</v>
      </c>
      <c r="D353" t="s">
        <v>969</v>
      </c>
      <c r="E353" s="5">
        <v>46268</v>
      </c>
      <c r="F353" t="s">
        <v>204</v>
      </c>
      <c r="G353" t="s">
        <v>205</v>
      </c>
      <c r="H353">
        <v>2647</v>
      </c>
      <c r="I353">
        <v>45</v>
      </c>
      <c r="J353">
        <v>8.1</v>
      </c>
      <c r="K353">
        <v>2593.9</v>
      </c>
      <c r="L353" s="5">
        <v>46270</v>
      </c>
      <c r="M353" t="s">
        <v>925</v>
      </c>
      <c r="N353" t="s">
        <v>207</v>
      </c>
      <c r="O353" t="s">
        <v>969</v>
      </c>
      <c r="P353" t="s">
        <v>208</v>
      </c>
      <c r="Q353" t="s">
        <v>209</v>
      </c>
    </row>
    <row r="354" spans="1:17" x14ac:dyDescent="0.3">
      <c r="A354" t="s">
        <v>970</v>
      </c>
      <c r="C354" t="s">
        <v>971</v>
      </c>
      <c r="D354" t="s">
        <v>972</v>
      </c>
      <c r="E354" s="5">
        <v>46268</v>
      </c>
      <c r="F354" t="s">
        <v>204</v>
      </c>
      <c r="G354" t="s">
        <v>205</v>
      </c>
      <c r="H354">
        <v>999</v>
      </c>
      <c r="I354">
        <v>18.98</v>
      </c>
      <c r="J354">
        <v>3.42</v>
      </c>
      <c r="K354">
        <v>976.6</v>
      </c>
      <c r="L354" s="5">
        <v>46270</v>
      </c>
      <c r="M354" t="s">
        <v>925</v>
      </c>
      <c r="N354" t="s">
        <v>207</v>
      </c>
      <c r="O354" t="s">
        <v>972</v>
      </c>
      <c r="P354" t="s">
        <v>208</v>
      </c>
      <c r="Q354" t="s">
        <v>209</v>
      </c>
    </row>
    <row r="355" spans="1:17" x14ac:dyDescent="0.3">
      <c r="A355" t="s">
        <v>973</v>
      </c>
      <c r="C355" t="s">
        <v>974</v>
      </c>
      <c r="D355" t="s">
        <v>974</v>
      </c>
      <c r="E355" s="5">
        <v>46268</v>
      </c>
      <c r="F355" t="s">
        <v>204</v>
      </c>
      <c r="G355" t="s">
        <v>220</v>
      </c>
      <c r="H355">
        <v>3499</v>
      </c>
      <c r="I355">
        <v>10.5</v>
      </c>
      <c r="J355">
        <v>1.89</v>
      </c>
      <c r="K355">
        <v>3486.61</v>
      </c>
      <c r="L355" s="5">
        <v>46270</v>
      </c>
      <c r="M355" t="s">
        <v>925</v>
      </c>
      <c r="N355" t="s">
        <v>207</v>
      </c>
      <c r="O355" t="s">
        <v>974</v>
      </c>
      <c r="P355" t="s">
        <v>208</v>
      </c>
      <c r="Q355" t="s">
        <v>209</v>
      </c>
    </row>
    <row r="356" spans="1:17" x14ac:dyDescent="0.3">
      <c r="A356" t="s">
        <v>975</v>
      </c>
      <c r="C356" t="s">
        <v>976</v>
      </c>
      <c r="D356" t="s">
        <v>976</v>
      </c>
      <c r="E356" s="5">
        <v>46268</v>
      </c>
      <c r="F356" t="s">
        <v>204</v>
      </c>
      <c r="G356" t="s">
        <v>213</v>
      </c>
      <c r="H356">
        <v>6998</v>
      </c>
      <c r="I356">
        <v>111.97</v>
      </c>
      <c r="J356">
        <v>20.149999999999999</v>
      </c>
      <c r="K356">
        <v>6865.88</v>
      </c>
      <c r="L356" s="5">
        <v>46270</v>
      </c>
      <c r="M356" t="s">
        <v>925</v>
      </c>
      <c r="N356" t="s">
        <v>207</v>
      </c>
      <c r="O356" t="s">
        <v>976</v>
      </c>
      <c r="P356" t="s">
        <v>208</v>
      </c>
      <c r="Q356" t="s">
        <v>209</v>
      </c>
    </row>
    <row r="357" spans="1:17" x14ac:dyDescent="0.3">
      <c r="A357" t="s">
        <v>977</v>
      </c>
      <c r="C357" t="s">
        <v>978</v>
      </c>
      <c r="D357" t="s">
        <v>978</v>
      </c>
      <c r="E357" s="5">
        <v>46268</v>
      </c>
      <c r="F357" t="s">
        <v>204</v>
      </c>
      <c r="G357" t="s">
        <v>255</v>
      </c>
      <c r="H357">
        <v>2998</v>
      </c>
      <c r="I357">
        <v>35.979999999999997</v>
      </c>
      <c r="J357">
        <v>6.48</v>
      </c>
      <c r="K357">
        <v>2955.54</v>
      </c>
      <c r="L357" s="5">
        <v>46270</v>
      </c>
      <c r="M357" t="s">
        <v>925</v>
      </c>
      <c r="N357" t="s">
        <v>207</v>
      </c>
      <c r="O357" t="s">
        <v>978</v>
      </c>
      <c r="P357" t="s">
        <v>208</v>
      </c>
      <c r="Q357" t="s">
        <v>209</v>
      </c>
    </row>
    <row r="358" spans="1:17" x14ac:dyDescent="0.3">
      <c r="A358" t="s">
        <v>979</v>
      </c>
      <c r="C358" t="s">
        <v>980</v>
      </c>
      <c r="D358" t="s">
        <v>981</v>
      </c>
      <c r="E358" s="5">
        <v>46268</v>
      </c>
      <c r="F358" t="s">
        <v>204</v>
      </c>
      <c r="G358" t="s">
        <v>255</v>
      </c>
      <c r="H358">
        <v>1348</v>
      </c>
      <c r="I358">
        <v>20.22</v>
      </c>
      <c r="J358">
        <v>3.64</v>
      </c>
      <c r="K358">
        <v>1324.14</v>
      </c>
      <c r="L358" s="5">
        <v>46270</v>
      </c>
      <c r="M358" t="s">
        <v>925</v>
      </c>
      <c r="N358" t="s">
        <v>207</v>
      </c>
      <c r="O358" t="s">
        <v>981</v>
      </c>
      <c r="P358" t="s">
        <v>208</v>
      </c>
      <c r="Q358" t="s">
        <v>209</v>
      </c>
    </row>
    <row r="359" spans="1:17" x14ac:dyDescent="0.3">
      <c r="A359" t="s">
        <v>982</v>
      </c>
      <c r="C359" t="s">
        <v>983</v>
      </c>
      <c r="D359" t="s">
        <v>984</v>
      </c>
      <c r="E359" s="5">
        <v>46268</v>
      </c>
      <c r="F359" t="s">
        <v>204</v>
      </c>
      <c r="G359" t="s">
        <v>205</v>
      </c>
      <c r="H359">
        <v>3798</v>
      </c>
      <c r="I359">
        <v>64.569999999999993</v>
      </c>
      <c r="J359">
        <v>11.62</v>
      </c>
      <c r="K359">
        <v>3721.81</v>
      </c>
      <c r="L359" s="5">
        <v>46270</v>
      </c>
      <c r="M359" t="s">
        <v>925</v>
      </c>
      <c r="N359" t="s">
        <v>207</v>
      </c>
      <c r="O359" t="s">
        <v>984</v>
      </c>
      <c r="P359" t="s">
        <v>208</v>
      </c>
      <c r="Q359" t="s">
        <v>209</v>
      </c>
    </row>
    <row r="360" spans="1:17" x14ac:dyDescent="0.3">
      <c r="A360" t="s">
        <v>985</v>
      </c>
      <c r="C360" t="s">
        <v>986</v>
      </c>
      <c r="D360" t="s">
        <v>986</v>
      </c>
      <c r="E360" s="5">
        <v>46268</v>
      </c>
      <c r="F360" t="s">
        <v>204</v>
      </c>
      <c r="G360" t="s">
        <v>213</v>
      </c>
      <c r="H360">
        <v>3499</v>
      </c>
      <c r="I360">
        <v>55.98</v>
      </c>
      <c r="J360">
        <v>10.08</v>
      </c>
      <c r="K360">
        <v>3432.94</v>
      </c>
      <c r="L360" s="5">
        <v>46270</v>
      </c>
      <c r="M360" t="s">
        <v>925</v>
      </c>
      <c r="N360" t="s">
        <v>207</v>
      </c>
      <c r="O360" t="s">
        <v>986</v>
      </c>
      <c r="P360" t="s">
        <v>208</v>
      </c>
      <c r="Q360" t="s">
        <v>209</v>
      </c>
    </row>
    <row r="361" spans="1:17" x14ac:dyDescent="0.3">
      <c r="A361" t="s">
        <v>987</v>
      </c>
      <c r="C361" t="s">
        <v>988</v>
      </c>
      <c r="D361" t="s">
        <v>988</v>
      </c>
      <c r="E361" s="5">
        <v>46268</v>
      </c>
      <c r="F361" t="s">
        <v>204</v>
      </c>
      <c r="G361" t="s">
        <v>220</v>
      </c>
      <c r="H361">
        <v>6298</v>
      </c>
      <c r="I361">
        <v>18.89</v>
      </c>
      <c r="J361">
        <v>3.4</v>
      </c>
      <c r="K361">
        <v>6275.71</v>
      </c>
      <c r="L361" s="5">
        <v>46270</v>
      </c>
      <c r="M361" t="s">
        <v>925</v>
      </c>
      <c r="N361" t="s">
        <v>207</v>
      </c>
      <c r="O361" t="s">
        <v>988</v>
      </c>
      <c r="P361" t="s">
        <v>208</v>
      </c>
      <c r="Q361" t="s">
        <v>209</v>
      </c>
    </row>
    <row r="362" spans="1:17" x14ac:dyDescent="0.3">
      <c r="A362" t="s">
        <v>989</v>
      </c>
      <c r="C362" t="s">
        <v>990</v>
      </c>
      <c r="D362" t="s">
        <v>990</v>
      </c>
      <c r="E362" s="5">
        <v>46268</v>
      </c>
      <c r="F362" t="s">
        <v>204</v>
      </c>
      <c r="G362" t="s">
        <v>205</v>
      </c>
      <c r="H362">
        <v>799</v>
      </c>
      <c r="I362">
        <v>15.18</v>
      </c>
      <c r="J362">
        <v>2.73</v>
      </c>
      <c r="K362">
        <v>781.09</v>
      </c>
      <c r="L362" s="5">
        <v>46270</v>
      </c>
      <c r="M362" t="s">
        <v>925</v>
      </c>
      <c r="N362" t="s">
        <v>207</v>
      </c>
      <c r="O362" t="s">
        <v>990</v>
      </c>
      <c r="P362" t="s">
        <v>208</v>
      </c>
      <c r="Q362" t="s">
        <v>209</v>
      </c>
    </row>
    <row r="363" spans="1:17" x14ac:dyDescent="0.3">
      <c r="A363" t="s">
        <v>991</v>
      </c>
      <c r="C363" t="s">
        <v>992</v>
      </c>
      <c r="D363" t="s">
        <v>992</v>
      </c>
      <c r="E363" s="5">
        <v>46268</v>
      </c>
      <c r="F363" t="s">
        <v>204</v>
      </c>
      <c r="G363" t="s">
        <v>220</v>
      </c>
      <c r="H363">
        <v>3499</v>
      </c>
      <c r="I363">
        <v>10.5</v>
      </c>
      <c r="J363">
        <v>1.89</v>
      </c>
      <c r="K363">
        <v>3486.61</v>
      </c>
      <c r="L363" s="5">
        <v>46270</v>
      </c>
      <c r="M363" t="s">
        <v>925</v>
      </c>
      <c r="N363" t="s">
        <v>207</v>
      </c>
      <c r="O363" t="s">
        <v>992</v>
      </c>
      <c r="P363" t="s">
        <v>208</v>
      </c>
      <c r="Q363" t="s">
        <v>209</v>
      </c>
    </row>
    <row r="364" spans="1:17" x14ac:dyDescent="0.3">
      <c r="A364" t="s">
        <v>993</v>
      </c>
      <c r="C364" t="s">
        <v>994</v>
      </c>
      <c r="D364" t="s">
        <v>994</v>
      </c>
      <c r="E364" s="5">
        <v>46268</v>
      </c>
      <c r="F364" t="s">
        <v>204</v>
      </c>
      <c r="G364" t="s">
        <v>220</v>
      </c>
      <c r="H364">
        <v>499</v>
      </c>
      <c r="I364">
        <v>0</v>
      </c>
      <c r="J364">
        <v>0</v>
      </c>
      <c r="K364">
        <v>499</v>
      </c>
      <c r="L364" s="5">
        <v>46270</v>
      </c>
      <c r="M364" t="s">
        <v>925</v>
      </c>
      <c r="N364" t="s">
        <v>207</v>
      </c>
      <c r="O364" t="s">
        <v>994</v>
      </c>
      <c r="P364" t="s">
        <v>208</v>
      </c>
      <c r="Q364" t="s">
        <v>209</v>
      </c>
    </row>
    <row r="365" spans="1:17" x14ac:dyDescent="0.3">
      <c r="A365" t="s">
        <v>995</v>
      </c>
      <c r="C365" t="s">
        <v>996</v>
      </c>
      <c r="D365" t="s">
        <v>996</v>
      </c>
      <c r="E365" s="5">
        <v>46268</v>
      </c>
      <c r="F365" t="s">
        <v>204</v>
      </c>
      <c r="G365" t="s">
        <v>220</v>
      </c>
      <c r="H365">
        <v>3498</v>
      </c>
      <c r="I365">
        <v>10.49</v>
      </c>
      <c r="J365">
        <v>1.89</v>
      </c>
      <c r="K365">
        <v>3485.62</v>
      </c>
      <c r="L365" s="5">
        <v>46270</v>
      </c>
      <c r="M365" t="s">
        <v>925</v>
      </c>
      <c r="N365" t="s">
        <v>207</v>
      </c>
      <c r="O365" t="s">
        <v>996</v>
      </c>
      <c r="P365" t="s">
        <v>208</v>
      </c>
      <c r="Q365" t="s">
        <v>209</v>
      </c>
    </row>
    <row r="366" spans="1:17" x14ac:dyDescent="0.3">
      <c r="A366" t="s">
        <v>997</v>
      </c>
      <c r="C366" t="s">
        <v>998</v>
      </c>
      <c r="D366" t="s">
        <v>998</v>
      </c>
      <c r="E366" s="5">
        <v>46268</v>
      </c>
      <c r="F366" t="s">
        <v>204</v>
      </c>
      <c r="G366" t="s">
        <v>220</v>
      </c>
      <c r="H366">
        <v>349</v>
      </c>
      <c r="I366">
        <v>0</v>
      </c>
      <c r="J366">
        <v>0</v>
      </c>
      <c r="K366">
        <v>349</v>
      </c>
      <c r="L366" s="5">
        <v>46270</v>
      </c>
      <c r="M366" t="s">
        <v>925</v>
      </c>
      <c r="N366" t="s">
        <v>207</v>
      </c>
      <c r="O366" t="s">
        <v>998</v>
      </c>
      <c r="P366" t="s">
        <v>208</v>
      </c>
      <c r="Q366" t="s">
        <v>209</v>
      </c>
    </row>
    <row r="367" spans="1:17" x14ac:dyDescent="0.3">
      <c r="A367" t="s">
        <v>999</v>
      </c>
      <c r="C367" t="s">
        <v>1000</v>
      </c>
      <c r="D367" t="s">
        <v>1000</v>
      </c>
      <c r="E367" s="5">
        <v>46268</v>
      </c>
      <c r="F367" t="s">
        <v>204</v>
      </c>
      <c r="G367" t="s">
        <v>220</v>
      </c>
      <c r="H367">
        <v>349</v>
      </c>
      <c r="I367">
        <v>0</v>
      </c>
      <c r="J367">
        <v>0</v>
      </c>
      <c r="K367">
        <v>349</v>
      </c>
      <c r="L367" s="5">
        <v>46270</v>
      </c>
      <c r="M367" t="s">
        <v>925</v>
      </c>
      <c r="N367" t="s">
        <v>207</v>
      </c>
      <c r="O367" t="s">
        <v>1000</v>
      </c>
      <c r="P367" t="s">
        <v>208</v>
      </c>
      <c r="Q367" t="s">
        <v>209</v>
      </c>
    </row>
    <row r="368" spans="1:17" x14ac:dyDescent="0.3">
      <c r="A368" t="s">
        <v>1001</v>
      </c>
      <c r="C368" t="s">
        <v>1002</v>
      </c>
      <c r="D368" t="s">
        <v>1002</v>
      </c>
      <c r="E368" s="5">
        <v>46268</v>
      </c>
      <c r="F368" t="s">
        <v>204</v>
      </c>
      <c r="G368" t="s">
        <v>213</v>
      </c>
      <c r="H368">
        <v>3998</v>
      </c>
      <c r="I368">
        <v>63.97</v>
      </c>
      <c r="J368">
        <v>11.51</v>
      </c>
      <c r="K368">
        <v>3922.52</v>
      </c>
      <c r="L368" s="5">
        <v>46270</v>
      </c>
      <c r="M368" t="s">
        <v>925</v>
      </c>
      <c r="N368" t="s">
        <v>207</v>
      </c>
      <c r="O368" t="s">
        <v>1002</v>
      </c>
      <c r="P368" t="s">
        <v>208</v>
      </c>
      <c r="Q368" t="s">
        <v>209</v>
      </c>
    </row>
    <row r="369" spans="1:17" x14ac:dyDescent="0.3">
      <c r="A369" t="s">
        <v>1003</v>
      </c>
      <c r="C369" t="s">
        <v>1004</v>
      </c>
      <c r="D369" t="s">
        <v>1005</v>
      </c>
      <c r="E369" s="5">
        <v>46268</v>
      </c>
      <c r="F369" t="s">
        <v>204</v>
      </c>
      <c r="G369" t="s">
        <v>205</v>
      </c>
      <c r="H369">
        <v>299</v>
      </c>
      <c r="I369">
        <v>5.68</v>
      </c>
      <c r="J369">
        <v>1.02</v>
      </c>
      <c r="K369">
        <v>292.3</v>
      </c>
      <c r="L369" s="5">
        <v>46270</v>
      </c>
      <c r="M369" t="s">
        <v>925</v>
      </c>
      <c r="N369" t="s">
        <v>207</v>
      </c>
      <c r="O369" t="s">
        <v>1005</v>
      </c>
      <c r="P369" t="s">
        <v>208</v>
      </c>
      <c r="Q369" t="s">
        <v>209</v>
      </c>
    </row>
    <row r="370" spans="1:17" x14ac:dyDescent="0.3">
      <c r="A370" t="s">
        <v>1006</v>
      </c>
      <c r="C370" t="s">
        <v>1007</v>
      </c>
      <c r="D370" t="s">
        <v>1007</v>
      </c>
      <c r="E370" s="5">
        <v>46268</v>
      </c>
      <c r="F370" t="s">
        <v>204</v>
      </c>
      <c r="G370" t="s">
        <v>205</v>
      </c>
      <c r="H370">
        <v>1799</v>
      </c>
      <c r="I370">
        <v>34.18</v>
      </c>
      <c r="J370">
        <v>6.15</v>
      </c>
      <c r="K370">
        <v>1758.67</v>
      </c>
      <c r="L370" s="5">
        <v>46270</v>
      </c>
      <c r="M370" t="s">
        <v>925</v>
      </c>
      <c r="N370" t="s">
        <v>207</v>
      </c>
      <c r="O370" t="s">
        <v>1007</v>
      </c>
      <c r="P370" t="s">
        <v>208</v>
      </c>
      <c r="Q370" t="s">
        <v>209</v>
      </c>
    </row>
    <row r="371" spans="1:17" x14ac:dyDescent="0.3">
      <c r="A371" t="s">
        <v>1008</v>
      </c>
      <c r="C371" t="s">
        <v>1009</v>
      </c>
      <c r="D371" t="s">
        <v>1009</v>
      </c>
      <c r="E371" s="5">
        <v>46268</v>
      </c>
      <c r="F371" t="s">
        <v>204</v>
      </c>
      <c r="G371" t="s">
        <v>213</v>
      </c>
      <c r="H371">
        <v>1299</v>
      </c>
      <c r="I371">
        <v>23.38</v>
      </c>
      <c r="J371">
        <v>4.21</v>
      </c>
      <c r="K371">
        <v>1271.4100000000001</v>
      </c>
      <c r="L371" s="5">
        <v>46270</v>
      </c>
      <c r="M371" t="s">
        <v>925</v>
      </c>
      <c r="N371" t="s">
        <v>207</v>
      </c>
      <c r="O371" t="s">
        <v>1009</v>
      </c>
      <c r="P371" t="s">
        <v>208</v>
      </c>
      <c r="Q371" t="s">
        <v>209</v>
      </c>
    </row>
    <row r="372" spans="1:17" x14ac:dyDescent="0.3">
      <c r="A372" t="s">
        <v>1010</v>
      </c>
      <c r="C372" t="s">
        <v>1011</v>
      </c>
      <c r="D372" t="s">
        <v>1011</v>
      </c>
      <c r="E372" s="5">
        <v>46268</v>
      </c>
      <c r="F372" t="s">
        <v>204</v>
      </c>
      <c r="G372" t="s">
        <v>220</v>
      </c>
      <c r="H372">
        <v>499</v>
      </c>
      <c r="I372">
        <v>0</v>
      </c>
      <c r="J372">
        <v>0</v>
      </c>
      <c r="K372">
        <v>499</v>
      </c>
      <c r="L372" s="5">
        <v>46270</v>
      </c>
      <c r="M372" t="s">
        <v>925</v>
      </c>
      <c r="N372" t="s">
        <v>207</v>
      </c>
      <c r="O372" t="s">
        <v>1011</v>
      </c>
      <c r="P372" t="s">
        <v>208</v>
      </c>
      <c r="Q372" t="s">
        <v>209</v>
      </c>
    </row>
    <row r="373" spans="1:17" x14ac:dyDescent="0.3">
      <c r="A373" t="s">
        <v>1012</v>
      </c>
      <c r="C373" t="s">
        <v>1013</v>
      </c>
      <c r="D373" t="s">
        <v>1013</v>
      </c>
      <c r="E373" s="5">
        <v>46268</v>
      </c>
      <c r="F373" t="s">
        <v>204</v>
      </c>
      <c r="G373" t="s">
        <v>213</v>
      </c>
      <c r="H373">
        <v>2499</v>
      </c>
      <c r="I373">
        <v>39.979999999999997</v>
      </c>
      <c r="J373">
        <v>7.2</v>
      </c>
      <c r="K373">
        <v>2451.8200000000002</v>
      </c>
      <c r="L373" s="5">
        <v>46270</v>
      </c>
      <c r="M373" t="s">
        <v>925</v>
      </c>
      <c r="N373" t="s">
        <v>207</v>
      </c>
      <c r="O373" t="s">
        <v>1013</v>
      </c>
      <c r="P373" t="s">
        <v>208</v>
      </c>
      <c r="Q373" t="s">
        <v>209</v>
      </c>
    </row>
    <row r="374" spans="1:17" x14ac:dyDescent="0.3">
      <c r="A374" t="s">
        <v>1014</v>
      </c>
      <c r="C374" t="s">
        <v>1015</v>
      </c>
      <c r="D374" t="s">
        <v>1015</v>
      </c>
      <c r="E374" s="5">
        <v>46268</v>
      </c>
      <c r="F374" t="s">
        <v>204</v>
      </c>
      <c r="G374" t="s">
        <v>220</v>
      </c>
      <c r="H374">
        <v>3499</v>
      </c>
      <c r="I374">
        <v>10.5</v>
      </c>
      <c r="J374">
        <v>1.89</v>
      </c>
      <c r="K374">
        <v>3486.61</v>
      </c>
      <c r="L374" s="5">
        <v>46270</v>
      </c>
      <c r="M374" t="s">
        <v>925</v>
      </c>
      <c r="N374" t="s">
        <v>207</v>
      </c>
      <c r="O374" t="s">
        <v>1015</v>
      </c>
      <c r="P374" t="s">
        <v>208</v>
      </c>
      <c r="Q374" t="s">
        <v>209</v>
      </c>
    </row>
    <row r="375" spans="1:17" x14ac:dyDescent="0.3">
      <c r="A375" t="s">
        <v>1016</v>
      </c>
      <c r="C375" t="s">
        <v>1017</v>
      </c>
      <c r="D375" t="s">
        <v>1017</v>
      </c>
      <c r="E375" s="5">
        <v>46268</v>
      </c>
      <c r="F375" t="s">
        <v>204</v>
      </c>
      <c r="G375" t="s">
        <v>205</v>
      </c>
      <c r="H375">
        <v>4298</v>
      </c>
      <c r="I375">
        <v>73.069999999999993</v>
      </c>
      <c r="J375">
        <v>13.15</v>
      </c>
      <c r="K375">
        <v>4211.78</v>
      </c>
      <c r="L375" s="5">
        <v>46270</v>
      </c>
      <c r="M375" t="s">
        <v>925</v>
      </c>
      <c r="N375" t="s">
        <v>207</v>
      </c>
      <c r="O375" t="s">
        <v>1017</v>
      </c>
      <c r="P375" t="s">
        <v>208</v>
      </c>
      <c r="Q375" t="s">
        <v>209</v>
      </c>
    </row>
    <row r="376" spans="1:17" x14ac:dyDescent="0.3">
      <c r="A376" t="s">
        <v>1018</v>
      </c>
      <c r="C376" t="s">
        <v>1019</v>
      </c>
      <c r="D376" t="s">
        <v>1019</v>
      </c>
      <c r="E376" s="5">
        <v>46268</v>
      </c>
      <c r="F376" t="s">
        <v>204</v>
      </c>
      <c r="G376" t="s">
        <v>255</v>
      </c>
      <c r="H376">
        <v>10498</v>
      </c>
      <c r="I376">
        <v>94.48</v>
      </c>
      <c r="J376">
        <v>17.010000000000002</v>
      </c>
      <c r="K376">
        <v>10386.51</v>
      </c>
      <c r="L376" s="5">
        <v>46270</v>
      </c>
      <c r="M376" t="s">
        <v>925</v>
      </c>
      <c r="N376" t="s">
        <v>207</v>
      </c>
      <c r="O376" t="s">
        <v>1019</v>
      </c>
      <c r="P376" t="s">
        <v>208</v>
      </c>
      <c r="Q376" t="s">
        <v>209</v>
      </c>
    </row>
    <row r="377" spans="1:17" x14ac:dyDescent="0.3">
      <c r="A377" t="s">
        <v>1020</v>
      </c>
      <c r="C377" t="s">
        <v>1021</v>
      </c>
      <c r="D377" t="s">
        <v>1021</v>
      </c>
      <c r="E377" s="5">
        <v>46268</v>
      </c>
      <c r="F377" t="s">
        <v>204</v>
      </c>
      <c r="G377" t="s">
        <v>205</v>
      </c>
      <c r="H377">
        <v>1598</v>
      </c>
      <c r="I377">
        <v>30.36</v>
      </c>
      <c r="J377">
        <v>5.46</v>
      </c>
      <c r="K377">
        <v>1562.18</v>
      </c>
      <c r="L377" s="5">
        <v>46270</v>
      </c>
      <c r="M377" t="s">
        <v>925</v>
      </c>
      <c r="N377" t="s">
        <v>207</v>
      </c>
      <c r="O377" t="s">
        <v>1021</v>
      </c>
      <c r="P377" t="s">
        <v>208</v>
      </c>
      <c r="Q377" t="s">
        <v>209</v>
      </c>
    </row>
    <row r="378" spans="1:17" x14ac:dyDescent="0.3">
      <c r="A378" t="s">
        <v>1022</v>
      </c>
      <c r="C378" t="s">
        <v>1023</v>
      </c>
      <c r="D378" t="s">
        <v>1023</v>
      </c>
      <c r="E378" s="5">
        <v>46268</v>
      </c>
      <c r="F378" t="s">
        <v>204</v>
      </c>
      <c r="G378" t="s">
        <v>213</v>
      </c>
      <c r="H378">
        <v>2999</v>
      </c>
      <c r="I378">
        <v>47.98</v>
      </c>
      <c r="J378">
        <v>8.64</v>
      </c>
      <c r="K378">
        <v>2942.38</v>
      </c>
      <c r="L378" s="5">
        <v>46270</v>
      </c>
      <c r="M378" t="s">
        <v>925</v>
      </c>
      <c r="N378" t="s">
        <v>207</v>
      </c>
      <c r="O378" t="s">
        <v>1023</v>
      </c>
      <c r="P378" t="s">
        <v>208</v>
      </c>
      <c r="Q378" t="s">
        <v>209</v>
      </c>
    </row>
    <row r="379" spans="1:17" x14ac:dyDescent="0.3">
      <c r="A379" t="s">
        <v>1024</v>
      </c>
      <c r="C379" t="s">
        <v>1025</v>
      </c>
      <c r="D379" t="s">
        <v>1025</v>
      </c>
      <c r="E379" s="5">
        <v>46268</v>
      </c>
      <c r="F379" t="s">
        <v>204</v>
      </c>
      <c r="G379" t="s">
        <v>220</v>
      </c>
      <c r="H379">
        <v>1447</v>
      </c>
      <c r="I379">
        <v>0</v>
      </c>
      <c r="J379">
        <v>0</v>
      </c>
      <c r="K379">
        <v>1447</v>
      </c>
      <c r="L379" s="5">
        <v>46270</v>
      </c>
      <c r="M379" t="s">
        <v>925</v>
      </c>
      <c r="N379" t="s">
        <v>207</v>
      </c>
      <c r="O379" t="s">
        <v>1025</v>
      </c>
      <c r="P379" t="s">
        <v>208</v>
      </c>
      <c r="Q379" t="s">
        <v>209</v>
      </c>
    </row>
    <row r="380" spans="1:17" x14ac:dyDescent="0.3">
      <c r="A380" t="s">
        <v>1026</v>
      </c>
      <c r="C380" t="s">
        <v>1027</v>
      </c>
      <c r="D380" t="s">
        <v>1027</v>
      </c>
      <c r="E380" s="5">
        <v>46268</v>
      </c>
      <c r="F380" t="s">
        <v>204</v>
      </c>
      <c r="G380" t="s">
        <v>220</v>
      </c>
      <c r="H380">
        <v>499</v>
      </c>
      <c r="I380">
        <v>1.5</v>
      </c>
      <c r="J380">
        <v>0.27</v>
      </c>
      <c r="K380">
        <v>497.23</v>
      </c>
      <c r="L380" s="5">
        <v>46270</v>
      </c>
      <c r="M380" t="s">
        <v>925</v>
      </c>
      <c r="N380" t="s">
        <v>207</v>
      </c>
      <c r="O380" t="s">
        <v>1027</v>
      </c>
      <c r="P380" t="s">
        <v>208</v>
      </c>
      <c r="Q380" t="s">
        <v>209</v>
      </c>
    </row>
    <row r="381" spans="1:17" x14ac:dyDescent="0.3">
      <c r="A381" t="s">
        <v>1028</v>
      </c>
      <c r="C381" t="s">
        <v>1029</v>
      </c>
      <c r="D381" t="s">
        <v>1029</v>
      </c>
      <c r="E381" s="5">
        <v>46268</v>
      </c>
      <c r="F381" t="s">
        <v>204</v>
      </c>
      <c r="G381" t="s">
        <v>255</v>
      </c>
      <c r="H381">
        <v>349</v>
      </c>
      <c r="I381">
        <v>5.24</v>
      </c>
      <c r="J381">
        <v>0.94</v>
      </c>
      <c r="K381">
        <v>342.82</v>
      </c>
      <c r="L381" s="5">
        <v>46270</v>
      </c>
      <c r="M381" t="s">
        <v>925</v>
      </c>
      <c r="N381" t="s">
        <v>207</v>
      </c>
      <c r="O381" t="s">
        <v>1029</v>
      </c>
      <c r="P381" t="s">
        <v>208</v>
      </c>
      <c r="Q381" t="s">
        <v>209</v>
      </c>
    </row>
    <row r="382" spans="1:17" x14ac:dyDescent="0.3">
      <c r="A382" t="s">
        <v>1030</v>
      </c>
      <c r="C382" t="s">
        <v>1031</v>
      </c>
      <c r="D382" t="s">
        <v>1031</v>
      </c>
      <c r="E382" s="5">
        <v>46268</v>
      </c>
      <c r="F382" t="s">
        <v>204</v>
      </c>
      <c r="G382" t="s">
        <v>220</v>
      </c>
      <c r="H382">
        <v>2499</v>
      </c>
      <c r="I382">
        <v>7.5</v>
      </c>
      <c r="J382">
        <v>1.35</v>
      </c>
      <c r="K382">
        <v>2490.15</v>
      </c>
      <c r="L382" s="5">
        <v>46270</v>
      </c>
      <c r="M382" t="s">
        <v>925</v>
      </c>
      <c r="N382" t="s">
        <v>207</v>
      </c>
      <c r="O382" t="s">
        <v>1031</v>
      </c>
      <c r="P382" t="s">
        <v>208</v>
      </c>
      <c r="Q382" t="s">
        <v>209</v>
      </c>
    </row>
    <row r="383" spans="1:17" x14ac:dyDescent="0.3">
      <c r="A383" t="s">
        <v>1032</v>
      </c>
      <c r="C383" t="s">
        <v>1033</v>
      </c>
      <c r="D383" t="s">
        <v>1033</v>
      </c>
      <c r="E383" s="5">
        <v>46268</v>
      </c>
      <c r="F383" t="s">
        <v>204</v>
      </c>
      <c r="G383" t="s">
        <v>220</v>
      </c>
      <c r="H383">
        <v>349</v>
      </c>
      <c r="I383">
        <v>0</v>
      </c>
      <c r="J383">
        <v>0</v>
      </c>
      <c r="K383">
        <v>349</v>
      </c>
      <c r="L383" s="5">
        <v>46270</v>
      </c>
      <c r="M383" t="s">
        <v>925</v>
      </c>
      <c r="N383" t="s">
        <v>207</v>
      </c>
      <c r="O383" t="s">
        <v>1033</v>
      </c>
      <c r="P383" t="s">
        <v>208</v>
      </c>
      <c r="Q383" t="s">
        <v>209</v>
      </c>
    </row>
    <row r="384" spans="1:17" x14ac:dyDescent="0.3">
      <c r="A384" t="s">
        <v>1034</v>
      </c>
      <c r="C384" t="s">
        <v>1035</v>
      </c>
      <c r="D384" t="s">
        <v>1035</v>
      </c>
      <c r="E384" s="5">
        <v>46268</v>
      </c>
      <c r="F384" t="s">
        <v>204</v>
      </c>
      <c r="G384" t="s">
        <v>220</v>
      </c>
      <c r="H384">
        <v>4797</v>
      </c>
      <c r="I384">
        <v>14.39</v>
      </c>
      <c r="J384">
        <v>2.59</v>
      </c>
      <c r="K384">
        <v>4780.0200000000004</v>
      </c>
      <c r="L384" s="5">
        <v>46270</v>
      </c>
      <c r="M384" t="s">
        <v>925</v>
      </c>
      <c r="N384" t="s">
        <v>207</v>
      </c>
      <c r="O384" t="s">
        <v>1035</v>
      </c>
      <c r="P384" t="s">
        <v>208</v>
      </c>
      <c r="Q384" t="s">
        <v>209</v>
      </c>
    </row>
    <row r="385" spans="1:17" x14ac:dyDescent="0.3">
      <c r="A385" t="s">
        <v>1036</v>
      </c>
      <c r="C385" t="s">
        <v>1037</v>
      </c>
      <c r="D385" t="s">
        <v>1037</v>
      </c>
      <c r="E385" s="5">
        <v>46268</v>
      </c>
      <c r="F385" t="s">
        <v>204</v>
      </c>
      <c r="G385" t="s">
        <v>213</v>
      </c>
      <c r="H385">
        <v>999</v>
      </c>
      <c r="I385">
        <v>17.98</v>
      </c>
      <c r="J385">
        <v>3.24</v>
      </c>
      <c r="K385">
        <v>977.78</v>
      </c>
      <c r="L385" s="5">
        <v>46270</v>
      </c>
      <c r="M385" t="s">
        <v>925</v>
      </c>
      <c r="N385" t="s">
        <v>207</v>
      </c>
      <c r="O385" t="s">
        <v>1037</v>
      </c>
      <c r="P385" t="s">
        <v>208</v>
      </c>
      <c r="Q385" t="s">
        <v>209</v>
      </c>
    </row>
    <row r="386" spans="1:17" x14ac:dyDescent="0.3">
      <c r="A386" t="s">
        <v>1038</v>
      </c>
      <c r="C386" t="s">
        <v>1039</v>
      </c>
      <c r="D386" t="s">
        <v>1039</v>
      </c>
      <c r="E386" s="5">
        <v>46268</v>
      </c>
      <c r="F386" t="s">
        <v>204</v>
      </c>
      <c r="G386" t="s">
        <v>220</v>
      </c>
      <c r="H386">
        <v>299</v>
      </c>
      <c r="I386">
        <v>0</v>
      </c>
      <c r="J386">
        <v>0</v>
      </c>
      <c r="K386">
        <v>299</v>
      </c>
      <c r="L386" s="5">
        <v>46270</v>
      </c>
      <c r="M386" t="s">
        <v>925</v>
      </c>
      <c r="N386" t="s">
        <v>207</v>
      </c>
      <c r="O386" t="s">
        <v>1039</v>
      </c>
      <c r="P386" t="s">
        <v>208</v>
      </c>
      <c r="Q386" t="s">
        <v>209</v>
      </c>
    </row>
    <row r="387" spans="1:17" x14ac:dyDescent="0.3">
      <c r="A387" t="s">
        <v>1040</v>
      </c>
      <c r="C387" t="s">
        <v>1041</v>
      </c>
      <c r="D387" t="s">
        <v>1041</v>
      </c>
      <c r="E387" s="5">
        <v>46268</v>
      </c>
      <c r="F387" t="s">
        <v>204</v>
      </c>
      <c r="G387" t="s">
        <v>213</v>
      </c>
      <c r="H387">
        <v>1098</v>
      </c>
      <c r="I387">
        <v>19.760000000000002</v>
      </c>
      <c r="J387">
        <v>3.56</v>
      </c>
      <c r="K387">
        <v>1074.68</v>
      </c>
      <c r="L387" s="5">
        <v>46270</v>
      </c>
      <c r="M387" t="s">
        <v>925</v>
      </c>
      <c r="N387" t="s">
        <v>207</v>
      </c>
      <c r="O387" t="s">
        <v>1041</v>
      </c>
      <c r="P387" t="s">
        <v>208</v>
      </c>
      <c r="Q387" t="s">
        <v>209</v>
      </c>
    </row>
    <row r="388" spans="1:17" x14ac:dyDescent="0.3">
      <c r="A388" t="s">
        <v>1042</v>
      </c>
      <c r="C388" t="s">
        <v>1043</v>
      </c>
      <c r="D388" t="s">
        <v>1044</v>
      </c>
      <c r="E388" s="5">
        <v>46268</v>
      </c>
      <c r="F388" t="s">
        <v>204</v>
      </c>
      <c r="G388" t="s">
        <v>220</v>
      </c>
      <c r="H388">
        <v>499</v>
      </c>
      <c r="I388">
        <v>0</v>
      </c>
      <c r="J388">
        <v>0</v>
      </c>
      <c r="K388">
        <v>499</v>
      </c>
      <c r="L388" s="5">
        <v>46270</v>
      </c>
      <c r="M388" t="s">
        <v>925</v>
      </c>
      <c r="N388" t="s">
        <v>207</v>
      </c>
      <c r="O388" t="s">
        <v>1044</v>
      </c>
      <c r="P388" t="s">
        <v>208</v>
      </c>
      <c r="Q388" t="s">
        <v>209</v>
      </c>
    </row>
    <row r="389" spans="1:17" x14ac:dyDescent="0.3">
      <c r="A389" t="s">
        <v>1045</v>
      </c>
      <c r="C389" t="s">
        <v>1046</v>
      </c>
      <c r="D389" t="s">
        <v>1046</v>
      </c>
      <c r="E389" s="5">
        <v>46268</v>
      </c>
      <c r="F389" t="s">
        <v>204</v>
      </c>
      <c r="G389" t="s">
        <v>220</v>
      </c>
      <c r="H389">
        <v>4297</v>
      </c>
      <c r="I389">
        <v>12.89</v>
      </c>
      <c r="J389">
        <v>2.3199999999999998</v>
      </c>
      <c r="K389">
        <v>4281.79</v>
      </c>
      <c r="L389" s="5">
        <v>46270</v>
      </c>
      <c r="M389" t="s">
        <v>925</v>
      </c>
      <c r="N389" t="s">
        <v>207</v>
      </c>
      <c r="O389" t="s">
        <v>1046</v>
      </c>
      <c r="P389" t="s">
        <v>208</v>
      </c>
      <c r="Q389" t="s">
        <v>209</v>
      </c>
    </row>
    <row r="390" spans="1:17" x14ac:dyDescent="0.3">
      <c r="A390" t="s">
        <v>1047</v>
      </c>
      <c r="C390" t="s">
        <v>1048</v>
      </c>
      <c r="D390" t="s">
        <v>1048</v>
      </c>
      <c r="E390" s="5">
        <v>46268</v>
      </c>
      <c r="F390" t="s">
        <v>204</v>
      </c>
      <c r="G390" t="s">
        <v>220</v>
      </c>
      <c r="H390">
        <v>5998</v>
      </c>
      <c r="I390">
        <v>17.989999999999998</v>
      </c>
      <c r="J390">
        <v>3.24</v>
      </c>
      <c r="K390">
        <v>5976.77</v>
      </c>
      <c r="L390" s="5">
        <v>46270</v>
      </c>
      <c r="M390" t="s">
        <v>925</v>
      </c>
      <c r="N390" t="s">
        <v>207</v>
      </c>
      <c r="O390" t="s">
        <v>1048</v>
      </c>
      <c r="P390" t="s">
        <v>208</v>
      </c>
      <c r="Q390" t="s">
        <v>209</v>
      </c>
    </row>
    <row r="391" spans="1:17" x14ac:dyDescent="0.3">
      <c r="A391" t="s">
        <v>1049</v>
      </c>
      <c r="C391" t="s">
        <v>1050</v>
      </c>
      <c r="D391" t="s">
        <v>1050</v>
      </c>
      <c r="E391" s="5">
        <v>46268</v>
      </c>
      <c r="F391" t="s">
        <v>204</v>
      </c>
      <c r="G391" t="s">
        <v>213</v>
      </c>
      <c r="H391">
        <v>1799</v>
      </c>
      <c r="I391">
        <v>32.380000000000003</v>
      </c>
      <c r="J391">
        <v>5.83</v>
      </c>
      <c r="K391">
        <v>1760.79</v>
      </c>
      <c r="L391" s="5">
        <v>46270</v>
      </c>
      <c r="M391" t="s">
        <v>925</v>
      </c>
      <c r="N391" t="s">
        <v>207</v>
      </c>
      <c r="O391" t="s">
        <v>1050</v>
      </c>
      <c r="P391" t="s">
        <v>208</v>
      </c>
      <c r="Q391" t="s">
        <v>209</v>
      </c>
    </row>
    <row r="392" spans="1:17" x14ac:dyDescent="0.3">
      <c r="A392" t="s">
        <v>1051</v>
      </c>
      <c r="C392" t="s">
        <v>1052</v>
      </c>
      <c r="D392" t="s">
        <v>1052</v>
      </c>
      <c r="E392" s="5">
        <v>46268</v>
      </c>
      <c r="F392" t="s">
        <v>204</v>
      </c>
      <c r="G392" t="s">
        <v>213</v>
      </c>
      <c r="H392">
        <v>2597</v>
      </c>
      <c r="I392">
        <v>41.55</v>
      </c>
      <c r="J392">
        <v>7.48</v>
      </c>
      <c r="K392">
        <v>2547.9699999999998</v>
      </c>
      <c r="L392" s="5">
        <v>46270</v>
      </c>
      <c r="M392" t="s">
        <v>925</v>
      </c>
      <c r="N392" t="s">
        <v>207</v>
      </c>
      <c r="O392" t="s">
        <v>1052</v>
      </c>
      <c r="P392" t="s">
        <v>208</v>
      </c>
      <c r="Q392" t="s">
        <v>209</v>
      </c>
    </row>
    <row r="393" spans="1:17" x14ac:dyDescent="0.3">
      <c r="A393" t="s">
        <v>1053</v>
      </c>
      <c r="C393" t="s">
        <v>1054</v>
      </c>
      <c r="D393" t="s">
        <v>1054</v>
      </c>
      <c r="E393" s="5">
        <v>46268</v>
      </c>
      <c r="F393" t="s">
        <v>204</v>
      </c>
      <c r="G393" t="s">
        <v>220</v>
      </c>
      <c r="H393">
        <v>299</v>
      </c>
      <c r="I393">
        <v>0</v>
      </c>
      <c r="J393">
        <v>0</v>
      </c>
      <c r="K393">
        <v>299</v>
      </c>
      <c r="L393" s="5">
        <v>46270</v>
      </c>
      <c r="M393" t="s">
        <v>925</v>
      </c>
      <c r="N393" t="s">
        <v>207</v>
      </c>
      <c r="O393" t="s">
        <v>1054</v>
      </c>
      <c r="P393" t="s">
        <v>208</v>
      </c>
      <c r="Q393" t="s">
        <v>209</v>
      </c>
    </row>
    <row r="394" spans="1:17" x14ac:dyDescent="0.3">
      <c r="A394" t="s">
        <v>1055</v>
      </c>
      <c r="C394" t="s">
        <v>1056</v>
      </c>
      <c r="D394" t="s">
        <v>1056</v>
      </c>
      <c r="E394" s="5">
        <v>46268</v>
      </c>
      <c r="F394" t="s">
        <v>204</v>
      </c>
      <c r="G394" t="s">
        <v>220</v>
      </c>
      <c r="H394">
        <v>6997</v>
      </c>
      <c r="I394">
        <v>20.99</v>
      </c>
      <c r="J394">
        <v>3.78</v>
      </c>
      <c r="K394">
        <v>6972.23</v>
      </c>
      <c r="L394" s="5">
        <v>46270</v>
      </c>
      <c r="M394" t="s">
        <v>925</v>
      </c>
      <c r="N394" t="s">
        <v>207</v>
      </c>
      <c r="O394" t="s">
        <v>1056</v>
      </c>
      <c r="P394" t="s">
        <v>208</v>
      </c>
      <c r="Q394" t="s">
        <v>209</v>
      </c>
    </row>
    <row r="395" spans="1:17" x14ac:dyDescent="0.3">
      <c r="A395" t="s">
        <v>1057</v>
      </c>
      <c r="C395" t="s">
        <v>1058</v>
      </c>
      <c r="D395" t="s">
        <v>1059</v>
      </c>
      <c r="E395" s="5">
        <v>46268</v>
      </c>
      <c r="F395" t="s">
        <v>204</v>
      </c>
      <c r="G395" t="s">
        <v>213</v>
      </c>
      <c r="H395">
        <v>299</v>
      </c>
      <c r="I395">
        <v>5.38</v>
      </c>
      <c r="J395">
        <v>0.97</v>
      </c>
      <c r="K395">
        <v>292.64999999999998</v>
      </c>
      <c r="L395" s="5">
        <v>46270</v>
      </c>
      <c r="M395" t="s">
        <v>925</v>
      </c>
      <c r="N395" t="s">
        <v>207</v>
      </c>
      <c r="O395" t="s">
        <v>1059</v>
      </c>
      <c r="P395" t="s">
        <v>208</v>
      </c>
      <c r="Q395" t="s">
        <v>209</v>
      </c>
    </row>
    <row r="396" spans="1:17" x14ac:dyDescent="0.3">
      <c r="A396" t="s">
        <v>1060</v>
      </c>
      <c r="C396" t="s">
        <v>1061</v>
      </c>
      <c r="D396" t="s">
        <v>1061</v>
      </c>
      <c r="E396" s="5">
        <v>46268</v>
      </c>
      <c r="F396" t="s">
        <v>204</v>
      </c>
      <c r="G396" t="s">
        <v>220</v>
      </c>
      <c r="H396">
        <v>15998</v>
      </c>
      <c r="I396">
        <v>47.99</v>
      </c>
      <c r="J396">
        <v>8.64</v>
      </c>
      <c r="K396">
        <v>15941.37</v>
      </c>
      <c r="L396" s="5">
        <v>46270</v>
      </c>
      <c r="M396" t="s">
        <v>925</v>
      </c>
      <c r="N396" t="s">
        <v>207</v>
      </c>
      <c r="O396" t="s">
        <v>1061</v>
      </c>
      <c r="P396" t="s">
        <v>208</v>
      </c>
      <c r="Q396" t="s">
        <v>209</v>
      </c>
    </row>
    <row r="397" spans="1:17" x14ac:dyDescent="0.3">
      <c r="A397" t="s">
        <v>1062</v>
      </c>
      <c r="C397" t="s">
        <v>1063</v>
      </c>
      <c r="D397" t="s">
        <v>1063</v>
      </c>
      <c r="E397" s="5">
        <v>46268</v>
      </c>
      <c r="F397" t="s">
        <v>204</v>
      </c>
      <c r="G397" t="s">
        <v>220</v>
      </c>
      <c r="H397">
        <v>5598</v>
      </c>
      <c r="I397">
        <v>16.79</v>
      </c>
      <c r="J397">
        <v>3.02</v>
      </c>
      <c r="K397">
        <v>5578.19</v>
      </c>
      <c r="L397" s="5">
        <v>46270</v>
      </c>
      <c r="M397" t="s">
        <v>925</v>
      </c>
      <c r="N397" t="s">
        <v>207</v>
      </c>
      <c r="O397" t="s">
        <v>1063</v>
      </c>
      <c r="P397" t="s">
        <v>208</v>
      </c>
      <c r="Q397" t="s">
        <v>209</v>
      </c>
    </row>
    <row r="398" spans="1:17" x14ac:dyDescent="0.3">
      <c r="A398" t="s">
        <v>1064</v>
      </c>
      <c r="C398" t="s">
        <v>1065</v>
      </c>
      <c r="D398" t="s">
        <v>1065</v>
      </c>
      <c r="E398" s="5">
        <v>46268</v>
      </c>
      <c r="F398" t="s">
        <v>204</v>
      </c>
      <c r="G398" t="s">
        <v>213</v>
      </c>
      <c r="H398">
        <v>5348</v>
      </c>
      <c r="I398">
        <v>85.57</v>
      </c>
      <c r="J398">
        <v>15.4</v>
      </c>
      <c r="K398">
        <v>5247.03</v>
      </c>
      <c r="L398" s="5">
        <v>46270</v>
      </c>
      <c r="M398" t="s">
        <v>925</v>
      </c>
      <c r="N398" t="s">
        <v>207</v>
      </c>
      <c r="O398" t="s">
        <v>1065</v>
      </c>
      <c r="P398" t="s">
        <v>208</v>
      </c>
      <c r="Q398" t="s">
        <v>209</v>
      </c>
    </row>
    <row r="399" spans="1:17" x14ac:dyDescent="0.3">
      <c r="A399" t="s">
        <v>1066</v>
      </c>
      <c r="C399" t="s">
        <v>1067</v>
      </c>
      <c r="D399" t="s">
        <v>1067</v>
      </c>
      <c r="E399" s="5">
        <v>46268</v>
      </c>
      <c r="F399" t="s">
        <v>204</v>
      </c>
      <c r="G399" t="s">
        <v>220</v>
      </c>
      <c r="H399">
        <v>698</v>
      </c>
      <c r="I399">
        <v>0</v>
      </c>
      <c r="J399">
        <v>0</v>
      </c>
      <c r="K399">
        <v>698</v>
      </c>
      <c r="L399" s="5">
        <v>46270</v>
      </c>
      <c r="M399" t="s">
        <v>925</v>
      </c>
      <c r="N399" t="s">
        <v>207</v>
      </c>
      <c r="O399" t="s">
        <v>1067</v>
      </c>
      <c r="P399" t="s">
        <v>208</v>
      </c>
      <c r="Q399" t="s">
        <v>209</v>
      </c>
    </row>
    <row r="400" spans="1:17" x14ac:dyDescent="0.3">
      <c r="A400" t="s">
        <v>1068</v>
      </c>
      <c r="C400" t="s">
        <v>1069</v>
      </c>
      <c r="D400" t="s">
        <v>1069</v>
      </c>
      <c r="E400" s="5">
        <v>46268</v>
      </c>
      <c r="F400" t="s">
        <v>204</v>
      </c>
      <c r="G400" t="s">
        <v>205</v>
      </c>
      <c r="H400">
        <v>1299</v>
      </c>
      <c r="I400">
        <v>24.68</v>
      </c>
      <c r="J400">
        <v>4.4400000000000004</v>
      </c>
      <c r="K400">
        <v>1269.8800000000001</v>
      </c>
      <c r="L400" s="5">
        <v>46270</v>
      </c>
      <c r="M400" t="s">
        <v>925</v>
      </c>
      <c r="N400" t="s">
        <v>207</v>
      </c>
      <c r="O400" t="s">
        <v>1069</v>
      </c>
      <c r="P400" t="s">
        <v>208</v>
      </c>
      <c r="Q400" t="s">
        <v>209</v>
      </c>
    </row>
    <row r="401" spans="1:17" x14ac:dyDescent="0.3">
      <c r="A401" t="s">
        <v>1070</v>
      </c>
      <c r="C401" t="s">
        <v>1071</v>
      </c>
      <c r="D401" t="s">
        <v>1071</v>
      </c>
      <c r="E401" s="5">
        <v>46268</v>
      </c>
      <c r="F401" t="s">
        <v>204</v>
      </c>
      <c r="G401" t="s">
        <v>205</v>
      </c>
      <c r="H401">
        <v>2097</v>
      </c>
      <c r="I401">
        <v>35.65</v>
      </c>
      <c r="J401">
        <v>6.42</v>
      </c>
      <c r="K401">
        <v>2054.9299999999998</v>
      </c>
      <c r="L401" s="5">
        <v>46270</v>
      </c>
      <c r="M401" t="s">
        <v>925</v>
      </c>
      <c r="N401" t="s">
        <v>207</v>
      </c>
      <c r="O401" t="s">
        <v>1071</v>
      </c>
      <c r="P401" t="s">
        <v>208</v>
      </c>
      <c r="Q401" t="s">
        <v>209</v>
      </c>
    </row>
    <row r="402" spans="1:17" x14ac:dyDescent="0.3">
      <c r="A402" t="s">
        <v>1072</v>
      </c>
      <c r="C402" t="s">
        <v>1073</v>
      </c>
      <c r="D402" t="s">
        <v>1074</v>
      </c>
      <c r="E402" s="5">
        <v>46268</v>
      </c>
      <c r="F402" t="s">
        <v>204</v>
      </c>
      <c r="G402" t="s">
        <v>220</v>
      </c>
      <c r="H402">
        <v>599</v>
      </c>
      <c r="I402">
        <v>0</v>
      </c>
      <c r="J402">
        <v>0</v>
      </c>
      <c r="K402">
        <v>599</v>
      </c>
      <c r="L402" s="5">
        <v>46270</v>
      </c>
      <c r="M402" t="s">
        <v>925</v>
      </c>
      <c r="N402" t="s">
        <v>207</v>
      </c>
      <c r="O402" t="s">
        <v>1074</v>
      </c>
      <c r="P402" t="s">
        <v>208</v>
      </c>
      <c r="Q402" t="s">
        <v>209</v>
      </c>
    </row>
    <row r="403" spans="1:17" x14ac:dyDescent="0.3">
      <c r="A403" t="s">
        <v>1075</v>
      </c>
      <c r="C403" t="s">
        <v>1076</v>
      </c>
      <c r="D403" t="s">
        <v>1076</v>
      </c>
      <c r="E403" s="5">
        <v>46268</v>
      </c>
      <c r="F403" t="s">
        <v>204</v>
      </c>
      <c r="G403" t="s">
        <v>213</v>
      </c>
      <c r="H403">
        <v>999</v>
      </c>
      <c r="I403">
        <v>17.98</v>
      </c>
      <c r="J403">
        <v>3.24</v>
      </c>
      <c r="K403">
        <v>977.78</v>
      </c>
      <c r="L403" s="5">
        <v>46270</v>
      </c>
      <c r="M403" t="s">
        <v>925</v>
      </c>
      <c r="N403" t="s">
        <v>207</v>
      </c>
      <c r="O403" t="s">
        <v>1076</v>
      </c>
      <c r="P403" t="s">
        <v>208</v>
      </c>
      <c r="Q403" t="s">
        <v>209</v>
      </c>
    </row>
    <row r="404" spans="1:17" x14ac:dyDescent="0.3">
      <c r="A404" t="s">
        <v>1077</v>
      </c>
      <c r="C404" t="s">
        <v>1078</v>
      </c>
      <c r="D404" t="s">
        <v>1078</v>
      </c>
      <c r="E404" s="5">
        <v>46268</v>
      </c>
      <c r="F404" t="s">
        <v>204</v>
      </c>
      <c r="G404" t="s">
        <v>205</v>
      </c>
      <c r="H404">
        <v>1499</v>
      </c>
      <c r="I404">
        <v>28.48</v>
      </c>
      <c r="J404">
        <v>5.13</v>
      </c>
      <c r="K404">
        <v>1465.39</v>
      </c>
      <c r="L404" s="5">
        <v>46270</v>
      </c>
      <c r="M404" t="s">
        <v>925</v>
      </c>
      <c r="N404" t="s">
        <v>207</v>
      </c>
      <c r="O404" t="s">
        <v>1078</v>
      </c>
      <c r="P404" t="s">
        <v>208</v>
      </c>
      <c r="Q404" t="s">
        <v>209</v>
      </c>
    </row>
    <row r="405" spans="1:17" x14ac:dyDescent="0.3">
      <c r="A405" t="s">
        <v>1079</v>
      </c>
      <c r="C405" t="s">
        <v>1080</v>
      </c>
      <c r="D405" t="s">
        <v>1080</v>
      </c>
      <c r="E405" s="5">
        <v>46268</v>
      </c>
      <c r="F405" t="s">
        <v>204</v>
      </c>
      <c r="G405" t="s">
        <v>220</v>
      </c>
      <c r="H405">
        <v>499</v>
      </c>
      <c r="I405">
        <v>0</v>
      </c>
      <c r="J405">
        <v>0</v>
      </c>
      <c r="K405">
        <v>499</v>
      </c>
      <c r="L405" s="5">
        <v>46270</v>
      </c>
      <c r="M405" t="s">
        <v>925</v>
      </c>
      <c r="N405" t="s">
        <v>207</v>
      </c>
      <c r="O405" t="s">
        <v>1080</v>
      </c>
      <c r="P405" t="s">
        <v>208</v>
      </c>
      <c r="Q405" t="s">
        <v>209</v>
      </c>
    </row>
    <row r="406" spans="1:17" x14ac:dyDescent="0.3">
      <c r="A406" t="s">
        <v>1081</v>
      </c>
      <c r="C406" t="s">
        <v>1082</v>
      </c>
      <c r="D406" t="s">
        <v>1082</v>
      </c>
      <c r="E406" s="5">
        <v>46268</v>
      </c>
      <c r="F406" t="s">
        <v>204</v>
      </c>
      <c r="G406" t="s">
        <v>220</v>
      </c>
      <c r="H406">
        <v>599</v>
      </c>
      <c r="I406">
        <v>0</v>
      </c>
      <c r="J406">
        <v>0</v>
      </c>
      <c r="K406">
        <v>599</v>
      </c>
      <c r="L406" s="5">
        <v>46270</v>
      </c>
      <c r="M406" t="s">
        <v>925</v>
      </c>
      <c r="N406" t="s">
        <v>207</v>
      </c>
      <c r="O406" t="s">
        <v>1082</v>
      </c>
      <c r="P406" t="s">
        <v>208</v>
      </c>
      <c r="Q406" t="s">
        <v>209</v>
      </c>
    </row>
    <row r="407" spans="1:17" x14ac:dyDescent="0.3">
      <c r="A407" t="s">
        <v>1083</v>
      </c>
      <c r="C407" t="s">
        <v>1084</v>
      </c>
      <c r="D407" t="s">
        <v>1084</v>
      </c>
      <c r="E407" s="5">
        <v>46268</v>
      </c>
      <c r="F407" t="s">
        <v>204</v>
      </c>
      <c r="G407" t="s">
        <v>220</v>
      </c>
      <c r="H407">
        <v>1299</v>
      </c>
      <c r="I407">
        <v>0</v>
      </c>
      <c r="J407">
        <v>0</v>
      </c>
      <c r="K407">
        <v>1299</v>
      </c>
      <c r="L407" s="5">
        <v>46270</v>
      </c>
      <c r="M407" t="s">
        <v>925</v>
      </c>
      <c r="N407" t="s">
        <v>207</v>
      </c>
      <c r="O407" t="s">
        <v>1084</v>
      </c>
      <c r="P407" t="s">
        <v>208</v>
      </c>
      <c r="Q407" t="s">
        <v>209</v>
      </c>
    </row>
    <row r="408" spans="1:17" x14ac:dyDescent="0.3">
      <c r="A408" t="s">
        <v>1085</v>
      </c>
      <c r="C408" t="s">
        <v>1086</v>
      </c>
      <c r="D408" t="s">
        <v>1086</v>
      </c>
      <c r="E408" s="5">
        <v>46268</v>
      </c>
      <c r="F408" t="s">
        <v>204</v>
      </c>
      <c r="G408" t="s">
        <v>220</v>
      </c>
      <c r="H408">
        <v>4298</v>
      </c>
      <c r="I408">
        <v>12.89</v>
      </c>
      <c r="J408">
        <v>2.3199999999999998</v>
      </c>
      <c r="K408">
        <v>4282.79</v>
      </c>
      <c r="L408" s="5">
        <v>46270</v>
      </c>
      <c r="M408" t="s">
        <v>925</v>
      </c>
      <c r="N408" t="s">
        <v>207</v>
      </c>
      <c r="O408" t="s">
        <v>1086</v>
      </c>
      <c r="P408" t="s">
        <v>208</v>
      </c>
      <c r="Q408" t="s">
        <v>209</v>
      </c>
    </row>
    <row r="409" spans="1:17" x14ac:dyDescent="0.3">
      <c r="A409" t="s">
        <v>1087</v>
      </c>
      <c r="C409" t="s">
        <v>1088</v>
      </c>
      <c r="D409" t="s">
        <v>1088</v>
      </c>
      <c r="E409" s="5">
        <v>46268</v>
      </c>
      <c r="F409" t="s">
        <v>204</v>
      </c>
      <c r="G409" t="s">
        <v>213</v>
      </c>
      <c r="H409">
        <v>599</v>
      </c>
      <c r="I409">
        <v>10.78</v>
      </c>
      <c r="J409">
        <v>1.94</v>
      </c>
      <c r="K409">
        <v>586.28</v>
      </c>
      <c r="L409" s="5">
        <v>46270</v>
      </c>
      <c r="M409" t="s">
        <v>925</v>
      </c>
      <c r="N409" t="s">
        <v>207</v>
      </c>
      <c r="O409" t="s">
        <v>1088</v>
      </c>
      <c r="P409" t="s">
        <v>208</v>
      </c>
      <c r="Q409" t="s">
        <v>209</v>
      </c>
    </row>
    <row r="410" spans="1:17" x14ac:dyDescent="0.3">
      <c r="A410" t="s">
        <v>1089</v>
      </c>
      <c r="C410" t="s">
        <v>1090</v>
      </c>
      <c r="D410" t="s">
        <v>1090</v>
      </c>
      <c r="E410" s="5">
        <v>46268</v>
      </c>
      <c r="F410" t="s">
        <v>204</v>
      </c>
      <c r="G410" t="s">
        <v>213</v>
      </c>
      <c r="H410">
        <v>1798</v>
      </c>
      <c r="I410">
        <v>32.36</v>
      </c>
      <c r="J410">
        <v>5.82</v>
      </c>
      <c r="K410">
        <v>1759.82</v>
      </c>
      <c r="L410" s="5">
        <v>46270</v>
      </c>
      <c r="M410" t="s">
        <v>925</v>
      </c>
      <c r="N410" t="s">
        <v>207</v>
      </c>
      <c r="O410" t="s">
        <v>1090</v>
      </c>
      <c r="P410" t="s">
        <v>208</v>
      </c>
      <c r="Q410" t="s">
        <v>209</v>
      </c>
    </row>
    <row r="411" spans="1:17" x14ac:dyDescent="0.3">
      <c r="A411" t="s">
        <v>1091</v>
      </c>
      <c r="C411" t="s">
        <v>1092</v>
      </c>
      <c r="D411" t="s">
        <v>1093</v>
      </c>
      <c r="E411" s="5">
        <v>46268</v>
      </c>
      <c r="F411" t="s">
        <v>204</v>
      </c>
      <c r="G411" t="s">
        <v>205</v>
      </c>
      <c r="H411">
        <v>999</v>
      </c>
      <c r="I411">
        <v>18.98</v>
      </c>
      <c r="J411">
        <v>3.42</v>
      </c>
      <c r="K411">
        <v>976.6</v>
      </c>
      <c r="L411" s="5">
        <v>46270</v>
      </c>
      <c r="M411" t="s">
        <v>925</v>
      </c>
      <c r="N411" t="s">
        <v>207</v>
      </c>
      <c r="O411" t="s">
        <v>1093</v>
      </c>
      <c r="P411" t="s">
        <v>208</v>
      </c>
      <c r="Q411" t="s">
        <v>209</v>
      </c>
    </row>
    <row r="412" spans="1:17" x14ac:dyDescent="0.3">
      <c r="A412" t="s">
        <v>1094</v>
      </c>
      <c r="C412" t="s">
        <v>1095</v>
      </c>
      <c r="D412" t="s">
        <v>1095</v>
      </c>
      <c r="E412" s="5">
        <v>46268</v>
      </c>
      <c r="F412" t="s">
        <v>204</v>
      </c>
      <c r="G412" t="s">
        <v>220</v>
      </c>
      <c r="H412">
        <v>7999</v>
      </c>
      <c r="I412">
        <v>24</v>
      </c>
      <c r="J412">
        <v>4.32</v>
      </c>
      <c r="K412">
        <v>7970.68</v>
      </c>
      <c r="L412" s="5">
        <v>46270</v>
      </c>
      <c r="M412" t="s">
        <v>925</v>
      </c>
      <c r="N412" t="s">
        <v>207</v>
      </c>
      <c r="O412" t="s">
        <v>1095</v>
      </c>
      <c r="P412" t="s">
        <v>208</v>
      </c>
      <c r="Q412" t="s">
        <v>209</v>
      </c>
    </row>
    <row r="413" spans="1:17" x14ac:dyDescent="0.3">
      <c r="A413" t="s">
        <v>1096</v>
      </c>
      <c r="C413" t="s">
        <v>1097</v>
      </c>
      <c r="D413" t="s">
        <v>1097</v>
      </c>
      <c r="E413" s="5">
        <v>46268</v>
      </c>
      <c r="F413" t="s">
        <v>204</v>
      </c>
      <c r="G413" t="s">
        <v>213</v>
      </c>
      <c r="H413">
        <v>1348</v>
      </c>
      <c r="I413">
        <v>24.26</v>
      </c>
      <c r="J413">
        <v>4.37</v>
      </c>
      <c r="K413">
        <v>1319.37</v>
      </c>
      <c r="L413" s="5">
        <v>46270</v>
      </c>
      <c r="M413" t="s">
        <v>925</v>
      </c>
      <c r="N413" t="s">
        <v>207</v>
      </c>
      <c r="O413" t="s">
        <v>1097</v>
      </c>
      <c r="P413" t="s">
        <v>208</v>
      </c>
      <c r="Q413" t="s">
        <v>209</v>
      </c>
    </row>
    <row r="414" spans="1:17" x14ac:dyDescent="0.3">
      <c r="A414" t="s">
        <v>1098</v>
      </c>
      <c r="C414" t="s">
        <v>1099</v>
      </c>
      <c r="D414" t="s">
        <v>1100</v>
      </c>
      <c r="E414" s="5">
        <v>46268</v>
      </c>
      <c r="F414" t="s">
        <v>204</v>
      </c>
      <c r="G414" t="s">
        <v>220</v>
      </c>
      <c r="H414">
        <v>599</v>
      </c>
      <c r="I414">
        <v>0</v>
      </c>
      <c r="J414">
        <v>0</v>
      </c>
      <c r="K414">
        <v>599</v>
      </c>
      <c r="L414" s="5">
        <v>46270</v>
      </c>
      <c r="M414" t="s">
        <v>925</v>
      </c>
      <c r="N414" t="s">
        <v>207</v>
      </c>
      <c r="O414" t="s">
        <v>1100</v>
      </c>
      <c r="P414" t="s">
        <v>208</v>
      </c>
      <c r="Q414" t="s">
        <v>209</v>
      </c>
    </row>
    <row r="415" spans="1:17" x14ac:dyDescent="0.3">
      <c r="A415" t="s">
        <v>1101</v>
      </c>
      <c r="C415" t="s">
        <v>1102</v>
      </c>
      <c r="D415" t="s">
        <v>1102</v>
      </c>
      <c r="E415" s="5">
        <v>46268</v>
      </c>
      <c r="F415" t="s">
        <v>204</v>
      </c>
      <c r="G415" t="s">
        <v>220</v>
      </c>
      <c r="H415">
        <v>599</v>
      </c>
      <c r="I415">
        <v>0</v>
      </c>
      <c r="J415">
        <v>0</v>
      </c>
      <c r="K415">
        <v>599</v>
      </c>
      <c r="L415" s="5">
        <v>46270</v>
      </c>
      <c r="M415" t="s">
        <v>925</v>
      </c>
      <c r="N415" t="s">
        <v>207</v>
      </c>
      <c r="O415" t="s">
        <v>1102</v>
      </c>
      <c r="P415" t="s">
        <v>208</v>
      </c>
      <c r="Q415" t="s">
        <v>209</v>
      </c>
    </row>
    <row r="416" spans="1:17" x14ac:dyDescent="0.3">
      <c r="A416" t="s">
        <v>1103</v>
      </c>
      <c r="C416" t="s">
        <v>1104</v>
      </c>
      <c r="D416" t="s">
        <v>1104</v>
      </c>
      <c r="E416" s="5">
        <v>46268</v>
      </c>
      <c r="F416" t="s">
        <v>204</v>
      </c>
      <c r="G416" t="s">
        <v>220</v>
      </c>
      <c r="H416">
        <v>799</v>
      </c>
      <c r="I416">
        <v>0</v>
      </c>
      <c r="J416">
        <v>0</v>
      </c>
      <c r="K416">
        <v>799</v>
      </c>
      <c r="L416" s="5">
        <v>46270</v>
      </c>
      <c r="M416" t="s">
        <v>925</v>
      </c>
      <c r="N416" t="s">
        <v>207</v>
      </c>
      <c r="O416" t="s">
        <v>1104</v>
      </c>
      <c r="P416" t="s">
        <v>208</v>
      </c>
      <c r="Q416" t="s">
        <v>209</v>
      </c>
    </row>
    <row r="417" spans="1:17" x14ac:dyDescent="0.3">
      <c r="A417" t="s">
        <v>1105</v>
      </c>
      <c r="C417" t="s">
        <v>1106</v>
      </c>
      <c r="D417" t="s">
        <v>1106</v>
      </c>
      <c r="E417" s="5">
        <v>46268</v>
      </c>
      <c r="F417" t="s">
        <v>204</v>
      </c>
      <c r="G417" t="s">
        <v>220</v>
      </c>
      <c r="H417">
        <v>7497</v>
      </c>
      <c r="I417">
        <v>22.49</v>
      </c>
      <c r="J417">
        <v>4.05</v>
      </c>
      <c r="K417">
        <v>7470.46</v>
      </c>
      <c r="L417" s="5">
        <v>46270</v>
      </c>
      <c r="M417" t="s">
        <v>925</v>
      </c>
      <c r="N417" t="s">
        <v>207</v>
      </c>
      <c r="O417" t="s">
        <v>1106</v>
      </c>
      <c r="P417" t="s">
        <v>208</v>
      </c>
      <c r="Q417" t="s">
        <v>209</v>
      </c>
    </row>
    <row r="418" spans="1:17" x14ac:dyDescent="0.3">
      <c r="A418" t="s">
        <v>1107</v>
      </c>
      <c r="C418" t="s">
        <v>1108</v>
      </c>
      <c r="D418" t="s">
        <v>1108</v>
      </c>
      <c r="E418" s="5">
        <v>46268</v>
      </c>
      <c r="F418" t="s">
        <v>204</v>
      </c>
      <c r="G418" t="s">
        <v>255</v>
      </c>
      <c r="H418">
        <v>499</v>
      </c>
      <c r="I418">
        <v>7.49</v>
      </c>
      <c r="J418">
        <v>1.35</v>
      </c>
      <c r="K418">
        <v>490.16</v>
      </c>
      <c r="L418" s="5">
        <v>46270</v>
      </c>
      <c r="M418" t="s">
        <v>925</v>
      </c>
      <c r="N418" t="s">
        <v>207</v>
      </c>
      <c r="O418" t="s">
        <v>1108</v>
      </c>
      <c r="P418" t="s">
        <v>208</v>
      </c>
      <c r="Q418" t="s">
        <v>209</v>
      </c>
    </row>
    <row r="419" spans="1:17" x14ac:dyDescent="0.3">
      <c r="A419" t="s">
        <v>1109</v>
      </c>
      <c r="C419" t="s">
        <v>1110</v>
      </c>
      <c r="D419" t="s">
        <v>1111</v>
      </c>
      <c r="E419" s="5">
        <v>46268</v>
      </c>
      <c r="F419" t="s">
        <v>204</v>
      </c>
      <c r="G419" t="s">
        <v>213</v>
      </c>
      <c r="H419">
        <v>7097</v>
      </c>
      <c r="I419">
        <v>113.55</v>
      </c>
      <c r="J419">
        <v>20.440000000000001</v>
      </c>
      <c r="K419">
        <v>6963.01</v>
      </c>
      <c r="L419" s="5">
        <v>46270</v>
      </c>
      <c r="M419" t="s">
        <v>925</v>
      </c>
      <c r="N419" t="s">
        <v>207</v>
      </c>
      <c r="O419" t="s">
        <v>1111</v>
      </c>
      <c r="P419" t="s">
        <v>208</v>
      </c>
      <c r="Q419" t="s">
        <v>209</v>
      </c>
    </row>
    <row r="420" spans="1:17" x14ac:dyDescent="0.3">
      <c r="A420" t="s">
        <v>1112</v>
      </c>
      <c r="C420" t="s">
        <v>1113</v>
      </c>
      <c r="D420" t="s">
        <v>1113</v>
      </c>
      <c r="E420" s="5">
        <v>46268</v>
      </c>
      <c r="F420" t="s">
        <v>204</v>
      </c>
      <c r="G420" t="s">
        <v>205</v>
      </c>
      <c r="H420">
        <v>6798</v>
      </c>
      <c r="I420">
        <v>115.57</v>
      </c>
      <c r="J420">
        <v>20.8</v>
      </c>
      <c r="K420">
        <v>6661.63</v>
      </c>
      <c r="L420" s="5">
        <v>46270</v>
      </c>
      <c r="M420" t="s">
        <v>925</v>
      </c>
      <c r="N420" t="s">
        <v>207</v>
      </c>
      <c r="O420" t="s">
        <v>1113</v>
      </c>
      <c r="P420" t="s">
        <v>208</v>
      </c>
      <c r="Q420" t="s">
        <v>209</v>
      </c>
    </row>
    <row r="421" spans="1:17" x14ac:dyDescent="0.3">
      <c r="A421" t="s">
        <v>1114</v>
      </c>
      <c r="C421" t="s">
        <v>1115</v>
      </c>
      <c r="D421" t="s">
        <v>1115</v>
      </c>
      <c r="E421" s="5">
        <v>46268</v>
      </c>
      <c r="F421" t="s">
        <v>204</v>
      </c>
      <c r="G421" t="s">
        <v>220</v>
      </c>
      <c r="H421">
        <v>1299</v>
      </c>
      <c r="I421">
        <v>0</v>
      </c>
      <c r="J421">
        <v>0</v>
      </c>
      <c r="K421">
        <v>1299</v>
      </c>
      <c r="L421" s="5">
        <v>46270</v>
      </c>
      <c r="M421" t="s">
        <v>925</v>
      </c>
      <c r="N421" t="s">
        <v>207</v>
      </c>
      <c r="O421" t="s">
        <v>1115</v>
      </c>
      <c r="P421" t="s">
        <v>208</v>
      </c>
      <c r="Q421" t="s">
        <v>209</v>
      </c>
    </row>
    <row r="422" spans="1:17" x14ac:dyDescent="0.3">
      <c r="A422" t="s">
        <v>1116</v>
      </c>
      <c r="C422" t="s">
        <v>1117</v>
      </c>
      <c r="D422" t="s">
        <v>1117</v>
      </c>
      <c r="E422" s="5">
        <v>46268</v>
      </c>
      <c r="F422" t="s">
        <v>204</v>
      </c>
      <c r="G422" t="s">
        <v>220</v>
      </c>
      <c r="H422">
        <v>7999</v>
      </c>
      <c r="I422">
        <v>24</v>
      </c>
      <c r="J422">
        <v>4.32</v>
      </c>
      <c r="K422">
        <v>7970.68</v>
      </c>
      <c r="L422" s="5">
        <v>46270</v>
      </c>
      <c r="M422" t="s">
        <v>925</v>
      </c>
      <c r="N422" t="s">
        <v>207</v>
      </c>
      <c r="O422" t="s">
        <v>1117</v>
      </c>
      <c r="P422" t="s">
        <v>208</v>
      </c>
      <c r="Q422" t="s">
        <v>209</v>
      </c>
    </row>
    <row r="423" spans="1:17" x14ac:dyDescent="0.3">
      <c r="A423" t="s">
        <v>1118</v>
      </c>
      <c r="C423" t="s">
        <v>1119</v>
      </c>
      <c r="D423" t="s">
        <v>1119</v>
      </c>
      <c r="E423" s="5">
        <v>46268</v>
      </c>
      <c r="F423" t="s">
        <v>204</v>
      </c>
      <c r="G423" t="s">
        <v>220</v>
      </c>
      <c r="H423">
        <v>3197</v>
      </c>
      <c r="I423">
        <v>9.59</v>
      </c>
      <c r="J423">
        <v>1.73</v>
      </c>
      <c r="K423">
        <v>3185.68</v>
      </c>
      <c r="L423" s="5">
        <v>46270</v>
      </c>
      <c r="M423" t="s">
        <v>925</v>
      </c>
      <c r="N423" t="s">
        <v>207</v>
      </c>
      <c r="O423" t="s">
        <v>1119</v>
      </c>
      <c r="P423" t="s">
        <v>208</v>
      </c>
      <c r="Q423" t="s">
        <v>209</v>
      </c>
    </row>
    <row r="424" spans="1:17" x14ac:dyDescent="0.3">
      <c r="A424" t="s">
        <v>1120</v>
      </c>
      <c r="C424" t="s">
        <v>1121</v>
      </c>
      <c r="D424" t="s">
        <v>1121</v>
      </c>
      <c r="E424" s="5">
        <v>46268</v>
      </c>
      <c r="F424" t="s">
        <v>204</v>
      </c>
      <c r="G424" t="s">
        <v>220</v>
      </c>
      <c r="H424">
        <v>5797</v>
      </c>
      <c r="I424">
        <v>17.39</v>
      </c>
      <c r="J424">
        <v>3.13</v>
      </c>
      <c r="K424">
        <v>5776.48</v>
      </c>
      <c r="L424" s="5">
        <v>46270</v>
      </c>
      <c r="M424" t="s">
        <v>925</v>
      </c>
      <c r="N424" t="s">
        <v>207</v>
      </c>
      <c r="O424" t="s">
        <v>1121</v>
      </c>
      <c r="P424" t="s">
        <v>208</v>
      </c>
      <c r="Q424" t="s">
        <v>209</v>
      </c>
    </row>
    <row r="425" spans="1:17" x14ac:dyDescent="0.3">
      <c r="A425" t="s">
        <v>1122</v>
      </c>
      <c r="C425" t="s">
        <v>1123</v>
      </c>
      <c r="D425" t="s">
        <v>1123</v>
      </c>
      <c r="E425" s="5">
        <v>46268</v>
      </c>
      <c r="F425" t="s">
        <v>204</v>
      </c>
      <c r="G425" t="s">
        <v>213</v>
      </c>
      <c r="H425">
        <v>599</v>
      </c>
      <c r="I425">
        <v>10.78</v>
      </c>
      <c r="J425">
        <v>1.94</v>
      </c>
      <c r="K425">
        <v>586.28</v>
      </c>
      <c r="L425" s="5">
        <v>46270</v>
      </c>
      <c r="M425" t="s">
        <v>925</v>
      </c>
      <c r="N425" t="s">
        <v>207</v>
      </c>
      <c r="O425" t="s">
        <v>1123</v>
      </c>
      <c r="P425" t="s">
        <v>208</v>
      </c>
      <c r="Q425" t="s">
        <v>209</v>
      </c>
    </row>
    <row r="426" spans="1:17" x14ac:dyDescent="0.3">
      <c r="A426" t="s">
        <v>1124</v>
      </c>
      <c r="C426" t="s">
        <v>1125</v>
      </c>
      <c r="D426" t="s">
        <v>1125</v>
      </c>
      <c r="E426" s="5">
        <v>46268</v>
      </c>
      <c r="F426" t="s">
        <v>204</v>
      </c>
      <c r="G426" t="s">
        <v>220</v>
      </c>
      <c r="H426">
        <v>5998</v>
      </c>
      <c r="I426">
        <v>17.989999999999998</v>
      </c>
      <c r="J426">
        <v>3.24</v>
      </c>
      <c r="K426">
        <v>5976.77</v>
      </c>
      <c r="L426" s="5">
        <v>46270</v>
      </c>
      <c r="M426" t="s">
        <v>925</v>
      </c>
      <c r="N426" t="s">
        <v>207</v>
      </c>
      <c r="O426" t="s">
        <v>1125</v>
      </c>
      <c r="P426" t="s">
        <v>208</v>
      </c>
      <c r="Q426" t="s">
        <v>209</v>
      </c>
    </row>
    <row r="427" spans="1:17" x14ac:dyDescent="0.3">
      <c r="A427" t="s">
        <v>1126</v>
      </c>
      <c r="C427" t="s">
        <v>1127</v>
      </c>
      <c r="D427" t="s">
        <v>1128</v>
      </c>
      <c r="E427" s="5">
        <v>46268</v>
      </c>
      <c r="F427" t="s">
        <v>204</v>
      </c>
      <c r="G427" t="s">
        <v>220</v>
      </c>
      <c r="H427">
        <v>349</v>
      </c>
      <c r="I427">
        <v>0</v>
      </c>
      <c r="J427">
        <v>0</v>
      </c>
      <c r="K427">
        <v>349</v>
      </c>
      <c r="L427" s="5">
        <v>46270</v>
      </c>
      <c r="M427" t="s">
        <v>925</v>
      </c>
      <c r="N427" t="s">
        <v>207</v>
      </c>
      <c r="O427" t="s">
        <v>1128</v>
      </c>
      <c r="P427" t="s">
        <v>208</v>
      </c>
      <c r="Q427" t="s">
        <v>209</v>
      </c>
    </row>
    <row r="428" spans="1:17" x14ac:dyDescent="0.3">
      <c r="A428" t="s">
        <v>1129</v>
      </c>
      <c r="C428" t="s">
        <v>1130</v>
      </c>
      <c r="D428" t="s">
        <v>1131</v>
      </c>
      <c r="E428" s="5">
        <v>46268</v>
      </c>
      <c r="F428" t="s">
        <v>204</v>
      </c>
      <c r="G428" t="s">
        <v>255</v>
      </c>
      <c r="H428">
        <v>3499</v>
      </c>
      <c r="I428">
        <v>41.99</v>
      </c>
      <c r="J428">
        <v>7.56</v>
      </c>
      <c r="K428">
        <v>3449.45</v>
      </c>
      <c r="L428" s="5">
        <v>46270</v>
      </c>
      <c r="M428" t="s">
        <v>925</v>
      </c>
      <c r="N428" t="s">
        <v>207</v>
      </c>
      <c r="O428" t="s">
        <v>1131</v>
      </c>
      <c r="P428" t="s">
        <v>208</v>
      </c>
      <c r="Q428" t="s">
        <v>209</v>
      </c>
    </row>
    <row r="429" spans="1:17" x14ac:dyDescent="0.3">
      <c r="A429" t="s">
        <v>1132</v>
      </c>
      <c r="C429" t="s">
        <v>1133</v>
      </c>
      <c r="D429" t="s">
        <v>1133</v>
      </c>
      <c r="E429" s="5">
        <v>46268</v>
      </c>
      <c r="F429" t="s">
        <v>204</v>
      </c>
      <c r="G429" t="s">
        <v>213</v>
      </c>
      <c r="H429">
        <v>499</v>
      </c>
      <c r="I429">
        <v>8.98</v>
      </c>
      <c r="J429">
        <v>1.62</v>
      </c>
      <c r="K429">
        <v>488.4</v>
      </c>
      <c r="L429" s="5">
        <v>46270</v>
      </c>
      <c r="M429" t="s">
        <v>925</v>
      </c>
      <c r="N429" t="s">
        <v>207</v>
      </c>
      <c r="O429" t="s">
        <v>1133</v>
      </c>
      <c r="P429" t="s">
        <v>208</v>
      </c>
      <c r="Q429" t="s">
        <v>209</v>
      </c>
    </row>
    <row r="430" spans="1:17" x14ac:dyDescent="0.3">
      <c r="A430" t="s">
        <v>1134</v>
      </c>
      <c r="C430" t="s">
        <v>1135</v>
      </c>
      <c r="D430" t="s">
        <v>1135</v>
      </c>
      <c r="E430" s="5">
        <v>46268</v>
      </c>
      <c r="F430" t="s">
        <v>204</v>
      </c>
      <c r="G430" t="s">
        <v>220</v>
      </c>
      <c r="H430">
        <v>2999</v>
      </c>
      <c r="I430">
        <v>9</v>
      </c>
      <c r="J430">
        <v>1.62</v>
      </c>
      <c r="K430">
        <v>2988.38</v>
      </c>
      <c r="L430" s="5">
        <v>46270</v>
      </c>
      <c r="M430" t="s">
        <v>925</v>
      </c>
      <c r="N430" t="s">
        <v>207</v>
      </c>
      <c r="O430" t="s">
        <v>1135</v>
      </c>
      <c r="P430" t="s">
        <v>208</v>
      </c>
      <c r="Q430" t="s">
        <v>209</v>
      </c>
    </row>
    <row r="431" spans="1:17" x14ac:dyDescent="0.3">
      <c r="A431" t="s">
        <v>1136</v>
      </c>
      <c r="C431" t="s">
        <v>1137</v>
      </c>
      <c r="D431" t="s">
        <v>1137</v>
      </c>
      <c r="E431" s="5">
        <v>46268</v>
      </c>
      <c r="F431" t="s">
        <v>204</v>
      </c>
      <c r="G431" t="s">
        <v>213</v>
      </c>
      <c r="H431">
        <v>2499</v>
      </c>
      <c r="I431">
        <v>39.979999999999997</v>
      </c>
      <c r="J431">
        <v>7.2</v>
      </c>
      <c r="K431">
        <v>2451.8200000000002</v>
      </c>
      <c r="L431" s="5">
        <v>46270</v>
      </c>
      <c r="M431" t="s">
        <v>925</v>
      </c>
      <c r="N431" t="s">
        <v>207</v>
      </c>
      <c r="O431" t="s">
        <v>1137</v>
      </c>
      <c r="P431" t="s">
        <v>208</v>
      </c>
      <c r="Q431" t="s">
        <v>209</v>
      </c>
    </row>
    <row r="432" spans="1:17" x14ac:dyDescent="0.3">
      <c r="A432" t="s">
        <v>1138</v>
      </c>
      <c r="C432" t="s">
        <v>1139</v>
      </c>
      <c r="D432" t="s">
        <v>1139</v>
      </c>
      <c r="E432" s="5">
        <v>46268</v>
      </c>
      <c r="F432" t="s">
        <v>204</v>
      </c>
      <c r="G432" t="s">
        <v>213</v>
      </c>
      <c r="H432">
        <v>5498</v>
      </c>
      <c r="I432">
        <v>87.97</v>
      </c>
      <c r="J432">
        <v>15.83</v>
      </c>
      <c r="K432">
        <v>5394.2</v>
      </c>
      <c r="L432" s="5">
        <v>46270</v>
      </c>
      <c r="M432" t="s">
        <v>925</v>
      </c>
      <c r="N432" t="s">
        <v>207</v>
      </c>
      <c r="O432" t="s">
        <v>1139</v>
      </c>
      <c r="P432" t="s">
        <v>208</v>
      </c>
      <c r="Q432" t="s">
        <v>209</v>
      </c>
    </row>
    <row r="433" spans="1:17" x14ac:dyDescent="0.3">
      <c r="A433" t="s">
        <v>1140</v>
      </c>
      <c r="C433" t="s">
        <v>1141</v>
      </c>
      <c r="D433" t="s">
        <v>1141</v>
      </c>
      <c r="E433" s="5">
        <v>46268</v>
      </c>
      <c r="F433" t="s">
        <v>204</v>
      </c>
      <c r="G433" t="s">
        <v>220</v>
      </c>
      <c r="H433">
        <v>4997</v>
      </c>
      <c r="I433">
        <v>14.99</v>
      </c>
      <c r="J433">
        <v>2.7</v>
      </c>
      <c r="K433">
        <v>4979.3100000000004</v>
      </c>
      <c r="L433" s="5">
        <v>46270</v>
      </c>
      <c r="M433" t="s">
        <v>925</v>
      </c>
      <c r="N433" t="s">
        <v>207</v>
      </c>
      <c r="O433" t="s">
        <v>1141</v>
      </c>
      <c r="P433" t="s">
        <v>208</v>
      </c>
      <c r="Q433" t="s">
        <v>209</v>
      </c>
    </row>
    <row r="434" spans="1:17" x14ac:dyDescent="0.3">
      <c r="A434" t="s">
        <v>1142</v>
      </c>
      <c r="C434" t="s">
        <v>1143</v>
      </c>
      <c r="D434" t="s">
        <v>1143</v>
      </c>
      <c r="E434" s="5">
        <v>46268</v>
      </c>
      <c r="F434" t="s">
        <v>204</v>
      </c>
      <c r="G434" t="s">
        <v>220</v>
      </c>
      <c r="H434">
        <v>2499</v>
      </c>
      <c r="I434">
        <v>7.5</v>
      </c>
      <c r="J434">
        <v>1.35</v>
      </c>
      <c r="K434">
        <v>2490.15</v>
      </c>
      <c r="L434" s="5">
        <v>46270</v>
      </c>
      <c r="M434" t="s">
        <v>925</v>
      </c>
      <c r="N434" t="s">
        <v>207</v>
      </c>
      <c r="O434" t="s">
        <v>1143</v>
      </c>
      <c r="P434" t="s">
        <v>208</v>
      </c>
      <c r="Q434" t="s">
        <v>209</v>
      </c>
    </row>
    <row r="435" spans="1:17" x14ac:dyDescent="0.3">
      <c r="A435" t="s">
        <v>1144</v>
      </c>
      <c r="C435" t="s">
        <v>1145</v>
      </c>
      <c r="D435" t="s">
        <v>1145</v>
      </c>
      <c r="E435" s="5">
        <v>46268</v>
      </c>
      <c r="F435" t="s">
        <v>204</v>
      </c>
      <c r="G435" t="s">
        <v>213</v>
      </c>
      <c r="H435">
        <v>7998</v>
      </c>
      <c r="I435">
        <v>127.97</v>
      </c>
      <c r="J435">
        <v>23.03</v>
      </c>
      <c r="K435">
        <v>7847</v>
      </c>
      <c r="L435" s="5">
        <v>46270</v>
      </c>
      <c r="M435" t="s">
        <v>925</v>
      </c>
      <c r="N435" t="s">
        <v>207</v>
      </c>
      <c r="O435" t="s">
        <v>1145</v>
      </c>
      <c r="P435" t="s">
        <v>208</v>
      </c>
      <c r="Q435" t="s">
        <v>209</v>
      </c>
    </row>
    <row r="436" spans="1:17" x14ac:dyDescent="0.3">
      <c r="A436" t="s">
        <v>1146</v>
      </c>
      <c r="C436" t="s">
        <v>1147</v>
      </c>
      <c r="D436" t="s">
        <v>1147</v>
      </c>
      <c r="E436" s="5">
        <v>46268</v>
      </c>
      <c r="F436" t="s">
        <v>204</v>
      </c>
      <c r="G436" t="s">
        <v>205</v>
      </c>
      <c r="H436">
        <v>8847</v>
      </c>
      <c r="I436">
        <v>150.4</v>
      </c>
      <c r="J436">
        <v>27.07</v>
      </c>
      <c r="K436">
        <v>8669.5300000000007</v>
      </c>
      <c r="L436" s="5">
        <v>46270</v>
      </c>
      <c r="M436" t="s">
        <v>925</v>
      </c>
      <c r="N436" t="s">
        <v>207</v>
      </c>
      <c r="O436" t="s">
        <v>1147</v>
      </c>
      <c r="P436" t="s">
        <v>208</v>
      </c>
      <c r="Q436" t="s">
        <v>209</v>
      </c>
    </row>
    <row r="437" spans="1:17" x14ac:dyDescent="0.3">
      <c r="A437" t="s">
        <v>1148</v>
      </c>
      <c r="C437" t="s">
        <v>1149</v>
      </c>
      <c r="D437" t="s">
        <v>1149</v>
      </c>
      <c r="E437" s="5">
        <v>46268</v>
      </c>
      <c r="F437" t="s">
        <v>204</v>
      </c>
      <c r="G437" t="s">
        <v>213</v>
      </c>
      <c r="H437">
        <v>349</v>
      </c>
      <c r="I437">
        <v>6.28</v>
      </c>
      <c r="J437">
        <v>1.1299999999999999</v>
      </c>
      <c r="K437">
        <v>341.59</v>
      </c>
      <c r="L437" s="5">
        <v>46270</v>
      </c>
      <c r="M437" t="s">
        <v>925</v>
      </c>
      <c r="N437" t="s">
        <v>207</v>
      </c>
      <c r="O437" t="s">
        <v>1149</v>
      </c>
      <c r="P437" t="s">
        <v>208</v>
      </c>
      <c r="Q437" t="s">
        <v>209</v>
      </c>
    </row>
    <row r="438" spans="1:17" x14ac:dyDescent="0.3">
      <c r="A438" t="s">
        <v>1150</v>
      </c>
      <c r="C438" t="s">
        <v>1151</v>
      </c>
      <c r="D438" t="s">
        <v>1151</v>
      </c>
      <c r="E438" s="5">
        <v>46268</v>
      </c>
      <c r="F438" t="s">
        <v>204</v>
      </c>
      <c r="G438" t="s">
        <v>205</v>
      </c>
      <c r="H438">
        <v>16497</v>
      </c>
      <c r="I438">
        <v>280.45</v>
      </c>
      <c r="J438">
        <v>50.48</v>
      </c>
      <c r="K438">
        <v>16166.07</v>
      </c>
      <c r="L438" s="5">
        <v>46270</v>
      </c>
      <c r="M438" t="s">
        <v>925</v>
      </c>
      <c r="N438" t="s">
        <v>207</v>
      </c>
      <c r="O438" t="s">
        <v>1151</v>
      </c>
      <c r="P438" t="s">
        <v>208</v>
      </c>
      <c r="Q438" t="s">
        <v>209</v>
      </c>
    </row>
    <row r="439" spans="1:17" x14ac:dyDescent="0.3">
      <c r="A439" t="s">
        <v>1152</v>
      </c>
      <c r="C439" t="s">
        <v>1153</v>
      </c>
      <c r="D439" t="s">
        <v>1153</v>
      </c>
      <c r="E439" s="5">
        <v>46268</v>
      </c>
      <c r="F439" t="s">
        <v>204</v>
      </c>
      <c r="G439" t="s">
        <v>220</v>
      </c>
      <c r="H439">
        <v>3647</v>
      </c>
      <c r="I439">
        <v>10.94</v>
      </c>
      <c r="J439">
        <v>1.97</v>
      </c>
      <c r="K439">
        <v>3634.09</v>
      </c>
      <c r="L439" s="5">
        <v>46270</v>
      </c>
      <c r="M439" t="s">
        <v>925</v>
      </c>
      <c r="N439" t="s">
        <v>207</v>
      </c>
      <c r="O439" t="s">
        <v>1153</v>
      </c>
      <c r="P439" t="s">
        <v>208</v>
      </c>
      <c r="Q439" t="s">
        <v>209</v>
      </c>
    </row>
    <row r="440" spans="1:17" x14ac:dyDescent="0.3">
      <c r="A440" t="s">
        <v>1154</v>
      </c>
      <c r="C440" t="s">
        <v>1155</v>
      </c>
      <c r="D440" t="s">
        <v>1155</v>
      </c>
      <c r="E440" s="5">
        <v>46268</v>
      </c>
      <c r="F440" t="s">
        <v>204</v>
      </c>
      <c r="G440" t="s">
        <v>220</v>
      </c>
      <c r="H440">
        <v>599</v>
      </c>
      <c r="I440">
        <v>1.8</v>
      </c>
      <c r="J440">
        <v>0.32</v>
      </c>
      <c r="K440">
        <v>596.88</v>
      </c>
      <c r="L440" s="5">
        <v>46270</v>
      </c>
      <c r="M440" t="s">
        <v>925</v>
      </c>
      <c r="N440" t="s">
        <v>207</v>
      </c>
      <c r="O440" t="s">
        <v>1155</v>
      </c>
      <c r="P440" t="s">
        <v>208</v>
      </c>
      <c r="Q440" t="s">
        <v>209</v>
      </c>
    </row>
    <row r="441" spans="1:17" x14ac:dyDescent="0.3">
      <c r="A441" t="s">
        <v>1156</v>
      </c>
      <c r="C441" t="s">
        <v>1157</v>
      </c>
      <c r="D441" t="s">
        <v>1157</v>
      </c>
      <c r="E441" s="5">
        <v>46268</v>
      </c>
      <c r="F441" t="s">
        <v>204</v>
      </c>
      <c r="G441" t="s">
        <v>213</v>
      </c>
      <c r="H441">
        <v>2499</v>
      </c>
      <c r="I441">
        <v>39.979999999999997</v>
      </c>
      <c r="J441">
        <v>7.2</v>
      </c>
      <c r="K441">
        <v>2451.8200000000002</v>
      </c>
      <c r="L441" s="5">
        <v>46270</v>
      </c>
      <c r="M441" t="s">
        <v>925</v>
      </c>
      <c r="N441" t="s">
        <v>207</v>
      </c>
      <c r="O441" t="s">
        <v>1157</v>
      </c>
      <c r="P441" t="s">
        <v>208</v>
      </c>
      <c r="Q441" t="s">
        <v>209</v>
      </c>
    </row>
    <row r="442" spans="1:17" x14ac:dyDescent="0.3">
      <c r="A442" t="s">
        <v>1158</v>
      </c>
      <c r="C442" t="s">
        <v>1159</v>
      </c>
      <c r="D442" t="s">
        <v>1160</v>
      </c>
      <c r="E442" s="5">
        <v>46268</v>
      </c>
      <c r="F442" t="s">
        <v>204</v>
      </c>
      <c r="G442" t="s">
        <v>220</v>
      </c>
      <c r="H442">
        <v>7999</v>
      </c>
      <c r="I442">
        <v>24</v>
      </c>
      <c r="J442">
        <v>4.32</v>
      </c>
      <c r="K442">
        <v>7970.68</v>
      </c>
      <c r="L442" s="5">
        <v>46270</v>
      </c>
      <c r="M442" t="s">
        <v>925</v>
      </c>
      <c r="N442" t="s">
        <v>207</v>
      </c>
      <c r="O442" t="s">
        <v>1160</v>
      </c>
      <c r="P442" t="s">
        <v>208</v>
      </c>
      <c r="Q442" t="s">
        <v>209</v>
      </c>
    </row>
    <row r="443" spans="1:17" x14ac:dyDescent="0.3">
      <c r="A443" t="s">
        <v>1161</v>
      </c>
      <c r="C443" t="s">
        <v>1162</v>
      </c>
      <c r="D443" t="s">
        <v>1162</v>
      </c>
      <c r="E443" s="5">
        <v>46268</v>
      </c>
      <c r="F443" t="s">
        <v>204</v>
      </c>
      <c r="G443" t="s">
        <v>255</v>
      </c>
      <c r="H443">
        <v>299</v>
      </c>
      <c r="I443">
        <v>4.49</v>
      </c>
      <c r="J443">
        <v>0.81</v>
      </c>
      <c r="K443">
        <v>293.7</v>
      </c>
      <c r="L443" s="5">
        <v>46270</v>
      </c>
      <c r="M443" t="s">
        <v>925</v>
      </c>
      <c r="N443" t="s">
        <v>207</v>
      </c>
      <c r="O443" t="s">
        <v>1162</v>
      </c>
      <c r="P443" t="s">
        <v>208</v>
      </c>
      <c r="Q443" t="s">
        <v>209</v>
      </c>
    </row>
    <row r="444" spans="1:17" x14ac:dyDescent="0.3">
      <c r="A444" t="s">
        <v>1163</v>
      </c>
      <c r="C444" t="s">
        <v>1164</v>
      </c>
      <c r="D444" t="s">
        <v>1164</v>
      </c>
      <c r="E444" s="5">
        <v>46268</v>
      </c>
      <c r="F444" t="s">
        <v>204</v>
      </c>
      <c r="G444" t="s">
        <v>205</v>
      </c>
      <c r="H444">
        <v>299</v>
      </c>
      <c r="I444">
        <v>5.68</v>
      </c>
      <c r="J444">
        <v>1.02</v>
      </c>
      <c r="K444">
        <v>292.3</v>
      </c>
      <c r="L444" s="5">
        <v>46270</v>
      </c>
      <c r="M444" t="s">
        <v>925</v>
      </c>
      <c r="N444" t="s">
        <v>207</v>
      </c>
      <c r="O444" t="s">
        <v>1164</v>
      </c>
      <c r="P444" t="s">
        <v>208</v>
      </c>
      <c r="Q444" t="s">
        <v>209</v>
      </c>
    </row>
    <row r="445" spans="1:17" x14ac:dyDescent="0.3">
      <c r="A445" t="s">
        <v>1165</v>
      </c>
      <c r="C445" t="s">
        <v>1166</v>
      </c>
      <c r="D445" t="s">
        <v>1166</v>
      </c>
      <c r="E445" s="5">
        <v>46268</v>
      </c>
      <c r="F445" t="s">
        <v>204</v>
      </c>
      <c r="G445" t="s">
        <v>220</v>
      </c>
      <c r="H445">
        <v>4998</v>
      </c>
      <c r="I445">
        <v>14.99</v>
      </c>
      <c r="J445">
        <v>2.7</v>
      </c>
      <c r="K445">
        <v>4980.3100000000004</v>
      </c>
      <c r="L445" s="5">
        <v>46270</v>
      </c>
      <c r="M445" t="s">
        <v>925</v>
      </c>
      <c r="N445" t="s">
        <v>207</v>
      </c>
      <c r="O445" t="s">
        <v>1166</v>
      </c>
      <c r="P445" t="s">
        <v>208</v>
      </c>
      <c r="Q445" t="s">
        <v>209</v>
      </c>
    </row>
    <row r="446" spans="1:17" x14ac:dyDescent="0.3">
      <c r="A446" t="s">
        <v>1167</v>
      </c>
      <c r="C446" t="s">
        <v>1168</v>
      </c>
      <c r="D446" t="s">
        <v>1169</v>
      </c>
      <c r="E446" s="5">
        <v>46268</v>
      </c>
      <c r="F446" t="s">
        <v>204</v>
      </c>
      <c r="G446" t="s">
        <v>220</v>
      </c>
      <c r="H446">
        <v>1098</v>
      </c>
      <c r="I446">
        <v>0</v>
      </c>
      <c r="J446">
        <v>0</v>
      </c>
      <c r="K446">
        <v>1098</v>
      </c>
      <c r="L446" s="5">
        <v>46270</v>
      </c>
      <c r="M446" t="s">
        <v>925</v>
      </c>
      <c r="N446" t="s">
        <v>207</v>
      </c>
      <c r="O446" t="s">
        <v>1169</v>
      </c>
      <c r="P446" t="s">
        <v>208</v>
      </c>
      <c r="Q446" t="s">
        <v>209</v>
      </c>
    </row>
    <row r="447" spans="1:17" x14ac:dyDescent="0.3">
      <c r="A447" t="s">
        <v>1170</v>
      </c>
      <c r="C447" t="s">
        <v>1171</v>
      </c>
      <c r="D447" t="s">
        <v>1171</v>
      </c>
      <c r="E447" s="5">
        <v>46268</v>
      </c>
      <c r="F447" t="s">
        <v>204</v>
      </c>
      <c r="G447" t="s">
        <v>220</v>
      </c>
      <c r="H447">
        <v>12497</v>
      </c>
      <c r="I447">
        <v>37.49</v>
      </c>
      <c r="J447">
        <v>6.75</v>
      </c>
      <c r="K447">
        <v>12452.76</v>
      </c>
      <c r="L447" s="5">
        <v>46270</v>
      </c>
      <c r="M447" t="s">
        <v>925</v>
      </c>
      <c r="N447" t="s">
        <v>207</v>
      </c>
      <c r="O447" t="s">
        <v>1171</v>
      </c>
      <c r="P447" t="s">
        <v>208</v>
      </c>
      <c r="Q447" t="s">
        <v>209</v>
      </c>
    </row>
    <row r="448" spans="1:17" x14ac:dyDescent="0.3">
      <c r="A448" t="s">
        <v>1172</v>
      </c>
      <c r="C448" t="s">
        <v>1173</v>
      </c>
      <c r="D448" t="s">
        <v>1173</v>
      </c>
      <c r="E448" s="5">
        <v>46268</v>
      </c>
      <c r="F448" t="s">
        <v>204</v>
      </c>
      <c r="G448" t="s">
        <v>220</v>
      </c>
      <c r="H448">
        <v>299</v>
      </c>
      <c r="I448">
        <v>0.9</v>
      </c>
      <c r="J448">
        <v>0.16</v>
      </c>
      <c r="K448">
        <v>297.94</v>
      </c>
      <c r="L448" s="5">
        <v>46270</v>
      </c>
      <c r="M448" t="s">
        <v>925</v>
      </c>
      <c r="N448" t="s">
        <v>207</v>
      </c>
      <c r="O448" t="s">
        <v>1173</v>
      </c>
      <c r="P448" t="s">
        <v>208</v>
      </c>
      <c r="Q448" t="s">
        <v>209</v>
      </c>
    </row>
    <row r="449" spans="1:17" x14ac:dyDescent="0.3">
      <c r="A449" t="s">
        <v>1174</v>
      </c>
      <c r="C449" t="s">
        <v>1175</v>
      </c>
      <c r="D449" t="s">
        <v>1175</v>
      </c>
      <c r="E449" s="5">
        <v>46268</v>
      </c>
      <c r="F449" t="s">
        <v>204</v>
      </c>
      <c r="G449" t="s">
        <v>220</v>
      </c>
      <c r="H449">
        <v>1098</v>
      </c>
      <c r="I449">
        <v>0</v>
      </c>
      <c r="J449">
        <v>0</v>
      </c>
      <c r="K449">
        <v>1098</v>
      </c>
      <c r="L449" s="5">
        <v>46270</v>
      </c>
      <c r="M449" t="s">
        <v>925</v>
      </c>
      <c r="N449" t="s">
        <v>207</v>
      </c>
      <c r="O449" t="s">
        <v>1175</v>
      </c>
      <c r="P449" t="s">
        <v>208</v>
      </c>
      <c r="Q449" t="s">
        <v>209</v>
      </c>
    </row>
    <row r="450" spans="1:17" x14ac:dyDescent="0.3">
      <c r="A450" t="s">
        <v>1176</v>
      </c>
      <c r="C450" t="s">
        <v>1177</v>
      </c>
      <c r="D450" t="s">
        <v>1177</v>
      </c>
      <c r="E450" s="5">
        <v>46268</v>
      </c>
      <c r="F450" t="s">
        <v>204</v>
      </c>
      <c r="G450" t="s">
        <v>255</v>
      </c>
      <c r="H450">
        <v>5097</v>
      </c>
      <c r="I450">
        <v>61.16</v>
      </c>
      <c r="J450">
        <v>11.01</v>
      </c>
      <c r="K450">
        <v>5024.83</v>
      </c>
      <c r="L450" s="5">
        <v>46270</v>
      </c>
      <c r="M450" t="s">
        <v>925</v>
      </c>
      <c r="N450" t="s">
        <v>207</v>
      </c>
      <c r="O450" t="s">
        <v>1177</v>
      </c>
      <c r="P450" t="s">
        <v>208</v>
      </c>
      <c r="Q450" t="s">
        <v>209</v>
      </c>
    </row>
    <row r="451" spans="1:17" x14ac:dyDescent="0.3">
      <c r="A451" t="s">
        <v>1178</v>
      </c>
      <c r="C451" t="s">
        <v>1179</v>
      </c>
      <c r="D451" t="s">
        <v>1180</v>
      </c>
      <c r="E451" s="5">
        <v>46268</v>
      </c>
      <c r="F451" t="s">
        <v>204</v>
      </c>
      <c r="G451" t="s">
        <v>220</v>
      </c>
      <c r="H451">
        <v>3499</v>
      </c>
      <c r="I451">
        <v>10.5</v>
      </c>
      <c r="J451">
        <v>1.89</v>
      </c>
      <c r="K451">
        <v>3486.61</v>
      </c>
      <c r="L451" s="5">
        <v>46270</v>
      </c>
      <c r="M451" t="s">
        <v>925</v>
      </c>
      <c r="N451" t="s">
        <v>207</v>
      </c>
      <c r="O451" t="s">
        <v>1180</v>
      </c>
      <c r="P451" t="s">
        <v>208</v>
      </c>
      <c r="Q451" t="s">
        <v>209</v>
      </c>
    </row>
    <row r="452" spans="1:17" x14ac:dyDescent="0.3">
      <c r="A452" t="s">
        <v>1181</v>
      </c>
      <c r="C452" t="s">
        <v>1182</v>
      </c>
      <c r="D452" t="s">
        <v>1183</v>
      </c>
      <c r="E452" s="5">
        <v>46268</v>
      </c>
      <c r="F452" t="s">
        <v>204</v>
      </c>
      <c r="G452" t="s">
        <v>213</v>
      </c>
      <c r="H452">
        <v>3298</v>
      </c>
      <c r="I452">
        <v>52.77</v>
      </c>
      <c r="J452">
        <v>9.5</v>
      </c>
      <c r="K452">
        <v>3235.73</v>
      </c>
      <c r="L452" s="5">
        <v>46270</v>
      </c>
      <c r="M452" t="s">
        <v>925</v>
      </c>
      <c r="N452" t="s">
        <v>207</v>
      </c>
      <c r="O452" t="s">
        <v>1183</v>
      </c>
      <c r="P452" t="s">
        <v>208</v>
      </c>
      <c r="Q452" t="s">
        <v>209</v>
      </c>
    </row>
    <row r="453" spans="1:17" x14ac:dyDescent="0.3">
      <c r="A453" t="s">
        <v>1184</v>
      </c>
      <c r="C453" t="s">
        <v>1185</v>
      </c>
      <c r="D453" t="s">
        <v>1186</v>
      </c>
      <c r="E453" s="5">
        <v>46268</v>
      </c>
      <c r="F453" t="s">
        <v>204</v>
      </c>
      <c r="G453" t="s">
        <v>213</v>
      </c>
      <c r="H453">
        <v>3499</v>
      </c>
      <c r="I453">
        <v>55.98</v>
      </c>
      <c r="J453">
        <v>10.08</v>
      </c>
      <c r="K453">
        <v>3432.94</v>
      </c>
      <c r="L453" s="5">
        <v>46270</v>
      </c>
      <c r="M453" t="s">
        <v>925</v>
      </c>
      <c r="N453" t="s">
        <v>207</v>
      </c>
      <c r="O453" t="s">
        <v>1186</v>
      </c>
      <c r="P453" t="s">
        <v>208</v>
      </c>
      <c r="Q453" t="s">
        <v>209</v>
      </c>
    </row>
    <row r="454" spans="1:17" x14ac:dyDescent="0.3">
      <c r="A454" t="s">
        <v>1187</v>
      </c>
      <c r="C454" t="s">
        <v>1188</v>
      </c>
      <c r="D454" t="s">
        <v>1188</v>
      </c>
      <c r="E454" s="5">
        <v>46268</v>
      </c>
      <c r="F454" t="s">
        <v>204</v>
      </c>
      <c r="G454" t="s">
        <v>213</v>
      </c>
      <c r="H454">
        <v>848</v>
      </c>
      <c r="I454">
        <v>15.26</v>
      </c>
      <c r="J454">
        <v>2.75</v>
      </c>
      <c r="K454">
        <v>829.99</v>
      </c>
      <c r="L454" s="5">
        <v>46270</v>
      </c>
      <c r="M454" t="s">
        <v>925</v>
      </c>
      <c r="N454" t="s">
        <v>207</v>
      </c>
      <c r="O454" t="s">
        <v>1188</v>
      </c>
      <c r="P454" t="s">
        <v>208</v>
      </c>
      <c r="Q454" t="s">
        <v>209</v>
      </c>
    </row>
    <row r="455" spans="1:17" x14ac:dyDescent="0.3">
      <c r="A455" t="s">
        <v>1189</v>
      </c>
      <c r="C455" t="s">
        <v>1190</v>
      </c>
      <c r="D455" t="s">
        <v>1190</v>
      </c>
      <c r="E455" s="5">
        <v>46268</v>
      </c>
      <c r="F455" t="s">
        <v>204</v>
      </c>
      <c r="G455" t="s">
        <v>220</v>
      </c>
      <c r="H455">
        <v>5298</v>
      </c>
      <c r="I455">
        <v>15.89</v>
      </c>
      <c r="J455">
        <v>2.86</v>
      </c>
      <c r="K455">
        <v>5279.25</v>
      </c>
      <c r="L455" s="5">
        <v>46270</v>
      </c>
      <c r="M455" t="s">
        <v>925</v>
      </c>
      <c r="N455" t="s">
        <v>207</v>
      </c>
      <c r="O455" t="s">
        <v>1190</v>
      </c>
      <c r="P455" t="s">
        <v>208</v>
      </c>
      <c r="Q455" t="s">
        <v>209</v>
      </c>
    </row>
    <row r="456" spans="1:17" x14ac:dyDescent="0.3">
      <c r="A456" t="s">
        <v>1191</v>
      </c>
      <c r="C456" t="s">
        <v>1192</v>
      </c>
      <c r="D456" t="s">
        <v>1192</v>
      </c>
      <c r="E456" s="5">
        <v>46268</v>
      </c>
      <c r="F456" t="s">
        <v>204</v>
      </c>
      <c r="G456" t="s">
        <v>213</v>
      </c>
      <c r="H456">
        <v>3098</v>
      </c>
      <c r="I456">
        <v>49.57</v>
      </c>
      <c r="J456">
        <v>8.92</v>
      </c>
      <c r="K456">
        <v>3039.51</v>
      </c>
      <c r="L456" s="5">
        <v>46270</v>
      </c>
      <c r="M456" t="s">
        <v>925</v>
      </c>
      <c r="N456" t="s">
        <v>207</v>
      </c>
      <c r="O456" t="s">
        <v>1192</v>
      </c>
      <c r="P456" t="s">
        <v>208</v>
      </c>
      <c r="Q456" t="s">
        <v>209</v>
      </c>
    </row>
    <row r="457" spans="1:17" x14ac:dyDescent="0.3">
      <c r="A457" t="s">
        <v>1193</v>
      </c>
      <c r="C457" t="s">
        <v>1194</v>
      </c>
      <c r="D457" t="s">
        <v>1194</v>
      </c>
      <c r="E457" s="5">
        <v>46268</v>
      </c>
      <c r="F457" t="s">
        <v>204</v>
      </c>
      <c r="G457" t="s">
        <v>213</v>
      </c>
      <c r="H457">
        <v>11297</v>
      </c>
      <c r="I457">
        <v>180.75</v>
      </c>
      <c r="J457">
        <v>32.54</v>
      </c>
      <c r="K457">
        <v>11083.71</v>
      </c>
      <c r="L457" s="5">
        <v>46270</v>
      </c>
      <c r="M457" t="s">
        <v>925</v>
      </c>
      <c r="N457" t="s">
        <v>207</v>
      </c>
      <c r="O457" t="s">
        <v>1194</v>
      </c>
      <c r="P457" t="s">
        <v>208</v>
      </c>
      <c r="Q457" t="s">
        <v>209</v>
      </c>
    </row>
    <row r="458" spans="1:17" x14ac:dyDescent="0.3">
      <c r="A458" t="s">
        <v>1195</v>
      </c>
      <c r="C458" t="s">
        <v>1196</v>
      </c>
      <c r="D458" t="s">
        <v>1196</v>
      </c>
      <c r="E458" s="5">
        <v>46268</v>
      </c>
      <c r="F458" t="s">
        <v>204</v>
      </c>
      <c r="G458" t="s">
        <v>220</v>
      </c>
      <c r="H458">
        <v>1798</v>
      </c>
      <c r="I458">
        <v>0</v>
      </c>
      <c r="J458">
        <v>0</v>
      </c>
      <c r="K458">
        <v>1798</v>
      </c>
      <c r="L458" s="5">
        <v>46270</v>
      </c>
      <c r="M458" t="s">
        <v>925</v>
      </c>
      <c r="N458" t="s">
        <v>207</v>
      </c>
      <c r="O458" t="s">
        <v>1196</v>
      </c>
      <c r="P458" t="s">
        <v>208</v>
      </c>
      <c r="Q458" t="s">
        <v>209</v>
      </c>
    </row>
    <row r="459" spans="1:17" x14ac:dyDescent="0.3">
      <c r="A459" t="s">
        <v>1197</v>
      </c>
      <c r="C459" t="s">
        <v>1198</v>
      </c>
      <c r="D459" t="s">
        <v>1198</v>
      </c>
      <c r="E459" s="5">
        <v>46268</v>
      </c>
      <c r="F459" t="s">
        <v>204</v>
      </c>
      <c r="G459" t="s">
        <v>220</v>
      </c>
      <c r="H459">
        <v>7797</v>
      </c>
      <c r="I459">
        <v>23.39</v>
      </c>
      <c r="J459">
        <v>4.21</v>
      </c>
      <c r="K459">
        <v>7769.4</v>
      </c>
      <c r="L459" s="5">
        <v>46270</v>
      </c>
      <c r="M459" t="s">
        <v>925</v>
      </c>
      <c r="N459" t="s">
        <v>207</v>
      </c>
      <c r="O459" t="s">
        <v>1198</v>
      </c>
      <c r="P459" t="s">
        <v>208</v>
      </c>
      <c r="Q459" t="s">
        <v>209</v>
      </c>
    </row>
    <row r="460" spans="1:17" x14ac:dyDescent="0.3">
      <c r="A460" t="s">
        <v>1199</v>
      </c>
      <c r="C460" t="s">
        <v>1200</v>
      </c>
      <c r="D460" t="s">
        <v>1200</v>
      </c>
      <c r="E460" s="5">
        <v>46268</v>
      </c>
      <c r="F460" t="s">
        <v>204</v>
      </c>
      <c r="G460" t="s">
        <v>220</v>
      </c>
      <c r="H460">
        <v>8798</v>
      </c>
      <c r="I460">
        <v>26.39</v>
      </c>
      <c r="J460">
        <v>4.75</v>
      </c>
      <c r="K460">
        <v>8766.86</v>
      </c>
      <c r="L460" s="5">
        <v>46270</v>
      </c>
      <c r="M460" t="s">
        <v>925</v>
      </c>
      <c r="N460" t="s">
        <v>207</v>
      </c>
      <c r="O460" t="s">
        <v>1200</v>
      </c>
      <c r="P460" t="s">
        <v>208</v>
      </c>
      <c r="Q460" t="s">
        <v>209</v>
      </c>
    </row>
    <row r="461" spans="1:17" x14ac:dyDescent="0.3">
      <c r="A461" t="s">
        <v>1201</v>
      </c>
      <c r="C461" t="s">
        <v>1202</v>
      </c>
      <c r="D461" t="s">
        <v>1202</v>
      </c>
      <c r="E461" s="5">
        <v>46268</v>
      </c>
      <c r="F461" t="s">
        <v>204</v>
      </c>
      <c r="G461" t="s">
        <v>213</v>
      </c>
      <c r="H461">
        <v>999</v>
      </c>
      <c r="I461">
        <v>17.98</v>
      </c>
      <c r="J461">
        <v>3.24</v>
      </c>
      <c r="K461">
        <v>977.78</v>
      </c>
      <c r="L461" s="5">
        <v>46270</v>
      </c>
      <c r="M461" t="s">
        <v>925</v>
      </c>
      <c r="N461" t="s">
        <v>207</v>
      </c>
      <c r="O461" t="s">
        <v>1202</v>
      </c>
      <c r="P461" t="s">
        <v>208</v>
      </c>
      <c r="Q461" t="s">
        <v>209</v>
      </c>
    </row>
    <row r="462" spans="1:17" x14ac:dyDescent="0.3">
      <c r="A462" t="s">
        <v>1203</v>
      </c>
      <c r="C462" t="s">
        <v>1204</v>
      </c>
      <c r="D462" t="s">
        <v>1205</v>
      </c>
      <c r="E462" s="5">
        <v>46268</v>
      </c>
      <c r="F462" t="s">
        <v>204</v>
      </c>
      <c r="G462" t="s">
        <v>220</v>
      </c>
      <c r="H462">
        <v>7999</v>
      </c>
      <c r="I462">
        <v>24</v>
      </c>
      <c r="J462">
        <v>4.32</v>
      </c>
      <c r="K462">
        <v>7970.68</v>
      </c>
      <c r="L462" s="5">
        <v>46270</v>
      </c>
      <c r="M462" t="s">
        <v>925</v>
      </c>
      <c r="N462" t="s">
        <v>207</v>
      </c>
      <c r="O462" t="s">
        <v>1205</v>
      </c>
      <c r="P462" t="s">
        <v>208</v>
      </c>
      <c r="Q462" t="s">
        <v>209</v>
      </c>
    </row>
    <row r="463" spans="1:17" x14ac:dyDescent="0.3">
      <c r="A463" t="s">
        <v>1206</v>
      </c>
      <c r="C463" t="s">
        <v>1207</v>
      </c>
      <c r="D463" t="s">
        <v>1207</v>
      </c>
      <c r="E463" s="5">
        <v>46268</v>
      </c>
      <c r="F463" t="s">
        <v>204</v>
      </c>
      <c r="G463" t="s">
        <v>213</v>
      </c>
      <c r="H463">
        <v>1848</v>
      </c>
      <c r="I463">
        <v>33.26</v>
      </c>
      <c r="J463">
        <v>5.99</v>
      </c>
      <c r="K463">
        <v>1808.75</v>
      </c>
      <c r="L463" s="5">
        <v>46270</v>
      </c>
      <c r="M463" t="s">
        <v>925</v>
      </c>
      <c r="N463" t="s">
        <v>207</v>
      </c>
      <c r="O463" t="s">
        <v>1207</v>
      </c>
      <c r="P463" t="s">
        <v>208</v>
      </c>
      <c r="Q463" t="s">
        <v>209</v>
      </c>
    </row>
    <row r="464" spans="1:17" x14ac:dyDescent="0.3">
      <c r="A464" t="s">
        <v>1208</v>
      </c>
      <c r="C464" t="s">
        <v>1209</v>
      </c>
      <c r="D464" t="s">
        <v>1209</v>
      </c>
      <c r="E464" s="5">
        <v>46268</v>
      </c>
      <c r="F464" t="s">
        <v>204</v>
      </c>
      <c r="G464" t="s">
        <v>220</v>
      </c>
      <c r="H464">
        <v>1799</v>
      </c>
      <c r="I464">
        <v>0</v>
      </c>
      <c r="J464">
        <v>0</v>
      </c>
      <c r="K464">
        <v>1799</v>
      </c>
      <c r="L464" s="5">
        <v>46270</v>
      </c>
      <c r="M464" t="s">
        <v>925</v>
      </c>
      <c r="N464" t="s">
        <v>207</v>
      </c>
      <c r="O464" t="s">
        <v>1209</v>
      </c>
      <c r="P464" t="s">
        <v>208</v>
      </c>
      <c r="Q464" t="s">
        <v>209</v>
      </c>
    </row>
    <row r="465" spans="1:17" x14ac:dyDescent="0.3">
      <c r="A465" t="s">
        <v>1210</v>
      </c>
      <c r="C465" t="s">
        <v>1211</v>
      </c>
      <c r="D465" t="s">
        <v>1211</v>
      </c>
      <c r="E465" s="5">
        <v>46268</v>
      </c>
      <c r="F465" t="s">
        <v>204</v>
      </c>
      <c r="G465" t="s">
        <v>220</v>
      </c>
      <c r="H465">
        <v>7999</v>
      </c>
      <c r="I465">
        <v>24</v>
      </c>
      <c r="J465">
        <v>4.32</v>
      </c>
      <c r="K465">
        <v>7970.68</v>
      </c>
      <c r="L465" s="5">
        <v>46270</v>
      </c>
      <c r="M465" t="s">
        <v>925</v>
      </c>
      <c r="N465" t="s">
        <v>207</v>
      </c>
      <c r="O465" t="s">
        <v>1211</v>
      </c>
      <c r="P465" t="s">
        <v>208</v>
      </c>
      <c r="Q465" t="s">
        <v>209</v>
      </c>
    </row>
    <row r="466" spans="1:17" x14ac:dyDescent="0.3">
      <c r="A466" t="s">
        <v>1212</v>
      </c>
      <c r="C466" t="s">
        <v>1213</v>
      </c>
      <c r="D466" t="s">
        <v>1213</v>
      </c>
      <c r="E466" s="5">
        <v>46268</v>
      </c>
      <c r="F466" t="s">
        <v>204</v>
      </c>
      <c r="G466" t="s">
        <v>220</v>
      </c>
      <c r="H466">
        <v>1499</v>
      </c>
      <c r="I466">
        <v>0</v>
      </c>
      <c r="J466">
        <v>0</v>
      </c>
      <c r="K466">
        <v>1499</v>
      </c>
      <c r="L466" s="5">
        <v>46270</v>
      </c>
      <c r="M466" t="s">
        <v>925</v>
      </c>
      <c r="N466" t="s">
        <v>207</v>
      </c>
      <c r="O466" t="s">
        <v>1213</v>
      </c>
      <c r="P466" t="s">
        <v>208</v>
      </c>
      <c r="Q466" t="s">
        <v>209</v>
      </c>
    </row>
    <row r="467" spans="1:17" x14ac:dyDescent="0.3">
      <c r="A467" t="s">
        <v>1214</v>
      </c>
      <c r="C467" t="s">
        <v>1215</v>
      </c>
      <c r="D467" t="s">
        <v>1216</v>
      </c>
      <c r="E467" s="5">
        <v>46268</v>
      </c>
      <c r="F467" t="s">
        <v>204</v>
      </c>
      <c r="G467" t="s">
        <v>220</v>
      </c>
      <c r="H467">
        <v>999</v>
      </c>
      <c r="I467">
        <v>0</v>
      </c>
      <c r="J467">
        <v>0</v>
      </c>
      <c r="K467">
        <v>999</v>
      </c>
      <c r="L467" s="5">
        <v>46270</v>
      </c>
      <c r="M467" t="s">
        <v>925</v>
      </c>
      <c r="N467" t="s">
        <v>207</v>
      </c>
      <c r="O467" t="s">
        <v>1216</v>
      </c>
      <c r="P467" t="s">
        <v>208</v>
      </c>
      <c r="Q467" t="s">
        <v>209</v>
      </c>
    </row>
    <row r="468" spans="1:17" x14ac:dyDescent="0.3">
      <c r="A468" t="s">
        <v>1217</v>
      </c>
      <c r="C468" t="s">
        <v>1218</v>
      </c>
      <c r="D468" t="s">
        <v>1219</v>
      </c>
      <c r="E468" s="5">
        <v>46268</v>
      </c>
      <c r="F468" t="s">
        <v>204</v>
      </c>
      <c r="G468" t="s">
        <v>213</v>
      </c>
      <c r="H468">
        <v>299</v>
      </c>
      <c r="I468">
        <v>5.38</v>
      </c>
      <c r="J468">
        <v>0.97</v>
      </c>
      <c r="K468">
        <v>292.64999999999998</v>
      </c>
      <c r="L468" s="5">
        <v>46270</v>
      </c>
      <c r="M468" t="s">
        <v>925</v>
      </c>
      <c r="N468" t="s">
        <v>207</v>
      </c>
      <c r="O468" t="s">
        <v>1219</v>
      </c>
      <c r="P468" t="s">
        <v>208</v>
      </c>
      <c r="Q468" t="s">
        <v>209</v>
      </c>
    </row>
    <row r="469" spans="1:17" x14ac:dyDescent="0.3">
      <c r="A469" t="s">
        <v>1220</v>
      </c>
      <c r="C469" t="s">
        <v>1221</v>
      </c>
      <c r="D469" t="s">
        <v>1221</v>
      </c>
      <c r="E469" s="5">
        <v>46268</v>
      </c>
      <c r="F469" t="s">
        <v>204</v>
      </c>
      <c r="G469" t="s">
        <v>213</v>
      </c>
      <c r="H469">
        <v>7999</v>
      </c>
      <c r="I469">
        <v>127.98</v>
      </c>
      <c r="J469">
        <v>23.04</v>
      </c>
      <c r="K469">
        <v>7847.98</v>
      </c>
      <c r="L469" s="5">
        <v>46270</v>
      </c>
      <c r="M469" t="s">
        <v>925</v>
      </c>
      <c r="N469" t="s">
        <v>207</v>
      </c>
      <c r="O469" t="s">
        <v>1221</v>
      </c>
      <c r="P469" t="s">
        <v>208</v>
      </c>
      <c r="Q469" t="s">
        <v>209</v>
      </c>
    </row>
    <row r="470" spans="1:17" x14ac:dyDescent="0.3">
      <c r="A470" t="s">
        <v>1222</v>
      </c>
      <c r="C470" t="s">
        <v>1223</v>
      </c>
      <c r="D470" t="s">
        <v>1223</v>
      </c>
      <c r="E470" s="5">
        <v>46268</v>
      </c>
      <c r="F470" t="s">
        <v>204</v>
      </c>
      <c r="G470" t="s">
        <v>213</v>
      </c>
      <c r="H470">
        <v>8998</v>
      </c>
      <c r="I470">
        <v>143.97</v>
      </c>
      <c r="J470">
        <v>25.91</v>
      </c>
      <c r="K470">
        <v>8828.1200000000008</v>
      </c>
      <c r="L470" s="5">
        <v>46270</v>
      </c>
      <c r="M470" t="s">
        <v>925</v>
      </c>
      <c r="N470" t="s">
        <v>207</v>
      </c>
      <c r="O470" t="s">
        <v>1223</v>
      </c>
      <c r="P470" t="s">
        <v>208</v>
      </c>
      <c r="Q470" t="s">
        <v>209</v>
      </c>
    </row>
    <row r="471" spans="1:17" x14ac:dyDescent="0.3">
      <c r="A471" t="s">
        <v>1224</v>
      </c>
      <c r="C471" t="s">
        <v>1225</v>
      </c>
      <c r="D471" t="s">
        <v>1225</v>
      </c>
      <c r="E471" s="5">
        <v>46268</v>
      </c>
      <c r="F471" t="s">
        <v>204</v>
      </c>
      <c r="G471" t="s">
        <v>220</v>
      </c>
      <c r="H471">
        <v>4597</v>
      </c>
      <c r="I471">
        <v>13.79</v>
      </c>
      <c r="J471">
        <v>2.48</v>
      </c>
      <c r="K471">
        <v>4580.7299999999996</v>
      </c>
      <c r="L471" s="5">
        <v>46270</v>
      </c>
      <c r="M471" t="s">
        <v>925</v>
      </c>
      <c r="N471" t="s">
        <v>207</v>
      </c>
      <c r="O471" t="s">
        <v>1225</v>
      </c>
      <c r="P471" t="s">
        <v>208</v>
      </c>
      <c r="Q471" t="s">
        <v>209</v>
      </c>
    </row>
    <row r="472" spans="1:17" x14ac:dyDescent="0.3">
      <c r="A472" t="s">
        <v>1226</v>
      </c>
      <c r="C472" t="s">
        <v>1227</v>
      </c>
      <c r="D472" t="s">
        <v>1227</v>
      </c>
      <c r="E472" s="5">
        <v>46268</v>
      </c>
      <c r="F472" t="s">
        <v>204</v>
      </c>
      <c r="G472" t="s">
        <v>255</v>
      </c>
      <c r="H472">
        <v>3598</v>
      </c>
      <c r="I472">
        <v>43.18</v>
      </c>
      <c r="J472">
        <v>7.77</v>
      </c>
      <c r="K472">
        <v>3547.05</v>
      </c>
      <c r="L472" s="5">
        <v>46270</v>
      </c>
      <c r="M472" t="s">
        <v>925</v>
      </c>
      <c r="N472" t="s">
        <v>207</v>
      </c>
      <c r="O472" t="s">
        <v>1227</v>
      </c>
      <c r="P472" t="s">
        <v>208</v>
      </c>
      <c r="Q472" t="s">
        <v>209</v>
      </c>
    </row>
    <row r="473" spans="1:17" x14ac:dyDescent="0.3">
      <c r="A473" t="s">
        <v>1228</v>
      </c>
      <c r="C473" t="s">
        <v>1229</v>
      </c>
      <c r="D473" t="s">
        <v>1230</v>
      </c>
      <c r="E473" s="5">
        <v>46268</v>
      </c>
      <c r="F473" t="s">
        <v>204</v>
      </c>
      <c r="G473" t="s">
        <v>220</v>
      </c>
      <c r="H473">
        <v>2499</v>
      </c>
      <c r="I473">
        <v>7.5</v>
      </c>
      <c r="J473">
        <v>1.35</v>
      </c>
      <c r="K473">
        <v>2490.15</v>
      </c>
      <c r="L473" s="5">
        <v>46270</v>
      </c>
      <c r="M473" t="s">
        <v>925</v>
      </c>
      <c r="N473" t="s">
        <v>207</v>
      </c>
      <c r="O473" t="s">
        <v>1230</v>
      </c>
      <c r="P473" t="s">
        <v>208</v>
      </c>
      <c r="Q473" t="s">
        <v>209</v>
      </c>
    </row>
    <row r="474" spans="1:17" x14ac:dyDescent="0.3">
      <c r="A474" t="s">
        <v>1231</v>
      </c>
      <c r="C474" t="s">
        <v>1232</v>
      </c>
      <c r="D474" t="s">
        <v>1232</v>
      </c>
      <c r="E474" s="5">
        <v>46268</v>
      </c>
      <c r="F474" t="s">
        <v>204</v>
      </c>
      <c r="G474" t="s">
        <v>220</v>
      </c>
      <c r="H474">
        <v>4999</v>
      </c>
      <c r="I474">
        <v>15</v>
      </c>
      <c r="J474">
        <v>2.7</v>
      </c>
      <c r="K474">
        <v>4981.3</v>
      </c>
      <c r="L474" s="5">
        <v>46270</v>
      </c>
      <c r="M474" t="s">
        <v>925</v>
      </c>
      <c r="N474" t="s">
        <v>207</v>
      </c>
      <c r="O474" t="s">
        <v>1232</v>
      </c>
      <c r="P474" t="s">
        <v>208</v>
      </c>
      <c r="Q474" t="s">
        <v>209</v>
      </c>
    </row>
    <row r="475" spans="1:17" x14ac:dyDescent="0.3">
      <c r="A475" t="s">
        <v>1233</v>
      </c>
      <c r="C475" t="s">
        <v>1234</v>
      </c>
      <c r="D475" t="s">
        <v>1235</v>
      </c>
      <c r="E475" s="5">
        <v>46268</v>
      </c>
      <c r="F475" t="s">
        <v>204</v>
      </c>
      <c r="G475" t="s">
        <v>213</v>
      </c>
      <c r="H475">
        <v>999</v>
      </c>
      <c r="I475">
        <v>17.98</v>
      </c>
      <c r="J475">
        <v>3.24</v>
      </c>
      <c r="K475">
        <v>977.78</v>
      </c>
      <c r="L475" s="5">
        <v>46270</v>
      </c>
      <c r="M475" t="s">
        <v>925</v>
      </c>
      <c r="N475" t="s">
        <v>207</v>
      </c>
      <c r="O475" t="s">
        <v>1235</v>
      </c>
      <c r="P475" t="s">
        <v>208</v>
      </c>
      <c r="Q475" t="s">
        <v>209</v>
      </c>
    </row>
    <row r="476" spans="1:17" x14ac:dyDescent="0.3">
      <c r="A476" t="s">
        <v>1236</v>
      </c>
      <c r="C476" t="s">
        <v>1237</v>
      </c>
      <c r="D476" t="s">
        <v>1238</v>
      </c>
      <c r="E476" s="5">
        <v>46268</v>
      </c>
      <c r="F476" t="s">
        <v>204</v>
      </c>
      <c r="G476" t="s">
        <v>213</v>
      </c>
      <c r="H476">
        <v>2798</v>
      </c>
      <c r="I476">
        <v>44.77</v>
      </c>
      <c r="J476">
        <v>8.06</v>
      </c>
      <c r="K476">
        <v>2745.17</v>
      </c>
      <c r="L476" s="5">
        <v>46270</v>
      </c>
      <c r="M476" t="s">
        <v>925</v>
      </c>
      <c r="N476" t="s">
        <v>207</v>
      </c>
      <c r="O476" t="s">
        <v>1238</v>
      </c>
      <c r="P476" t="s">
        <v>208</v>
      </c>
      <c r="Q476" t="s">
        <v>209</v>
      </c>
    </row>
    <row r="477" spans="1:17" x14ac:dyDescent="0.3">
      <c r="A477" t="s">
        <v>1239</v>
      </c>
      <c r="C477" t="s">
        <v>1240</v>
      </c>
      <c r="D477" t="s">
        <v>1240</v>
      </c>
      <c r="E477" s="5">
        <v>46268</v>
      </c>
      <c r="F477" t="s">
        <v>204</v>
      </c>
      <c r="G477" t="s">
        <v>220</v>
      </c>
      <c r="H477">
        <v>3499</v>
      </c>
      <c r="I477">
        <v>10.5</v>
      </c>
      <c r="J477">
        <v>1.89</v>
      </c>
      <c r="K477">
        <v>3486.61</v>
      </c>
      <c r="L477" s="5">
        <v>46270</v>
      </c>
      <c r="M477" t="s">
        <v>925</v>
      </c>
      <c r="N477" t="s">
        <v>207</v>
      </c>
      <c r="O477" t="s">
        <v>1240</v>
      </c>
      <c r="P477" t="s">
        <v>208</v>
      </c>
      <c r="Q477" t="s">
        <v>209</v>
      </c>
    </row>
    <row r="478" spans="1:17" x14ac:dyDescent="0.3">
      <c r="A478" t="s">
        <v>1241</v>
      </c>
      <c r="C478" t="s">
        <v>1242</v>
      </c>
      <c r="D478" t="s">
        <v>1242</v>
      </c>
      <c r="E478" s="5">
        <v>46268</v>
      </c>
      <c r="F478" t="s">
        <v>204</v>
      </c>
      <c r="G478" t="s">
        <v>220</v>
      </c>
      <c r="H478">
        <v>1498</v>
      </c>
      <c r="I478">
        <v>0</v>
      </c>
      <c r="J478">
        <v>0</v>
      </c>
      <c r="K478">
        <v>1498</v>
      </c>
      <c r="L478" s="5">
        <v>46270</v>
      </c>
      <c r="M478" t="s">
        <v>925</v>
      </c>
      <c r="N478" t="s">
        <v>207</v>
      </c>
      <c r="O478" t="s">
        <v>1242</v>
      </c>
      <c r="P478" t="s">
        <v>208</v>
      </c>
      <c r="Q478" t="s">
        <v>209</v>
      </c>
    </row>
    <row r="479" spans="1:17" x14ac:dyDescent="0.3">
      <c r="A479" t="s">
        <v>1243</v>
      </c>
      <c r="C479" t="s">
        <v>1244</v>
      </c>
      <c r="D479" t="s">
        <v>1244</v>
      </c>
      <c r="E479" s="5">
        <v>46268</v>
      </c>
      <c r="F479" t="s">
        <v>204</v>
      </c>
      <c r="G479" t="s">
        <v>205</v>
      </c>
      <c r="H479">
        <v>4147</v>
      </c>
      <c r="I479">
        <v>70.5</v>
      </c>
      <c r="J479">
        <v>12.69</v>
      </c>
      <c r="K479">
        <v>4063.81</v>
      </c>
      <c r="L479" s="5">
        <v>46270</v>
      </c>
      <c r="M479" t="s">
        <v>925</v>
      </c>
      <c r="N479" t="s">
        <v>207</v>
      </c>
      <c r="O479" t="s">
        <v>1244</v>
      </c>
      <c r="P479" t="s">
        <v>208</v>
      </c>
      <c r="Q479" t="s">
        <v>209</v>
      </c>
    </row>
    <row r="480" spans="1:17" x14ac:dyDescent="0.3">
      <c r="A480" t="s">
        <v>1245</v>
      </c>
      <c r="C480" t="s">
        <v>1246</v>
      </c>
      <c r="D480" t="s">
        <v>1246</v>
      </c>
      <c r="E480" s="5">
        <v>46268</v>
      </c>
      <c r="F480" t="s">
        <v>204</v>
      </c>
      <c r="G480" t="s">
        <v>213</v>
      </c>
      <c r="H480">
        <v>1998</v>
      </c>
      <c r="I480">
        <v>35.96</v>
      </c>
      <c r="J480">
        <v>6.47</v>
      </c>
      <c r="K480">
        <v>1955.57</v>
      </c>
      <c r="L480" s="5">
        <v>46270</v>
      </c>
      <c r="M480" t="s">
        <v>925</v>
      </c>
      <c r="N480" t="s">
        <v>207</v>
      </c>
      <c r="O480" t="s">
        <v>1246</v>
      </c>
      <c r="P480" t="s">
        <v>208</v>
      </c>
      <c r="Q480" t="s">
        <v>209</v>
      </c>
    </row>
    <row r="481" spans="1:17" x14ac:dyDescent="0.3">
      <c r="A481" t="s">
        <v>1247</v>
      </c>
      <c r="C481" t="s">
        <v>1248</v>
      </c>
      <c r="D481" t="s">
        <v>1248</v>
      </c>
      <c r="E481" s="5">
        <v>46268</v>
      </c>
      <c r="F481" t="s">
        <v>204</v>
      </c>
      <c r="G481" t="s">
        <v>220</v>
      </c>
      <c r="H481">
        <v>6847</v>
      </c>
      <c r="I481">
        <v>20.54</v>
      </c>
      <c r="J481">
        <v>3.7</v>
      </c>
      <c r="K481">
        <v>6822.76</v>
      </c>
      <c r="L481" s="5">
        <v>46270</v>
      </c>
      <c r="M481" t="s">
        <v>925</v>
      </c>
      <c r="N481" t="s">
        <v>207</v>
      </c>
      <c r="O481" t="s">
        <v>1248</v>
      </c>
      <c r="P481" t="s">
        <v>208</v>
      </c>
      <c r="Q481" t="s">
        <v>209</v>
      </c>
    </row>
    <row r="482" spans="1:17" x14ac:dyDescent="0.3">
      <c r="A482" t="s">
        <v>1249</v>
      </c>
      <c r="C482" t="s">
        <v>1250</v>
      </c>
      <c r="D482" t="s">
        <v>1250</v>
      </c>
      <c r="E482" s="5">
        <v>46268</v>
      </c>
      <c r="F482" t="s">
        <v>204</v>
      </c>
      <c r="G482" t="s">
        <v>255</v>
      </c>
      <c r="H482">
        <v>1299</v>
      </c>
      <c r="I482">
        <v>19.489999999999998</v>
      </c>
      <c r="J482">
        <v>3.51</v>
      </c>
      <c r="K482">
        <v>1276</v>
      </c>
      <c r="L482" s="5">
        <v>46270</v>
      </c>
      <c r="M482" t="s">
        <v>925</v>
      </c>
      <c r="N482" t="s">
        <v>207</v>
      </c>
      <c r="O482" t="s">
        <v>1250</v>
      </c>
      <c r="P482" t="s">
        <v>208</v>
      </c>
      <c r="Q482" t="s">
        <v>209</v>
      </c>
    </row>
    <row r="483" spans="1:17" x14ac:dyDescent="0.3">
      <c r="A483" t="s">
        <v>1251</v>
      </c>
      <c r="C483" t="s">
        <v>1252</v>
      </c>
      <c r="D483" t="s">
        <v>1252</v>
      </c>
      <c r="E483" s="5">
        <v>46268</v>
      </c>
      <c r="F483" t="s">
        <v>204</v>
      </c>
      <c r="G483" t="s">
        <v>213</v>
      </c>
      <c r="H483">
        <v>599</v>
      </c>
      <c r="I483">
        <v>10.78</v>
      </c>
      <c r="J483">
        <v>1.94</v>
      </c>
      <c r="K483">
        <v>586.28</v>
      </c>
      <c r="L483" s="5">
        <v>46270</v>
      </c>
      <c r="M483" t="s">
        <v>925</v>
      </c>
      <c r="N483" t="s">
        <v>207</v>
      </c>
      <c r="O483" t="s">
        <v>1252</v>
      </c>
      <c r="P483" t="s">
        <v>208</v>
      </c>
      <c r="Q483" t="s">
        <v>209</v>
      </c>
    </row>
    <row r="484" spans="1:17" x14ac:dyDescent="0.3">
      <c r="A484" t="s">
        <v>1253</v>
      </c>
      <c r="C484" t="s">
        <v>1254</v>
      </c>
      <c r="D484" t="s">
        <v>1254</v>
      </c>
      <c r="E484" s="5">
        <v>46268</v>
      </c>
      <c r="F484" t="s">
        <v>204</v>
      </c>
      <c r="G484" t="s">
        <v>220</v>
      </c>
      <c r="H484">
        <v>2499</v>
      </c>
      <c r="I484">
        <v>7.5</v>
      </c>
      <c r="J484">
        <v>1.35</v>
      </c>
      <c r="K484">
        <v>2490.15</v>
      </c>
      <c r="L484" s="5">
        <v>46270</v>
      </c>
      <c r="M484" t="s">
        <v>925</v>
      </c>
      <c r="N484" t="s">
        <v>207</v>
      </c>
      <c r="O484" t="s">
        <v>1254</v>
      </c>
      <c r="P484" t="s">
        <v>208</v>
      </c>
      <c r="Q484" t="s">
        <v>209</v>
      </c>
    </row>
    <row r="485" spans="1:17" x14ac:dyDescent="0.3">
      <c r="A485" t="s">
        <v>1255</v>
      </c>
      <c r="C485" t="s">
        <v>1256</v>
      </c>
      <c r="D485" t="s">
        <v>1256</v>
      </c>
      <c r="E485" s="5">
        <v>46268</v>
      </c>
      <c r="F485" t="s">
        <v>204</v>
      </c>
      <c r="G485" t="s">
        <v>220</v>
      </c>
      <c r="H485">
        <v>2998</v>
      </c>
      <c r="I485">
        <v>8.99</v>
      </c>
      <c r="J485">
        <v>1.62</v>
      </c>
      <c r="K485">
        <v>2987.39</v>
      </c>
      <c r="L485" s="5">
        <v>46270</v>
      </c>
      <c r="M485" t="s">
        <v>925</v>
      </c>
      <c r="N485" t="s">
        <v>207</v>
      </c>
      <c r="O485" t="s">
        <v>1256</v>
      </c>
      <c r="P485" t="s">
        <v>208</v>
      </c>
      <c r="Q485" t="s">
        <v>209</v>
      </c>
    </row>
    <row r="486" spans="1:17" x14ac:dyDescent="0.3">
      <c r="A486" t="s">
        <v>1257</v>
      </c>
      <c r="C486" t="s">
        <v>1258</v>
      </c>
      <c r="D486" t="s">
        <v>1258</v>
      </c>
      <c r="E486" s="5">
        <v>46268</v>
      </c>
      <c r="F486" t="s">
        <v>204</v>
      </c>
      <c r="G486" t="s">
        <v>205</v>
      </c>
      <c r="H486">
        <v>8348</v>
      </c>
      <c r="I486">
        <v>141.91999999999999</v>
      </c>
      <c r="J486">
        <v>25.55</v>
      </c>
      <c r="K486">
        <v>8180.53</v>
      </c>
      <c r="L486" s="5">
        <v>46270</v>
      </c>
      <c r="M486" t="s">
        <v>925</v>
      </c>
      <c r="N486" t="s">
        <v>207</v>
      </c>
      <c r="O486" t="s">
        <v>1258</v>
      </c>
      <c r="P486" t="s">
        <v>208</v>
      </c>
      <c r="Q486" t="s">
        <v>209</v>
      </c>
    </row>
    <row r="487" spans="1:17" x14ac:dyDescent="0.3">
      <c r="A487" t="s">
        <v>1259</v>
      </c>
      <c r="C487" t="s">
        <v>1260</v>
      </c>
      <c r="D487" t="s">
        <v>1260</v>
      </c>
      <c r="E487" s="5">
        <v>46268</v>
      </c>
      <c r="F487" t="s">
        <v>204</v>
      </c>
      <c r="G487" t="s">
        <v>220</v>
      </c>
      <c r="H487">
        <v>299</v>
      </c>
      <c r="I487">
        <v>0</v>
      </c>
      <c r="J487">
        <v>0</v>
      </c>
      <c r="K487">
        <v>299</v>
      </c>
      <c r="L487" s="5">
        <v>46270</v>
      </c>
      <c r="M487" t="s">
        <v>925</v>
      </c>
      <c r="N487" t="s">
        <v>207</v>
      </c>
      <c r="O487" t="s">
        <v>1260</v>
      </c>
      <c r="P487" t="s">
        <v>208</v>
      </c>
      <c r="Q487" t="s">
        <v>209</v>
      </c>
    </row>
    <row r="488" spans="1:17" x14ac:dyDescent="0.3">
      <c r="A488" t="s">
        <v>1261</v>
      </c>
      <c r="C488" t="s">
        <v>1262</v>
      </c>
      <c r="D488" t="s">
        <v>1263</v>
      </c>
      <c r="E488" s="5">
        <v>46268</v>
      </c>
      <c r="F488" t="s">
        <v>204</v>
      </c>
      <c r="G488" t="s">
        <v>220</v>
      </c>
      <c r="H488">
        <v>2598</v>
      </c>
      <c r="I488">
        <v>7.79</v>
      </c>
      <c r="J488">
        <v>1.4</v>
      </c>
      <c r="K488">
        <v>2588.81</v>
      </c>
      <c r="L488" s="5">
        <v>46270</v>
      </c>
      <c r="M488" t="s">
        <v>925</v>
      </c>
      <c r="N488" t="s">
        <v>207</v>
      </c>
      <c r="O488" t="s">
        <v>1263</v>
      </c>
      <c r="P488" t="s">
        <v>208</v>
      </c>
      <c r="Q488" t="s">
        <v>209</v>
      </c>
    </row>
    <row r="489" spans="1:17" x14ac:dyDescent="0.3">
      <c r="A489" t="s">
        <v>1264</v>
      </c>
      <c r="C489" t="s">
        <v>1265</v>
      </c>
      <c r="D489" t="s">
        <v>1265</v>
      </c>
      <c r="E489" s="5">
        <v>46268</v>
      </c>
      <c r="F489" t="s">
        <v>204</v>
      </c>
      <c r="G489" t="s">
        <v>220</v>
      </c>
      <c r="H489">
        <v>799</v>
      </c>
      <c r="I489">
        <v>0</v>
      </c>
      <c r="J489">
        <v>0</v>
      </c>
      <c r="K489">
        <v>799</v>
      </c>
      <c r="L489" s="5">
        <v>46270</v>
      </c>
      <c r="M489" t="s">
        <v>925</v>
      </c>
      <c r="N489" t="s">
        <v>207</v>
      </c>
      <c r="O489" t="s">
        <v>1265</v>
      </c>
      <c r="P489" t="s">
        <v>208</v>
      </c>
      <c r="Q489" t="s">
        <v>209</v>
      </c>
    </row>
    <row r="490" spans="1:17" x14ac:dyDescent="0.3">
      <c r="A490" t="s">
        <v>1266</v>
      </c>
      <c r="C490" t="s">
        <v>1267</v>
      </c>
      <c r="D490" t="s">
        <v>1267</v>
      </c>
      <c r="E490" s="5">
        <v>46268</v>
      </c>
      <c r="F490" t="s">
        <v>204</v>
      </c>
      <c r="G490" t="s">
        <v>220</v>
      </c>
      <c r="H490">
        <v>349</v>
      </c>
      <c r="I490">
        <v>0</v>
      </c>
      <c r="J490">
        <v>0</v>
      </c>
      <c r="K490">
        <v>349</v>
      </c>
      <c r="L490" s="5">
        <v>46270</v>
      </c>
      <c r="M490" t="s">
        <v>925</v>
      </c>
      <c r="N490" t="s">
        <v>207</v>
      </c>
      <c r="O490" t="s">
        <v>1267</v>
      </c>
      <c r="P490" t="s">
        <v>208</v>
      </c>
      <c r="Q490" t="s">
        <v>209</v>
      </c>
    </row>
    <row r="491" spans="1:17" x14ac:dyDescent="0.3">
      <c r="A491" t="s">
        <v>1268</v>
      </c>
      <c r="C491" t="s">
        <v>1269</v>
      </c>
      <c r="D491" t="s">
        <v>1270</v>
      </c>
      <c r="E491" s="5">
        <v>46268</v>
      </c>
      <c r="F491" t="s">
        <v>204</v>
      </c>
      <c r="G491" t="s">
        <v>220</v>
      </c>
      <c r="H491">
        <v>349</v>
      </c>
      <c r="I491">
        <v>0</v>
      </c>
      <c r="J491">
        <v>0</v>
      </c>
      <c r="K491">
        <v>349</v>
      </c>
      <c r="L491" s="5">
        <v>46270</v>
      </c>
      <c r="M491" t="s">
        <v>925</v>
      </c>
      <c r="N491" t="s">
        <v>207</v>
      </c>
      <c r="O491" t="s">
        <v>1270</v>
      </c>
      <c r="P491" t="s">
        <v>208</v>
      </c>
      <c r="Q491" t="s">
        <v>209</v>
      </c>
    </row>
    <row r="492" spans="1:17" x14ac:dyDescent="0.3">
      <c r="A492" t="s">
        <v>1271</v>
      </c>
      <c r="C492" t="s">
        <v>1272</v>
      </c>
      <c r="D492" t="s">
        <v>1272</v>
      </c>
      <c r="E492" s="5">
        <v>46268</v>
      </c>
      <c r="F492" t="s">
        <v>204</v>
      </c>
      <c r="G492" t="s">
        <v>255</v>
      </c>
      <c r="H492">
        <v>3298</v>
      </c>
      <c r="I492">
        <v>39.58</v>
      </c>
      <c r="J492">
        <v>7.12</v>
      </c>
      <c r="K492">
        <v>3251.3</v>
      </c>
      <c r="L492" s="5">
        <v>46270</v>
      </c>
      <c r="M492" t="s">
        <v>925</v>
      </c>
      <c r="N492" t="s">
        <v>207</v>
      </c>
      <c r="O492" t="s">
        <v>1272</v>
      </c>
      <c r="P492" t="s">
        <v>208</v>
      </c>
      <c r="Q492" t="s">
        <v>209</v>
      </c>
    </row>
    <row r="493" spans="1:17" x14ac:dyDescent="0.3">
      <c r="A493" t="s">
        <v>1273</v>
      </c>
      <c r="C493" t="s">
        <v>1274</v>
      </c>
      <c r="D493" t="s">
        <v>1274</v>
      </c>
      <c r="E493" s="5">
        <v>46268</v>
      </c>
      <c r="F493" t="s">
        <v>204</v>
      </c>
      <c r="G493" t="s">
        <v>220</v>
      </c>
      <c r="H493">
        <v>1299</v>
      </c>
      <c r="I493">
        <v>0</v>
      </c>
      <c r="J493">
        <v>0</v>
      </c>
      <c r="K493">
        <v>1299</v>
      </c>
      <c r="L493" s="5">
        <v>46270</v>
      </c>
      <c r="M493" t="s">
        <v>925</v>
      </c>
      <c r="N493" t="s">
        <v>207</v>
      </c>
      <c r="O493" t="s">
        <v>1274</v>
      </c>
      <c r="P493" t="s">
        <v>208</v>
      </c>
      <c r="Q493" t="s">
        <v>209</v>
      </c>
    </row>
    <row r="494" spans="1:17" x14ac:dyDescent="0.3">
      <c r="A494" t="s">
        <v>1275</v>
      </c>
      <c r="C494" t="s">
        <v>1276</v>
      </c>
      <c r="D494" t="s">
        <v>1276</v>
      </c>
      <c r="E494" s="5">
        <v>46268</v>
      </c>
      <c r="F494" t="s">
        <v>204</v>
      </c>
      <c r="G494" t="s">
        <v>213</v>
      </c>
      <c r="H494">
        <v>2499</v>
      </c>
      <c r="I494">
        <v>39.979999999999997</v>
      </c>
      <c r="J494">
        <v>7.2</v>
      </c>
      <c r="K494">
        <v>2451.8200000000002</v>
      </c>
      <c r="L494" s="5">
        <v>46270</v>
      </c>
      <c r="M494" t="s">
        <v>925</v>
      </c>
      <c r="N494" t="s">
        <v>207</v>
      </c>
      <c r="O494" t="s">
        <v>1276</v>
      </c>
      <c r="P494" t="s">
        <v>208</v>
      </c>
      <c r="Q494" t="s">
        <v>209</v>
      </c>
    </row>
    <row r="495" spans="1:17" x14ac:dyDescent="0.3">
      <c r="A495" t="s">
        <v>1277</v>
      </c>
      <c r="C495" t="s">
        <v>1278</v>
      </c>
      <c r="D495" t="s">
        <v>1278</v>
      </c>
      <c r="E495" s="5">
        <v>46268</v>
      </c>
      <c r="F495" t="s">
        <v>204</v>
      </c>
      <c r="G495" t="s">
        <v>213</v>
      </c>
      <c r="H495">
        <v>5298</v>
      </c>
      <c r="I495">
        <v>84.77</v>
      </c>
      <c r="J495">
        <v>15.26</v>
      </c>
      <c r="K495">
        <v>5197.97</v>
      </c>
      <c r="L495" s="5">
        <v>46270</v>
      </c>
      <c r="M495" t="s">
        <v>925</v>
      </c>
      <c r="N495" t="s">
        <v>207</v>
      </c>
      <c r="O495" t="s">
        <v>1278</v>
      </c>
      <c r="P495" t="s">
        <v>208</v>
      </c>
      <c r="Q495" t="s">
        <v>209</v>
      </c>
    </row>
    <row r="496" spans="1:17" x14ac:dyDescent="0.3">
      <c r="A496" t="s">
        <v>1279</v>
      </c>
      <c r="C496" t="s">
        <v>1280</v>
      </c>
      <c r="D496" t="s">
        <v>1280</v>
      </c>
      <c r="E496" s="5">
        <v>46268</v>
      </c>
      <c r="F496" t="s">
        <v>204</v>
      </c>
      <c r="G496" t="s">
        <v>205</v>
      </c>
      <c r="H496">
        <v>1647</v>
      </c>
      <c r="I496">
        <v>31.29</v>
      </c>
      <c r="J496">
        <v>5.63</v>
      </c>
      <c r="K496">
        <v>1610.08</v>
      </c>
      <c r="L496" s="5">
        <v>46270</v>
      </c>
      <c r="M496" t="s">
        <v>925</v>
      </c>
      <c r="N496" t="s">
        <v>207</v>
      </c>
      <c r="O496" t="s">
        <v>1280</v>
      </c>
      <c r="P496" t="s">
        <v>208</v>
      </c>
      <c r="Q496" t="s">
        <v>209</v>
      </c>
    </row>
    <row r="497" spans="1:17" x14ac:dyDescent="0.3">
      <c r="A497" t="s">
        <v>1281</v>
      </c>
      <c r="C497" t="s">
        <v>1282</v>
      </c>
      <c r="D497" t="s">
        <v>1282</v>
      </c>
      <c r="E497" s="5">
        <v>46268</v>
      </c>
      <c r="F497" t="s">
        <v>204</v>
      </c>
      <c r="G497" t="s">
        <v>205</v>
      </c>
      <c r="H497">
        <v>799</v>
      </c>
      <c r="I497">
        <v>15.18</v>
      </c>
      <c r="J497">
        <v>2.73</v>
      </c>
      <c r="K497">
        <v>781.09</v>
      </c>
      <c r="L497" s="5">
        <v>46270</v>
      </c>
      <c r="M497" t="s">
        <v>925</v>
      </c>
      <c r="N497" t="s">
        <v>207</v>
      </c>
      <c r="O497" t="s">
        <v>1282</v>
      </c>
      <c r="P497" t="s">
        <v>208</v>
      </c>
      <c r="Q497" t="s">
        <v>209</v>
      </c>
    </row>
    <row r="498" spans="1:17" x14ac:dyDescent="0.3">
      <c r="A498" t="s">
        <v>1283</v>
      </c>
      <c r="C498" t="s">
        <v>1284</v>
      </c>
      <c r="D498" t="s">
        <v>1284</v>
      </c>
      <c r="E498" s="5">
        <v>46268</v>
      </c>
      <c r="F498" t="s">
        <v>204</v>
      </c>
      <c r="G498" t="s">
        <v>205</v>
      </c>
      <c r="H498">
        <v>9097</v>
      </c>
      <c r="I498">
        <v>154.65</v>
      </c>
      <c r="J498">
        <v>27.84</v>
      </c>
      <c r="K498">
        <v>8914.51</v>
      </c>
      <c r="L498" s="5">
        <v>46270</v>
      </c>
      <c r="M498" t="s">
        <v>925</v>
      </c>
      <c r="N498" t="s">
        <v>207</v>
      </c>
      <c r="O498" t="s">
        <v>1284</v>
      </c>
      <c r="P498" t="s">
        <v>208</v>
      </c>
      <c r="Q498" t="s">
        <v>209</v>
      </c>
    </row>
    <row r="499" spans="1:17" x14ac:dyDescent="0.3">
      <c r="A499" t="s">
        <v>1285</v>
      </c>
      <c r="C499" t="s">
        <v>1286</v>
      </c>
      <c r="D499" t="s">
        <v>1286</v>
      </c>
      <c r="E499" s="5">
        <v>46268</v>
      </c>
      <c r="F499" t="s">
        <v>204</v>
      </c>
      <c r="G499" t="s">
        <v>220</v>
      </c>
      <c r="H499">
        <v>3997</v>
      </c>
      <c r="I499">
        <v>11.99</v>
      </c>
      <c r="J499">
        <v>2.16</v>
      </c>
      <c r="K499">
        <v>3982.85</v>
      </c>
      <c r="L499" s="5">
        <v>46270</v>
      </c>
      <c r="M499" t="s">
        <v>925</v>
      </c>
      <c r="N499" t="s">
        <v>207</v>
      </c>
      <c r="O499" t="s">
        <v>1286</v>
      </c>
      <c r="P499" t="s">
        <v>208</v>
      </c>
      <c r="Q499" t="s">
        <v>209</v>
      </c>
    </row>
    <row r="500" spans="1:17" x14ac:dyDescent="0.3">
      <c r="A500" t="s">
        <v>1287</v>
      </c>
      <c r="C500" t="s">
        <v>1288</v>
      </c>
      <c r="D500" t="s">
        <v>1289</v>
      </c>
      <c r="E500" s="5">
        <v>46268</v>
      </c>
      <c r="F500" t="s">
        <v>204</v>
      </c>
      <c r="G500" t="s">
        <v>213</v>
      </c>
      <c r="H500">
        <v>1897</v>
      </c>
      <c r="I500">
        <v>34.15</v>
      </c>
      <c r="J500">
        <v>6.15</v>
      </c>
      <c r="K500">
        <v>1856.7</v>
      </c>
      <c r="L500" s="5">
        <v>46270</v>
      </c>
      <c r="M500" t="s">
        <v>925</v>
      </c>
      <c r="N500" t="s">
        <v>207</v>
      </c>
      <c r="O500" t="s">
        <v>1289</v>
      </c>
      <c r="P500" t="s">
        <v>208</v>
      </c>
      <c r="Q500" t="s">
        <v>209</v>
      </c>
    </row>
    <row r="501" spans="1:17" x14ac:dyDescent="0.3">
      <c r="A501" t="s">
        <v>1290</v>
      </c>
      <c r="C501" t="s">
        <v>1291</v>
      </c>
      <c r="D501" t="s">
        <v>1291</v>
      </c>
      <c r="E501" s="5">
        <v>46268</v>
      </c>
      <c r="F501" t="s">
        <v>204</v>
      </c>
      <c r="G501" t="s">
        <v>220</v>
      </c>
      <c r="H501">
        <v>2098</v>
      </c>
      <c r="I501">
        <v>6.29</v>
      </c>
      <c r="J501">
        <v>1.1299999999999999</v>
      </c>
      <c r="K501">
        <v>2090.58</v>
      </c>
      <c r="L501" s="5">
        <v>46270</v>
      </c>
      <c r="M501" t="s">
        <v>925</v>
      </c>
      <c r="N501" t="s">
        <v>207</v>
      </c>
      <c r="O501" t="s">
        <v>1291</v>
      </c>
      <c r="P501" t="s">
        <v>208</v>
      </c>
      <c r="Q501" t="s">
        <v>209</v>
      </c>
    </row>
    <row r="502" spans="1:17" x14ac:dyDescent="0.3">
      <c r="A502" t="s">
        <v>1292</v>
      </c>
      <c r="C502" t="s">
        <v>1293</v>
      </c>
      <c r="D502" t="s">
        <v>1293</v>
      </c>
      <c r="E502" s="5">
        <v>46268</v>
      </c>
      <c r="F502" t="s">
        <v>204</v>
      </c>
      <c r="G502" t="s">
        <v>255</v>
      </c>
      <c r="H502">
        <v>2999</v>
      </c>
      <c r="I502">
        <v>35.99</v>
      </c>
      <c r="J502">
        <v>6.48</v>
      </c>
      <c r="K502">
        <v>2956.53</v>
      </c>
      <c r="L502" s="5">
        <v>46270</v>
      </c>
      <c r="M502" t="s">
        <v>925</v>
      </c>
      <c r="N502" t="s">
        <v>207</v>
      </c>
      <c r="O502" t="s">
        <v>1293</v>
      </c>
      <c r="P502" t="s">
        <v>208</v>
      </c>
      <c r="Q502" t="s">
        <v>209</v>
      </c>
    </row>
    <row r="503" spans="1:17" x14ac:dyDescent="0.3">
      <c r="A503" t="s">
        <v>1294</v>
      </c>
      <c r="C503" t="s">
        <v>1295</v>
      </c>
      <c r="D503" t="s">
        <v>1295</v>
      </c>
      <c r="E503" s="5">
        <v>46268</v>
      </c>
      <c r="F503" t="s">
        <v>204</v>
      </c>
      <c r="G503" t="s">
        <v>213</v>
      </c>
      <c r="H503">
        <v>799</v>
      </c>
      <c r="I503">
        <v>14.38</v>
      </c>
      <c r="J503">
        <v>2.59</v>
      </c>
      <c r="K503">
        <v>782.03</v>
      </c>
      <c r="L503" s="5">
        <v>46270</v>
      </c>
      <c r="M503" t="s">
        <v>925</v>
      </c>
      <c r="N503" t="s">
        <v>207</v>
      </c>
      <c r="O503" t="s">
        <v>1295</v>
      </c>
      <c r="P503" t="s">
        <v>208</v>
      </c>
      <c r="Q503" t="s">
        <v>209</v>
      </c>
    </row>
    <row r="504" spans="1:17" x14ac:dyDescent="0.3">
      <c r="A504" t="s">
        <v>1296</v>
      </c>
      <c r="C504" t="s">
        <v>1297</v>
      </c>
      <c r="D504" t="s">
        <v>1297</v>
      </c>
      <c r="E504" s="5">
        <v>46268</v>
      </c>
      <c r="F504" t="s">
        <v>204</v>
      </c>
      <c r="G504" t="s">
        <v>255</v>
      </c>
      <c r="H504">
        <v>4298</v>
      </c>
      <c r="I504">
        <v>51.58</v>
      </c>
      <c r="J504">
        <v>9.2799999999999994</v>
      </c>
      <c r="K504">
        <v>4237.1400000000003</v>
      </c>
      <c r="L504" s="5">
        <v>46270</v>
      </c>
      <c r="M504" t="s">
        <v>925</v>
      </c>
      <c r="N504" t="s">
        <v>207</v>
      </c>
      <c r="O504" t="s">
        <v>1297</v>
      </c>
      <c r="P504" t="s">
        <v>208</v>
      </c>
      <c r="Q504" t="s">
        <v>209</v>
      </c>
    </row>
    <row r="505" spans="1:17" x14ac:dyDescent="0.3">
      <c r="A505" t="s">
        <v>1298</v>
      </c>
      <c r="C505" t="s">
        <v>1299</v>
      </c>
      <c r="D505" t="s">
        <v>1300</v>
      </c>
      <c r="E505" s="5">
        <v>46268</v>
      </c>
      <c r="F505" t="s">
        <v>204</v>
      </c>
      <c r="G505" t="s">
        <v>220</v>
      </c>
      <c r="H505">
        <v>799</v>
      </c>
      <c r="I505">
        <v>0</v>
      </c>
      <c r="J505">
        <v>0</v>
      </c>
      <c r="K505">
        <v>799</v>
      </c>
      <c r="L505" s="5">
        <v>46270</v>
      </c>
      <c r="M505" t="s">
        <v>925</v>
      </c>
      <c r="N505" t="s">
        <v>207</v>
      </c>
      <c r="O505" t="s">
        <v>1300</v>
      </c>
      <c r="P505" t="s">
        <v>208</v>
      </c>
      <c r="Q505" t="s">
        <v>209</v>
      </c>
    </row>
    <row r="506" spans="1:17" x14ac:dyDescent="0.3">
      <c r="A506" t="s">
        <v>1301</v>
      </c>
      <c r="C506" t="s">
        <v>1302</v>
      </c>
      <c r="D506" t="s">
        <v>1302</v>
      </c>
      <c r="E506" s="5">
        <v>46268</v>
      </c>
      <c r="F506" t="s">
        <v>204</v>
      </c>
      <c r="G506" t="s">
        <v>213</v>
      </c>
      <c r="H506">
        <v>2499</v>
      </c>
      <c r="I506">
        <v>39.979999999999997</v>
      </c>
      <c r="J506">
        <v>7.2</v>
      </c>
      <c r="K506">
        <v>2451.8200000000002</v>
      </c>
      <c r="L506" s="5">
        <v>46270</v>
      </c>
      <c r="M506" t="s">
        <v>925</v>
      </c>
      <c r="N506" t="s">
        <v>207</v>
      </c>
      <c r="O506" t="s">
        <v>1302</v>
      </c>
      <c r="P506" t="s">
        <v>208</v>
      </c>
      <c r="Q506" t="s">
        <v>209</v>
      </c>
    </row>
    <row r="507" spans="1:17" x14ac:dyDescent="0.3">
      <c r="A507" t="s">
        <v>1303</v>
      </c>
      <c r="C507" t="s">
        <v>1304</v>
      </c>
      <c r="D507" t="s">
        <v>1304</v>
      </c>
      <c r="E507" s="5">
        <v>46268</v>
      </c>
      <c r="F507" t="s">
        <v>204</v>
      </c>
      <c r="G507" t="s">
        <v>213</v>
      </c>
      <c r="H507">
        <v>4797</v>
      </c>
      <c r="I507">
        <v>76.75</v>
      </c>
      <c r="J507">
        <v>13.82</v>
      </c>
      <c r="K507">
        <v>4706.43</v>
      </c>
      <c r="L507" s="5">
        <v>46270</v>
      </c>
      <c r="M507" t="s">
        <v>925</v>
      </c>
      <c r="N507" t="s">
        <v>207</v>
      </c>
      <c r="O507" t="s">
        <v>1304</v>
      </c>
      <c r="P507" t="s">
        <v>208</v>
      </c>
      <c r="Q507" t="s">
        <v>209</v>
      </c>
    </row>
    <row r="508" spans="1:17" x14ac:dyDescent="0.3">
      <c r="A508" t="s">
        <v>1305</v>
      </c>
      <c r="C508" t="s">
        <v>1306</v>
      </c>
      <c r="D508" t="s">
        <v>1307</v>
      </c>
      <c r="E508" s="5">
        <v>46268</v>
      </c>
      <c r="F508" t="s">
        <v>204</v>
      </c>
      <c r="G508" t="s">
        <v>205</v>
      </c>
      <c r="H508">
        <v>1299</v>
      </c>
      <c r="I508">
        <v>24.68</v>
      </c>
      <c r="J508">
        <v>4.4400000000000004</v>
      </c>
      <c r="K508">
        <v>1269.8800000000001</v>
      </c>
      <c r="L508" s="5">
        <v>46270</v>
      </c>
      <c r="M508" t="s">
        <v>925</v>
      </c>
      <c r="N508" t="s">
        <v>207</v>
      </c>
      <c r="O508" t="s">
        <v>1307</v>
      </c>
      <c r="P508" t="s">
        <v>208</v>
      </c>
      <c r="Q508" t="s">
        <v>209</v>
      </c>
    </row>
    <row r="509" spans="1:17" x14ac:dyDescent="0.3">
      <c r="A509" t="s">
        <v>1308</v>
      </c>
      <c r="C509" t="s">
        <v>1309</v>
      </c>
      <c r="D509" t="s">
        <v>1309</v>
      </c>
      <c r="E509" s="5">
        <v>46268</v>
      </c>
      <c r="F509" t="s">
        <v>204</v>
      </c>
      <c r="G509" t="s">
        <v>213</v>
      </c>
      <c r="H509">
        <v>4597</v>
      </c>
      <c r="I509">
        <v>73.55</v>
      </c>
      <c r="J509">
        <v>13.24</v>
      </c>
      <c r="K509">
        <v>4510.21</v>
      </c>
      <c r="L509" s="5">
        <v>46270</v>
      </c>
      <c r="M509" t="s">
        <v>925</v>
      </c>
      <c r="N509" t="s">
        <v>207</v>
      </c>
      <c r="O509" t="s">
        <v>1309</v>
      </c>
      <c r="P509" t="s">
        <v>208</v>
      </c>
      <c r="Q509" t="s">
        <v>209</v>
      </c>
    </row>
    <row r="510" spans="1:17" x14ac:dyDescent="0.3">
      <c r="A510" t="s">
        <v>1310</v>
      </c>
      <c r="C510" t="s">
        <v>1311</v>
      </c>
      <c r="D510" t="s">
        <v>1311</v>
      </c>
      <c r="E510" s="5">
        <v>46268</v>
      </c>
      <c r="F510" t="s">
        <v>204</v>
      </c>
      <c r="G510" t="s">
        <v>213</v>
      </c>
      <c r="H510">
        <v>999</v>
      </c>
      <c r="I510">
        <v>17.98</v>
      </c>
      <c r="J510">
        <v>3.24</v>
      </c>
      <c r="K510">
        <v>977.78</v>
      </c>
      <c r="L510" s="5">
        <v>46270</v>
      </c>
      <c r="M510" t="s">
        <v>925</v>
      </c>
      <c r="N510" t="s">
        <v>207</v>
      </c>
      <c r="O510" t="s">
        <v>1311</v>
      </c>
      <c r="P510" t="s">
        <v>208</v>
      </c>
      <c r="Q510" t="s">
        <v>209</v>
      </c>
    </row>
    <row r="511" spans="1:17" x14ac:dyDescent="0.3">
      <c r="A511" t="s">
        <v>1312</v>
      </c>
      <c r="C511" t="s">
        <v>1313</v>
      </c>
      <c r="D511" t="s">
        <v>1314</v>
      </c>
      <c r="E511" s="5">
        <v>46268</v>
      </c>
      <c r="F511" t="s">
        <v>204</v>
      </c>
      <c r="G511" t="s">
        <v>205</v>
      </c>
      <c r="H511">
        <v>2499</v>
      </c>
      <c r="I511">
        <v>42.48</v>
      </c>
      <c r="J511">
        <v>7.65</v>
      </c>
      <c r="K511">
        <v>2448.87</v>
      </c>
      <c r="L511" s="5">
        <v>46270</v>
      </c>
      <c r="M511" t="s">
        <v>925</v>
      </c>
      <c r="N511" t="s">
        <v>207</v>
      </c>
      <c r="O511" t="s">
        <v>1314</v>
      </c>
      <c r="P511" t="s">
        <v>208</v>
      </c>
      <c r="Q511" t="s">
        <v>209</v>
      </c>
    </row>
    <row r="512" spans="1:17" x14ac:dyDescent="0.3">
      <c r="A512" t="s">
        <v>1315</v>
      </c>
      <c r="C512" t="s">
        <v>1316</v>
      </c>
      <c r="D512" t="s">
        <v>1316</v>
      </c>
      <c r="E512" s="5">
        <v>46268</v>
      </c>
      <c r="F512" t="s">
        <v>204</v>
      </c>
      <c r="G512" t="s">
        <v>205</v>
      </c>
      <c r="H512">
        <v>599</v>
      </c>
      <c r="I512">
        <v>11.38</v>
      </c>
      <c r="J512">
        <v>2.0499999999999998</v>
      </c>
      <c r="K512">
        <v>585.57000000000005</v>
      </c>
      <c r="L512" s="5">
        <v>46270</v>
      </c>
      <c r="M512" t="s">
        <v>925</v>
      </c>
      <c r="N512" t="s">
        <v>207</v>
      </c>
      <c r="O512" t="s">
        <v>1316</v>
      </c>
      <c r="P512" t="s">
        <v>208</v>
      </c>
      <c r="Q512" t="s">
        <v>209</v>
      </c>
    </row>
    <row r="513" spans="1:17" x14ac:dyDescent="0.3">
      <c r="A513" t="s">
        <v>1317</v>
      </c>
      <c r="C513" t="s">
        <v>1318</v>
      </c>
      <c r="D513" t="s">
        <v>1318</v>
      </c>
      <c r="E513" s="5">
        <v>46268</v>
      </c>
      <c r="F513" t="s">
        <v>204</v>
      </c>
      <c r="G513" t="s">
        <v>220</v>
      </c>
      <c r="H513">
        <v>4999</v>
      </c>
      <c r="I513">
        <v>15</v>
      </c>
      <c r="J513">
        <v>2.7</v>
      </c>
      <c r="K513">
        <v>4981.3</v>
      </c>
      <c r="L513" s="5">
        <v>46270</v>
      </c>
      <c r="M513" t="s">
        <v>925</v>
      </c>
      <c r="N513" t="s">
        <v>207</v>
      </c>
      <c r="O513" t="s">
        <v>1318</v>
      </c>
      <c r="P513" t="s">
        <v>208</v>
      </c>
      <c r="Q513" t="s">
        <v>209</v>
      </c>
    </row>
    <row r="514" spans="1:17" x14ac:dyDescent="0.3">
      <c r="A514" t="s">
        <v>1319</v>
      </c>
      <c r="C514" t="s">
        <v>1320</v>
      </c>
      <c r="D514" t="s">
        <v>1320</v>
      </c>
      <c r="E514" s="5">
        <v>46268</v>
      </c>
      <c r="F514" t="s">
        <v>204</v>
      </c>
      <c r="G514" t="s">
        <v>220</v>
      </c>
      <c r="H514">
        <v>3098</v>
      </c>
      <c r="I514">
        <v>9.2899999999999991</v>
      </c>
      <c r="J514">
        <v>1.67</v>
      </c>
      <c r="K514">
        <v>3087.04</v>
      </c>
      <c r="L514" s="5">
        <v>46270</v>
      </c>
      <c r="M514" t="s">
        <v>925</v>
      </c>
      <c r="N514" t="s">
        <v>207</v>
      </c>
      <c r="O514" t="s">
        <v>1320</v>
      </c>
      <c r="P514" t="s">
        <v>208</v>
      </c>
      <c r="Q514" t="s">
        <v>209</v>
      </c>
    </row>
    <row r="515" spans="1:17" x14ac:dyDescent="0.3">
      <c r="A515" t="s">
        <v>1321</v>
      </c>
      <c r="C515" t="s">
        <v>1322</v>
      </c>
      <c r="D515" t="s">
        <v>1322</v>
      </c>
      <c r="E515" s="5">
        <v>46268</v>
      </c>
      <c r="F515" t="s">
        <v>204</v>
      </c>
      <c r="G515" t="s">
        <v>220</v>
      </c>
      <c r="H515">
        <v>4298</v>
      </c>
      <c r="I515">
        <v>12.89</v>
      </c>
      <c r="J515">
        <v>2.3199999999999998</v>
      </c>
      <c r="K515">
        <v>4282.79</v>
      </c>
      <c r="L515" s="5">
        <v>46270</v>
      </c>
      <c r="M515" t="s">
        <v>925</v>
      </c>
      <c r="N515" t="s">
        <v>207</v>
      </c>
      <c r="O515" t="s">
        <v>1322</v>
      </c>
      <c r="P515" t="s">
        <v>208</v>
      </c>
      <c r="Q515" t="s">
        <v>209</v>
      </c>
    </row>
    <row r="516" spans="1:17" x14ac:dyDescent="0.3">
      <c r="A516" t="s">
        <v>1323</v>
      </c>
      <c r="C516" t="s">
        <v>1324</v>
      </c>
      <c r="D516" t="s">
        <v>1324</v>
      </c>
      <c r="E516" s="5">
        <v>46268</v>
      </c>
      <c r="F516" t="s">
        <v>204</v>
      </c>
      <c r="G516" t="s">
        <v>205</v>
      </c>
      <c r="H516">
        <v>1998</v>
      </c>
      <c r="I516">
        <v>37.96</v>
      </c>
      <c r="J516">
        <v>6.83</v>
      </c>
      <c r="K516">
        <v>1953.21</v>
      </c>
      <c r="L516" s="5">
        <v>46270</v>
      </c>
      <c r="M516" t="s">
        <v>925</v>
      </c>
      <c r="N516" t="s">
        <v>207</v>
      </c>
      <c r="O516" t="s">
        <v>1324</v>
      </c>
      <c r="P516" t="s">
        <v>208</v>
      </c>
      <c r="Q516" t="s">
        <v>209</v>
      </c>
    </row>
    <row r="517" spans="1:17" x14ac:dyDescent="0.3">
      <c r="A517" t="s">
        <v>1325</v>
      </c>
      <c r="C517" t="s">
        <v>1326</v>
      </c>
      <c r="D517" t="s">
        <v>1327</v>
      </c>
      <c r="E517" s="5">
        <v>46268</v>
      </c>
      <c r="F517" t="s">
        <v>204</v>
      </c>
      <c r="G517" t="s">
        <v>213</v>
      </c>
      <c r="H517">
        <v>2797</v>
      </c>
      <c r="I517">
        <v>44.75</v>
      </c>
      <c r="J517">
        <v>8.06</v>
      </c>
      <c r="K517">
        <v>2744.19</v>
      </c>
      <c r="L517" s="5">
        <v>46270</v>
      </c>
      <c r="M517" t="s">
        <v>925</v>
      </c>
      <c r="N517" t="s">
        <v>207</v>
      </c>
      <c r="O517" t="s">
        <v>1327</v>
      </c>
      <c r="P517" t="s">
        <v>208</v>
      </c>
      <c r="Q517" t="s">
        <v>209</v>
      </c>
    </row>
    <row r="518" spans="1:17" x14ac:dyDescent="0.3">
      <c r="A518" t="s">
        <v>1328</v>
      </c>
      <c r="C518" t="s">
        <v>1329</v>
      </c>
      <c r="D518" t="s">
        <v>1329</v>
      </c>
      <c r="E518" s="5">
        <v>46268</v>
      </c>
      <c r="F518" t="s">
        <v>204</v>
      </c>
      <c r="G518" t="s">
        <v>205</v>
      </c>
      <c r="H518">
        <v>2499</v>
      </c>
      <c r="I518">
        <v>42.48</v>
      </c>
      <c r="J518">
        <v>7.65</v>
      </c>
      <c r="K518">
        <v>2448.87</v>
      </c>
      <c r="L518" s="5">
        <v>46270</v>
      </c>
      <c r="M518" t="s">
        <v>925</v>
      </c>
      <c r="N518" t="s">
        <v>207</v>
      </c>
      <c r="O518" t="s">
        <v>1329</v>
      </c>
      <c r="P518" t="s">
        <v>208</v>
      </c>
      <c r="Q518" t="s">
        <v>209</v>
      </c>
    </row>
    <row r="519" spans="1:17" x14ac:dyDescent="0.3">
      <c r="A519" t="s">
        <v>1330</v>
      </c>
      <c r="C519" t="s">
        <v>1331</v>
      </c>
      <c r="D519" t="s">
        <v>1331</v>
      </c>
      <c r="E519" s="5">
        <v>46268</v>
      </c>
      <c r="F519" t="s">
        <v>204</v>
      </c>
      <c r="G519" t="s">
        <v>220</v>
      </c>
      <c r="H519">
        <v>2798</v>
      </c>
      <c r="I519">
        <v>8.39</v>
      </c>
      <c r="J519">
        <v>1.51</v>
      </c>
      <c r="K519">
        <v>2788.1</v>
      </c>
      <c r="L519" s="5">
        <v>46270</v>
      </c>
      <c r="M519" t="s">
        <v>925</v>
      </c>
      <c r="N519" t="s">
        <v>207</v>
      </c>
      <c r="O519" t="s">
        <v>1331</v>
      </c>
      <c r="P519" t="s">
        <v>208</v>
      </c>
      <c r="Q519" t="s">
        <v>209</v>
      </c>
    </row>
    <row r="520" spans="1:17" x14ac:dyDescent="0.3">
      <c r="A520" t="s">
        <v>1332</v>
      </c>
      <c r="B520" t="s">
        <v>272</v>
      </c>
      <c r="E520" s="5">
        <v>46268</v>
      </c>
      <c r="F520" t="s">
        <v>921</v>
      </c>
      <c r="G520" t="s">
        <v>213</v>
      </c>
      <c r="H520">
        <v>9297</v>
      </c>
      <c r="I520">
        <v>0</v>
      </c>
      <c r="J520">
        <v>0</v>
      </c>
      <c r="K520">
        <v>-9297</v>
      </c>
      <c r="L520" s="5">
        <v>46270</v>
      </c>
      <c r="M520" t="s">
        <v>925</v>
      </c>
      <c r="N520" t="s">
        <v>207</v>
      </c>
      <c r="O520" t="s">
        <v>274</v>
      </c>
      <c r="P520" t="s">
        <v>208</v>
      </c>
    </row>
    <row r="521" spans="1:17" x14ac:dyDescent="0.3">
      <c r="A521" t="s">
        <v>1333</v>
      </c>
      <c r="B521" t="s">
        <v>771</v>
      </c>
      <c r="E521" s="5">
        <v>46268</v>
      </c>
      <c r="F521" t="s">
        <v>921</v>
      </c>
      <c r="G521" t="s">
        <v>220</v>
      </c>
      <c r="H521">
        <v>2499</v>
      </c>
      <c r="I521">
        <v>0</v>
      </c>
      <c r="J521">
        <v>0</v>
      </c>
      <c r="K521">
        <v>-2499</v>
      </c>
      <c r="L521" s="5">
        <v>46270</v>
      </c>
      <c r="M521" t="s">
        <v>925</v>
      </c>
      <c r="N521" t="s">
        <v>207</v>
      </c>
      <c r="O521" t="s">
        <v>772</v>
      </c>
      <c r="P521" t="s">
        <v>208</v>
      </c>
    </row>
    <row r="522" spans="1:17" x14ac:dyDescent="0.3">
      <c r="A522" t="s">
        <v>1334</v>
      </c>
      <c r="C522" t="s">
        <v>1335</v>
      </c>
      <c r="D522" t="s">
        <v>1335</v>
      </c>
      <c r="E522" s="5">
        <v>46269</v>
      </c>
      <c r="F522" t="s">
        <v>204</v>
      </c>
      <c r="G522" t="s">
        <v>213</v>
      </c>
      <c r="H522">
        <v>3098</v>
      </c>
      <c r="I522">
        <v>49.57</v>
      </c>
      <c r="J522">
        <v>8.92</v>
      </c>
      <c r="K522">
        <v>3039.51</v>
      </c>
      <c r="L522" s="5">
        <v>46271</v>
      </c>
      <c r="M522" t="s">
        <v>1336</v>
      </c>
      <c r="N522" t="s">
        <v>207</v>
      </c>
      <c r="O522" t="s">
        <v>1335</v>
      </c>
      <c r="P522" t="s">
        <v>208</v>
      </c>
      <c r="Q522" t="s">
        <v>209</v>
      </c>
    </row>
    <row r="523" spans="1:17" x14ac:dyDescent="0.3">
      <c r="A523" t="s">
        <v>1337</v>
      </c>
      <c r="C523" t="s">
        <v>1338</v>
      </c>
      <c r="D523" t="s">
        <v>1338</v>
      </c>
      <c r="E523" s="5">
        <v>46269</v>
      </c>
      <c r="F523" t="s">
        <v>204</v>
      </c>
      <c r="G523" t="s">
        <v>220</v>
      </c>
      <c r="H523">
        <v>3499</v>
      </c>
      <c r="I523">
        <v>10.5</v>
      </c>
      <c r="J523">
        <v>1.89</v>
      </c>
      <c r="K523">
        <v>3486.61</v>
      </c>
      <c r="L523" s="5">
        <v>46271</v>
      </c>
      <c r="M523" t="s">
        <v>1336</v>
      </c>
      <c r="N523" t="s">
        <v>207</v>
      </c>
      <c r="O523" t="s">
        <v>1338</v>
      </c>
      <c r="P523" t="s">
        <v>208</v>
      </c>
      <c r="Q523" t="s">
        <v>209</v>
      </c>
    </row>
    <row r="524" spans="1:17" x14ac:dyDescent="0.3">
      <c r="A524" t="s">
        <v>1339</v>
      </c>
      <c r="C524" t="s">
        <v>1340</v>
      </c>
      <c r="D524" t="s">
        <v>1341</v>
      </c>
      <c r="E524" s="5">
        <v>46269</v>
      </c>
      <c r="F524" t="s">
        <v>204</v>
      </c>
      <c r="G524" t="s">
        <v>205</v>
      </c>
      <c r="H524">
        <v>1098</v>
      </c>
      <c r="I524">
        <v>20.86</v>
      </c>
      <c r="J524">
        <v>3.75</v>
      </c>
      <c r="K524">
        <v>1073.3900000000001</v>
      </c>
      <c r="L524" s="5">
        <v>46271</v>
      </c>
      <c r="M524" t="s">
        <v>1336</v>
      </c>
      <c r="N524" t="s">
        <v>207</v>
      </c>
      <c r="O524" t="s">
        <v>1341</v>
      </c>
      <c r="P524" t="s">
        <v>208</v>
      </c>
      <c r="Q524" t="s">
        <v>209</v>
      </c>
    </row>
    <row r="525" spans="1:17" x14ac:dyDescent="0.3">
      <c r="A525" t="s">
        <v>1342</v>
      </c>
      <c r="C525" t="s">
        <v>1343</v>
      </c>
      <c r="D525" t="s">
        <v>1343</v>
      </c>
      <c r="E525" s="5">
        <v>46269</v>
      </c>
      <c r="F525" t="s">
        <v>204</v>
      </c>
      <c r="G525" t="s">
        <v>220</v>
      </c>
      <c r="H525">
        <v>10297</v>
      </c>
      <c r="I525">
        <v>30.89</v>
      </c>
      <c r="J525">
        <v>5.56</v>
      </c>
      <c r="K525">
        <v>10260.549999999999</v>
      </c>
      <c r="L525" s="5">
        <v>46271</v>
      </c>
      <c r="M525" t="s">
        <v>1336</v>
      </c>
      <c r="N525" t="s">
        <v>207</v>
      </c>
      <c r="O525" t="s">
        <v>1343</v>
      </c>
      <c r="P525" t="s">
        <v>208</v>
      </c>
      <c r="Q525" t="s">
        <v>209</v>
      </c>
    </row>
    <row r="526" spans="1:17" x14ac:dyDescent="0.3">
      <c r="A526" t="s">
        <v>1344</v>
      </c>
      <c r="C526" t="s">
        <v>1345</v>
      </c>
      <c r="D526" t="s">
        <v>1345</v>
      </c>
      <c r="E526" s="5">
        <v>46269</v>
      </c>
      <c r="F526" t="s">
        <v>204</v>
      </c>
      <c r="G526" t="s">
        <v>220</v>
      </c>
      <c r="H526">
        <v>2499</v>
      </c>
      <c r="I526">
        <v>7.5</v>
      </c>
      <c r="J526">
        <v>1.35</v>
      </c>
      <c r="K526">
        <v>2490.15</v>
      </c>
      <c r="L526" s="5">
        <v>46271</v>
      </c>
      <c r="M526" t="s">
        <v>1336</v>
      </c>
      <c r="N526" t="s">
        <v>207</v>
      </c>
      <c r="O526" t="s">
        <v>1345</v>
      </c>
      <c r="P526" t="s">
        <v>208</v>
      </c>
      <c r="Q526" t="s">
        <v>209</v>
      </c>
    </row>
    <row r="527" spans="1:17" x14ac:dyDescent="0.3">
      <c r="A527" t="s">
        <v>1346</v>
      </c>
      <c r="C527" t="s">
        <v>1347</v>
      </c>
      <c r="D527" t="s">
        <v>1347</v>
      </c>
      <c r="E527" s="5">
        <v>46269</v>
      </c>
      <c r="F527" t="s">
        <v>204</v>
      </c>
      <c r="G527" t="s">
        <v>220</v>
      </c>
      <c r="H527">
        <v>5998</v>
      </c>
      <c r="I527">
        <v>17.989999999999998</v>
      </c>
      <c r="J527">
        <v>3.24</v>
      </c>
      <c r="K527">
        <v>5976.77</v>
      </c>
      <c r="L527" s="5">
        <v>46271</v>
      </c>
      <c r="M527" t="s">
        <v>1336</v>
      </c>
      <c r="N527" t="s">
        <v>207</v>
      </c>
      <c r="O527" t="s">
        <v>1347</v>
      </c>
      <c r="P527" t="s">
        <v>208</v>
      </c>
      <c r="Q527" t="s">
        <v>209</v>
      </c>
    </row>
    <row r="528" spans="1:17" x14ac:dyDescent="0.3">
      <c r="A528" t="s">
        <v>1348</v>
      </c>
      <c r="C528" t="s">
        <v>1349</v>
      </c>
      <c r="D528" t="s">
        <v>1349</v>
      </c>
      <c r="E528" s="5">
        <v>46269</v>
      </c>
      <c r="F528" t="s">
        <v>204</v>
      </c>
      <c r="G528" t="s">
        <v>213</v>
      </c>
      <c r="H528">
        <v>1299</v>
      </c>
      <c r="I528">
        <v>23.38</v>
      </c>
      <c r="J528">
        <v>4.21</v>
      </c>
      <c r="K528">
        <v>1271.4100000000001</v>
      </c>
      <c r="L528" s="5">
        <v>46271</v>
      </c>
      <c r="M528" t="s">
        <v>1336</v>
      </c>
      <c r="N528" t="s">
        <v>207</v>
      </c>
      <c r="O528" t="s">
        <v>1349</v>
      </c>
      <c r="P528" t="s">
        <v>208</v>
      </c>
      <c r="Q528" t="s">
        <v>209</v>
      </c>
    </row>
    <row r="529" spans="1:17" x14ac:dyDescent="0.3">
      <c r="A529" t="s">
        <v>1350</v>
      </c>
      <c r="C529" t="s">
        <v>1351</v>
      </c>
      <c r="D529" t="s">
        <v>1351</v>
      </c>
      <c r="E529" s="5">
        <v>46269</v>
      </c>
      <c r="F529" t="s">
        <v>204</v>
      </c>
      <c r="G529" t="s">
        <v>220</v>
      </c>
      <c r="H529">
        <v>3499</v>
      </c>
      <c r="I529">
        <v>10.5</v>
      </c>
      <c r="J529">
        <v>1.89</v>
      </c>
      <c r="K529">
        <v>3486.61</v>
      </c>
      <c r="L529" s="5">
        <v>46271</v>
      </c>
      <c r="M529" t="s">
        <v>1336</v>
      </c>
      <c r="N529" t="s">
        <v>207</v>
      </c>
      <c r="O529" t="s">
        <v>1351</v>
      </c>
      <c r="P529" t="s">
        <v>208</v>
      </c>
      <c r="Q529" t="s">
        <v>209</v>
      </c>
    </row>
    <row r="530" spans="1:17" x14ac:dyDescent="0.3">
      <c r="A530" t="s">
        <v>1352</v>
      </c>
      <c r="C530" t="s">
        <v>1353</v>
      </c>
      <c r="D530" t="s">
        <v>1353</v>
      </c>
      <c r="E530" s="5">
        <v>46269</v>
      </c>
      <c r="F530" t="s">
        <v>204</v>
      </c>
      <c r="G530" t="s">
        <v>220</v>
      </c>
      <c r="H530">
        <v>1499</v>
      </c>
      <c r="I530">
        <v>0</v>
      </c>
      <c r="J530">
        <v>0</v>
      </c>
      <c r="K530">
        <v>1499</v>
      </c>
      <c r="L530" s="5">
        <v>46271</v>
      </c>
      <c r="M530" t="s">
        <v>1336</v>
      </c>
      <c r="N530" t="s">
        <v>207</v>
      </c>
      <c r="O530" t="s">
        <v>1353</v>
      </c>
      <c r="P530" t="s">
        <v>208</v>
      </c>
      <c r="Q530" t="s">
        <v>209</v>
      </c>
    </row>
    <row r="531" spans="1:17" x14ac:dyDescent="0.3">
      <c r="A531" t="s">
        <v>1354</v>
      </c>
      <c r="C531" t="s">
        <v>1355</v>
      </c>
      <c r="D531" t="s">
        <v>1355</v>
      </c>
      <c r="E531" s="5">
        <v>46269</v>
      </c>
      <c r="F531" t="s">
        <v>204</v>
      </c>
      <c r="G531" t="s">
        <v>220</v>
      </c>
      <c r="H531">
        <v>3100</v>
      </c>
      <c r="I531">
        <v>9.3000000000000007</v>
      </c>
      <c r="J531">
        <v>1.67</v>
      </c>
      <c r="K531">
        <v>3089.03</v>
      </c>
      <c r="L531" s="5">
        <v>46271</v>
      </c>
      <c r="M531" t="s">
        <v>1336</v>
      </c>
      <c r="N531" t="s">
        <v>207</v>
      </c>
      <c r="O531" t="s">
        <v>1355</v>
      </c>
      <c r="P531" t="s">
        <v>208</v>
      </c>
      <c r="Q531" t="s">
        <v>209</v>
      </c>
    </row>
    <row r="532" spans="1:17" x14ac:dyDescent="0.3">
      <c r="A532" t="s">
        <v>1356</v>
      </c>
      <c r="C532" t="s">
        <v>1357</v>
      </c>
      <c r="D532" t="s">
        <v>1358</v>
      </c>
      <c r="E532" s="5">
        <v>46269</v>
      </c>
      <c r="F532" t="s">
        <v>204</v>
      </c>
      <c r="G532" t="s">
        <v>213</v>
      </c>
      <c r="H532">
        <v>5998</v>
      </c>
      <c r="I532">
        <v>95.97</v>
      </c>
      <c r="J532">
        <v>17.27</v>
      </c>
      <c r="K532">
        <v>5884.76</v>
      </c>
      <c r="L532" s="5">
        <v>46271</v>
      </c>
      <c r="M532" t="s">
        <v>1336</v>
      </c>
      <c r="N532" t="s">
        <v>207</v>
      </c>
      <c r="O532" t="s">
        <v>1358</v>
      </c>
      <c r="P532" t="s">
        <v>208</v>
      </c>
      <c r="Q532" t="s">
        <v>209</v>
      </c>
    </row>
    <row r="533" spans="1:17" x14ac:dyDescent="0.3">
      <c r="A533" t="s">
        <v>1359</v>
      </c>
      <c r="C533" t="s">
        <v>1360</v>
      </c>
      <c r="D533" t="s">
        <v>1360</v>
      </c>
      <c r="E533" s="5">
        <v>46269</v>
      </c>
      <c r="F533" t="s">
        <v>204</v>
      </c>
      <c r="G533" t="s">
        <v>213</v>
      </c>
      <c r="H533">
        <v>4498</v>
      </c>
      <c r="I533">
        <v>71.97</v>
      </c>
      <c r="J533">
        <v>12.95</v>
      </c>
      <c r="K533">
        <v>4413.08</v>
      </c>
      <c r="L533" s="5">
        <v>46271</v>
      </c>
      <c r="M533" t="s">
        <v>1336</v>
      </c>
      <c r="N533" t="s">
        <v>207</v>
      </c>
      <c r="O533" t="s">
        <v>1360</v>
      </c>
      <c r="P533" t="s">
        <v>208</v>
      </c>
      <c r="Q533" t="s">
        <v>209</v>
      </c>
    </row>
    <row r="534" spans="1:17" x14ac:dyDescent="0.3">
      <c r="A534" t="s">
        <v>1361</v>
      </c>
      <c r="C534" t="s">
        <v>1362</v>
      </c>
      <c r="D534" t="s">
        <v>1362</v>
      </c>
      <c r="E534" s="5">
        <v>46269</v>
      </c>
      <c r="F534" t="s">
        <v>204</v>
      </c>
      <c r="G534" t="s">
        <v>205</v>
      </c>
      <c r="H534">
        <v>6597</v>
      </c>
      <c r="I534">
        <v>112.15</v>
      </c>
      <c r="J534">
        <v>20.190000000000001</v>
      </c>
      <c r="K534">
        <v>6464.66</v>
      </c>
      <c r="L534" s="5">
        <v>46271</v>
      </c>
      <c r="M534" t="s">
        <v>1336</v>
      </c>
      <c r="N534" t="s">
        <v>207</v>
      </c>
      <c r="O534" t="s">
        <v>1362</v>
      </c>
      <c r="P534" t="s">
        <v>208</v>
      </c>
      <c r="Q534" t="s">
        <v>209</v>
      </c>
    </row>
    <row r="535" spans="1:17" x14ac:dyDescent="0.3">
      <c r="A535" t="s">
        <v>1363</v>
      </c>
      <c r="C535" t="s">
        <v>1364</v>
      </c>
      <c r="D535" t="s">
        <v>1364</v>
      </c>
      <c r="E535" s="5">
        <v>46269</v>
      </c>
      <c r="F535" t="s">
        <v>204</v>
      </c>
      <c r="G535" t="s">
        <v>213</v>
      </c>
      <c r="H535">
        <v>2499</v>
      </c>
      <c r="I535">
        <v>39.979999999999997</v>
      </c>
      <c r="J535">
        <v>7.2</v>
      </c>
      <c r="K535">
        <v>2451.8200000000002</v>
      </c>
      <c r="L535" s="5">
        <v>46271</v>
      </c>
      <c r="M535" t="s">
        <v>1336</v>
      </c>
      <c r="N535" t="s">
        <v>207</v>
      </c>
      <c r="O535" t="s">
        <v>1364</v>
      </c>
      <c r="P535" t="s">
        <v>208</v>
      </c>
      <c r="Q535" t="s">
        <v>209</v>
      </c>
    </row>
    <row r="536" spans="1:17" x14ac:dyDescent="0.3">
      <c r="A536" t="s">
        <v>1365</v>
      </c>
      <c r="C536" t="s">
        <v>1366</v>
      </c>
      <c r="D536" t="s">
        <v>1366</v>
      </c>
      <c r="E536" s="5">
        <v>46269</v>
      </c>
      <c r="F536" t="s">
        <v>204</v>
      </c>
      <c r="G536" t="s">
        <v>213</v>
      </c>
      <c r="H536">
        <v>499</v>
      </c>
      <c r="I536">
        <v>8.98</v>
      </c>
      <c r="J536">
        <v>1.62</v>
      </c>
      <c r="K536">
        <v>488.4</v>
      </c>
      <c r="L536" s="5">
        <v>46271</v>
      </c>
      <c r="M536" t="s">
        <v>1336</v>
      </c>
      <c r="N536" t="s">
        <v>207</v>
      </c>
      <c r="O536" t="s">
        <v>1366</v>
      </c>
      <c r="P536" t="s">
        <v>208</v>
      </c>
      <c r="Q536" t="s">
        <v>209</v>
      </c>
    </row>
    <row r="537" spans="1:17" x14ac:dyDescent="0.3">
      <c r="A537" t="s">
        <v>1367</v>
      </c>
      <c r="C537" t="s">
        <v>1368</v>
      </c>
      <c r="D537" t="s">
        <v>1368</v>
      </c>
      <c r="E537" s="5">
        <v>46269</v>
      </c>
      <c r="F537" t="s">
        <v>204</v>
      </c>
      <c r="G537" t="s">
        <v>220</v>
      </c>
      <c r="H537">
        <v>6097</v>
      </c>
      <c r="I537">
        <v>18.29</v>
      </c>
      <c r="J537">
        <v>3.29</v>
      </c>
      <c r="K537">
        <v>6075.42</v>
      </c>
      <c r="L537" s="5">
        <v>46271</v>
      </c>
      <c r="M537" t="s">
        <v>1336</v>
      </c>
      <c r="N537" t="s">
        <v>207</v>
      </c>
      <c r="O537" t="s">
        <v>1368</v>
      </c>
      <c r="P537" t="s">
        <v>208</v>
      </c>
      <c r="Q537" t="s">
        <v>209</v>
      </c>
    </row>
    <row r="538" spans="1:17" x14ac:dyDescent="0.3">
      <c r="A538" t="s">
        <v>1369</v>
      </c>
      <c r="C538" t="s">
        <v>1370</v>
      </c>
      <c r="D538" t="s">
        <v>1370</v>
      </c>
      <c r="E538" s="5">
        <v>46269</v>
      </c>
      <c r="F538" t="s">
        <v>204</v>
      </c>
      <c r="G538" t="s">
        <v>255</v>
      </c>
      <c r="H538">
        <v>349</v>
      </c>
      <c r="I538">
        <v>5.24</v>
      </c>
      <c r="J538">
        <v>0.94</v>
      </c>
      <c r="K538">
        <v>342.82</v>
      </c>
      <c r="L538" s="5">
        <v>46271</v>
      </c>
      <c r="M538" t="s">
        <v>1336</v>
      </c>
      <c r="N538" t="s">
        <v>207</v>
      </c>
      <c r="O538" t="s">
        <v>1370</v>
      </c>
      <c r="P538" t="s">
        <v>208</v>
      </c>
      <c r="Q538" t="s">
        <v>209</v>
      </c>
    </row>
    <row r="539" spans="1:17" x14ac:dyDescent="0.3">
      <c r="A539" t="s">
        <v>1371</v>
      </c>
      <c r="C539" t="s">
        <v>1372</v>
      </c>
      <c r="D539" t="s">
        <v>1372</v>
      </c>
      <c r="E539" s="5">
        <v>46269</v>
      </c>
      <c r="F539" t="s">
        <v>204</v>
      </c>
      <c r="G539" t="s">
        <v>255</v>
      </c>
      <c r="H539">
        <v>1299</v>
      </c>
      <c r="I539">
        <v>19.489999999999998</v>
      </c>
      <c r="J539">
        <v>3.51</v>
      </c>
      <c r="K539">
        <v>1276</v>
      </c>
      <c r="L539" s="5">
        <v>46271</v>
      </c>
      <c r="M539" t="s">
        <v>1336</v>
      </c>
      <c r="N539" t="s">
        <v>207</v>
      </c>
      <c r="O539" t="s">
        <v>1372</v>
      </c>
      <c r="P539" t="s">
        <v>208</v>
      </c>
      <c r="Q539" t="s">
        <v>209</v>
      </c>
    </row>
    <row r="540" spans="1:17" x14ac:dyDescent="0.3">
      <c r="A540" t="s">
        <v>1373</v>
      </c>
      <c r="C540" t="s">
        <v>1374</v>
      </c>
      <c r="D540" t="s">
        <v>1374</v>
      </c>
      <c r="E540" s="5">
        <v>46269</v>
      </c>
      <c r="F540" t="s">
        <v>204</v>
      </c>
      <c r="G540" t="s">
        <v>220</v>
      </c>
      <c r="H540">
        <v>1598</v>
      </c>
      <c r="I540">
        <v>0</v>
      </c>
      <c r="J540">
        <v>0</v>
      </c>
      <c r="K540">
        <v>1598</v>
      </c>
      <c r="L540" s="5">
        <v>46271</v>
      </c>
      <c r="M540" t="s">
        <v>1336</v>
      </c>
      <c r="N540" t="s">
        <v>207</v>
      </c>
      <c r="O540" t="s">
        <v>1374</v>
      </c>
      <c r="P540" t="s">
        <v>208</v>
      </c>
      <c r="Q540" t="s">
        <v>209</v>
      </c>
    </row>
    <row r="541" spans="1:17" x14ac:dyDescent="0.3">
      <c r="A541" t="s">
        <v>1375</v>
      </c>
      <c r="C541" t="s">
        <v>1376</v>
      </c>
      <c r="D541" t="s">
        <v>1376</v>
      </c>
      <c r="E541" s="5">
        <v>46269</v>
      </c>
      <c r="F541" t="s">
        <v>204</v>
      </c>
      <c r="G541" t="s">
        <v>255</v>
      </c>
      <c r="H541">
        <v>2999</v>
      </c>
      <c r="I541">
        <v>35.99</v>
      </c>
      <c r="J541">
        <v>6.48</v>
      </c>
      <c r="K541">
        <v>2956.53</v>
      </c>
      <c r="L541" s="5">
        <v>46271</v>
      </c>
      <c r="M541" t="s">
        <v>1336</v>
      </c>
      <c r="N541" t="s">
        <v>207</v>
      </c>
      <c r="O541" t="s">
        <v>1376</v>
      </c>
      <c r="P541" t="s">
        <v>208</v>
      </c>
      <c r="Q541" t="s">
        <v>209</v>
      </c>
    </row>
    <row r="542" spans="1:17" x14ac:dyDescent="0.3">
      <c r="A542" t="s">
        <v>1377</v>
      </c>
      <c r="C542" t="s">
        <v>1378</v>
      </c>
      <c r="D542" t="s">
        <v>1379</v>
      </c>
      <c r="E542" s="5">
        <v>46269</v>
      </c>
      <c r="F542" t="s">
        <v>204</v>
      </c>
      <c r="G542" t="s">
        <v>205</v>
      </c>
      <c r="H542">
        <v>599</v>
      </c>
      <c r="I542">
        <v>11.38</v>
      </c>
      <c r="J542">
        <v>2.0499999999999998</v>
      </c>
      <c r="K542">
        <v>585.57000000000005</v>
      </c>
      <c r="L542" s="5">
        <v>46271</v>
      </c>
      <c r="M542" t="s">
        <v>1336</v>
      </c>
      <c r="N542" t="s">
        <v>207</v>
      </c>
      <c r="O542" t="s">
        <v>1379</v>
      </c>
      <c r="P542" t="s">
        <v>208</v>
      </c>
      <c r="Q542" t="s">
        <v>209</v>
      </c>
    </row>
    <row r="543" spans="1:17" x14ac:dyDescent="0.3">
      <c r="A543" t="s">
        <v>1380</v>
      </c>
      <c r="C543" t="s">
        <v>1381</v>
      </c>
      <c r="D543" t="s">
        <v>1381</v>
      </c>
      <c r="E543" s="5">
        <v>46269</v>
      </c>
      <c r="F543" t="s">
        <v>204</v>
      </c>
      <c r="G543" t="s">
        <v>220</v>
      </c>
      <c r="H543">
        <v>6897</v>
      </c>
      <c r="I543">
        <v>20.69</v>
      </c>
      <c r="J543">
        <v>3.72</v>
      </c>
      <c r="K543">
        <v>6872.59</v>
      </c>
      <c r="L543" s="5">
        <v>46271</v>
      </c>
      <c r="M543" t="s">
        <v>1336</v>
      </c>
      <c r="N543" t="s">
        <v>207</v>
      </c>
      <c r="O543" t="s">
        <v>1381</v>
      </c>
      <c r="P543" t="s">
        <v>208</v>
      </c>
      <c r="Q543" t="s">
        <v>209</v>
      </c>
    </row>
    <row r="544" spans="1:17" x14ac:dyDescent="0.3">
      <c r="A544" t="s">
        <v>1382</v>
      </c>
      <c r="C544" t="s">
        <v>1383</v>
      </c>
      <c r="D544" t="s">
        <v>1384</v>
      </c>
      <c r="E544" s="5">
        <v>46269</v>
      </c>
      <c r="F544" t="s">
        <v>204</v>
      </c>
      <c r="G544" t="s">
        <v>220</v>
      </c>
      <c r="H544">
        <v>2999</v>
      </c>
      <c r="I544">
        <v>9</v>
      </c>
      <c r="J544">
        <v>1.62</v>
      </c>
      <c r="K544">
        <v>2988.38</v>
      </c>
      <c r="L544" s="5">
        <v>46271</v>
      </c>
      <c r="M544" t="s">
        <v>1336</v>
      </c>
      <c r="N544" t="s">
        <v>207</v>
      </c>
      <c r="O544" t="s">
        <v>1384</v>
      </c>
      <c r="P544" t="s">
        <v>208</v>
      </c>
      <c r="Q544" t="s">
        <v>209</v>
      </c>
    </row>
    <row r="545" spans="1:17" x14ac:dyDescent="0.3">
      <c r="A545" t="s">
        <v>1385</v>
      </c>
      <c r="C545" t="s">
        <v>1386</v>
      </c>
      <c r="D545" t="s">
        <v>1386</v>
      </c>
      <c r="E545" s="5">
        <v>46269</v>
      </c>
      <c r="F545" t="s">
        <v>204</v>
      </c>
      <c r="G545" t="s">
        <v>220</v>
      </c>
      <c r="H545">
        <v>5598</v>
      </c>
      <c r="I545">
        <v>16.79</v>
      </c>
      <c r="J545">
        <v>3.02</v>
      </c>
      <c r="K545">
        <v>5578.19</v>
      </c>
      <c r="L545" s="5">
        <v>46271</v>
      </c>
      <c r="M545" t="s">
        <v>1336</v>
      </c>
      <c r="N545" t="s">
        <v>207</v>
      </c>
      <c r="O545" t="s">
        <v>1386</v>
      </c>
      <c r="P545" t="s">
        <v>208</v>
      </c>
      <c r="Q545" t="s">
        <v>209</v>
      </c>
    </row>
    <row r="546" spans="1:17" x14ac:dyDescent="0.3">
      <c r="A546" t="s">
        <v>1387</v>
      </c>
      <c r="C546" t="s">
        <v>1388</v>
      </c>
      <c r="D546" t="s">
        <v>1388</v>
      </c>
      <c r="E546" s="5">
        <v>46269</v>
      </c>
      <c r="F546" t="s">
        <v>204</v>
      </c>
      <c r="G546" t="s">
        <v>220</v>
      </c>
      <c r="H546">
        <v>2499</v>
      </c>
      <c r="I546">
        <v>7.5</v>
      </c>
      <c r="J546">
        <v>1.35</v>
      </c>
      <c r="K546">
        <v>2490.15</v>
      </c>
      <c r="L546" s="5">
        <v>46271</v>
      </c>
      <c r="M546" t="s">
        <v>1336</v>
      </c>
      <c r="N546" t="s">
        <v>207</v>
      </c>
      <c r="O546" t="s">
        <v>1388</v>
      </c>
      <c r="P546" t="s">
        <v>208</v>
      </c>
      <c r="Q546" t="s">
        <v>209</v>
      </c>
    </row>
    <row r="547" spans="1:17" x14ac:dyDescent="0.3">
      <c r="A547" t="s">
        <v>1389</v>
      </c>
      <c r="C547" t="s">
        <v>1390</v>
      </c>
      <c r="D547" t="s">
        <v>1391</v>
      </c>
      <c r="E547" s="5">
        <v>46269</v>
      </c>
      <c r="F547" t="s">
        <v>204</v>
      </c>
      <c r="G547" t="s">
        <v>220</v>
      </c>
      <c r="H547">
        <v>1499</v>
      </c>
      <c r="I547">
        <v>0</v>
      </c>
      <c r="J547">
        <v>0</v>
      </c>
      <c r="K547">
        <v>1499</v>
      </c>
      <c r="L547" s="5">
        <v>46271</v>
      </c>
      <c r="M547" t="s">
        <v>1336</v>
      </c>
      <c r="N547" t="s">
        <v>207</v>
      </c>
      <c r="O547" t="s">
        <v>1391</v>
      </c>
      <c r="P547" t="s">
        <v>208</v>
      </c>
      <c r="Q547" t="s">
        <v>209</v>
      </c>
    </row>
    <row r="548" spans="1:17" x14ac:dyDescent="0.3">
      <c r="A548" t="s">
        <v>1392</v>
      </c>
      <c r="C548" t="s">
        <v>1393</v>
      </c>
      <c r="D548" t="s">
        <v>1394</v>
      </c>
      <c r="E548" s="5">
        <v>46269</v>
      </c>
      <c r="F548" t="s">
        <v>204</v>
      </c>
      <c r="G548" t="s">
        <v>213</v>
      </c>
      <c r="H548">
        <v>6097</v>
      </c>
      <c r="I548">
        <v>97.55</v>
      </c>
      <c r="J548">
        <v>17.559999999999999</v>
      </c>
      <c r="K548">
        <v>5981.89</v>
      </c>
      <c r="L548" s="5">
        <v>46271</v>
      </c>
      <c r="M548" t="s">
        <v>1336</v>
      </c>
      <c r="N548" t="s">
        <v>207</v>
      </c>
      <c r="O548" t="s">
        <v>1394</v>
      </c>
      <c r="P548" t="s">
        <v>208</v>
      </c>
      <c r="Q548" t="s">
        <v>209</v>
      </c>
    </row>
    <row r="549" spans="1:17" x14ac:dyDescent="0.3">
      <c r="A549" t="s">
        <v>1395</v>
      </c>
      <c r="C549" t="s">
        <v>1396</v>
      </c>
      <c r="D549" t="s">
        <v>1396</v>
      </c>
      <c r="E549" s="5">
        <v>46269</v>
      </c>
      <c r="F549" t="s">
        <v>204</v>
      </c>
      <c r="G549" t="s">
        <v>213</v>
      </c>
      <c r="H549">
        <v>6997</v>
      </c>
      <c r="I549">
        <v>111.95</v>
      </c>
      <c r="J549">
        <v>20.149999999999999</v>
      </c>
      <c r="K549">
        <v>6864.9</v>
      </c>
      <c r="L549" s="5">
        <v>46271</v>
      </c>
      <c r="M549" t="s">
        <v>1336</v>
      </c>
      <c r="N549" t="s">
        <v>207</v>
      </c>
      <c r="O549" t="s">
        <v>1396</v>
      </c>
      <c r="P549" t="s">
        <v>208</v>
      </c>
      <c r="Q549" t="s">
        <v>209</v>
      </c>
    </row>
    <row r="550" spans="1:17" x14ac:dyDescent="0.3">
      <c r="A550" t="s">
        <v>1397</v>
      </c>
      <c r="C550" t="s">
        <v>1398</v>
      </c>
      <c r="D550" t="s">
        <v>1398</v>
      </c>
      <c r="E550" s="5">
        <v>46269</v>
      </c>
      <c r="F550" t="s">
        <v>204</v>
      </c>
      <c r="G550" t="s">
        <v>213</v>
      </c>
      <c r="H550">
        <v>599</v>
      </c>
      <c r="I550">
        <v>10.78</v>
      </c>
      <c r="J550">
        <v>1.94</v>
      </c>
      <c r="K550">
        <v>586.28</v>
      </c>
      <c r="L550" s="5">
        <v>46271</v>
      </c>
      <c r="M550" t="s">
        <v>1336</v>
      </c>
      <c r="N550" t="s">
        <v>207</v>
      </c>
      <c r="O550" t="s">
        <v>1398</v>
      </c>
      <c r="P550" t="s">
        <v>208</v>
      </c>
      <c r="Q550" t="s">
        <v>209</v>
      </c>
    </row>
    <row r="551" spans="1:17" x14ac:dyDescent="0.3">
      <c r="A551" t="s">
        <v>1399</v>
      </c>
      <c r="C551" t="s">
        <v>1400</v>
      </c>
      <c r="D551" t="s">
        <v>1400</v>
      </c>
      <c r="E551" s="5">
        <v>46269</v>
      </c>
      <c r="F551" t="s">
        <v>204</v>
      </c>
      <c r="G551" t="s">
        <v>220</v>
      </c>
      <c r="H551">
        <v>3998</v>
      </c>
      <c r="I551">
        <v>11.99</v>
      </c>
      <c r="J551">
        <v>2.16</v>
      </c>
      <c r="K551">
        <v>3983.85</v>
      </c>
      <c r="L551" s="5">
        <v>46271</v>
      </c>
      <c r="M551" t="s">
        <v>1336</v>
      </c>
      <c r="N551" t="s">
        <v>207</v>
      </c>
      <c r="O551" t="s">
        <v>1400</v>
      </c>
      <c r="P551" t="s">
        <v>208</v>
      </c>
      <c r="Q551" t="s">
        <v>209</v>
      </c>
    </row>
    <row r="552" spans="1:17" x14ac:dyDescent="0.3">
      <c r="A552" t="s">
        <v>1401</v>
      </c>
      <c r="C552" t="s">
        <v>1402</v>
      </c>
      <c r="D552" t="s">
        <v>1402</v>
      </c>
      <c r="E552" s="5">
        <v>46269</v>
      </c>
      <c r="F552" t="s">
        <v>204</v>
      </c>
      <c r="G552" t="s">
        <v>213</v>
      </c>
      <c r="H552">
        <v>349</v>
      </c>
      <c r="I552">
        <v>6.28</v>
      </c>
      <c r="J552">
        <v>1.1299999999999999</v>
      </c>
      <c r="K552">
        <v>341.59</v>
      </c>
      <c r="L552" s="5">
        <v>46271</v>
      </c>
      <c r="M552" t="s">
        <v>1336</v>
      </c>
      <c r="N552" t="s">
        <v>207</v>
      </c>
      <c r="O552" t="s">
        <v>1402</v>
      </c>
      <c r="P552" t="s">
        <v>208</v>
      </c>
      <c r="Q552" t="s">
        <v>209</v>
      </c>
    </row>
    <row r="553" spans="1:17" x14ac:dyDescent="0.3">
      <c r="A553" t="s">
        <v>1403</v>
      </c>
      <c r="C553" t="s">
        <v>1404</v>
      </c>
      <c r="D553" t="s">
        <v>1404</v>
      </c>
      <c r="E553" s="5">
        <v>46269</v>
      </c>
      <c r="F553" t="s">
        <v>204</v>
      </c>
      <c r="G553" t="s">
        <v>220</v>
      </c>
      <c r="H553">
        <v>2597</v>
      </c>
      <c r="I553">
        <v>7.79</v>
      </c>
      <c r="J553">
        <v>1.4</v>
      </c>
      <c r="K553">
        <v>2587.81</v>
      </c>
      <c r="L553" s="5">
        <v>46271</v>
      </c>
      <c r="M553" t="s">
        <v>1336</v>
      </c>
      <c r="N553" t="s">
        <v>207</v>
      </c>
      <c r="O553" t="s">
        <v>1404</v>
      </c>
      <c r="P553" t="s">
        <v>208</v>
      </c>
      <c r="Q553" t="s">
        <v>209</v>
      </c>
    </row>
    <row r="554" spans="1:17" x14ac:dyDescent="0.3">
      <c r="A554" t="s">
        <v>1405</v>
      </c>
      <c r="C554" t="s">
        <v>1406</v>
      </c>
      <c r="D554" t="s">
        <v>1406</v>
      </c>
      <c r="E554" s="5">
        <v>46269</v>
      </c>
      <c r="F554" t="s">
        <v>204</v>
      </c>
      <c r="G554" t="s">
        <v>213</v>
      </c>
      <c r="H554">
        <v>999</v>
      </c>
      <c r="I554">
        <v>17.98</v>
      </c>
      <c r="J554">
        <v>3.24</v>
      </c>
      <c r="K554">
        <v>977.78</v>
      </c>
      <c r="L554" s="5">
        <v>46271</v>
      </c>
      <c r="M554" t="s">
        <v>1336</v>
      </c>
      <c r="N554" t="s">
        <v>207</v>
      </c>
      <c r="O554" t="s">
        <v>1406</v>
      </c>
      <c r="P554" t="s">
        <v>208</v>
      </c>
      <c r="Q554" t="s">
        <v>209</v>
      </c>
    </row>
    <row r="555" spans="1:17" x14ac:dyDescent="0.3">
      <c r="A555" t="s">
        <v>1407</v>
      </c>
      <c r="C555" t="s">
        <v>1408</v>
      </c>
      <c r="D555" t="s">
        <v>1408</v>
      </c>
      <c r="E555" s="5">
        <v>46269</v>
      </c>
      <c r="F555" t="s">
        <v>204</v>
      </c>
      <c r="G555" t="s">
        <v>220</v>
      </c>
      <c r="H555">
        <v>349</v>
      </c>
      <c r="I555">
        <v>0</v>
      </c>
      <c r="J555">
        <v>0</v>
      </c>
      <c r="K555">
        <v>349</v>
      </c>
      <c r="L555" s="5">
        <v>46271</v>
      </c>
      <c r="M555" t="s">
        <v>1336</v>
      </c>
      <c r="N555" t="s">
        <v>207</v>
      </c>
      <c r="O555" t="s">
        <v>1408</v>
      </c>
      <c r="P555" t="s">
        <v>208</v>
      </c>
      <c r="Q555" t="s">
        <v>209</v>
      </c>
    </row>
    <row r="556" spans="1:17" x14ac:dyDescent="0.3">
      <c r="A556" t="s">
        <v>1409</v>
      </c>
      <c r="C556" t="s">
        <v>1410</v>
      </c>
      <c r="D556" t="s">
        <v>1410</v>
      </c>
      <c r="E556" s="5">
        <v>46269</v>
      </c>
      <c r="F556" t="s">
        <v>204</v>
      </c>
      <c r="G556" t="s">
        <v>205</v>
      </c>
      <c r="H556">
        <v>1499</v>
      </c>
      <c r="I556">
        <v>28.48</v>
      </c>
      <c r="J556">
        <v>5.13</v>
      </c>
      <c r="K556">
        <v>1465.39</v>
      </c>
      <c r="L556" s="5">
        <v>46271</v>
      </c>
      <c r="M556" t="s">
        <v>1336</v>
      </c>
      <c r="N556" t="s">
        <v>207</v>
      </c>
      <c r="O556" t="s">
        <v>1410</v>
      </c>
      <c r="P556" t="s">
        <v>208</v>
      </c>
      <c r="Q556" t="s">
        <v>209</v>
      </c>
    </row>
    <row r="557" spans="1:17" x14ac:dyDescent="0.3">
      <c r="A557" t="s">
        <v>1411</v>
      </c>
      <c r="C557" t="s">
        <v>1412</v>
      </c>
      <c r="D557" t="s">
        <v>1413</v>
      </c>
      <c r="E557" s="5">
        <v>46269</v>
      </c>
      <c r="F557" t="s">
        <v>204</v>
      </c>
      <c r="G557" t="s">
        <v>220</v>
      </c>
      <c r="H557">
        <v>9297</v>
      </c>
      <c r="I557">
        <v>27.89</v>
      </c>
      <c r="J557">
        <v>5.0199999999999996</v>
      </c>
      <c r="K557">
        <v>9264.09</v>
      </c>
      <c r="L557" s="5">
        <v>46271</v>
      </c>
      <c r="M557" t="s">
        <v>1336</v>
      </c>
      <c r="N557" t="s">
        <v>207</v>
      </c>
      <c r="O557" t="s">
        <v>1413</v>
      </c>
      <c r="P557" t="s">
        <v>208</v>
      </c>
      <c r="Q557" t="s">
        <v>209</v>
      </c>
    </row>
    <row r="558" spans="1:17" x14ac:dyDescent="0.3">
      <c r="A558" t="s">
        <v>1414</v>
      </c>
      <c r="C558" t="s">
        <v>1415</v>
      </c>
      <c r="D558" t="s">
        <v>1415</v>
      </c>
      <c r="E558" s="5">
        <v>46269</v>
      </c>
      <c r="F558" t="s">
        <v>204</v>
      </c>
      <c r="G558" t="s">
        <v>220</v>
      </c>
      <c r="H558">
        <v>2597</v>
      </c>
      <c r="I558">
        <v>7.79</v>
      </c>
      <c r="J558">
        <v>1.4</v>
      </c>
      <c r="K558">
        <v>2587.81</v>
      </c>
      <c r="L558" s="5">
        <v>46271</v>
      </c>
      <c r="M558" t="s">
        <v>1336</v>
      </c>
      <c r="N558" t="s">
        <v>207</v>
      </c>
      <c r="O558" t="s">
        <v>1415</v>
      </c>
      <c r="P558" t="s">
        <v>208</v>
      </c>
      <c r="Q558" t="s">
        <v>209</v>
      </c>
    </row>
    <row r="559" spans="1:17" x14ac:dyDescent="0.3">
      <c r="A559" t="s">
        <v>1416</v>
      </c>
      <c r="C559" t="s">
        <v>1417</v>
      </c>
      <c r="D559" t="s">
        <v>1417</v>
      </c>
      <c r="E559" s="5">
        <v>46269</v>
      </c>
      <c r="F559" t="s">
        <v>204</v>
      </c>
      <c r="G559" t="s">
        <v>255</v>
      </c>
      <c r="H559">
        <v>1598</v>
      </c>
      <c r="I559">
        <v>23.97</v>
      </c>
      <c r="J559">
        <v>4.3099999999999996</v>
      </c>
      <c r="K559">
        <v>1569.72</v>
      </c>
      <c r="L559" s="5">
        <v>46271</v>
      </c>
      <c r="M559" t="s">
        <v>1336</v>
      </c>
      <c r="N559" t="s">
        <v>207</v>
      </c>
      <c r="O559" t="s">
        <v>1417</v>
      </c>
      <c r="P559" t="s">
        <v>208</v>
      </c>
      <c r="Q559" t="s">
        <v>209</v>
      </c>
    </row>
    <row r="560" spans="1:17" x14ac:dyDescent="0.3">
      <c r="A560" t="s">
        <v>1418</v>
      </c>
      <c r="C560" t="s">
        <v>1419</v>
      </c>
      <c r="D560" t="s">
        <v>1419</v>
      </c>
      <c r="E560" s="5">
        <v>46269</v>
      </c>
      <c r="F560" t="s">
        <v>204</v>
      </c>
      <c r="G560" t="s">
        <v>213</v>
      </c>
      <c r="H560">
        <v>299</v>
      </c>
      <c r="I560">
        <v>5.38</v>
      </c>
      <c r="J560">
        <v>0.97</v>
      </c>
      <c r="K560">
        <v>292.64999999999998</v>
      </c>
      <c r="L560" s="5">
        <v>46271</v>
      </c>
      <c r="M560" t="s">
        <v>1336</v>
      </c>
      <c r="N560" t="s">
        <v>207</v>
      </c>
      <c r="O560" t="s">
        <v>1419</v>
      </c>
      <c r="P560" t="s">
        <v>208</v>
      </c>
      <c r="Q560" t="s">
        <v>209</v>
      </c>
    </row>
    <row r="561" spans="1:17" x14ac:dyDescent="0.3">
      <c r="A561" t="s">
        <v>1420</v>
      </c>
      <c r="C561" t="s">
        <v>1421</v>
      </c>
      <c r="D561" t="s">
        <v>1422</v>
      </c>
      <c r="E561" s="5">
        <v>46269</v>
      </c>
      <c r="F561" t="s">
        <v>204</v>
      </c>
      <c r="G561" t="s">
        <v>220</v>
      </c>
      <c r="H561">
        <v>299</v>
      </c>
      <c r="I561">
        <v>0</v>
      </c>
      <c r="J561">
        <v>0</v>
      </c>
      <c r="K561">
        <v>299</v>
      </c>
      <c r="L561" s="5">
        <v>46271</v>
      </c>
      <c r="M561" t="s">
        <v>1336</v>
      </c>
      <c r="N561" t="s">
        <v>207</v>
      </c>
      <c r="O561" t="s">
        <v>1422</v>
      </c>
      <c r="P561" t="s">
        <v>208</v>
      </c>
      <c r="Q561" t="s">
        <v>209</v>
      </c>
    </row>
    <row r="562" spans="1:17" x14ac:dyDescent="0.3">
      <c r="A562" t="s">
        <v>1423</v>
      </c>
      <c r="C562" t="s">
        <v>1424</v>
      </c>
      <c r="D562" t="s">
        <v>1424</v>
      </c>
      <c r="E562" s="5">
        <v>46269</v>
      </c>
      <c r="F562" t="s">
        <v>204</v>
      </c>
      <c r="G562" t="s">
        <v>213</v>
      </c>
      <c r="H562">
        <v>349</v>
      </c>
      <c r="I562">
        <v>6.28</v>
      </c>
      <c r="J562">
        <v>1.1299999999999999</v>
      </c>
      <c r="K562">
        <v>341.59</v>
      </c>
      <c r="L562" s="5">
        <v>46271</v>
      </c>
      <c r="M562" t="s">
        <v>1336</v>
      </c>
      <c r="N562" t="s">
        <v>207</v>
      </c>
      <c r="O562" t="s">
        <v>1424</v>
      </c>
      <c r="P562" t="s">
        <v>208</v>
      </c>
      <c r="Q562" t="s">
        <v>209</v>
      </c>
    </row>
    <row r="563" spans="1:17" x14ac:dyDescent="0.3">
      <c r="A563" t="s">
        <v>1425</v>
      </c>
      <c r="C563" t="s">
        <v>1426</v>
      </c>
      <c r="D563" t="s">
        <v>1426</v>
      </c>
      <c r="E563" s="5">
        <v>46269</v>
      </c>
      <c r="F563" t="s">
        <v>204</v>
      </c>
      <c r="G563" t="s">
        <v>213</v>
      </c>
      <c r="H563">
        <v>999</v>
      </c>
      <c r="I563">
        <v>17.98</v>
      </c>
      <c r="J563">
        <v>3.24</v>
      </c>
      <c r="K563">
        <v>977.78</v>
      </c>
      <c r="L563" s="5">
        <v>46271</v>
      </c>
      <c r="M563" t="s">
        <v>1336</v>
      </c>
      <c r="N563" t="s">
        <v>207</v>
      </c>
      <c r="O563" t="s">
        <v>1426</v>
      </c>
      <c r="P563" t="s">
        <v>208</v>
      </c>
      <c r="Q563" t="s">
        <v>209</v>
      </c>
    </row>
    <row r="564" spans="1:17" x14ac:dyDescent="0.3">
      <c r="A564" t="s">
        <v>1427</v>
      </c>
      <c r="C564" t="s">
        <v>1428</v>
      </c>
      <c r="D564" t="s">
        <v>1428</v>
      </c>
      <c r="E564" s="5">
        <v>46269</v>
      </c>
      <c r="F564" t="s">
        <v>204</v>
      </c>
      <c r="G564" t="s">
        <v>220</v>
      </c>
      <c r="H564">
        <v>1798</v>
      </c>
      <c r="I564">
        <v>0</v>
      </c>
      <c r="J564">
        <v>0</v>
      </c>
      <c r="K564">
        <v>1798</v>
      </c>
      <c r="L564" s="5">
        <v>46271</v>
      </c>
      <c r="M564" t="s">
        <v>1336</v>
      </c>
      <c r="N564" t="s">
        <v>207</v>
      </c>
      <c r="O564" t="s">
        <v>1428</v>
      </c>
      <c r="P564" t="s">
        <v>208</v>
      </c>
      <c r="Q564" t="s">
        <v>209</v>
      </c>
    </row>
    <row r="565" spans="1:17" x14ac:dyDescent="0.3">
      <c r="A565" t="s">
        <v>1429</v>
      </c>
      <c r="C565" t="s">
        <v>1430</v>
      </c>
      <c r="D565" t="s">
        <v>1430</v>
      </c>
      <c r="E565" s="5">
        <v>46269</v>
      </c>
      <c r="F565" t="s">
        <v>204</v>
      </c>
      <c r="G565" t="s">
        <v>220</v>
      </c>
      <c r="H565">
        <v>7297</v>
      </c>
      <c r="I565">
        <v>21.89</v>
      </c>
      <c r="J565">
        <v>3.94</v>
      </c>
      <c r="K565">
        <v>7271.17</v>
      </c>
      <c r="L565" s="5">
        <v>46271</v>
      </c>
      <c r="M565" t="s">
        <v>1336</v>
      </c>
      <c r="N565" t="s">
        <v>207</v>
      </c>
      <c r="O565" t="s">
        <v>1430</v>
      </c>
      <c r="P565" t="s">
        <v>208</v>
      </c>
      <c r="Q565" t="s">
        <v>209</v>
      </c>
    </row>
    <row r="566" spans="1:17" x14ac:dyDescent="0.3">
      <c r="A566" t="s">
        <v>1431</v>
      </c>
      <c r="C566" t="s">
        <v>1432</v>
      </c>
      <c r="D566" t="s">
        <v>1432</v>
      </c>
      <c r="E566" s="5">
        <v>46269</v>
      </c>
      <c r="F566" t="s">
        <v>204</v>
      </c>
      <c r="G566" t="s">
        <v>255</v>
      </c>
      <c r="H566">
        <v>499</v>
      </c>
      <c r="I566">
        <v>7.49</v>
      </c>
      <c r="J566">
        <v>1.35</v>
      </c>
      <c r="K566">
        <v>490.16</v>
      </c>
      <c r="L566" s="5">
        <v>46271</v>
      </c>
      <c r="M566" t="s">
        <v>1336</v>
      </c>
      <c r="N566" t="s">
        <v>207</v>
      </c>
      <c r="O566" t="s">
        <v>1432</v>
      </c>
      <c r="P566" t="s">
        <v>208</v>
      </c>
      <c r="Q566" t="s">
        <v>209</v>
      </c>
    </row>
    <row r="567" spans="1:17" x14ac:dyDescent="0.3">
      <c r="A567" t="s">
        <v>1433</v>
      </c>
      <c r="C567" t="s">
        <v>1434</v>
      </c>
      <c r="D567" t="s">
        <v>1434</v>
      </c>
      <c r="E567" s="5">
        <v>46269</v>
      </c>
      <c r="F567" t="s">
        <v>204</v>
      </c>
      <c r="G567" t="s">
        <v>213</v>
      </c>
      <c r="H567">
        <v>499</v>
      </c>
      <c r="I567">
        <v>8.98</v>
      </c>
      <c r="J567">
        <v>1.62</v>
      </c>
      <c r="K567">
        <v>488.4</v>
      </c>
      <c r="L567" s="5">
        <v>46271</v>
      </c>
      <c r="M567" t="s">
        <v>1336</v>
      </c>
      <c r="N567" t="s">
        <v>207</v>
      </c>
      <c r="O567" t="s">
        <v>1434</v>
      </c>
      <c r="P567" t="s">
        <v>208</v>
      </c>
      <c r="Q567" t="s">
        <v>209</v>
      </c>
    </row>
    <row r="568" spans="1:17" x14ac:dyDescent="0.3">
      <c r="A568" t="s">
        <v>1435</v>
      </c>
      <c r="C568" t="s">
        <v>1436</v>
      </c>
      <c r="D568" t="s">
        <v>1436</v>
      </c>
      <c r="E568" s="5">
        <v>46269</v>
      </c>
      <c r="F568" t="s">
        <v>204</v>
      </c>
      <c r="G568" t="s">
        <v>220</v>
      </c>
      <c r="H568">
        <v>599</v>
      </c>
      <c r="I568">
        <v>0</v>
      </c>
      <c r="J568">
        <v>0</v>
      </c>
      <c r="K568">
        <v>599</v>
      </c>
      <c r="L568" s="5">
        <v>46271</v>
      </c>
      <c r="M568" t="s">
        <v>1336</v>
      </c>
      <c r="N568" t="s">
        <v>207</v>
      </c>
      <c r="O568" t="s">
        <v>1436</v>
      </c>
      <c r="P568" t="s">
        <v>208</v>
      </c>
      <c r="Q568" t="s">
        <v>209</v>
      </c>
    </row>
    <row r="569" spans="1:17" x14ac:dyDescent="0.3">
      <c r="A569" t="s">
        <v>1437</v>
      </c>
      <c r="C569" t="s">
        <v>1438</v>
      </c>
      <c r="D569" t="s">
        <v>1438</v>
      </c>
      <c r="E569" s="5">
        <v>46269</v>
      </c>
      <c r="F569" t="s">
        <v>204</v>
      </c>
      <c r="G569" t="s">
        <v>220</v>
      </c>
      <c r="H569">
        <v>7999</v>
      </c>
      <c r="I569">
        <v>24</v>
      </c>
      <c r="J569">
        <v>4.32</v>
      </c>
      <c r="K569">
        <v>7970.68</v>
      </c>
      <c r="L569" s="5">
        <v>46271</v>
      </c>
      <c r="M569" t="s">
        <v>1336</v>
      </c>
      <c r="N569" t="s">
        <v>207</v>
      </c>
      <c r="O569" t="s">
        <v>1438</v>
      </c>
      <c r="P569" t="s">
        <v>208</v>
      </c>
      <c r="Q569" t="s">
        <v>209</v>
      </c>
    </row>
    <row r="570" spans="1:17" x14ac:dyDescent="0.3">
      <c r="A570" t="s">
        <v>1439</v>
      </c>
      <c r="C570" t="s">
        <v>1440</v>
      </c>
      <c r="D570" t="s">
        <v>1441</v>
      </c>
      <c r="E570" s="5">
        <v>46269</v>
      </c>
      <c r="F570" t="s">
        <v>204</v>
      </c>
      <c r="G570" t="s">
        <v>220</v>
      </c>
      <c r="H570">
        <v>10498</v>
      </c>
      <c r="I570">
        <v>31.49</v>
      </c>
      <c r="J570">
        <v>5.67</v>
      </c>
      <c r="K570">
        <v>10460.84</v>
      </c>
      <c r="L570" s="5">
        <v>46271</v>
      </c>
      <c r="M570" t="s">
        <v>1336</v>
      </c>
      <c r="N570" t="s">
        <v>207</v>
      </c>
      <c r="O570" t="s">
        <v>1441</v>
      </c>
      <c r="P570" t="s">
        <v>208</v>
      </c>
      <c r="Q570" t="s">
        <v>209</v>
      </c>
    </row>
    <row r="571" spans="1:17" x14ac:dyDescent="0.3">
      <c r="A571" t="s">
        <v>1442</v>
      </c>
      <c r="C571" t="s">
        <v>1443</v>
      </c>
      <c r="D571" t="s">
        <v>1443</v>
      </c>
      <c r="E571" s="5">
        <v>46269</v>
      </c>
      <c r="F571" t="s">
        <v>204</v>
      </c>
      <c r="G571" t="s">
        <v>205</v>
      </c>
      <c r="H571">
        <v>499</v>
      </c>
      <c r="I571">
        <v>9.48</v>
      </c>
      <c r="J571">
        <v>1.71</v>
      </c>
      <c r="K571">
        <v>487.81</v>
      </c>
      <c r="L571" s="5">
        <v>46271</v>
      </c>
      <c r="M571" t="s">
        <v>1336</v>
      </c>
      <c r="N571" t="s">
        <v>207</v>
      </c>
      <c r="O571" t="s">
        <v>1443</v>
      </c>
      <c r="P571" t="s">
        <v>208</v>
      </c>
      <c r="Q571" t="s">
        <v>209</v>
      </c>
    </row>
    <row r="572" spans="1:17" x14ac:dyDescent="0.3">
      <c r="A572" t="s">
        <v>1444</v>
      </c>
      <c r="C572" t="s">
        <v>1445</v>
      </c>
      <c r="D572" t="s">
        <v>1446</v>
      </c>
      <c r="E572" s="5">
        <v>46269</v>
      </c>
      <c r="F572" t="s">
        <v>204</v>
      </c>
      <c r="G572" t="s">
        <v>213</v>
      </c>
      <c r="H572">
        <v>5797</v>
      </c>
      <c r="I572">
        <v>92.75</v>
      </c>
      <c r="J572">
        <v>16.7</v>
      </c>
      <c r="K572">
        <v>5687.55</v>
      </c>
      <c r="L572" s="5">
        <v>46271</v>
      </c>
      <c r="M572" t="s">
        <v>1336</v>
      </c>
      <c r="N572" t="s">
        <v>207</v>
      </c>
      <c r="O572" t="s">
        <v>1446</v>
      </c>
      <c r="P572" t="s">
        <v>208</v>
      </c>
      <c r="Q572" t="s">
        <v>209</v>
      </c>
    </row>
    <row r="573" spans="1:17" x14ac:dyDescent="0.3">
      <c r="A573" t="s">
        <v>1447</v>
      </c>
      <c r="C573" t="s">
        <v>1448</v>
      </c>
      <c r="D573" t="s">
        <v>1448</v>
      </c>
      <c r="E573" s="5">
        <v>46269</v>
      </c>
      <c r="F573" t="s">
        <v>204</v>
      </c>
      <c r="G573" t="s">
        <v>213</v>
      </c>
      <c r="H573">
        <v>7297</v>
      </c>
      <c r="I573">
        <v>116.75</v>
      </c>
      <c r="J573">
        <v>21.02</v>
      </c>
      <c r="K573">
        <v>7159.23</v>
      </c>
      <c r="L573" s="5">
        <v>46271</v>
      </c>
      <c r="M573" t="s">
        <v>1336</v>
      </c>
      <c r="N573" t="s">
        <v>207</v>
      </c>
      <c r="O573" t="s">
        <v>1448</v>
      </c>
      <c r="P573" t="s">
        <v>208</v>
      </c>
      <c r="Q573" t="s">
        <v>209</v>
      </c>
    </row>
    <row r="574" spans="1:17" x14ac:dyDescent="0.3">
      <c r="A574" t="s">
        <v>1449</v>
      </c>
      <c r="C574" t="s">
        <v>1450</v>
      </c>
      <c r="D574" t="s">
        <v>1450</v>
      </c>
      <c r="E574" s="5">
        <v>46269</v>
      </c>
      <c r="F574" t="s">
        <v>204</v>
      </c>
      <c r="G574" t="s">
        <v>220</v>
      </c>
      <c r="H574">
        <v>9998</v>
      </c>
      <c r="I574">
        <v>29.99</v>
      </c>
      <c r="J574">
        <v>5.4</v>
      </c>
      <c r="K574">
        <v>9962.61</v>
      </c>
      <c r="L574" s="5">
        <v>46271</v>
      </c>
      <c r="M574" t="s">
        <v>1336</v>
      </c>
      <c r="N574" t="s">
        <v>207</v>
      </c>
      <c r="O574" t="s">
        <v>1450</v>
      </c>
      <c r="P574" t="s">
        <v>208</v>
      </c>
      <c r="Q574" t="s">
        <v>209</v>
      </c>
    </row>
    <row r="575" spans="1:17" x14ac:dyDescent="0.3">
      <c r="A575" t="s">
        <v>1451</v>
      </c>
      <c r="C575" t="s">
        <v>1452</v>
      </c>
      <c r="D575" t="s">
        <v>1452</v>
      </c>
      <c r="E575" s="5">
        <v>46269</v>
      </c>
      <c r="F575" t="s">
        <v>204</v>
      </c>
      <c r="G575" t="s">
        <v>220</v>
      </c>
      <c r="H575">
        <v>4999</v>
      </c>
      <c r="I575">
        <v>15</v>
      </c>
      <c r="J575">
        <v>2.7</v>
      </c>
      <c r="K575">
        <v>4981.3</v>
      </c>
      <c r="L575" s="5">
        <v>46271</v>
      </c>
      <c r="M575" t="s">
        <v>1336</v>
      </c>
      <c r="N575" t="s">
        <v>207</v>
      </c>
      <c r="O575" t="s">
        <v>1452</v>
      </c>
      <c r="P575" t="s">
        <v>208</v>
      </c>
      <c r="Q575" t="s">
        <v>209</v>
      </c>
    </row>
    <row r="576" spans="1:17" x14ac:dyDescent="0.3">
      <c r="A576" t="s">
        <v>1453</v>
      </c>
      <c r="C576" t="s">
        <v>1454</v>
      </c>
      <c r="D576" t="s">
        <v>1454</v>
      </c>
      <c r="E576" s="5">
        <v>46269</v>
      </c>
      <c r="F576" t="s">
        <v>204</v>
      </c>
      <c r="G576" t="s">
        <v>213</v>
      </c>
      <c r="H576">
        <v>599</v>
      </c>
      <c r="I576">
        <v>10.78</v>
      </c>
      <c r="J576">
        <v>1.94</v>
      </c>
      <c r="K576">
        <v>586.28</v>
      </c>
      <c r="L576" s="5">
        <v>46271</v>
      </c>
      <c r="M576" t="s">
        <v>1336</v>
      </c>
      <c r="N576" t="s">
        <v>207</v>
      </c>
      <c r="O576" t="s">
        <v>1454</v>
      </c>
      <c r="P576" t="s">
        <v>208</v>
      </c>
      <c r="Q576" t="s">
        <v>209</v>
      </c>
    </row>
    <row r="577" spans="1:17" x14ac:dyDescent="0.3">
      <c r="A577" t="s">
        <v>1455</v>
      </c>
      <c r="C577" t="s">
        <v>1456</v>
      </c>
      <c r="D577" t="s">
        <v>1456</v>
      </c>
      <c r="E577" s="5">
        <v>46269</v>
      </c>
      <c r="F577" t="s">
        <v>204</v>
      </c>
      <c r="G577" t="s">
        <v>220</v>
      </c>
      <c r="H577">
        <v>299</v>
      </c>
      <c r="I577">
        <v>0</v>
      </c>
      <c r="J577">
        <v>0</v>
      </c>
      <c r="K577">
        <v>299</v>
      </c>
      <c r="L577" s="5">
        <v>46271</v>
      </c>
      <c r="M577" t="s">
        <v>1336</v>
      </c>
      <c r="N577" t="s">
        <v>207</v>
      </c>
      <c r="O577" t="s">
        <v>1456</v>
      </c>
      <c r="P577" t="s">
        <v>208</v>
      </c>
      <c r="Q577" t="s">
        <v>209</v>
      </c>
    </row>
    <row r="578" spans="1:17" x14ac:dyDescent="0.3">
      <c r="A578" t="s">
        <v>1457</v>
      </c>
      <c r="C578" t="s">
        <v>1458</v>
      </c>
      <c r="D578" t="s">
        <v>1458</v>
      </c>
      <c r="E578" s="5">
        <v>46269</v>
      </c>
      <c r="F578" t="s">
        <v>204</v>
      </c>
      <c r="G578" t="s">
        <v>213</v>
      </c>
      <c r="H578">
        <v>6498</v>
      </c>
      <c r="I578">
        <v>103.97</v>
      </c>
      <c r="J578">
        <v>18.71</v>
      </c>
      <c r="K578">
        <v>6375.32</v>
      </c>
      <c r="L578" s="5">
        <v>46271</v>
      </c>
      <c r="M578" t="s">
        <v>1336</v>
      </c>
      <c r="N578" t="s">
        <v>207</v>
      </c>
      <c r="O578" t="s">
        <v>1458</v>
      </c>
      <c r="P578" t="s">
        <v>208</v>
      </c>
      <c r="Q578" t="s">
        <v>209</v>
      </c>
    </row>
    <row r="579" spans="1:17" x14ac:dyDescent="0.3">
      <c r="A579" t="s">
        <v>1459</v>
      </c>
      <c r="C579" t="s">
        <v>1460</v>
      </c>
      <c r="D579" t="s">
        <v>1460</v>
      </c>
      <c r="E579" s="5">
        <v>46269</v>
      </c>
      <c r="F579" t="s">
        <v>204</v>
      </c>
      <c r="G579" t="s">
        <v>220</v>
      </c>
      <c r="H579">
        <v>499</v>
      </c>
      <c r="I579">
        <v>0</v>
      </c>
      <c r="J579">
        <v>0</v>
      </c>
      <c r="K579">
        <v>499</v>
      </c>
      <c r="L579" s="5">
        <v>46271</v>
      </c>
      <c r="M579" t="s">
        <v>1336</v>
      </c>
      <c r="N579" t="s">
        <v>207</v>
      </c>
      <c r="O579" t="s">
        <v>1460</v>
      </c>
      <c r="P579" t="s">
        <v>208</v>
      </c>
      <c r="Q579" t="s">
        <v>209</v>
      </c>
    </row>
    <row r="580" spans="1:17" x14ac:dyDescent="0.3">
      <c r="A580" t="s">
        <v>1461</v>
      </c>
      <c r="C580" t="s">
        <v>1462</v>
      </c>
      <c r="D580" t="s">
        <v>1462</v>
      </c>
      <c r="E580" s="5">
        <v>46269</v>
      </c>
      <c r="F580" t="s">
        <v>204</v>
      </c>
      <c r="G580" t="s">
        <v>213</v>
      </c>
      <c r="H580">
        <v>948</v>
      </c>
      <c r="I580">
        <v>17.059999999999999</v>
      </c>
      <c r="J580">
        <v>3.07</v>
      </c>
      <c r="K580">
        <v>927.87</v>
      </c>
      <c r="L580" s="5">
        <v>46271</v>
      </c>
      <c r="M580" t="s">
        <v>1336</v>
      </c>
      <c r="N580" t="s">
        <v>207</v>
      </c>
      <c r="O580" t="s">
        <v>1462</v>
      </c>
      <c r="P580" t="s">
        <v>208</v>
      </c>
      <c r="Q580" t="s">
        <v>209</v>
      </c>
    </row>
    <row r="581" spans="1:17" x14ac:dyDescent="0.3">
      <c r="A581" t="s">
        <v>1463</v>
      </c>
      <c r="C581" t="s">
        <v>1464</v>
      </c>
      <c r="D581" t="s">
        <v>1464</v>
      </c>
      <c r="E581" s="5">
        <v>46269</v>
      </c>
      <c r="F581" t="s">
        <v>204</v>
      </c>
      <c r="G581" t="s">
        <v>220</v>
      </c>
      <c r="H581">
        <v>799</v>
      </c>
      <c r="I581">
        <v>0</v>
      </c>
      <c r="J581">
        <v>0</v>
      </c>
      <c r="K581">
        <v>799</v>
      </c>
      <c r="L581" s="5">
        <v>46271</v>
      </c>
      <c r="M581" t="s">
        <v>1336</v>
      </c>
      <c r="N581" t="s">
        <v>207</v>
      </c>
      <c r="O581" t="s">
        <v>1464</v>
      </c>
      <c r="P581" t="s">
        <v>208</v>
      </c>
      <c r="Q581" t="s">
        <v>209</v>
      </c>
    </row>
    <row r="582" spans="1:17" x14ac:dyDescent="0.3">
      <c r="A582" t="s">
        <v>1465</v>
      </c>
      <c r="C582" t="s">
        <v>1466</v>
      </c>
      <c r="D582" t="s">
        <v>1466</v>
      </c>
      <c r="E582" s="5">
        <v>46269</v>
      </c>
      <c r="F582" t="s">
        <v>204</v>
      </c>
      <c r="G582" t="s">
        <v>213</v>
      </c>
      <c r="H582">
        <v>8798</v>
      </c>
      <c r="I582">
        <v>140.77000000000001</v>
      </c>
      <c r="J582">
        <v>25.34</v>
      </c>
      <c r="K582">
        <v>8631.89</v>
      </c>
      <c r="L582" s="5">
        <v>46271</v>
      </c>
      <c r="M582" t="s">
        <v>1336</v>
      </c>
      <c r="N582" t="s">
        <v>207</v>
      </c>
      <c r="O582" t="s">
        <v>1466</v>
      </c>
      <c r="P582" t="s">
        <v>208</v>
      </c>
      <c r="Q582" t="s">
        <v>209</v>
      </c>
    </row>
    <row r="583" spans="1:17" x14ac:dyDescent="0.3">
      <c r="A583" t="s">
        <v>1467</v>
      </c>
      <c r="C583" t="s">
        <v>1468</v>
      </c>
      <c r="D583" t="s">
        <v>1468</v>
      </c>
      <c r="E583" s="5">
        <v>46269</v>
      </c>
      <c r="F583" t="s">
        <v>204</v>
      </c>
      <c r="G583" t="s">
        <v>213</v>
      </c>
      <c r="H583">
        <v>2498</v>
      </c>
      <c r="I583">
        <v>39.97</v>
      </c>
      <c r="J583">
        <v>7.19</v>
      </c>
      <c r="K583">
        <v>2450.84</v>
      </c>
      <c r="L583" s="5">
        <v>46271</v>
      </c>
      <c r="M583" t="s">
        <v>1336</v>
      </c>
      <c r="N583" t="s">
        <v>207</v>
      </c>
      <c r="O583" t="s">
        <v>1468</v>
      </c>
      <c r="P583" t="s">
        <v>208</v>
      </c>
      <c r="Q583" t="s">
        <v>209</v>
      </c>
    </row>
    <row r="584" spans="1:17" x14ac:dyDescent="0.3">
      <c r="A584" t="s">
        <v>1469</v>
      </c>
      <c r="C584" t="s">
        <v>1470</v>
      </c>
      <c r="D584" t="s">
        <v>1471</v>
      </c>
      <c r="E584" s="5">
        <v>46269</v>
      </c>
      <c r="F584" t="s">
        <v>204</v>
      </c>
      <c r="G584" t="s">
        <v>220</v>
      </c>
      <c r="H584">
        <v>2999</v>
      </c>
      <c r="I584">
        <v>9</v>
      </c>
      <c r="J584">
        <v>1.62</v>
      </c>
      <c r="K584">
        <v>2988.38</v>
      </c>
      <c r="L584" s="5">
        <v>46271</v>
      </c>
      <c r="M584" t="s">
        <v>1336</v>
      </c>
      <c r="N584" t="s">
        <v>207</v>
      </c>
      <c r="O584" t="s">
        <v>1471</v>
      </c>
      <c r="P584" t="s">
        <v>208</v>
      </c>
      <c r="Q584" t="s">
        <v>209</v>
      </c>
    </row>
    <row r="585" spans="1:17" x14ac:dyDescent="0.3">
      <c r="A585" t="s">
        <v>1472</v>
      </c>
      <c r="C585" t="s">
        <v>1473</v>
      </c>
      <c r="D585" t="s">
        <v>1473</v>
      </c>
      <c r="E585" s="5">
        <v>46269</v>
      </c>
      <c r="F585" t="s">
        <v>204</v>
      </c>
      <c r="G585" t="s">
        <v>205</v>
      </c>
      <c r="H585">
        <v>3348</v>
      </c>
      <c r="I585">
        <v>56.92</v>
      </c>
      <c r="J585">
        <v>10.25</v>
      </c>
      <c r="K585">
        <v>3280.83</v>
      </c>
      <c r="L585" s="5">
        <v>46271</v>
      </c>
      <c r="M585" t="s">
        <v>1336</v>
      </c>
      <c r="N585" t="s">
        <v>207</v>
      </c>
      <c r="O585" t="s">
        <v>1473</v>
      </c>
      <c r="P585" t="s">
        <v>208</v>
      </c>
      <c r="Q585" t="s">
        <v>209</v>
      </c>
    </row>
    <row r="586" spans="1:17" x14ac:dyDescent="0.3">
      <c r="A586" t="s">
        <v>1474</v>
      </c>
      <c r="C586" t="s">
        <v>1475</v>
      </c>
      <c r="D586" t="s">
        <v>1475</v>
      </c>
      <c r="E586" s="5">
        <v>46269</v>
      </c>
      <c r="F586" t="s">
        <v>204</v>
      </c>
      <c r="G586" t="s">
        <v>220</v>
      </c>
      <c r="H586">
        <v>1098</v>
      </c>
      <c r="I586">
        <v>0</v>
      </c>
      <c r="J586">
        <v>0</v>
      </c>
      <c r="K586">
        <v>1098</v>
      </c>
      <c r="L586" s="5">
        <v>46271</v>
      </c>
      <c r="M586" t="s">
        <v>1336</v>
      </c>
      <c r="N586" t="s">
        <v>207</v>
      </c>
      <c r="O586" t="s">
        <v>1475</v>
      </c>
      <c r="P586" t="s">
        <v>208</v>
      </c>
      <c r="Q586" t="s">
        <v>209</v>
      </c>
    </row>
    <row r="587" spans="1:17" x14ac:dyDescent="0.3">
      <c r="A587" t="s">
        <v>1476</v>
      </c>
      <c r="C587" t="s">
        <v>1477</v>
      </c>
      <c r="D587" t="s">
        <v>1477</v>
      </c>
      <c r="E587" s="5">
        <v>46269</v>
      </c>
      <c r="F587" t="s">
        <v>204</v>
      </c>
      <c r="G587" t="s">
        <v>220</v>
      </c>
      <c r="H587">
        <v>5947</v>
      </c>
      <c r="I587">
        <v>17.84</v>
      </c>
      <c r="J587">
        <v>3.21</v>
      </c>
      <c r="K587">
        <v>5925.95</v>
      </c>
      <c r="L587" s="5">
        <v>46271</v>
      </c>
      <c r="M587" t="s">
        <v>1336</v>
      </c>
      <c r="N587" t="s">
        <v>207</v>
      </c>
      <c r="O587" t="s">
        <v>1477</v>
      </c>
      <c r="P587" t="s">
        <v>208</v>
      </c>
      <c r="Q587" t="s">
        <v>209</v>
      </c>
    </row>
    <row r="588" spans="1:17" x14ac:dyDescent="0.3">
      <c r="A588" t="s">
        <v>1478</v>
      </c>
      <c r="C588" t="s">
        <v>1479</v>
      </c>
      <c r="D588" t="s">
        <v>1479</v>
      </c>
      <c r="E588" s="5">
        <v>46269</v>
      </c>
      <c r="F588" t="s">
        <v>204</v>
      </c>
      <c r="G588" t="s">
        <v>213</v>
      </c>
      <c r="H588">
        <v>3447</v>
      </c>
      <c r="I588">
        <v>55.15</v>
      </c>
      <c r="J588">
        <v>9.93</v>
      </c>
      <c r="K588">
        <v>3381.92</v>
      </c>
      <c r="L588" s="5">
        <v>46271</v>
      </c>
      <c r="M588" t="s">
        <v>1336</v>
      </c>
      <c r="N588" t="s">
        <v>207</v>
      </c>
      <c r="O588" t="s">
        <v>1479</v>
      </c>
      <c r="P588" t="s">
        <v>208</v>
      </c>
      <c r="Q588" t="s">
        <v>209</v>
      </c>
    </row>
    <row r="589" spans="1:17" x14ac:dyDescent="0.3">
      <c r="A589" t="s">
        <v>1480</v>
      </c>
      <c r="C589" t="s">
        <v>1481</v>
      </c>
      <c r="D589" t="s">
        <v>1481</v>
      </c>
      <c r="E589" s="5">
        <v>46269</v>
      </c>
      <c r="F589" t="s">
        <v>204</v>
      </c>
      <c r="G589" t="s">
        <v>255</v>
      </c>
      <c r="H589">
        <v>2499</v>
      </c>
      <c r="I589">
        <v>29.99</v>
      </c>
      <c r="J589">
        <v>5.4</v>
      </c>
      <c r="K589">
        <v>2463.61</v>
      </c>
      <c r="L589" s="5">
        <v>46271</v>
      </c>
      <c r="M589" t="s">
        <v>1336</v>
      </c>
      <c r="N589" t="s">
        <v>207</v>
      </c>
      <c r="O589" t="s">
        <v>1481</v>
      </c>
      <c r="P589" t="s">
        <v>208</v>
      </c>
      <c r="Q589" t="s">
        <v>209</v>
      </c>
    </row>
    <row r="590" spans="1:17" x14ac:dyDescent="0.3">
      <c r="A590" t="s">
        <v>1482</v>
      </c>
      <c r="C590" t="s">
        <v>1483</v>
      </c>
      <c r="D590" t="s">
        <v>1483</v>
      </c>
      <c r="E590" s="5">
        <v>46269</v>
      </c>
      <c r="F590" t="s">
        <v>204</v>
      </c>
      <c r="G590" t="s">
        <v>220</v>
      </c>
      <c r="H590">
        <v>1947</v>
      </c>
      <c r="I590">
        <v>0</v>
      </c>
      <c r="J590">
        <v>0</v>
      </c>
      <c r="K590">
        <v>1947</v>
      </c>
      <c r="L590" s="5">
        <v>46271</v>
      </c>
      <c r="M590" t="s">
        <v>1336</v>
      </c>
      <c r="N590" t="s">
        <v>207</v>
      </c>
      <c r="O590" t="s">
        <v>1483</v>
      </c>
      <c r="P590" t="s">
        <v>208</v>
      </c>
      <c r="Q590" t="s">
        <v>209</v>
      </c>
    </row>
    <row r="591" spans="1:17" x14ac:dyDescent="0.3">
      <c r="A591" t="s">
        <v>1484</v>
      </c>
      <c r="C591" t="s">
        <v>1485</v>
      </c>
      <c r="D591" t="s">
        <v>1485</v>
      </c>
      <c r="E591" s="5">
        <v>46269</v>
      </c>
      <c r="F591" t="s">
        <v>204</v>
      </c>
      <c r="G591" t="s">
        <v>205</v>
      </c>
      <c r="H591">
        <v>3499</v>
      </c>
      <c r="I591">
        <v>59.48</v>
      </c>
      <c r="J591">
        <v>10.71</v>
      </c>
      <c r="K591">
        <v>3428.81</v>
      </c>
      <c r="L591" s="5">
        <v>46271</v>
      </c>
      <c r="M591" t="s">
        <v>1336</v>
      </c>
      <c r="N591" t="s">
        <v>207</v>
      </c>
      <c r="O591" t="s">
        <v>1485</v>
      </c>
      <c r="P591" t="s">
        <v>208</v>
      </c>
      <c r="Q591" t="s">
        <v>209</v>
      </c>
    </row>
    <row r="592" spans="1:17" x14ac:dyDescent="0.3">
      <c r="A592" t="s">
        <v>1486</v>
      </c>
      <c r="C592" t="s">
        <v>1487</v>
      </c>
      <c r="D592" t="s">
        <v>1487</v>
      </c>
      <c r="E592" s="5">
        <v>46269</v>
      </c>
      <c r="F592" t="s">
        <v>204</v>
      </c>
      <c r="G592" t="s">
        <v>220</v>
      </c>
      <c r="H592">
        <v>2498</v>
      </c>
      <c r="I592">
        <v>7.49</v>
      </c>
      <c r="J592">
        <v>1.35</v>
      </c>
      <c r="K592">
        <v>2489.16</v>
      </c>
      <c r="L592" s="5">
        <v>46271</v>
      </c>
      <c r="M592" t="s">
        <v>1336</v>
      </c>
      <c r="N592" t="s">
        <v>207</v>
      </c>
      <c r="O592" t="s">
        <v>1487</v>
      </c>
      <c r="P592" t="s">
        <v>208</v>
      </c>
      <c r="Q592" t="s">
        <v>209</v>
      </c>
    </row>
    <row r="593" spans="1:17" x14ac:dyDescent="0.3">
      <c r="A593" t="s">
        <v>1488</v>
      </c>
      <c r="C593" t="s">
        <v>1489</v>
      </c>
      <c r="D593" t="s">
        <v>1490</v>
      </c>
      <c r="E593" s="5">
        <v>46269</v>
      </c>
      <c r="F593" t="s">
        <v>204</v>
      </c>
      <c r="G593" t="s">
        <v>205</v>
      </c>
      <c r="H593">
        <v>349</v>
      </c>
      <c r="I593">
        <v>6.63</v>
      </c>
      <c r="J593">
        <v>1.19</v>
      </c>
      <c r="K593">
        <v>341.18</v>
      </c>
      <c r="L593" s="5">
        <v>46271</v>
      </c>
      <c r="M593" t="s">
        <v>1336</v>
      </c>
      <c r="N593" t="s">
        <v>207</v>
      </c>
      <c r="O593" t="s">
        <v>1490</v>
      </c>
      <c r="P593" t="s">
        <v>208</v>
      </c>
      <c r="Q593" t="s">
        <v>209</v>
      </c>
    </row>
    <row r="594" spans="1:17" x14ac:dyDescent="0.3">
      <c r="A594" t="s">
        <v>1491</v>
      </c>
      <c r="C594" t="s">
        <v>1492</v>
      </c>
      <c r="D594" t="s">
        <v>1493</v>
      </c>
      <c r="E594" s="5">
        <v>46269</v>
      </c>
      <c r="F594" t="s">
        <v>204</v>
      </c>
      <c r="G594" t="s">
        <v>213</v>
      </c>
      <c r="H594">
        <v>499</v>
      </c>
      <c r="I594">
        <v>8.98</v>
      </c>
      <c r="J594">
        <v>1.62</v>
      </c>
      <c r="K594">
        <v>488.4</v>
      </c>
      <c r="L594" s="5">
        <v>46271</v>
      </c>
      <c r="M594" t="s">
        <v>1336</v>
      </c>
      <c r="N594" t="s">
        <v>207</v>
      </c>
      <c r="O594" t="s">
        <v>1493</v>
      </c>
      <c r="P594" t="s">
        <v>208</v>
      </c>
      <c r="Q594" t="s">
        <v>209</v>
      </c>
    </row>
    <row r="595" spans="1:17" x14ac:dyDescent="0.3">
      <c r="A595" t="s">
        <v>1494</v>
      </c>
      <c r="C595" t="s">
        <v>1495</v>
      </c>
      <c r="D595" t="s">
        <v>1495</v>
      </c>
      <c r="E595" s="5">
        <v>46269</v>
      </c>
      <c r="F595" t="s">
        <v>204</v>
      </c>
      <c r="G595" t="s">
        <v>220</v>
      </c>
      <c r="H595">
        <v>6798</v>
      </c>
      <c r="I595">
        <v>20.39</v>
      </c>
      <c r="J595">
        <v>3.67</v>
      </c>
      <c r="K595">
        <v>6773.94</v>
      </c>
      <c r="L595" s="5">
        <v>46271</v>
      </c>
      <c r="M595" t="s">
        <v>1336</v>
      </c>
      <c r="N595" t="s">
        <v>207</v>
      </c>
      <c r="O595" t="s">
        <v>1495</v>
      </c>
      <c r="P595" t="s">
        <v>208</v>
      </c>
      <c r="Q595" t="s">
        <v>209</v>
      </c>
    </row>
    <row r="596" spans="1:17" x14ac:dyDescent="0.3">
      <c r="A596" t="s">
        <v>1496</v>
      </c>
      <c r="C596" t="s">
        <v>1497</v>
      </c>
      <c r="D596" t="s">
        <v>1498</v>
      </c>
      <c r="E596" s="5">
        <v>46269</v>
      </c>
      <c r="F596" t="s">
        <v>204</v>
      </c>
      <c r="G596" t="s">
        <v>213</v>
      </c>
      <c r="H596">
        <v>8998</v>
      </c>
      <c r="I596">
        <v>143.97</v>
      </c>
      <c r="J596">
        <v>25.91</v>
      </c>
      <c r="K596">
        <v>8828.1200000000008</v>
      </c>
      <c r="L596" s="5">
        <v>46271</v>
      </c>
      <c r="M596" t="s">
        <v>1336</v>
      </c>
      <c r="N596" t="s">
        <v>207</v>
      </c>
      <c r="O596" t="s">
        <v>1498</v>
      </c>
      <c r="P596" t="s">
        <v>208</v>
      </c>
      <c r="Q596" t="s">
        <v>209</v>
      </c>
    </row>
    <row r="597" spans="1:17" x14ac:dyDescent="0.3">
      <c r="A597" t="s">
        <v>1499</v>
      </c>
      <c r="C597" t="s">
        <v>1500</v>
      </c>
      <c r="D597" t="s">
        <v>1500</v>
      </c>
      <c r="E597" s="5">
        <v>46269</v>
      </c>
      <c r="F597" t="s">
        <v>204</v>
      </c>
      <c r="G597" t="s">
        <v>220</v>
      </c>
      <c r="H597">
        <v>3499</v>
      </c>
      <c r="I597">
        <v>10.5</v>
      </c>
      <c r="J597">
        <v>1.89</v>
      </c>
      <c r="K597">
        <v>3486.61</v>
      </c>
      <c r="L597" s="5">
        <v>46271</v>
      </c>
      <c r="M597" t="s">
        <v>1336</v>
      </c>
      <c r="N597" t="s">
        <v>207</v>
      </c>
      <c r="O597" t="s">
        <v>1500</v>
      </c>
      <c r="P597" t="s">
        <v>208</v>
      </c>
      <c r="Q597" t="s">
        <v>209</v>
      </c>
    </row>
    <row r="598" spans="1:17" x14ac:dyDescent="0.3">
      <c r="A598" t="s">
        <v>1501</v>
      </c>
      <c r="C598" t="s">
        <v>1502</v>
      </c>
      <c r="D598" t="s">
        <v>1502</v>
      </c>
      <c r="E598" s="5">
        <v>46269</v>
      </c>
      <c r="F598" t="s">
        <v>204</v>
      </c>
      <c r="G598" t="s">
        <v>205</v>
      </c>
      <c r="H598">
        <v>2999</v>
      </c>
      <c r="I598">
        <v>50.98</v>
      </c>
      <c r="J598">
        <v>9.18</v>
      </c>
      <c r="K598">
        <v>2938.84</v>
      </c>
      <c r="L598" s="5">
        <v>46271</v>
      </c>
      <c r="M598" t="s">
        <v>1336</v>
      </c>
      <c r="N598" t="s">
        <v>207</v>
      </c>
      <c r="O598" t="s">
        <v>1502</v>
      </c>
      <c r="P598" t="s">
        <v>208</v>
      </c>
      <c r="Q598" t="s">
        <v>209</v>
      </c>
    </row>
    <row r="599" spans="1:17" x14ac:dyDescent="0.3">
      <c r="A599" t="s">
        <v>1503</v>
      </c>
      <c r="C599" t="s">
        <v>1504</v>
      </c>
      <c r="D599" t="s">
        <v>1505</v>
      </c>
      <c r="E599" s="5">
        <v>46269</v>
      </c>
      <c r="F599" t="s">
        <v>204</v>
      </c>
      <c r="G599" t="s">
        <v>213</v>
      </c>
      <c r="H599">
        <v>1298</v>
      </c>
      <c r="I599">
        <v>23.36</v>
      </c>
      <c r="J599">
        <v>4.2</v>
      </c>
      <c r="K599">
        <v>1270.44</v>
      </c>
      <c r="L599" s="5">
        <v>46271</v>
      </c>
      <c r="M599" t="s">
        <v>1336</v>
      </c>
      <c r="N599" t="s">
        <v>207</v>
      </c>
      <c r="O599" t="s">
        <v>1505</v>
      </c>
      <c r="P599" t="s">
        <v>208</v>
      </c>
      <c r="Q599" t="s">
        <v>209</v>
      </c>
    </row>
    <row r="600" spans="1:17" x14ac:dyDescent="0.3">
      <c r="A600" t="s">
        <v>1506</v>
      </c>
      <c r="C600" t="s">
        <v>1507</v>
      </c>
      <c r="D600" t="s">
        <v>1507</v>
      </c>
      <c r="E600" s="5">
        <v>46269</v>
      </c>
      <c r="F600" t="s">
        <v>204</v>
      </c>
      <c r="G600" t="s">
        <v>255</v>
      </c>
      <c r="H600">
        <v>1348</v>
      </c>
      <c r="I600">
        <v>20.22</v>
      </c>
      <c r="J600">
        <v>3.64</v>
      </c>
      <c r="K600">
        <v>1324.14</v>
      </c>
      <c r="L600" s="5">
        <v>46271</v>
      </c>
      <c r="M600" t="s">
        <v>1336</v>
      </c>
      <c r="N600" t="s">
        <v>207</v>
      </c>
      <c r="O600" t="s">
        <v>1507</v>
      </c>
      <c r="P600" t="s">
        <v>208</v>
      </c>
      <c r="Q600" t="s">
        <v>209</v>
      </c>
    </row>
    <row r="601" spans="1:17" x14ac:dyDescent="0.3">
      <c r="A601" t="s">
        <v>1508</v>
      </c>
      <c r="C601" t="s">
        <v>1509</v>
      </c>
      <c r="D601" t="s">
        <v>1509</v>
      </c>
      <c r="E601" s="5">
        <v>46269</v>
      </c>
      <c r="F601" t="s">
        <v>204</v>
      </c>
      <c r="G601" t="s">
        <v>255</v>
      </c>
      <c r="H601">
        <v>5298</v>
      </c>
      <c r="I601">
        <v>63.58</v>
      </c>
      <c r="J601">
        <v>11.44</v>
      </c>
      <c r="K601">
        <v>5222.9799999999996</v>
      </c>
      <c r="L601" s="5">
        <v>46271</v>
      </c>
      <c r="M601" t="s">
        <v>1336</v>
      </c>
      <c r="N601" t="s">
        <v>207</v>
      </c>
      <c r="O601" t="s">
        <v>1509</v>
      </c>
      <c r="P601" t="s">
        <v>208</v>
      </c>
      <c r="Q601" t="s">
        <v>209</v>
      </c>
    </row>
    <row r="602" spans="1:17" x14ac:dyDescent="0.3">
      <c r="A602" t="s">
        <v>1510</v>
      </c>
      <c r="C602" t="s">
        <v>1511</v>
      </c>
      <c r="D602" t="s">
        <v>1511</v>
      </c>
      <c r="E602" s="5">
        <v>46269</v>
      </c>
      <c r="F602" t="s">
        <v>204</v>
      </c>
      <c r="G602" t="s">
        <v>213</v>
      </c>
      <c r="H602">
        <v>9297</v>
      </c>
      <c r="I602">
        <v>148.75</v>
      </c>
      <c r="J602">
        <v>26.78</v>
      </c>
      <c r="K602">
        <v>9121.4699999999993</v>
      </c>
      <c r="L602" s="5">
        <v>46271</v>
      </c>
      <c r="M602" t="s">
        <v>1336</v>
      </c>
      <c r="N602" t="s">
        <v>207</v>
      </c>
      <c r="O602" t="s">
        <v>1511</v>
      </c>
      <c r="P602" t="s">
        <v>208</v>
      </c>
      <c r="Q602" t="s">
        <v>209</v>
      </c>
    </row>
    <row r="603" spans="1:17" x14ac:dyDescent="0.3">
      <c r="A603" t="s">
        <v>1512</v>
      </c>
      <c r="C603" t="s">
        <v>1513</v>
      </c>
      <c r="D603" t="s">
        <v>1513</v>
      </c>
      <c r="E603" s="5">
        <v>46269</v>
      </c>
      <c r="F603" t="s">
        <v>204</v>
      </c>
      <c r="G603" t="s">
        <v>205</v>
      </c>
      <c r="H603">
        <v>1799</v>
      </c>
      <c r="I603">
        <v>34.18</v>
      </c>
      <c r="J603">
        <v>6.15</v>
      </c>
      <c r="K603">
        <v>1758.67</v>
      </c>
      <c r="L603" s="5">
        <v>46271</v>
      </c>
      <c r="M603" t="s">
        <v>1336</v>
      </c>
      <c r="N603" t="s">
        <v>207</v>
      </c>
      <c r="O603" t="s">
        <v>1513</v>
      </c>
      <c r="P603" t="s">
        <v>208</v>
      </c>
      <c r="Q603" t="s">
        <v>209</v>
      </c>
    </row>
    <row r="604" spans="1:17" x14ac:dyDescent="0.3">
      <c r="A604" t="s">
        <v>1514</v>
      </c>
      <c r="C604" t="s">
        <v>1515</v>
      </c>
      <c r="D604" t="s">
        <v>1515</v>
      </c>
      <c r="E604" s="5">
        <v>46269</v>
      </c>
      <c r="F604" t="s">
        <v>204</v>
      </c>
      <c r="G604" t="s">
        <v>220</v>
      </c>
      <c r="H604">
        <v>1397</v>
      </c>
      <c r="I604">
        <v>0</v>
      </c>
      <c r="J604">
        <v>0</v>
      </c>
      <c r="K604">
        <v>1397</v>
      </c>
      <c r="L604" s="5">
        <v>46271</v>
      </c>
      <c r="M604" t="s">
        <v>1336</v>
      </c>
      <c r="N604" t="s">
        <v>207</v>
      </c>
      <c r="O604" t="s">
        <v>1515</v>
      </c>
      <c r="P604" t="s">
        <v>208</v>
      </c>
      <c r="Q604" t="s">
        <v>209</v>
      </c>
    </row>
    <row r="605" spans="1:17" x14ac:dyDescent="0.3">
      <c r="A605" t="s">
        <v>1516</v>
      </c>
      <c r="C605" t="s">
        <v>1517</v>
      </c>
      <c r="D605" t="s">
        <v>1517</v>
      </c>
      <c r="E605" s="5">
        <v>46269</v>
      </c>
      <c r="F605" t="s">
        <v>204</v>
      </c>
      <c r="G605" t="s">
        <v>220</v>
      </c>
      <c r="H605">
        <v>4999</v>
      </c>
      <c r="I605">
        <v>15</v>
      </c>
      <c r="J605">
        <v>2.7</v>
      </c>
      <c r="K605">
        <v>4981.3</v>
      </c>
      <c r="L605" s="5">
        <v>46271</v>
      </c>
      <c r="M605" t="s">
        <v>1336</v>
      </c>
      <c r="N605" t="s">
        <v>207</v>
      </c>
      <c r="O605" t="s">
        <v>1517</v>
      </c>
      <c r="P605" t="s">
        <v>208</v>
      </c>
      <c r="Q605" t="s">
        <v>209</v>
      </c>
    </row>
    <row r="606" spans="1:17" x14ac:dyDescent="0.3">
      <c r="A606" t="s">
        <v>1518</v>
      </c>
      <c r="C606" t="s">
        <v>1519</v>
      </c>
      <c r="D606" t="s">
        <v>1520</v>
      </c>
      <c r="E606" s="5">
        <v>46269</v>
      </c>
      <c r="F606" t="s">
        <v>204</v>
      </c>
      <c r="G606" t="s">
        <v>220</v>
      </c>
      <c r="H606">
        <v>798</v>
      </c>
      <c r="I606">
        <v>0</v>
      </c>
      <c r="J606">
        <v>0</v>
      </c>
      <c r="K606">
        <v>798</v>
      </c>
      <c r="L606" s="5">
        <v>46271</v>
      </c>
      <c r="M606" t="s">
        <v>1336</v>
      </c>
      <c r="N606" t="s">
        <v>207</v>
      </c>
      <c r="O606" t="s">
        <v>1520</v>
      </c>
      <c r="P606" t="s">
        <v>208</v>
      </c>
      <c r="Q606" t="s">
        <v>209</v>
      </c>
    </row>
    <row r="607" spans="1:17" x14ac:dyDescent="0.3">
      <c r="A607" t="s">
        <v>1521</v>
      </c>
      <c r="C607" t="s">
        <v>1522</v>
      </c>
      <c r="D607" t="s">
        <v>1522</v>
      </c>
      <c r="E607" s="5">
        <v>46269</v>
      </c>
      <c r="F607" t="s">
        <v>204</v>
      </c>
      <c r="G607" t="s">
        <v>213</v>
      </c>
      <c r="H607">
        <v>3499</v>
      </c>
      <c r="I607">
        <v>55.98</v>
      </c>
      <c r="J607">
        <v>10.08</v>
      </c>
      <c r="K607">
        <v>3432.94</v>
      </c>
      <c r="L607" s="5">
        <v>46271</v>
      </c>
      <c r="M607" t="s">
        <v>1336</v>
      </c>
      <c r="N607" t="s">
        <v>207</v>
      </c>
      <c r="O607" t="s">
        <v>1522</v>
      </c>
      <c r="P607" t="s">
        <v>208</v>
      </c>
      <c r="Q607" t="s">
        <v>209</v>
      </c>
    </row>
    <row r="608" spans="1:17" x14ac:dyDescent="0.3">
      <c r="A608" t="s">
        <v>1523</v>
      </c>
      <c r="C608" t="s">
        <v>1524</v>
      </c>
      <c r="D608" t="s">
        <v>1524</v>
      </c>
      <c r="E608" s="5">
        <v>46269</v>
      </c>
      <c r="F608" t="s">
        <v>204</v>
      </c>
      <c r="G608" t="s">
        <v>213</v>
      </c>
      <c r="H608">
        <v>799</v>
      </c>
      <c r="I608">
        <v>14.38</v>
      </c>
      <c r="J608">
        <v>2.59</v>
      </c>
      <c r="K608">
        <v>782.03</v>
      </c>
      <c r="L608" s="5">
        <v>46271</v>
      </c>
      <c r="M608" t="s">
        <v>1336</v>
      </c>
      <c r="N608" t="s">
        <v>207</v>
      </c>
      <c r="O608" t="s">
        <v>1524</v>
      </c>
      <c r="P608" t="s">
        <v>208</v>
      </c>
      <c r="Q608" t="s">
        <v>209</v>
      </c>
    </row>
    <row r="609" spans="1:17" x14ac:dyDescent="0.3">
      <c r="A609" t="s">
        <v>1525</v>
      </c>
      <c r="C609" t="s">
        <v>1526</v>
      </c>
      <c r="D609" t="s">
        <v>1526</v>
      </c>
      <c r="E609" s="5">
        <v>46269</v>
      </c>
      <c r="F609" t="s">
        <v>204</v>
      </c>
      <c r="G609" t="s">
        <v>220</v>
      </c>
      <c r="H609">
        <v>2499</v>
      </c>
      <c r="I609">
        <v>7.5</v>
      </c>
      <c r="J609">
        <v>1.35</v>
      </c>
      <c r="K609">
        <v>2490.15</v>
      </c>
      <c r="L609" s="5">
        <v>46271</v>
      </c>
      <c r="M609" t="s">
        <v>1336</v>
      </c>
      <c r="N609" t="s">
        <v>207</v>
      </c>
      <c r="O609" t="s">
        <v>1526</v>
      </c>
      <c r="P609" t="s">
        <v>208</v>
      </c>
      <c r="Q609" t="s">
        <v>209</v>
      </c>
    </row>
    <row r="610" spans="1:17" x14ac:dyDescent="0.3">
      <c r="A610" t="s">
        <v>1527</v>
      </c>
      <c r="C610" t="s">
        <v>1528</v>
      </c>
      <c r="D610" t="s">
        <v>1529</v>
      </c>
      <c r="E610" s="5">
        <v>46269</v>
      </c>
      <c r="F610" t="s">
        <v>204</v>
      </c>
      <c r="G610" t="s">
        <v>220</v>
      </c>
      <c r="H610">
        <v>1799</v>
      </c>
      <c r="I610">
        <v>5.4</v>
      </c>
      <c r="J610">
        <v>0.97</v>
      </c>
      <c r="K610">
        <v>1792.63</v>
      </c>
      <c r="L610" s="5">
        <v>46271</v>
      </c>
      <c r="M610" t="s">
        <v>1336</v>
      </c>
      <c r="N610" t="s">
        <v>207</v>
      </c>
      <c r="O610" t="s">
        <v>1529</v>
      </c>
      <c r="P610" t="s">
        <v>208</v>
      </c>
      <c r="Q610" t="s">
        <v>209</v>
      </c>
    </row>
    <row r="611" spans="1:17" x14ac:dyDescent="0.3">
      <c r="A611" t="s">
        <v>1530</v>
      </c>
      <c r="C611" t="s">
        <v>1531</v>
      </c>
      <c r="D611" t="s">
        <v>1531</v>
      </c>
      <c r="E611" s="5">
        <v>46269</v>
      </c>
      <c r="F611" t="s">
        <v>204</v>
      </c>
      <c r="G611" t="s">
        <v>220</v>
      </c>
      <c r="H611">
        <v>299</v>
      </c>
      <c r="I611">
        <v>0</v>
      </c>
      <c r="J611">
        <v>0</v>
      </c>
      <c r="K611">
        <v>299</v>
      </c>
      <c r="L611" s="5">
        <v>46271</v>
      </c>
      <c r="M611" t="s">
        <v>1336</v>
      </c>
      <c r="N611" t="s">
        <v>207</v>
      </c>
      <c r="O611" t="s">
        <v>1531</v>
      </c>
      <c r="P611" t="s">
        <v>208</v>
      </c>
      <c r="Q611" t="s">
        <v>209</v>
      </c>
    </row>
    <row r="612" spans="1:17" x14ac:dyDescent="0.3">
      <c r="A612" t="s">
        <v>1532</v>
      </c>
      <c r="C612" t="s">
        <v>1533</v>
      </c>
      <c r="D612" t="s">
        <v>1534</v>
      </c>
      <c r="E612" s="5">
        <v>46269</v>
      </c>
      <c r="F612" t="s">
        <v>204</v>
      </c>
      <c r="G612" t="s">
        <v>205</v>
      </c>
      <c r="H612">
        <v>599</v>
      </c>
      <c r="I612">
        <v>11.38</v>
      </c>
      <c r="J612">
        <v>2.0499999999999998</v>
      </c>
      <c r="K612">
        <v>585.57000000000005</v>
      </c>
      <c r="L612" s="5">
        <v>46271</v>
      </c>
      <c r="M612" t="s">
        <v>1336</v>
      </c>
      <c r="N612" t="s">
        <v>207</v>
      </c>
      <c r="O612" t="s">
        <v>1534</v>
      </c>
      <c r="P612" t="s">
        <v>208</v>
      </c>
      <c r="Q612" t="s">
        <v>209</v>
      </c>
    </row>
    <row r="613" spans="1:17" x14ac:dyDescent="0.3">
      <c r="A613" t="s">
        <v>1535</v>
      </c>
      <c r="C613" t="s">
        <v>1536</v>
      </c>
      <c r="D613" t="s">
        <v>1536</v>
      </c>
      <c r="E613" s="5">
        <v>46269</v>
      </c>
      <c r="F613" t="s">
        <v>204</v>
      </c>
      <c r="G613" t="s">
        <v>220</v>
      </c>
      <c r="H613">
        <v>1299</v>
      </c>
      <c r="I613">
        <v>0</v>
      </c>
      <c r="J613">
        <v>0</v>
      </c>
      <c r="K613">
        <v>1299</v>
      </c>
      <c r="L613" s="5">
        <v>46271</v>
      </c>
      <c r="M613" t="s">
        <v>1336</v>
      </c>
      <c r="N613" t="s">
        <v>207</v>
      </c>
      <c r="O613" t="s">
        <v>1536</v>
      </c>
      <c r="P613" t="s">
        <v>208</v>
      </c>
      <c r="Q613" t="s">
        <v>209</v>
      </c>
    </row>
    <row r="614" spans="1:17" x14ac:dyDescent="0.3">
      <c r="A614" t="s">
        <v>1537</v>
      </c>
      <c r="C614" t="s">
        <v>1538</v>
      </c>
      <c r="D614" t="s">
        <v>1538</v>
      </c>
      <c r="E614" s="5">
        <v>46269</v>
      </c>
      <c r="F614" t="s">
        <v>204</v>
      </c>
      <c r="G614" t="s">
        <v>213</v>
      </c>
      <c r="H614">
        <v>1499</v>
      </c>
      <c r="I614">
        <v>26.98</v>
      </c>
      <c r="J614">
        <v>4.8600000000000003</v>
      </c>
      <c r="K614">
        <v>1467.16</v>
      </c>
      <c r="L614" s="5">
        <v>46271</v>
      </c>
      <c r="M614" t="s">
        <v>1336</v>
      </c>
      <c r="N614" t="s">
        <v>207</v>
      </c>
      <c r="O614" t="s">
        <v>1538</v>
      </c>
      <c r="P614" t="s">
        <v>208</v>
      </c>
      <c r="Q614" t="s">
        <v>209</v>
      </c>
    </row>
    <row r="615" spans="1:17" x14ac:dyDescent="0.3">
      <c r="A615" t="s">
        <v>1539</v>
      </c>
      <c r="C615" t="s">
        <v>1540</v>
      </c>
      <c r="D615" t="s">
        <v>1540</v>
      </c>
      <c r="E615" s="5">
        <v>46269</v>
      </c>
      <c r="F615" t="s">
        <v>204</v>
      </c>
      <c r="G615" t="s">
        <v>205</v>
      </c>
      <c r="H615">
        <v>499</v>
      </c>
      <c r="I615">
        <v>9.48</v>
      </c>
      <c r="J615">
        <v>1.71</v>
      </c>
      <c r="K615">
        <v>487.81</v>
      </c>
      <c r="L615" s="5">
        <v>46271</v>
      </c>
      <c r="M615" t="s">
        <v>1336</v>
      </c>
      <c r="N615" t="s">
        <v>207</v>
      </c>
      <c r="O615" t="s">
        <v>1540</v>
      </c>
      <c r="P615" t="s">
        <v>208</v>
      </c>
      <c r="Q615" t="s">
        <v>209</v>
      </c>
    </row>
    <row r="616" spans="1:17" x14ac:dyDescent="0.3">
      <c r="A616" t="s">
        <v>1541</v>
      </c>
      <c r="C616" t="s">
        <v>1542</v>
      </c>
      <c r="D616" t="s">
        <v>1542</v>
      </c>
      <c r="E616" s="5">
        <v>46269</v>
      </c>
      <c r="F616" t="s">
        <v>204</v>
      </c>
      <c r="G616" t="s">
        <v>220</v>
      </c>
      <c r="H616">
        <v>648</v>
      </c>
      <c r="I616">
        <v>0</v>
      </c>
      <c r="J616">
        <v>0</v>
      </c>
      <c r="K616">
        <v>648</v>
      </c>
      <c r="L616" s="5">
        <v>46271</v>
      </c>
      <c r="M616" t="s">
        <v>1336</v>
      </c>
      <c r="N616" t="s">
        <v>207</v>
      </c>
      <c r="O616" t="s">
        <v>1542</v>
      </c>
      <c r="P616" t="s">
        <v>208</v>
      </c>
      <c r="Q616" t="s">
        <v>209</v>
      </c>
    </row>
    <row r="617" spans="1:17" x14ac:dyDescent="0.3">
      <c r="A617" t="s">
        <v>1543</v>
      </c>
      <c r="C617" t="s">
        <v>1544</v>
      </c>
      <c r="D617" t="s">
        <v>1544</v>
      </c>
      <c r="E617" s="5">
        <v>46269</v>
      </c>
      <c r="F617" t="s">
        <v>204</v>
      </c>
      <c r="G617" t="s">
        <v>205</v>
      </c>
      <c r="H617">
        <v>1998</v>
      </c>
      <c r="I617">
        <v>37.96</v>
      </c>
      <c r="J617">
        <v>6.83</v>
      </c>
      <c r="K617">
        <v>1953.21</v>
      </c>
      <c r="L617" s="5">
        <v>46271</v>
      </c>
      <c r="M617" t="s">
        <v>1336</v>
      </c>
      <c r="N617" t="s">
        <v>207</v>
      </c>
      <c r="O617" t="s">
        <v>1544</v>
      </c>
      <c r="P617" t="s">
        <v>208</v>
      </c>
      <c r="Q617" t="s">
        <v>209</v>
      </c>
    </row>
    <row r="618" spans="1:17" x14ac:dyDescent="0.3">
      <c r="A618" t="s">
        <v>1545</v>
      </c>
      <c r="C618" t="s">
        <v>1546</v>
      </c>
      <c r="D618" t="s">
        <v>1546</v>
      </c>
      <c r="E618" s="5">
        <v>46269</v>
      </c>
      <c r="F618" t="s">
        <v>204</v>
      </c>
      <c r="G618" t="s">
        <v>220</v>
      </c>
      <c r="H618">
        <v>1798</v>
      </c>
      <c r="I618">
        <v>0</v>
      </c>
      <c r="J618">
        <v>0</v>
      </c>
      <c r="K618">
        <v>1798</v>
      </c>
      <c r="L618" s="5">
        <v>46271</v>
      </c>
      <c r="M618" t="s">
        <v>1336</v>
      </c>
      <c r="N618" t="s">
        <v>207</v>
      </c>
      <c r="O618" t="s">
        <v>1546</v>
      </c>
      <c r="P618" t="s">
        <v>208</v>
      </c>
      <c r="Q618" t="s">
        <v>209</v>
      </c>
    </row>
    <row r="619" spans="1:17" x14ac:dyDescent="0.3">
      <c r="A619" t="s">
        <v>1547</v>
      </c>
      <c r="C619" t="s">
        <v>1548</v>
      </c>
      <c r="D619" t="s">
        <v>1548</v>
      </c>
      <c r="E619" s="5">
        <v>46269</v>
      </c>
      <c r="F619" t="s">
        <v>204</v>
      </c>
      <c r="G619" t="s">
        <v>213</v>
      </c>
      <c r="H619">
        <v>2447</v>
      </c>
      <c r="I619">
        <v>39.15</v>
      </c>
      <c r="J619">
        <v>7.05</v>
      </c>
      <c r="K619">
        <v>2400.8000000000002</v>
      </c>
      <c r="L619" s="5">
        <v>46271</v>
      </c>
      <c r="M619" t="s">
        <v>1336</v>
      </c>
      <c r="N619" t="s">
        <v>207</v>
      </c>
      <c r="O619" t="s">
        <v>1548</v>
      </c>
      <c r="P619" t="s">
        <v>208</v>
      </c>
      <c r="Q619" t="s">
        <v>209</v>
      </c>
    </row>
    <row r="620" spans="1:17" x14ac:dyDescent="0.3">
      <c r="A620" t="s">
        <v>1549</v>
      </c>
      <c r="C620" t="s">
        <v>1550</v>
      </c>
      <c r="D620" t="s">
        <v>1550</v>
      </c>
      <c r="E620" s="5">
        <v>46269</v>
      </c>
      <c r="F620" t="s">
        <v>204</v>
      </c>
      <c r="G620" t="s">
        <v>220</v>
      </c>
      <c r="H620">
        <v>299</v>
      </c>
      <c r="I620">
        <v>0</v>
      </c>
      <c r="J620">
        <v>0</v>
      </c>
      <c r="K620">
        <v>299</v>
      </c>
      <c r="L620" s="5">
        <v>46271</v>
      </c>
      <c r="M620" t="s">
        <v>1336</v>
      </c>
      <c r="N620" t="s">
        <v>207</v>
      </c>
      <c r="O620" t="s">
        <v>1550</v>
      </c>
      <c r="P620" t="s">
        <v>208</v>
      </c>
      <c r="Q620" t="s">
        <v>209</v>
      </c>
    </row>
    <row r="621" spans="1:17" x14ac:dyDescent="0.3">
      <c r="A621" t="s">
        <v>1551</v>
      </c>
      <c r="C621" t="s">
        <v>1552</v>
      </c>
      <c r="D621" t="s">
        <v>1552</v>
      </c>
      <c r="E621" s="5">
        <v>46269</v>
      </c>
      <c r="F621" t="s">
        <v>204</v>
      </c>
      <c r="G621" t="s">
        <v>220</v>
      </c>
      <c r="H621">
        <v>349</v>
      </c>
      <c r="I621">
        <v>0</v>
      </c>
      <c r="J621">
        <v>0</v>
      </c>
      <c r="K621">
        <v>349</v>
      </c>
      <c r="L621" s="5">
        <v>46271</v>
      </c>
      <c r="M621" t="s">
        <v>1336</v>
      </c>
      <c r="N621" t="s">
        <v>207</v>
      </c>
      <c r="O621" t="s">
        <v>1552</v>
      </c>
      <c r="P621" t="s">
        <v>208</v>
      </c>
      <c r="Q621" t="s">
        <v>209</v>
      </c>
    </row>
    <row r="622" spans="1:17" x14ac:dyDescent="0.3">
      <c r="A622" t="s">
        <v>1553</v>
      </c>
      <c r="C622" t="s">
        <v>1554</v>
      </c>
      <c r="D622" t="s">
        <v>1554</v>
      </c>
      <c r="E622" s="5">
        <v>46269</v>
      </c>
      <c r="F622" t="s">
        <v>204</v>
      </c>
      <c r="G622" t="s">
        <v>220</v>
      </c>
      <c r="H622">
        <v>499</v>
      </c>
      <c r="I622">
        <v>0</v>
      </c>
      <c r="J622">
        <v>0</v>
      </c>
      <c r="K622">
        <v>499</v>
      </c>
      <c r="L622" s="5">
        <v>46271</v>
      </c>
      <c r="M622" t="s">
        <v>1336</v>
      </c>
      <c r="N622" t="s">
        <v>207</v>
      </c>
      <c r="O622" t="s">
        <v>1554</v>
      </c>
      <c r="P622" t="s">
        <v>208</v>
      </c>
      <c r="Q622" t="s">
        <v>209</v>
      </c>
    </row>
    <row r="623" spans="1:17" x14ac:dyDescent="0.3">
      <c r="A623" t="s">
        <v>1555</v>
      </c>
      <c r="C623" t="s">
        <v>1556</v>
      </c>
      <c r="D623" t="s">
        <v>1556</v>
      </c>
      <c r="E623" s="5">
        <v>46269</v>
      </c>
      <c r="F623" t="s">
        <v>204</v>
      </c>
      <c r="G623" t="s">
        <v>213</v>
      </c>
      <c r="H623">
        <v>2148</v>
      </c>
      <c r="I623">
        <v>34.369999999999997</v>
      </c>
      <c r="J623">
        <v>6.19</v>
      </c>
      <c r="K623">
        <v>2107.44</v>
      </c>
      <c r="L623" s="5">
        <v>46271</v>
      </c>
      <c r="M623" t="s">
        <v>1336</v>
      </c>
      <c r="N623" t="s">
        <v>207</v>
      </c>
      <c r="O623" t="s">
        <v>1556</v>
      </c>
      <c r="P623" t="s">
        <v>208</v>
      </c>
      <c r="Q623" t="s">
        <v>209</v>
      </c>
    </row>
    <row r="624" spans="1:17" x14ac:dyDescent="0.3">
      <c r="A624" t="s">
        <v>1557</v>
      </c>
      <c r="C624" t="s">
        <v>1558</v>
      </c>
      <c r="D624" t="s">
        <v>1558</v>
      </c>
      <c r="E624" s="5">
        <v>46269</v>
      </c>
      <c r="F624" t="s">
        <v>204</v>
      </c>
      <c r="G624" t="s">
        <v>220</v>
      </c>
      <c r="H624">
        <v>999</v>
      </c>
      <c r="I624">
        <v>0</v>
      </c>
      <c r="J624">
        <v>0</v>
      </c>
      <c r="K624">
        <v>999</v>
      </c>
      <c r="L624" s="5">
        <v>46271</v>
      </c>
      <c r="M624" t="s">
        <v>1336</v>
      </c>
      <c r="N624" t="s">
        <v>207</v>
      </c>
      <c r="O624" t="s">
        <v>1558</v>
      </c>
      <c r="P624" t="s">
        <v>208</v>
      </c>
      <c r="Q624" t="s">
        <v>209</v>
      </c>
    </row>
    <row r="625" spans="1:17" x14ac:dyDescent="0.3">
      <c r="A625" t="s">
        <v>1559</v>
      </c>
      <c r="C625" t="s">
        <v>1560</v>
      </c>
      <c r="D625" t="s">
        <v>1560</v>
      </c>
      <c r="E625" s="5">
        <v>46269</v>
      </c>
      <c r="F625" t="s">
        <v>204</v>
      </c>
      <c r="G625" t="s">
        <v>220</v>
      </c>
      <c r="H625">
        <v>10498</v>
      </c>
      <c r="I625">
        <v>31.49</v>
      </c>
      <c r="J625">
        <v>5.67</v>
      </c>
      <c r="K625">
        <v>10460.84</v>
      </c>
      <c r="L625" s="5">
        <v>46271</v>
      </c>
      <c r="M625" t="s">
        <v>1336</v>
      </c>
      <c r="N625" t="s">
        <v>207</v>
      </c>
      <c r="O625" t="s">
        <v>1560</v>
      </c>
      <c r="P625" t="s">
        <v>208</v>
      </c>
      <c r="Q625" t="s">
        <v>209</v>
      </c>
    </row>
    <row r="626" spans="1:17" x14ac:dyDescent="0.3">
      <c r="A626" t="s">
        <v>1561</v>
      </c>
      <c r="C626" t="s">
        <v>1562</v>
      </c>
      <c r="D626" t="s">
        <v>1562</v>
      </c>
      <c r="E626" s="5">
        <v>46269</v>
      </c>
      <c r="F626" t="s">
        <v>204</v>
      </c>
      <c r="G626" t="s">
        <v>205</v>
      </c>
      <c r="H626">
        <v>999</v>
      </c>
      <c r="I626">
        <v>18.98</v>
      </c>
      <c r="J626">
        <v>3.42</v>
      </c>
      <c r="K626">
        <v>976.6</v>
      </c>
      <c r="L626" s="5">
        <v>46271</v>
      </c>
      <c r="M626" t="s">
        <v>1336</v>
      </c>
      <c r="N626" t="s">
        <v>207</v>
      </c>
      <c r="O626" t="s">
        <v>1562</v>
      </c>
      <c r="P626" t="s">
        <v>208</v>
      </c>
      <c r="Q626" t="s">
        <v>209</v>
      </c>
    </row>
    <row r="627" spans="1:17" x14ac:dyDescent="0.3">
      <c r="A627" t="s">
        <v>1563</v>
      </c>
      <c r="C627" t="s">
        <v>1564</v>
      </c>
      <c r="D627" t="s">
        <v>1564</v>
      </c>
      <c r="E627" s="5">
        <v>46269</v>
      </c>
      <c r="F627" t="s">
        <v>204</v>
      </c>
      <c r="G627" t="s">
        <v>220</v>
      </c>
      <c r="H627">
        <v>7498</v>
      </c>
      <c r="I627">
        <v>22.49</v>
      </c>
      <c r="J627">
        <v>4.05</v>
      </c>
      <c r="K627">
        <v>7471.46</v>
      </c>
      <c r="L627" s="5">
        <v>46271</v>
      </c>
      <c r="M627" t="s">
        <v>1336</v>
      </c>
      <c r="N627" t="s">
        <v>207</v>
      </c>
      <c r="O627" t="s">
        <v>1564</v>
      </c>
      <c r="P627" t="s">
        <v>208</v>
      </c>
      <c r="Q627" t="s">
        <v>209</v>
      </c>
    </row>
    <row r="628" spans="1:17" x14ac:dyDescent="0.3">
      <c r="A628" t="s">
        <v>1565</v>
      </c>
      <c r="C628" t="s">
        <v>1566</v>
      </c>
      <c r="D628" t="s">
        <v>1566</v>
      </c>
      <c r="E628" s="5">
        <v>46269</v>
      </c>
      <c r="F628" t="s">
        <v>204</v>
      </c>
      <c r="G628" t="s">
        <v>213</v>
      </c>
      <c r="H628">
        <v>9097</v>
      </c>
      <c r="I628">
        <v>145.55000000000001</v>
      </c>
      <c r="J628">
        <v>26.2</v>
      </c>
      <c r="K628">
        <v>8925.25</v>
      </c>
      <c r="L628" s="5">
        <v>46271</v>
      </c>
      <c r="M628" t="s">
        <v>1336</v>
      </c>
      <c r="N628" t="s">
        <v>207</v>
      </c>
      <c r="O628" t="s">
        <v>1566</v>
      </c>
      <c r="P628" t="s">
        <v>208</v>
      </c>
      <c r="Q628" t="s">
        <v>209</v>
      </c>
    </row>
    <row r="629" spans="1:17" x14ac:dyDescent="0.3">
      <c r="A629" t="s">
        <v>1567</v>
      </c>
      <c r="C629" t="s">
        <v>1568</v>
      </c>
      <c r="D629" t="s">
        <v>1568</v>
      </c>
      <c r="E629" s="5">
        <v>46269</v>
      </c>
      <c r="F629" t="s">
        <v>204</v>
      </c>
      <c r="G629" t="s">
        <v>213</v>
      </c>
      <c r="H629">
        <v>349</v>
      </c>
      <c r="I629">
        <v>6.28</v>
      </c>
      <c r="J629">
        <v>1.1299999999999999</v>
      </c>
      <c r="K629">
        <v>341.59</v>
      </c>
      <c r="L629" s="5">
        <v>46271</v>
      </c>
      <c r="M629" t="s">
        <v>1336</v>
      </c>
      <c r="N629" t="s">
        <v>207</v>
      </c>
      <c r="O629" t="s">
        <v>1568</v>
      </c>
      <c r="P629" t="s">
        <v>208</v>
      </c>
      <c r="Q629" t="s">
        <v>209</v>
      </c>
    </row>
    <row r="630" spans="1:17" x14ac:dyDescent="0.3">
      <c r="A630" t="s">
        <v>1569</v>
      </c>
      <c r="C630" t="s">
        <v>1570</v>
      </c>
      <c r="D630" t="s">
        <v>1570</v>
      </c>
      <c r="E630" s="5">
        <v>46269</v>
      </c>
      <c r="F630" t="s">
        <v>204</v>
      </c>
      <c r="G630" t="s">
        <v>220</v>
      </c>
      <c r="H630">
        <v>4999</v>
      </c>
      <c r="I630">
        <v>15</v>
      </c>
      <c r="J630">
        <v>2.7</v>
      </c>
      <c r="K630">
        <v>4981.3</v>
      </c>
      <c r="L630" s="5">
        <v>46271</v>
      </c>
      <c r="M630" t="s">
        <v>1336</v>
      </c>
      <c r="N630" t="s">
        <v>207</v>
      </c>
      <c r="O630" t="s">
        <v>1570</v>
      </c>
      <c r="P630" t="s">
        <v>208</v>
      </c>
      <c r="Q630" t="s">
        <v>209</v>
      </c>
    </row>
    <row r="631" spans="1:17" x14ac:dyDescent="0.3">
      <c r="A631" t="s">
        <v>1571</v>
      </c>
      <c r="C631" t="s">
        <v>1572</v>
      </c>
      <c r="D631" t="s">
        <v>1572</v>
      </c>
      <c r="E631" s="5">
        <v>46269</v>
      </c>
      <c r="F631" t="s">
        <v>204</v>
      </c>
      <c r="G631" t="s">
        <v>220</v>
      </c>
      <c r="H631">
        <v>6597</v>
      </c>
      <c r="I631">
        <v>19.79</v>
      </c>
      <c r="J631">
        <v>3.56</v>
      </c>
      <c r="K631">
        <v>6573.65</v>
      </c>
      <c r="L631" s="5">
        <v>46271</v>
      </c>
      <c r="M631" t="s">
        <v>1336</v>
      </c>
      <c r="N631" t="s">
        <v>207</v>
      </c>
      <c r="O631" t="s">
        <v>1572</v>
      </c>
      <c r="P631" t="s">
        <v>208</v>
      </c>
      <c r="Q631" t="s">
        <v>209</v>
      </c>
    </row>
    <row r="632" spans="1:17" x14ac:dyDescent="0.3">
      <c r="A632" t="s">
        <v>1573</v>
      </c>
      <c r="C632" t="s">
        <v>1574</v>
      </c>
      <c r="D632" t="s">
        <v>1575</v>
      </c>
      <c r="E632" s="5">
        <v>46269</v>
      </c>
      <c r="F632" t="s">
        <v>204</v>
      </c>
      <c r="G632" t="s">
        <v>220</v>
      </c>
      <c r="H632">
        <v>7999</v>
      </c>
      <c r="I632">
        <v>24</v>
      </c>
      <c r="J632">
        <v>4.32</v>
      </c>
      <c r="K632">
        <v>7970.68</v>
      </c>
      <c r="L632" s="5">
        <v>46271</v>
      </c>
      <c r="M632" t="s">
        <v>1336</v>
      </c>
      <c r="N632" t="s">
        <v>207</v>
      </c>
      <c r="O632" t="s">
        <v>1575</v>
      </c>
      <c r="P632" t="s">
        <v>208</v>
      </c>
      <c r="Q632" t="s">
        <v>209</v>
      </c>
    </row>
    <row r="633" spans="1:17" x14ac:dyDescent="0.3">
      <c r="A633" t="s">
        <v>1576</v>
      </c>
      <c r="C633" t="s">
        <v>1577</v>
      </c>
      <c r="D633" t="s">
        <v>1577</v>
      </c>
      <c r="E633" s="5">
        <v>46269</v>
      </c>
      <c r="F633" t="s">
        <v>204</v>
      </c>
      <c r="G633" t="s">
        <v>205</v>
      </c>
      <c r="H633">
        <v>4999</v>
      </c>
      <c r="I633">
        <v>84.98</v>
      </c>
      <c r="J633">
        <v>15.3</v>
      </c>
      <c r="K633">
        <v>4898.72</v>
      </c>
      <c r="L633" s="5">
        <v>46271</v>
      </c>
      <c r="M633" t="s">
        <v>1336</v>
      </c>
      <c r="N633" t="s">
        <v>207</v>
      </c>
      <c r="O633" t="s">
        <v>1577</v>
      </c>
      <c r="P633" t="s">
        <v>208</v>
      </c>
      <c r="Q633" t="s">
        <v>209</v>
      </c>
    </row>
    <row r="634" spans="1:17" x14ac:dyDescent="0.3">
      <c r="A634" t="s">
        <v>1578</v>
      </c>
      <c r="C634" t="s">
        <v>1579</v>
      </c>
      <c r="D634" t="s">
        <v>1580</v>
      </c>
      <c r="E634" s="5">
        <v>46269</v>
      </c>
      <c r="F634" t="s">
        <v>204</v>
      </c>
      <c r="G634" t="s">
        <v>205</v>
      </c>
      <c r="H634">
        <v>1798</v>
      </c>
      <c r="I634">
        <v>34.159999999999997</v>
      </c>
      <c r="J634">
        <v>6.15</v>
      </c>
      <c r="K634">
        <v>1757.69</v>
      </c>
      <c r="L634" s="5">
        <v>46271</v>
      </c>
      <c r="M634" t="s">
        <v>1336</v>
      </c>
      <c r="N634" t="s">
        <v>207</v>
      </c>
      <c r="O634" t="s">
        <v>1580</v>
      </c>
      <c r="P634" t="s">
        <v>208</v>
      </c>
      <c r="Q634" t="s">
        <v>209</v>
      </c>
    </row>
    <row r="635" spans="1:17" x14ac:dyDescent="0.3">
      <c r="A635" t="s">
        <v>1581</v>
      </c>
      <c r="C635" t="s">
        <v>1582</v>
      </c>
      <c r="D635" t="s">
        <v>1582</v>
      </c>
      <c r="E635" s="5">
        <v>46269</v>
      </c>
      <c r="F635" t="s">
        <v>204</v>
      </c>
      <c r="G635" t="s">
        <v>220</v>
      </c>
      <c r="H635">
        <v>1299</v>
      </c>
      <c r="I635">
        <v>0</v>
      </c>
      <c r="J635">
        <v>0</v>
      </c>
      <c r="K635">
        <v>1299</v>
      </c>
      <c r="L635" s="5">
        <v>46271</v>
      </c>
      <c r="M635" t="s">
        <v>1336</v>
      </c>
      <c r="N635" t="s">
        <v>207</v>
      </c>
      <c r="O635" t="s">
        <v>1582</v>
      </c>
      <c r="P635" t="s">
        <v>208</v>
      </c>
      <c r="Q635" t="s">
        <v>209</v>
      </c>
    </row>
    <row r="636" spans="1:17" x14ac:dyDescent="0.3">
      <c r="A636" t="s">
        <v>1583</v>
      </c>
      <c r="C636" t="s">
        <v>1584</v>
      </c>
      <c r="D636" t="s">
        <v>1585</v>
      </c>
      <c r="E636" s="5">
        <v>46269</v>
      </c>
      <c r="F636" t="s">
        <v>204</v>
      </c>
      <c r="G636" t="s">
        <v>205</v>
      </c>
      <c r="H636">
        <v>4298</v>
      </c>
      <c r="I636">
        <v>73.069999999999993</v>
      </c>
      <c r="J636">
        <v>13.15</v>
      </c>
      <c r="K636">
        <v>4211.78</v>
      </c>
      <c r="L636" s="5">
        <v>46271</v>
      </c>
      <c r="M636" t="s">
        <v>1336</v>
      </c>
      <c r="N636" t="s">
        <v>207</v>
      </c>
      <c r="O636" t="s">
        <v>1585</v>
      </c>
      <c r="P636" t="s">
        <v>208</v>
      </c>
      <c r="Q636" t="s">
        <v>209</v>
      </c>
    </row>
    <row r="637" spans="1:17" x14ac:dyDescent="0.3">
      <c r="A637" t="s">
        <v>1586</v>
      </c>
      <c r="C637" t="s">
        <v>1587</v>
      </c>
      <c r="D637" t="s">
        <v>1587</v>
      </c>
      <c r="E637" s="5">
        <v>46269</v>
      </c>
      <c r="F637" t="s">
        <v>204</v>
      </c>
      <c r="G637" t="s">
        <v>213</v>
      </c>
      <c r="H637">
        <v>3998</v>
      </c>
      <c r="I637">
        <v>63.97</v>
      </c>
      <c r="J637">
        <v>11.51</v>
      </c>
      <c r="K637">
        <v>3922.52</v>
      </c>
      <c r="L637" s="5">
        <v>46271</v>
      </c>
      <c r="M637" t="s">
        <v>1336</v>
      </c>
      <c r="N637" t="s">
        <v>207</v>
      </c>
      <c r="O637" t="s">
        <v>1587</v>
      </c>
      <c r="P637" t="s">
        <v>208</v>
      </c>
      <c r="Q637" t="s">
        <v>209</v>
      </c>
    </row>
    <row r="638" spans="1:17" x14ac:dyDescent="0.3">
      <c r="A638" t="s">
        <v>1588</v>
      </c>
      <c r="C638" t="s">
        <v>1589</v>
      </c>
      <c r="D638" t="s">
        <v>1589</v>
      </c>
      <c r="E638" s="5">
        <v>46269</v>
      </c>
      <c r="F638" t="s">
        <v>204</v>
      </c>
      <c r="G638" t="s">
        <v>220</v>
      </c>
      <c r="H638">
        <v>799</v>
      </c>
      <c r="I638">
        <v>0</v>
      </c>
      <c r="J638">
        <v>0</v>
      </c>
      <c r="K638">
        <v>799</v>
      </c>
      <c r="L638" s="5">
        <v>46271</v>
      </c>
      <c r="M638" t="s">
        <v>1336</v>
      </c>
      <c r="N638" t="s">
        <v>207</v>
      </c>
      <c r="O638" t="s">
        <v>1589</v>
      </c>
      <c r="P638" t="s">
        <v>208</v>
      </c>
      <c r="Q638" t="s">
        <v>209</v>
      </c>
    </row>
    <row r="639" spans="1:17" x14ac:dyDescent="0.3">
      <c r="A639" t="s">
        <v>1590</v>
      </c>
      <c r="C639" t="s">
        <v>1591</v>
      </c>
      <c r="D639" t="s">
        <v>1592</v>
      </c>
      <c r="E639" s="5">
        <v>46269</v>
      </c>
      <c r="F639" t="s">
        <v>204</v>
      </c>
      <c r="G639" t="s">
        <v>255</v>
      </c>
      <c r="H639">
        <v>4298</v>
      </c>
      <c r="I639">
        <v>51.58</v>
      </c>
      <c r="J639">
        <v>9.2799999999999994</v>
      </c>
      <c r="K639">
        <v>4237.1400000000003</v>
      </c>
      <c r="L639" s="5">
        <v>46271</v>
      </c>
      <c r="M639" t="s">
        <v>1336</v>
      </c>
      <c r="N639" t="s">
        <v>207</v>
      </c>
      <c r="O639" t="s">
        <v>1592</v>
      </c>
      <c r="P639" t="s">
        <v>208</v>
      </c>
      <c r="Q639" t="s">
        <v>209</v>
      </c>
    </row>
    <row r="640" spans="1:17" x14ac:dyDescent="0.3">
      <c r="A640" t="s">
        <v>1593</v>
      </c>
      <c r="C640" t="s">
        <v>1594</v>
      </c>
      <c r="D640" t="s">
        <v>1594</v>
      </c>
      <c r="E640" s="5">
        <v>46269</v>
      </c>
      <c r="F640" t="s">
        <v>204</v>
      </c>
      <c r="G640" t="s">
        <v>213</v>
      </c>
      <c r="H640">
        <v>9147</v>
      </c>
      <c r="I640">
        <v>146.35</v>
      </c>
      <c r="J640">
        <v>26.34</v>
      </c>
      <c r="K640">
        <v>8974.31</v>
      </c>
      <c r="L640" s="5">
        <v>46271</v>
      </c>
      <c r="M640" t="s">
        <v>1336</v>
      </c>
      <c r="N640" t="s">
        <v>207</v>
      </c>
      <c r="O640" t="s">
        <v>1594</v>
      </c>
      <c r="P640" t="s">
        <v>208</v>
      </c>
      <c r="Q640" t="s">
        <v>209</v>
      </c>
    </row>
    <row r="641" spans="1:17" x14ac:dyDescent="0.3">
      <c r="A641" t="s">
        <v>1595</v>
      </c>
      <c r="C641" t="s">
        <v>1596</v>
      </c>
      <c r="D641" t="s">
        <v>1596</v>
      </c>
      <c r="E641" s="5">
        <v>46269</v>
      </c>
      <c r="F641" t="s">
        <v>204</v>
      </c>
      <c r="G641" t="s">
        <v>220</v>
      </c>
      <c r="H641">
        <v>799</v>
      </c>
      <c r="I641">
        <v>0</v>
      </c>
      <c r="J641">
        <v>0</v>
      </c>
      <c r="K641">
        <v>799</v>
      </c>
      <c r="L641" s="5">
        <v>46271</v>
      </c>
      <c r="M641" t="s">
        <v>1336</v>
      </c>
      <c r="N641" t="s">
        <v>207</v>
      </c>
      <c r="O641" t="s">
        <v>1596</v>
      </c>
      <c r="P641" t="s">
        <v>208</v>
      </c>
      <c r="Q641" t="s">
        <v>209</v>
      </c>
    </row>
    <row r="642" spans="1:17" x14ac:dyDescent="0.3">
      <c r="A642" t="s">
        <v>1597</v>
      </c>
      <c r="C642" t="s">
        <v>1598</v>
      </c>
      <c r="D642" t="s">
        <v>1598</v>
      </c>
      <c r="E642" s="5">
        <v>46269</v>
      </c>
      <c r="F642" t="s">
        <v>204</v>
      </c>
      <c r="G642" t="s">
        <v>220</v>
      </c>
      <c r="H642">
        <v>6797</v>
      </c>
      <c r="I642">
        <v>20.39</v>
      </c>
      <c r="J642">
        <v>3.67</v>
      </c>
      <c r="K642">
        <v>6772.94</v>
      </c>
      <c r="L642" s="5">
        <v>46271</v>
      </c>
      <c r="M642" t="s">
        <v>1336</v>
      </c>
      <c r="N642" t="s">
        <v>207</v>
      </c>
      <c r="O642" t="s">
        <v>1598</v>
      </c>
      <c r="P642" t="s">
        <v>208</v>
      </c>
      <c r="Q642" t="s">
        <v>209</v>
      </c>
    </row>
    <row r="643" spans="1:17" x14ac:dyDescent="0.3">
      <c r="A643" t="s">
        <v>1599</v>
      </c>
      <c r="C643" t="s">
        <v>1600</v>
      </c>
      <c r="D643" t="s">
        <v>1601</v>
      </c>
      <c r="E643" s="5">
        <v>46269</v>
      </c>
      <c r="F643" t="s">
        <v>204</v>
      </c>
      <c r="G643" t="s">
        <v>220</v>
      </c>
      <c r="H643">
        <v>10997</v>
      </c>
      <c r="I643">
        <v>32.99</v>
      </c>
      <c r="J643">
        <v>5.94</v>
      </c>
      <c r="K643">
        <v>10958.07</v>
      </c>
      <c r="L643" s="5">
        <v>46271</v>
      </c>
      <c r="M643" t="s">
        <v>1336</v>
      </c>
      <c r="N643" t="s">
        <v>207</v>
      </c>
      <c r="O643" t="s">
        <v>1601</v>
      </c>
      <c r="P643" t="s">
        <v>208</v>
      </c>
      <c r="Q643" t="s">
        <v>209</v>
      </c>
    </row>
    <row r="644" spans="1:17" x14ac:dyDescent="0.3">
      <c r="A644" t="s">
        <v>1602</v>
      </c>
      <c r="C644" t="s">
        <v>1603</v>
      </c>
      <c r="D644" t="s">
        <v>1603</v>
      </c>
      <c r="E644" s="5">
        <v>46269</v>
      </c>
      <c r="F644" t="s">
        <v>204</v>
      </c>
      <c r="G644" t="s">
        <v>213</v>
      </c>
      <c r="H644">
        <v>6798</v>
      </c>
      <c r="I644">
        <v>108.77</v>
      </c>
      <c r="J644">
        <v>19.579999999999998</v>
      </c>
      <c r="K644">
        <v>6669.65</v>
      </c>
      <c r="L644" s="5">
        <v>46271</v>
      </c>
      <c r="M644" t="s">
        <v>1336</v>
      </c>
      <c r="N644" t="s">
        <v>207</v>
      </c>
      <c r="O644" t="s">
        <v>1603</v>
      </c>
      <c r="P644" t="s">
        <v>208</v>
      </c>
      <c r="Q644" t="s">
        <v>209</v>
      </c>
    </row>
    <row r="645" spans="1:17" x14ac:dyDescent="0.3">
      <c r="A645" t="s">
        <v>1604</v>
      </c>
      <c r="C645" t="s">
        <v>1605</v>
      </c>
      <c r="D645" t="s">
        <v>1605</v>
      </c>
      <c r="E645" s="5">
        <v>46269</v>
      </c>
      <c r="F645" t="s">
        <v>204</v>
      </c>
      <c r="G645" t="s">
        <v>220</v>
      </c>
      <c r="H645">
        <v>7999</v>
      </c>
      <c r="I645">
        <v>24</v>
      </c>
      <c r="J645">
        <v>4.32</v>
      </c>
      <c r="K645">
        <v>7970.68</v>
      </c>
      <c r="L645" s="5">
        <v>46271</v>
      </c>
      <c r="M645" t="s">
        <v>1336</v>
      </c>
      <c r="N645" t="s">
        <v>207</v>
      </c>
      <c r="O645" t="s">
        <v>1605</v>
      </c>
      <c r="P645" t="s">
        <v>208</v>
      </c>
      <c r="Q645" t="s">
        <v>209</v>
      </c>
    </row>
    <row r="646" spans="1:17" x14ac:dyDescent="0.3">
      <c r="A646" t="s">
        <v>1606</v>
      </c>
      <c r="C646" t="s">
        <v>1607</v>
      </c>
      <c r="D646" t="s">
        <v>1607</v>
      </c>
      <c r="E646" s="5">
        <v>46269</v>
      </c>
      <c r="F646" t="s">
        <v>204</v>
      </c>
      <c r="G646" t="s">
        <v>213</v>
      </c>
      <c r="H646">
        <v>7999</v>
      </c>
      <c r="I646">
        <v>127.98</v>
      </c>
      <c r="J646">
        <v>23.04</v>
      </c>
      <c r="K646">
        <v>7847.98</v>
      </c>
      <c r="L646" s="5">
        <v>46271</v>
      </c>
      <c r="M646" t="s">
        <v>1336</v>
      </c>
      <c r="N646" t="s">
        <v>207</v>
      </c>
      <c r="O646" t="s">
        <v>1607</v>
      </c>
      <c r="P646" t="s">
        <v>208</v>
      </c>
      <c r="Q646" t="s">
        <v>209</v>
      </c>
    </row>
    <row r="647" spans="1:17" x14ac:dyDescent="0.3">
      <c r="A647" t="s">
        <v>1608</v>
      </c>
      <c r="C647" t="s">
        <v>1609</v>
      </c>
      <c r="D647" t="s">
        <v>1609</v>
      </c>
      <c r="E647" s="5">
        <v>46269</v>
      </c>
      <c r="F647" t="s">
        <v>204</v>
      </c>
      <c r="G647" t="s">
        <v>213</v>
      </c>
      <c r="H647">
        <v>4798</v>
      </c>
      <c r="I647">
        <v>76.77</v>
      </c>
      <c r="J647">
        <v>13.82</v>
      </c>
      <c r="K647">
        <v>4707.41</v>
      </c>
      <c r="L647" s="5">
        <v>46271</v>
      </c>
      <c r="M647" t="s">
        <v>1336</v>
      </c>
      <c r="N647" t="s">
        <v>207</v>
      </c>
      <c r="O647" t="s">
        <v>1609</v>
      </c>
      <c r="P647" t="s">
        <v>208</v>
      </c>
      <c r="Q647" t="s">
        <v>209</v>
      </c>
    </row>
    <row r="648" spans="1:17" x14ac:dyDescent="0.3">
      <c r="A648" t="s">
        <v>1610</v>
      </c>
      <c r="C648" t="s">
        <v>1611</v>
      </c>
      <c r="D648" t="s">
        <v>1611</v>
      </c>
      <c r="E648" s="5">
        <v>46269</v>
      </c>
      <c r="F648" t="s">
        <v>204</v>
      </c>
      <c r="G648" t="s">
        <v>255</v>
      </c>
      <c r="H648">
        <v>4999</v>
      </c>
      <c r="I648">
        <v>59.99</v>
      </c>
      <c r="J648">
        <v>10.8</v>
      </c>
      <c r="K648">
        <v>4928.21</v>
      </c>
      <c r="L648" s="5">
        <v>46271</v>
      </c>
      <c r="M648" t="s">
        <v>1336</v>
      </c>
      <c r="N648" t="s">
        <v>207</v>
      </c>
      <c r="O648" t="s">
        <v>1611</v>
      </c>
      <c r="P648" t="s">
        <v>208</v>
      </c>
      <c r="Q648" t="s">
        <v>209</v>
      </c>
    </row>
    <row r="649" spans="1:17" x14ac:dyDescent="0.3">
      <c r="A649" t="s">
        <v>1612</v>
      </c>
      <c r="C649" t="s">
        <v>1613</v>
      </c>
      <c r="D649" t="s">
        <v>1613</v>
      </c>
      <c r="E649" s="5">
        <v>46269</v>
      </c>
      <c r="F649" t="s">
        <v>204</v>
      </c>
      <c r="G649" t="s">
        <v>255</v>
      </c>
      <c r="H649">
        <v>1499</v>
      </c>
      <c r="I649">
        <v>22.49</v>
      </c>
      <c r="J649">
        <v>4.05</v>
      </c>
      <c r="K649">
        <v>1472.46</v>
      </c>
      <c r="L649" s="5">
        <v>46271</v>
      </c>
      <c r="M649" t="s">
        <v>1336</v>
      </c>
      <c r="N649" t="s">
        <v>207</v>
      </c>
      <c r="O649" t="s">
        <v>1613</v>
      </c>
      <c r="P649" t="s">
        <v>208</v>
      </c>
      <c r="Q649" t="s">
        <v>209</v>
      </c>
    </row>
    <row r="650" spans="1:17" x14ac:dyDescent="0.3">
      <c r="A650" t="s">
        <v>1614</v>
      </c>
      <c r="C650" t="s">
        <v>1615</v>
      </c>
      <c r="D650" t="s">
        <v>1615</v>
      </c>
      <c r="E650" s="5">
        <v>46269</v>
      </c>
      <c r="F650" t="s">
        <v>204</v>
      </c>
      <c r="G650" t="s">
        <v>255</v>
      </c>
      <c r="H650">
        <v>8298</v>
      </c>
      <c r="I650">
        <v>99.58</v>
      </c>
      <c r="J650">
        <v>17.920000000000002</v>
      </c>
      <c r="K650">
        <v>8180.5</v>
      </c>
      <c r="L650" s="5">
        <v>46271</v>
      </c>
      <c r="M650" t="s">
        <v>1336</v>
      </c>
      <c r="N650" t="s">
        <v>207</v>
      </c>
      <c r="O650" t="s">
        <v>1615</v>
      </c>
      <c r="P650" t="s">
        <v>208</v>
      </c>
      <c r="Q650" t="s">
        <v>209</v>
      </c>
    </row>
    <row r="651" spans="1:17" x14ac:dyDescent="0.3">
      <c r="A651" t="s">
        <v>1616</v>
      </c>
      <c r="C651" t="s">
        <v>1617</v>
      </c>
      <c r="D651" t="s">
        <v>1617</v>
      </c>
      <c r="E651" s="5">
        <v>46269</v>
      </c>
      <c r="F651" t="s">
        <v>204</v>
      </c>
      <c r="G651" t="s">
        <v>220</v>
      </c>
      <c r="H651">
        <v>9497</v>
      </c>
      <c r="I651">
        <v>28.49</v>
      </c>
      <c r="J651">
        <v>5.13</v>
      </c>
      <c r="K651">
        <v>9463.3799999999992</v>
      </c>
      <c r="L651" s="5">
        <v>46271</v>
      </c>
      <c r="M651" t="s">
        <v>1336</v>
      </c>
      <c r="N651" t="s">
        <v>207</v>
      </c>
      <c r="O651" t="s">
        <v>1617</v>
      </c>
      <c r="P651" t="s">
        <v>208</v>
      </c>
      <c r="Q651" t="s">
        <v>209</v>
      </c>
    </row>
    <row r="652" spans="1:17" x14ac:dyDescent="0.3">
      <c r="A652" t="s">
        <v>1618</v>
      </c>
      <c r="C652" t="s">
        <v>1619</v>
      </c>
      <c r="D652" t="s">
        <v>1619</v>
      </c>
      <c r="E652" s="5">
        <v>46269</v>
      </c>
      <c r="F652" t="s">
        <v>204</v>
      </c>
      <c r="G652" t="s">
        <v>213</v>
      </c>
      <c r="H652">
        <v>999</v>
      </c>
      <c r="I652">
        <v>17.98</v>
      </c>
      <c r="J652">
        <v>3.24</v>
      </c>
      <c r="K652">
        <v>977.78</v>
      </c>
      <c r="L652" s="5">
        <v>46271</v>
      </c>
      <c r="M652" t="s">
        <v>1336</v>
      </c>
      <c r="N652" t="s">
        <v>207</v>
      </c>
      <c r="O652" t="s">
        <v>1619</v>
      </c>
      <c r="P652" t="s">
        <v>208</v>
      </c>
      <c r="Q652" t="s">
        <v>209</v>
      </c>
    </row>
    <row r="653" spans="1:17" x14ac:dyDescent="0.3">
      <c r="A653" t="s">
        <v>1620</v>
      </c>
      <c r="C653" t="s">
        <v>1621</v>
      </c>
      <c r="D653" t="s">
        <v>1622</v>
      </c>
      <c r="E653" s="5">
        <v>46269</v>
      </c>
      <c r="F653" t="s">
        <v>204</v>
      </c>
      <c r="G653" t="s">
        <v>213</v>
      </c>
      <c r="H653">
        <v>4197</v>
      </c>
      <c r="I653">
        <v>67.150000000000006</v>
      </c>
      <c r="J653">
        <v>12.09</v>
      </c>
      <c r="K653">
        <v>4117.76</v>
      </c>
      <c r="L653" s="5">
        <v>46271</v>
      </c>
      <c r="M653" t="s">
        <v>1336</v>
      </c>
      <c r="N653" t="s">
        <v>207</v>
      </c>
      <c r="O653" t="s">
        <v>1622</v>
      </c>
      <c r="P653" t="s">
        <v>208</v>
      </c>
      <c r="Q653" t="s">
        <v>209</v>
      </c>
    </row>
    <row r="654" spans="1:17" x14ac:dyDescent="0.3">
      <c r="A654" t="s">
        <v>1623</v>
      </c>
      <c r="C654" t="s">
        <v>1624</v>
      </c>
      <c r="D654" t="s">
        <v>1624</v>
      </c>
      <c r="E654" s="5">
        <v>46269</v>
      </c>
      <c r="F654" t="s">
        <v>204</v>
      </c>
      <c r="G654" t="s">
        <v>220</v>
      </c>
      <c r="H654">
        <v>3097</v>
      </c>
      <c r="I654">
        <v>9.2899999999999991</v>
      </c>
      <c r="J654">
        <v>1.67</v>
      </c>
      <c r="K654">
        <v>3086.04</v>
      </c>
      <c r="L654" s="5">
        <v>46271</v>
      </c>
      <c r="M654" t="s">
        <v>1336</v>
      </c>
      <c r="N654" t="s">
        <v>207</v>
      </c>
      <c r="O654" t="s">
        <v>1624</v>
      </c>
      <c r="P654" t="s">
        <v>208</v>
      </c>
      <c r="Q654" t="s">
        <v>209</v>
      </c>
    </row>
    <row r="655" spans="1:17" x14ac:dyDescent="0.3">
      <c r="A655" t="s">
        <v>1625</v>
      </c>
      <c r="C655" t="s">
        <v>1626</v>
      </c>
      <c r="D655" t="s">
        <v>1626</v>
      </c>
      <c r="E655" s="5">
        <v>46269</v>
      </c>
      <c r="F655" t="s">
        <v>204</v>
      </c>
      <c r="G655" t="s">
        <v>220</v>
      </c>
      <c r="H655">
        <v>7998</v>
      </c>
      <c r="I655">
        <v>23.99</v>
      </c>
      <c r="J655">
        <v>4.32</v>
      </c>
      <c r="K655">
        <v>7969.69</v>
      </c>
      <c r="L655" s="5">
        <v>46271</v>
      </c>
      <c r="M655" t="s">
        <v>1336</v>
      </c>
      <c r="N655" t="s">
        <v>207</v>
      </c>
      <c r="O655" t="s">
        <v>1626</v>
      </c>
      <c r="P655" t="s">
        <v>208</v>
      </c>
      <c r="Q655" t="s">
        <v>209</v>
      </c>
    </row>
    <row r="656" spans="1:17" x14ac:dyDescent="0.3">
      <c r="A656" t="s">
        <v>1627</v>
      </c>
      <c r="C656" t="s">
        <v>1628</v>
      </c>
      <c r="D656" t="s">
        <v>1629</v>
      </c>
      <c r="E656" s="5">
        <v>46269</v>
      </c>
      <c r="F656" t="s">
        <v>204</v>
      </c>
      <c r="G656" t="s">
        <v>220</v>
      </c>
      <c r="H656">
        <v>799</v>
      </c>
      <c r="I656">
        <v>0</v>
      </c>
      <c r="J656">
        <v>0</v>
      </c>
      <c r="K656">
        <v>799</v>
      </c>
      <c r="L656" s="5">
        <v>46271</v>
      </c>
      <c r="M656" t="s">
        <v>1336</v>
      </c>
      <c r="N656" t="s">
        <v>207</v>
      </c>
      <c r="O656" t="s">
        <v>1629</v>
      </c>
      <c r="P656" t="s">
        <v>208</v>
      </c>
      <c r="Q656" t="s">
        <v>209</v>
      </c>
    </row>
    <row r="657" spans="1:17" x14ac:dyDescent="0.3">
      <c r="A657" t="s">
        <v>1630</v>
      </c>
      <c r="C657" t="s">
        <v>1631</v>
      </c>
      <c r="D657" t="s">
        <v>1632</v>
      </c>
      <c r="E657" s="5">
        <v>46269</v>
      </c>
      <c r="F657" t="s">
        <v>204</v>
      </c>
      <c r="G657" t="s">
        <v>220</v>
      </c>
      <c r="H657">
        <v>7999</v>
      </c>
      <c r="I657">
        <v>24</v>
      </c>
      <c r="J657">
        <v>4.32</v>
      </c>
      <c r="K657">
        <v>7970.68</v>
      </c>
      <c r="L657" s="5">
        <v>46271</v>
      </c>
      <c r="M657" t="s">
        <v>1336</v>
      </c>
      <c r="N657" t="s">
        <v>207</v>
      </c>
      <c r="O657" t="s">
        <v>1632</v>
      </c>
      <c r="P657" t="s">
        <v>208</v>
      </c>
      <c r="Q657" t="s">
        <v>209</v>
      </c>
    </row>
    <row r="658" spans="1:17" x14ac:dyDescent="0.3">
      <c r="A658" t="s">
        <v>1633</v>
      </c>
      <c r="C658" t="s">
        <v>1634</v>
      </c>
      <c r="D658" t="s">
        <v>1634</v>
      </c>
      <c r="E658" s="5">
        <v>46269</v>
      </c>
      <c r="F658" t="s">
        <v>204</v>
      </c>
      <c r="G658" t="s">
        <v>220</v>
      </c>
      <c r="H658">
        <v>599</v>
      </c>
      <c r="I658">
        <v>0</v>
      </c>
      <c r="J658">
        <v>0</v>
      </c>
      <c r="K658">
        <v>599</v>
      </c>
      <c r="L658" s="5">
        <v>46271</v>
      </c>
      <c r="M658" t="s">
        <v>1336</v>
      </c>
      <c r="N658" t="s">
        <v>207</v>
      </c>
      <c r="O658" t="s">
        <v>1634</v>
      </c>
      <c r="P658" t="s">
        <v>208</v>
      </c>
      <c r="Q658" t="s">
        <v>209</v>
      </c>
    </row>
    <row r="659" spans="1:17" x14ac:dyDescent="0.3">
      <c r="A659" t="s">
        <v>1635</v>
      </c>
      <c r="C659" t="s">
        <v>1636</v>
      </c>
      <c r="D659" t="s">
        <v>1636</v>
      </c>
      <c r="E659" s="5">
        <v>46269</v>
      </c>
      <c r="F659" t="s">
        <v>204</v>
      </c>
      <c r="G659" t="s">
        <v>220</v>
      </c>
      <c r="H659">
        <v>6597</v>
      </c>
      <c r="I659">
        <v>19.79</v>
      </c>
      <c r="J659">
        <v>3.56</v>
      </c>
      <c r="K659">
        <v>6573.65</v>
      </c>
      <c r="L659" s="5">
        <v>46271</v>
      </c>
      <c r="M659" t="s">
        <v>1336</v>
      </c>
      <c r="N659" t="s">
        <v>207</v>
      </c>
      <c r="O659" t="s">
        <v>1636</v>
      </c>
      <c r="P659" t="s">
        <v>208</v>
      </c>
      <c r="Q659" t="s">
        <v>209</v>
      </c>
    </row>
    <row r="660" spans="1:17" x14ac:dyDescent="0.3">
      <c r="A660" t="s">
        <v>1637</v>
      </c>
      <c r="C660" t="s">
        <v>1638</v>
      </c>
      <c r="D660" t="s">
        <v>1638</v>
      </c>
      <c r="E660" s="5">
        <v>46269</v>
      </c>
      <c r="F660" t="s">
        <v>204</v>
      </c>
      <c r="G660" t="s">
        <v>220</v>
      </c>
      <c r="H660">
        <v>3397</v>
      </c>
      <c r="I660">
        <v>10.19</v>
      </c>
      <c r="J660">
        <v>1.83</v>
      </c>
      <c r="K660">
        <v>3384.98</v>
      </c>
      <c r="L660" s="5">
        <v>46271</v>
      </c>
      <c r="M660" t="s">
        <v>1336</v>
      </c>
      <c r="N660" t="s">
        <v>207</v>
      </c>
      <c r="O660" t="s">
        <v>1638</v>
      </c>
      <c r="P660" t="s">
        <v>208</v>
      </c>
      <c r="Q660" t="s">
        <v>209</v>
      </c>
    </row>
    <row r="661" spans="1:17" x14ac:dyDescent="0.3">
      <c r="A661" t="s">
        <v>1639</v>
      </c>
      <c r="C661" t="s">
        <v>1640</v>
      </c>
      <c r="D661" t="s">
        <v>1640</v>
      </c>
      <c r="E661" s="5">
        <v>46269</v>
      </c>
      <c r="F661" t="s">
        <v>204</v>
      </c>
      <c r="G661" t="s">
        <v>220</v>
      </c>
      <c r="H661">
        <v>2148</v>
      </c>
      <c r="I661">
        <v>6.44</v>
      </c>
      <c r="J661">
        <v>1.1599999999999999</v>
      </c>
      <c r="K661">
        <v>2140.4</v>
      </c>
      <c r="L661" s="5">
        <v>46271</v>
      </c>
      <c r="M661" t="s">
        <v>1336</v>
      </c>
      <c r="N661" t="s">
        <v>207</v>
      </c>
      <c r="O661" t="s">
        <v>1640</v>
      </c>
      <c r="P661" t="s">
        <v>208</v>
      </c>
      <c r="Q661" t="s">
        <v>209</v>
      </c>
    </row>
    <row r="662" spans="1:17" x14ac:dyDescent="0.3">
      <c r="A662" t="s">
        <v>1641</v>
      </c>
      <c r="C662" t="s">
        <v>1642</v>
      </c>
      <c r="D662" t="s">
        <v>1642</v>
      </c>
      <c r="E662" s="5">
        <v>46269</v>
      </c>
      <c r="F662" t="s">
        <v>204</v>
      </c>
      <c r="G662" t="s">
        <v>220</v>
      </c>
      <c r="H662">
        <v>2798</v>
      </c>
      <c r="I662">
        <v>8.39</v>
      </c>
      <c r="J662">
        <v>1.51</v>
      </c>
      <c r="K662">
        <v>2788.1</v>
      </c>
      <c r="L662" s="5">
        <v>46271</v>
      </c>
      <c r="M662" t="s">
        <v>1336</v>
      </c>
      <c r="N662" t="s">
        <v>207</v>
      </c>
      <c r="O662" t="s">
        <v>1642</v>
      </c>
      <c r="P662" t="s">
        <v>208</v>
      </c>
      <c r="Q662" t="s">
        <v>209</v>
      </c>
    </row>
    <row r="663" spans="1:17" x14ac:dyDescent="0.3">
      <c r="A663" t="s">
        <v>1643</v>
      </c>
      <c r="C663" t="s">
        <v>1644</v>
      </c>
      <c r="D663" t="s">
        <v>1644</v>
      </c>
      <c r="E663" s="5">
        <v>46269</v>
      </c>
      <c r="F663" t="s">
        <v>204</v>
      </c>
      <c r="G663" t="s">
        <v>220</v>
      </c>
      <c r="H663">
        <v>898</v>
      </c>
      <c r="I663">
        <v>0</v>
      </c>
      <c r="J663">
        <v>0</v>
      </c>
      <c r="K663">
        <v>898</v>
      </c>
      <c r="L663" s="5">
        <v>46271</v>
      </c>
      <c r="M663" t="s">
        <v>1336</v>
      </c>
      <c r="N663" t="s">
        <v>207</v>
      </c>
      <c r="O663" t="s">
        <v>1644</v>
      </c>
      <c r="P663" t="s">
        <v>208</v>
      </c>
      <c r="Q663" t="s">
        <v>209</v>
      </c>
    </row>
    <row r="664" spans="1:17" x14ac:dyDescent="0.3">
      <c r="A664" t="s">
        <v>1645</v>
      </c>
      <c r="C664" t="s">
        <v>1646</v>
      </c>
      <c r="D664" t="s">
        <v>1646</v>
      </c>
      <c r="E664" s="5">
        <v>46269</v>
      </c>
      <c r="F664" t="s">
        <v>204</v>
      </c>
      <c r="G664" t="s">
        <v>213</v>
      </c>
      <c r="H664">
        <v>1848</v>
      </c>
      <c r="I664">
        <v>33.26</v>
      </c>
      <c r="J664">
        <v>5.99</v>
      </c>
      <c r="K664">
        <v>1808.75</v>
      </c>
      <c r="L664" s="5">
        <v>46271</v>
      </c>
      <c r="M664" t="s">
        <v>1336</v>
      </c>
      <c r="N664" t="s">
        <v>207</v>
      </c>
      <c r="O664" t="s">
        <v>1646</v>
      </c>
      <c r="P664" t="s">
        <v>208</v>
      </c>
      <c r="Q664" t="s">
        <v>209</v>
      </c>
    </row>
    <row r="665" spans="1:17" x14ac:dyDescent="0.3">
      <c r="A665" t="s">
        <v>1647</v>
      </c>
      <c r="C665" t="s">
        <v>1648</v>
      </c>
      <c r="D665" t="s">
        <v>1648</v>
      </c>
      <c r="E665" s="5">
        <v>46269</v>
      </c>
      <c r="F665" t="s">
        <v>204</v>
      </c>
      <c r="G665" t="s">
        <v>213</v>
      </c>
      <c r="H665">
        <v>299</v>
      </c>
      <c r="I665">
        <v>5.38</v>
      </c>
      <c r="J665">
        <v>0.97</v>
      </c>
      <c r="K665">
        <v>292.64999999999998</v>
      </c>
      <c r="L665" s="5">
        <v>46271</v>
      </c>
      <c r="M665" t="s">
        <v>1336</v>
      </c>
      <c r="N665" t="s">
        <v>207</v>
      </c>
      <c r="O665" t="s">
        <v>1648</v>
      </c>
      <c r="P665" t="s">
        <v>208</v>
      </c>
      <c r="Q665" t="s">
        <v>209</v>
      </c>
    </row>
    <row r="666" spans="1:17" x14ac:dyDescent="0.3">
      <c r="A666" t="s">
        <v>1649</v>
      </c>
      <c r="C666" t="s">
        <v>1650</v>
      </c>
      <c r="D666" t="s">
        <v>1650</v>
      </c>
      <c r="E666" s="5">
        <v>46269</v>
      </c>
      <c r="F666" t="s">
        <v>204</v>
      </c>
      <c r="G666" t="s">
        <v>213</v>
      </c>
      <c r="H666">
        <v>11797</v>
      </c>
      <c r="I666">
        <v>188.75</v>
      </c>
      <c r="J666">
        <v>33.979999999999997</v>
      </c>
      <c r="K666">
        <v>11574.27</v>
      </c>
      <c r="L666" s="5">
        <v>46271</v>
      </c>
      <c r="M666" t="s">
        <v>1336</v>
      </c>
      <c r="N666" t="s">
        <v>207</v>
      </c>
      <c r="O666" t="s">
        <v>1650</v>
      </c>
      <c r="P666" t="s">
        <v>208</v>
      </c>
      <c r="Q666" t="s">
        <v>209</v>
      </c>
    </row>
    <row r="667" spans="1:17" x14ac:dyDescent="0.3">
      <c r="A667" t="s">
        <v>1651</v>
      </c>
      <c r="C667" t="s">
        <v>1652</v>
      </c>
      <c r="D667" t="s">
        <v>1653</v>
      </c>
      <c r="E667" s="5">
        <v>46269</v>
      </c>
      <c r="F667" t="s">
        <v>204</v>
      </c>
      <c r="G667" t="s">
        <v>213</v>
      </c>
      <c r="H667">
        <v>799</v>
      </c>
      <c r="I667">
        <v>14.38</v>
      </c>
      <c r="J667">
        <v>2.59</v>
      </c>
      <c r="K667">
        <v>782.03</v>
      </c>
      <c r="L667" s="5">
        <v>46271</v>
      </c>
      <c r="M667" t="s">
        <v>1336</v>
      </c>
      <c r="N667" t="s">
        <v>207</v>
      </c>
      <c r="O667" t="s">
        <v>1653</v>
      </c>
      <c r="P667" t="s">
        <v>208</v>
      </c>
      <c r="Q667" t="s">
        <v>209</v>
      </c>
    </row>
    <row r="668" spans="1:17" x14ac:dyDescent="0.3">
      <c r="A668" t="s">
        <v>1654</v>
      </c>
      <c r="C668" t="s">
        <v>1655</v>
      </c>
      <c r="D668" t="s">
        <v>1655</v>
      </c>
      <c r="E668" s="5">
        <v>46269</v>
      </c>
      <c r="F668" t="s">
        <v>204</v>
      </c>
      <c r="G668" t="s">
        <v>213</v>
      </c>
      <c r="H668">
        <v>7999</v>
      </c>
      <c r="I668">
        <v>127.98</v>
      </c>
      <c r="J668">
        <v>23.04</v>
      </c>
      <c r="K668">
        <v>7847.98</v>
      </c>
      <c r="L668" s="5">
        <v>46271</v>
      </c>
      <c r="M668" t="s">
        <v>1336</v>
      </c>
      <c r="N668" t="s">
        <v>207</v>
      </c>
      <c r="O668" t="s">
        <v>1655</v>
      </c>
      <c r="P668" t="s">
        <v>208</v>
      </c>
      <c r="Q668" t="s">
        <v>209</v>
      </c>
    </row>
    <row r="669" spans="1:17" x14ac:dyDescent="0.3">
      <c r="A669" t="s">
        <v>1656</v>
      </c>
      <c r="C669" t="s">
        <v>1657</v>
      </c>
      <c r="D669" t="s">
        <v>1658</v>
      </c>
      <c r="E669" s="5">
        <v>46269</v>
      </c>
      <c r="F669" t="s">
        <v>204</v>
      </c>
      <c r="G669" t="s">
        <v>213</v>
      </c>
      <c r="H669">
        <v>1648</v>
      </c>
      <c r="I669">
        <v>29.66</v>
      </c>
      <c r="J669">
        <v>5.34</v>
      </c>
      <c r="K669">
        <v>1613</v>
      </c>
      <c r="L669" s="5">
        <v>46271</v>
      </c>
      <c r="M669" t="s">
        <v>1336</v>
      </c>
      <c r="N669" t="s">
        <v>207</v>
      </c>
      <c r="O669" t="s">
        <v>1658</v>
      </c>
      <c r="P669" t="s">
        <v>208</v>
      </c>
      <c r="Q669" t="s">
        <v>209</v>
      </c>
    </row>
    <row r="670" spans="1:17" x14ac:dyDescent="0.3">
      <c r="A670" t="s">
        <v>1659</v>
      </c>
      <c r="C670" t="s">
        <v>1660</v>
      </c>
      <c r="D670" t="s">
        <v>1660</v>
      </c>
      <c r="E670" s="5">
        <v>46269</v>
      </c>
      <c r="F670" t="s">
        <v>204</v>
      </c>
      <c r="G670" t="s">
        <v>220</v>
      </c>
      <c r="H670">
        <v>4298</v>
      </c>
      <c r="I670">
        <v>12.89</v>
      </c>
      <c r="J670">
        <v>2.3199999999999998</v>
      </c>
      <c r="K670">
        <v>4282.79</v>
      </c>
      <c r="L670" s="5">
        <v>46271</v>
      </c>
      <c r="M670" t="s">
        <v>1336</v>
      </c>
      <c r="N670" t="s">
        <v>207</v>
      </c>
      <c r="O670" t="s">
        <v>1660</v>
      </c>
      <c r="P670" t="s">
        <v>208</v>
      </c>
      <c r="Q670" t="s">
        <v>209</v>
      </c>
    </row>
    <row r="671" spans="1:17" x14ac:dyDescent="0.3">
      <c r="A671" t="s">
        <v>1661</v>
      </c>
      <c r="C671" t="s">
        <v>1662</v>
      </c>
      <c r="D671" t="s">
        <v>1662</v>
      </c>
      <c r="E671" s="5">
        <v>46269</v>
      </c>
      <c r="F671" t="s">
        <v>204</v>
      </c>
      <c r="G671" t="s">
        <v>220</v>
      </c>
      <c r="H671">
        <v>2098</v>
      </c>
      <c r="I671">
        <v>6.29</v>
      </c>
      <c r="J671">
        <v>1.1299999999999999</v>
      </c>
      <c r="K671">
        <v>2090.58</v>
      </c>
      <c r="L671" s="5">
        <v>46271</v>
      </c>
      <c r="M671" t="s">
        <v>1336</v>
      </c>
      <c r="N671" t="s">
        <v>207</v>
      </c>
      <c r="O671" t="s">
        <v>1662</v>
      </c>
      <c r="P671" t="s">
        <v>208</v>
      </c>
      <c r="Q671" t="s">
        <v>209</v>
      </c>
    </row>
    <row r="672" spans="1:17" x14ac:dyDescent="0.3">
      <c r="A672" t="s">
        <v>1663</v>
      </c>
      <c r="C672" t="s">
        <v>1664</v>
      </c>
      <c r="D672" t="s">
        <v>1664</v>
      </c>
      <c r="E672" s="5">
        <v>46269</v>
      </c>
      <c r="F672" t="s">
        <v>204</v>
      </c>
      <c r="G672" t="s">
        <v>205</v>
      </c>
      <c r="H672">
        <v>1499</v>
      </c>
      <c r="I672">
        <v>28.48</v>
      </c>
      <c r="J672">
        <v>5.13</v>
      </c>
      <c r="K672">
        <v>1465.39</v>
      </c>
      <c r="L672" s="5">
        <v>46271</v>
      </c>
      <c r="M672" t="s">
        <v>1336</v>
      </c>
      <c r="N672" t="s">
        <v>207</v>
      </c>
      <c r="O672" t="s">
        <v>1664</v>
      </c>
      <c r="P672" t="s">
        <v>208</v>
      </c>
      <c r="Q672" t="s">
        <v>209</v>
      </c>
    </row>
    <row r="673" spans="1:17" x14ac:dyDescent="0.3">
      <c r="A673" t="s">
        <v>1665</v>
      </c>
      <c r="C673" t="s">
        <v>1666</v>
      </c>
      <c r="D673" t="s">
        <v>1666</v>
      </c>
      <c r="E673" s="5">
        <v>46269</v>
      </c>
      <c r="F673" t="s">
        <v>204</v>
      </c>
      <c r="G673" t="s">
        <v>220</v>
      </c>
      <c r="H673">
        <v>4999</v>
      </c>
      <c r="I673">
        <v>15</v>
      </c>
      <c r="J673">
        <v>2.7</v>
      </c>
      <c r="K673">
        <v>4981.3</v>
      </c>
      <c r="L673" s="5">
        <v>46271</v>
      </c>
      <c r="M673" t="s">
        <v>1336</v>
      </c>
      <c r="N673" t="s">
        <v>207</v>
      </c>
      <c r="O673" t="s">
        <v>1666</v>
      </c>
      <c r="P673" t="s">
        <v>208</v>
      </c>
      <c r="Q673" t="s">
        <v>209</v>
      </c>
    </row>
    <row r="674" spans="1:17" x14ac:dyDescent="0.3">
      <c r="A674" t="s">
        <v>1667</v>
      </c>
      <c r="C674" t="s">
        <v>1668</v>
      </c>
      <c r="D674" t="s">
        <v>1668</v>
      </c>
      <c r="E674" s="5">
        <v>46269</v>
      </c>
      <c r="F674" t="s">
        <v>204</v>
      </c>
      <c r="G674" t="s">
        <v>213</v>
      </c>
      <c r="H674">
        <v>599</v>
      </c>
      <c r="I674">
        <v>10.78</v>
      </c>
      <c r="J674">
        <v>1.94</v>
      </c>
      <c r="K674">
        <v>586.28</v>
      </c>
      <c r="L674" s="5">
        <v>46271</v>
      </c>
      <c r="M674" t="s">
        <v>1336</v>
      </c>
      <c r="N674" t="s">
        <v>207</v>
      </c>
      <c r="O674" t="s">
        <v>1668</v>
      </c>
      <c r="P674" t="s">
        <v>208</v>
      </c>
      <c r="Q674" t="s">
        <v>209</v>
      </c>
    </row>
    <row r="675" spans="1:17" x14ac:dyDescent="0.3">
      <c r="A675" t="s">
        <v>1669</v>
      </c>
      <c r="C675" t="s">
        <v>1670</v>
      </c>
      <c r="D675" t="s">
        <v>1670</v>
      </c>
      <c r="E675" s="5">
        <v>46269</v>
      </c>
      <c r="F675" t="s">
        <v>204</v>
      </c>
      <c r="G675" t="s">
        <v>220</v>
      </c>
      <c r="H675">
        <v>4298</v>
      </c>
      <c r="I675">
        <v>12.89</v>
      </c>
      <c r="J675">
        <v>2.3199999999999998</v>
      </c>
      <c r="K675">
        <v>4282.79</v>
      </c>
      <c r="L675" s="5">
        <v>46271</v>
      </c>
      <c r="M675" t="s">
        <v>1336</v>
      </c>
      <c r="N675" t="s">
        <v>207</v>
      </c>
      <c r="O675" t="s">
        <v>1670</v>
      </c>
      <c r="P675" t="s">
        <v>208</v>
      </c>
      <c r="Q675" t="s">
        <v>209</v>
      </c>
    </row>
    <row r="676" spans="1:17" x14ac:dyDescent="0.3">
      <c r="A676" t="s">
        <v>1671</v>
      </c>
      <c r="C676" t="s">
        <v>1672</v>
      </c>
      <c r="D676" t="s">
        <v>1672</v>
      </c>
      <c r="E676" s="5">
        <v>46269</v>
      </c>
      <c r="F676" t="s">
        <v>204</v>
      </c>
      <c r="G676" t="s">
        <v>213</v>
      </c>
      <c r="H676">
        <v>599</v>
      </c>
      <c r="I676">
        <v>10.78</v>
      </c>
      <c r="J676">
        <v>1.94</v>
      </c>
      <c r="K676">
        <v>586.28</v>
      </c>
      <c r="L676" s="5">
        <v>46271</v>
      </c>
      <c r="M676" t="s">
        <v>1336</v>
      </c>
      <c r="N676" t="s">
        <v>207</v>
      </c>
      <c r="O676" t="s">
        <v>1672</v>
      </c>
      <c r="P676" t="s">
        <v>208</v>
      </c>
      <c r="Q676" t="s">
        <v>209</v>
      </c>
    </row>
    <row r="677" spans="1:17" x14ac:dyDescent="0.3">
      <c r="A677" t="s">
        <v>1673</v>
      </c>
      <c r="C677" t="s">
        <v>1674</v>
      </c>
      <c r="D677" t="s">
        <v>1674</v>
      </c>
      <c r="E677" s="5">
        <v>46269</v>
      </c>
      <c r="F677" t="s">
        <v>204</v>
      </c>
      <c r="G677" t="s">
        <v>220</v>
      </c>
      <c r="H677">
        <v>5897</v>
      </c>
      <c r="I677">
        <v>17.690000000000001</v>
      </c>
      <c r="J677">
        <v>3.18</v>
      </c>
      <c r="K677">
        <v>5876.13</v>
      </c>
      <c r="L677" s="5">
        <v>46271</v>
      </c>
      <c r="M677" t="s">
        <v>1336</v>
      </c>
      <c r="N677" t="s">
        <v>207</v>
      </c>
      <c r="O677" t="s">
        <v>1674</v>
      </c>
      <c r="P677" t="s">
        <v>208</v>
      </c>
      <c r="Q677" t="s">
        <v>209</v>
      </c>
    </row>
    <row r="678" spans="1:17" x14ac:dyDescent="0.3">
      <c r="A678" t="s">
        <v>1675</v>
      </c>
      <c r="C678" t="s">
        <v>1676</v>
      </c>
      <c r="D678" t="s">
        <v>1676</v>
      </c>
      <c r="E678" s="5">
        <v>46269</v>
      </c>
      <c r="F678" t="s">
        <v>204</v>
      </c>
      <c r="G678" t="s">
        <v>220</v>
      </c>
      <c r="H678">
        <v>2148</v>
      </c>
      <c r="I678">
        <v>6.44</v>
      </c>
      <c r="J678">
        <v>1.1599999999999999</v>
      </c>
      <c r="K678">
        <v>2140.4</v>
      </c>
      <c r="L678" s="5">
        <v>46271</v>
      </c>
      <c r="M678" t="s">
        <v>1336</v>
      </c>
      <c r="N678" t="s">
        <v>207</v>
      </c>
      <c r="O678" t="s">
        <v>1676</v>
      </c>
      <c r="P678" t="s">
        <v>208</v>
      </c>
      <c r="Q678" t="s">
        <v>209</v>
      </c>
    </row>
    <row r="679" spans="1:17" x14ac:dyDescent="0.3">
      <c r="A679" t="s">
        <v>1677</v>
      </c>
      <c r="C679" t="s">
        <v>1678</v>
      </c>
      <c r="D679" t="s">
        <v>1678</v>
      </c>
      <c r="E679" s="5">
        <v>46269</v>
      </c>
      <c r="F679" t="s">
        <v>204</v>
      </c>
      <c r="G679" t="s">
        <v>220</v>
      </c>
      <c r="H679">
        <v>2098</v>
      </c>
      <c r="I679">
        <v>6.29</v>
      </c>
      <c r="J679">
        <v>1.1299999999999999</v>
      </c>
      <c r="K679">
        <v>2090.58</v>
      </c>
      <c r="L679" s="5">
        <v>46271</v>
      </c>
      <c r="M679" t="s">
        <v>1336</v>
      </c>
      <c r="N679" t="s">
        <v>207</v>
      </c>
      <c r="O679" t="s">
        <v>1678</v>
      </c>
      <c r="P679" t="s">
        <v>208</v>
      </c>
      <c r="Q679" t="s">
        <v>209</v>
      </c>
    </row>
    <row r="680" spans="1:17" x14ac:dyDescent="0.3">
      <c r="A680" t="s">
        <v>1679</v>
      </c>
      <c r="C680" t="s">
        <v>1680</v>
      </c>
      <c r="D680" t="s">
        <v>1680</v>
      </c>
      <c r="E680" s="5">
        <v>46269</v>
      </c>
      <c r="F680" t="s">
        <v>204</v>
      </c>
      <c r="G680" t="s">
        <v>220</v>
      </c>
      <c r="H680">
        <v>6597</v>
      </c>
      <c r="I680">
        <v>19.79</v>
      </c>
      <c r="J680">
        <v>3.56</v>
      </c>
      <c r="K680">
        <v>6573.65</v>
      </c>
      <c r="L680" s="5">
        <v>46271</v>
      </c>
      <c r="M680" t="s">
        <v>1336</v>
      </c>
      <c r="N680" t="s">
        <v>207</v>
      </c>
      <c r="O680" t="s">
        <v>1680</v>
      </c>
      <c r="P680" t="s">
        <v>208</v>
      </c>
      <c r="Q680" t="s">
        <v>209</v>
      </c>
    </row>
    <row r="681" spans="1:17" x14ac:dyDescent="0.3">
      <c r="A681" t="s">
        <v>1681</v>
      </c>
      <c r="C681" t="s">
        <v>1682</v>
      </c>
      <c r="D681" t="s">
        <v>1682</v>
      </c>
      <c r="E681" s="5">
        <v>46269</v>
      </c>
      <c r="F681" t="s">
        <v>204</v>
      </c>
      <c r="G681" t="s">
        <v>205</v>
      </c>
      <c r="H681">
        <v>4897</v>
      </c>
      <c r="I681">
        <v>83.25</v>
      </c>
      <c r="J681">
        <v>14.99</v>
      </c>
      <c r="K681">
        <v>4798.76</v>
      </c>
      <c r="L681" s="5">
        <v>46271</v>
      </c>
      <c r="M681" t="s">
        <v>1336</v>
      </c>
      <c r="N681" t="s">
        <v>207</v>
      </c>
      <c r="O681" t="s">
        <v>1682</v>
      </c>
      <c r="P681" t="s">
        <v>208</v>
      </c>
      <c r="Q681" t="s">
        <v>209</v>
      </c>
    </row>
    <row r="682" spans="1:17" x14ac:dyDescent="0.3">
      <c r="A682" t="s">
        <v>1683</v>
      </c>
      <c r="C682" t="s">
        <v>1684</v>
      </c>
      <c r="D682" t="s">
        <v>1685</v>
      </c>
      <c r="E682" s="5">
        <v>46269</v>
      </c>
      <c r="F682" t="s">
        <v>204</v>
      </c>
      <c r="G682" t="s">
        <v>220</v>
      </c>
      <c r="H682">
        <v>1799</v>
      </c>
      <c r="I682">
        <v>0</v>
      </c>
      <c r="J682">
        <v>0</v>
      </c>
      <c r="K682">
        <v>1799</v>
      </c>
      <c r="L682" s="5">
        <v>46271</v>
      </c>
      <c r="M682" t="s">
        <v>1336</v>
      </c>
      <c r="N682" t="s">
        <v>207</v>
      </c>
      <c r="O682" t="s">
        <v>1685</v>
      </c>
      <c r="P682" t="s">
        <v>208</v>
      </c>
      <c r="Q682" t="s">
        <v>209</v>
      </c>
    </row>
    <row r="683" spans="1:17" x14ac:dyDescent="0.3">
      <c r="A683" t="s">
        <v>1686</v>
      </c>
      <c r="C683" t="s">
        <v>1687</v>
      </c>
      <c r="D683" t="s">
        <v>1687</v>
      </c>
      <c r="E683" s="5">
        <v>46269</v>
      </c>
      <c r="F683" t="s">
        <v>204</v>
      </c>
      <c r="G683" t="s">
        <v>220</v>
      </c>
      <c r="H683">
        <v>2499</v>
      </c>
      <c r="I683">
        <v>7.5</v>
      </c>
      <c r="J683">
        <v>1.35</v>
      </c>
      <c r="K683">
        <v>2490.15</v>
      </c>
      <c r="L683" s="5">
        <v>46271</v>
      </c>
      <c r="M683" t="s">
        <v>1336</v>
      </c>
      <c r="N683" t="s">
        <v>207</v>
      </c>
      <c r="O683" t="s">
        <v>1687</v>
      </c>
      <c r="P683" t="s">
        <v>208</v>
      </c>
      <c r="Q683" t="s">
        <v>209</v>
      </c>
    </row>
    <row r="684" spans="1:17" x14ac:dyDescent="0.3">
      <c r="A684" t="s">
        <v>1688</v>
      </c>
      <c r="C684" t="s">
        <v>1689</v>
      </c>
      <c r="D684" t="s">
        <v>1690</v>
      </c>
      <c r="E684" s="5">
        <v>46269</v>
      </c>
      <c r="F684" t="s">
        <v>204</v>
      </c>
      <c r="G684" t="s">
        <v>220</v>
      </c>
      <c r="H684">
        <v>7999</v>
      </c>
      <c r="I684">
        <v>24</v>
      </c>
      <c r="J684">
        <v>4.32</v>
      </c>
      <c r="K684">
        <v>7970.68</v>
      </c>
      <c r="L684" s="5">
        <v>46271</v>
      </c>
      <c r="M684" t="s">
        <v>1336</v>
      </c>
      <c r="N684" t="s">
        <v>207</v>
      </c>
      <c r="O684" t="s">
        <v>1690</v>
      </c>
      <c r="P684" t="s">
        <v>208</v>
      </c>
      <c r="Q684" t="s">
        <v>209</v>
      </c>
    </row>
    <row r="685" spans="1:17" x14ac:dyDescent="0.3">
      <c r="A685" t="s">
        <v>1691</v>
      </c>
      <c r="C685" t="s">
        <v>1692</v>
      </c>
      <c r="D685" t="s">
        <v>1692</v>
      </c>
      <c r="E685" s="5">
        <v>46269</v>
      </c>
      <c r="F685" t="s">
        <v>204</v>
      </c>
      <c r="G685" t="s">
        <v>220</v>
      </c>
      <c r="H685">
        <v>349</v>
      </c>
      <c r="I685">
        <v>0</v>
      </c>
      <c r="J685">
        <v>0</v>
      </c>
      <c r="K685">
        <v>349</v>
      </c>
      <c r="L685" s="5">
        <v>46271</v>
      </c>
      <c r="M685" t="s">
        <v>1336</v>
      </c>
      <c r="N685" t="s">
        <v>207</v>
      </c>
      <c r="O685" t="s">
        <v>1692</v>
      </c>
      <c r="P685" t="s">
        <v>208</v>
      </c>
      <c r="Q685" t="s">
        <v>209</v>
      </c>
    </row>
    <row r="686" spans="1:17" x14ac:dyDescent="0.3">
      <c r="A686" t="s">
        <v>1693</v>
      </c>
      <c r="C686" t="s">
        <v>1694</v>
      </c>
      <c r="D686" t="s">
        <v>1694</v>
      </c>
      <c r="E686" s="5">
        <v>46269</v>
      </c>
      <c r="F686" t="s">
        <v>204</v>
      </c>
      <c r="G686" t="s">
        <v>220</v>
      </c>
      <c r="H686">
        <v>1348</v>
      </c>
      <c r="I686">
        <v>0</v>
      </c>
      <c r="J686">
        <v>0</v>
      </c>
      <c r="K686">
        <v>1348</v>
      </c>
      <c r="L686" s="5">
        <v>46271</v>
      </c>
      <c r="M686" t="s">
        <v>1336</v>
      </c>
      <c r="N686" t="s">
        <v>207</v>
      </c>
      <c r="O686" t="s">
        <v>1694</v>
      </c>
      <c r="P686" t="s">
        <v>208</v>
      </c>
      <c r="Q686" t="s">
        <v>209</v>
      </c>
    </row>
    <row r="687" spans="1:17" x14ac:dyDescent="0.3">
      <c r="A687" t="s">
        <v>1695</v>
      </c>
      <c r="C687" t="s">
        <v>1696</v>
      </c>
      <c r="D687" t="s">
        <v>1696</v>
      </c>
      <c r="E687" s="5">
        <v>46269</v>
      </c>
      <c r="F687" t="s">
        <v>204</v>
      </c>
      <c r="G687" t="s">
        <v>255</v>
      </c>
      <c r="H687">
        <v>1799</v>
      </c>
      <c r="I687">
        <v>26.99</v>
      </c>
      <c r="J687">
        <v>4.8600000000000003</v>
      </c>
      <c r="K687">
        <v>1767.15</v>
      </c>
      <c r="L687" s="5">
        <v>46271</v>
      </c>
      <c r="M687" t="s">
        <v>1336</v>
      </c>
      <c r="N687" t="s">
        <v>207</v>
      </c>
      <c r="O687" t="s">
        <v>1696</v>
      </c>
      <c r="P687" t="s">
        <v>208</v>
      </c>
      <c r="Q687" t="s">
        <v>209</v>
      </c>
    </row>
    <row r="688" spans="1:17" x14ac:dyDescent="0.3">
      <c r="A688" t="s">
        <v>1697</v>
      </c>
      <c r="C688" t="s">
        <v>1698</v>
      </c>
      <c r="D688" t="s">
        <v>1698</v>
      </c>
      <c r="E688" s="5">
        <v>46269</v>
      </c>
      <c r="F688" t="s">
        <v>204</v>
      </c>
      <c r="G688" t="s">
        <v>220</v>
      </c>
      <c r="H688">
        <v>2499</v>
      </c>
      <c r="I688">
        <v>7.5</v>
      </c>
      <c r="J688">
        <v>1.35</v>
      </c>
      <c r="K688">
        <v>2490.15</v>
      </c>
      <c r="L688" s="5">
        <v>46271</v>
      </c>
      <c r="M688" t="s">
        <v>1336</v>
      </c>
      <c r="N688" t="s">
        <v>207</v>
      </c>
      <c r="O688" t="s">
        <v>1698</v>
      </c>
      <c r="P688" t="s">
        <v>208</v>
      </c>
      <c r="Q688" t="s">
        <v>209</v>
      </c>
    </row>
    <row r="689" spans="1:17" x14ac:dyDescent="0.3">
      <c r="A689" t="s">
        <v>1699</v>
      </c>
      <c r="C689" t="s">
        <v>1700</v>
      </c>
      <c r="D689" t="s">
        <v>1700</v>
      </c>
      <c r="E689" s="5">
        <v>46269</v>
      </c>
      <c r="F689" t="s">
        <v>204</v>
      </c>
      <c r="G689" t="s">
        <v>220</v>
      </c>
      <c r="H689">
        <v>3348</v>
      </c>
      <c r="I689">
        <v>10.039999999999999</v>
      </c>
      <c r="J689">
        <v>1.81</v>
      </c>
      <c r="K689">
        <v>3336.15</v>
      </c>
      <c r="L689" s="5">
        <v>46271</v>
      </c>
      <c r="M689" t="s">
        <v>1336</v>
      </c>
      <c r="N689" t="s">
        <v>207</v>
      </c>
      <c r="O689" t="s">
        <v>1700</v>
      </c>
      <c r="P689" t="s">
        <v>208</v>
      </c>
      <c r="Q689" t="s">
        <v>209</v>
      </c>
    </row>
    <row r="690" spans="1:17" x14ac:dyDescent="0.3">
      <c r="A690" t="s">
        <v>1701</v>
      </c>
      <c r="C690" t="s">
        <v>1702</v>
      </c>
      <c r="D690" t="s">
        <v>1702</v>
      </c>
      <c r="E690" s="5">
        <v>46269</v>
      </c>
      <c r="F690" t="s">
        <v>204</v>
      </c>
      <c r="G690" t="s">
        <v>220</v>
      </c>
      <c r="H690">
        <v>7498</v>
      </c>
      <c r="I690">
        <v>22.49</v>
      </c>
      <c r="J690">
        <v>4.05</v>
      </c>
      <c r="K690">
        <v>7471.46</v>
      </c>
      <c r="L690" s="5">
        <v>46271</v>
      </c>
      <c r="M690" t="s">
        <v>1336</v>
      </c>
      <c r="N690" t="s">
        <v>207</v>
      </c>
      <c r="O690" t="s">
        <v>1702</v>
      </c>
      <c r="P690" t="s">
        <v>208</v>
      </c>
      <c r="Q690" t="s">
        <v>209</v>
      </c>
    </row>
    <row r="691" spans="1:17" x14ac:dyDescent="0.3">
      <c r="A691" t="s">
        <v>1703</v>
      </c>
      <c r="C691" t="s">
        <v>1704</v>
      </c>
      <c r="D691" t="s">
        <v>1704</v>
      </c>
      <c r="E691" s="5">
        <v>46269</v>
      </c>
      <c r="F691" t="s">
        <v>204</v>
      </c>
      <c r="G691" t="s">
        <v>213</v>
      </c>
      <c r="H691">
        <v>3798</v>
      </c>
      <c r="I691">
        <v>60.77</v>
      </c>
      <c r="J691">
        <v>10.94</v>
      </c>
      <c r="K691">
        <v>3726.29</v>
      </c>
      <c r="L691" s="5">
        <v>46271</v>
      </c>
      <c r="M691" t="s">
        <v>1336</v>
      </c>
      <c r="N691" t="s">
        <v>207</v>
      </c>
      <c r="O691" t="s">
        <v>1704</v>
      </c>
      <c r="P691" t="s">
        <v>208</v>
      </c>
      <c r="Q691" t="s">
        <v>209</v>
      </c>
    </row>
    <row r="692" spans="1:17" x14ac:dyDescent="0.3">
      <c r="A692" t="s">
        <v>1705</v>
      </c>
      <c r="C692" t="s">
        <v>1706</v>
      </c>
      <c r="D692" t="s">
        <v>1706</v>
      </c>
      <c r="E692" s="5">
        <v>46269</v>
      </c>
      <c r="F692" t="s">
        <v>204</v>
      </c>
      <c r="G692" t="s">
        <v>213</v>
      </c>
      <c r="H692">
        <v>1499</v>
      </c>
      <c r="I692">
        <v>26.98</v>
      </c>
      <c r="J692">
        <v>4.8600000000000003</v>
      </c>
      <c r="K692">
        <v>1467.16</v>
      </c>
      <c r="L692" s="5">
        <v>46271</v>
      </c>
      <c r="M692" t="s">
        <v>1336</v>
      </c>
      <c r="N692" t="s">
        <v>207</v>
      </c>
      <c r="O692" t="s">
        <v>1706</v>
      </c>
      <c r="P692" t="s">
        <v>208</v>
      </c>
      <c r="Q692" t="s">
        <v>209</v>
      </c>
    </row>
    <row r="693" spans="1:17" x14ac:dyDescent="0.3">
      <c r="A693" t="s">
        <v>1707</v>
      </c>
      <c r="C693" t="s">
        <v>1708</v>
      </c>
      <c r="D693" t="s">
        <v>1708</v>
      </c>
      <c r="E693" s="5">
        <v>46269</v>
      </c>
      <c r="F693" t="s">
        <v>204</v>
      </c>
      <c r="G693" t="s">
        <v>205</v>
      </c>
      <c r="H693">
        <v>15997</v>
      </c>
      <c r="I693">
        <v>271.95</v>
      </c>
      <c r="J693">
        <v>48.95</v>
      </c>
      <c r="K693">
        <v>15676.1</v>
      </c>
      <c r="L693" s="5">
        <v>46271</v>
      </c>
      <c r="M693" t="s">
        <v>1336</v>
      </c>
      <c r="N693" t="s">
        <v>207</v>
      </c>
      <c r="O693" t="s">
        <v>1708</v>
      </c>
      <c r="P693" t="s">
        <v>208</v>
      </c>
      <c r="Q693" t="s">
        <v>209</v>
      </c>
    </row>
    <row r="694" spans="1:17" x14ac:dyDescent="0.3">
      <c r="A694" t="s">
        <v>1709</v>
      </c>
      <c r="C694" t="s">
        <v>1710</v>
      </c>
      <c r="D694" t="s">
        <v>1711</v>
      </c>
      <c r="E694" s="5">
        <v>46269</v>
      </c>
      <c r="F694" t="s">
        <v>204</v>
      </c>
      <c r="G694" t="s">
        <v>220</v>
      </c>
      <c r="H694">
        <v>999</v>
      </c>
      <c r="I694">
        <v>0</v>
      </c>
      <c r="J694">
        <v>0</v>
      </c>
      <c r="K694">
        <v>999</v>
      </c>
      <c r="L694" s="5">
        <v>46271</v>
      </c>
      <c r="M694" t="s">
        <v>1336</v>
      </c>
      <c r="N694" t="s">
        <v>207</v>
      </c>
      <c r="O694" t="s">
        <v>1711</v>
      </c>
      <c r="P694" t="s">
        <v>208</v>
      </c>
      <c r="Q694" t="s">
        <v>209</v>
      </c>
    </row>
    <row r="695" spans="1:17" x14ac:dyDescent="0.3">
      <c r="A695" t="s">
        <v>1712</v>
      </c>
      <c r="C695" t="s">
        <v>1713</v>
      </c>
      <c r="D695" t="s">
        <v>1713</v>
      </c>
      <c r="E695" s="5">
        <v>46269</v>
      </c>
      <c r="F695" t="s">
        <v>204</v>
      </c>
      <c r="G695" t="s">
        <v>205</v>
      </c>
      <c r="H695">
        <v>4397</v>
      </c>
      <c r="I695">
        <v>105.53</v>
      </c>
      <c r="J695">
        <v>19</v>
      </c>
      <c r="K695">
        <v>4272.47</v>
      </c>
      <c r="L695" s="5">
        <v>46271</v>
      </c>
      <c r="M695" t="s">
        <v>1336</v>
      </c>
      <c r="N695" t="s">
        <v>207</v>
      </c>
      <c r="O695" t="s">
        <v>1713</v>
      </c>
      <c r="P695" t="s">
        <v>208</v>
      </c>
      <c r="Q695" t="s">
        <v>209</v>
      </c>
    </row>
    <row r="696" spans="1:17" x14ac:dyDescent="0.3">
      <c r="A696" t="s">
        <v>1714</v>
      </c>
      <c r="C696" t="s">
        <v>1715</v>
      </c>
      <c r="D696" t="s">
        <v>1715</v>
      </c>
      <c r="E696" s="5">
        <v>46269</v>
      </c>
      <c r="F696" t="s">
        <v>204</v>
      </c>
      <c r="G696" t="s">
        <v>220</v>
      </c>
      <c r="H696">
        <v>7999</v>
      </c>
      <c r="I696">
        <v>24</v>
      </c>
      <c r="J696">
        <v>4.32</v>
      </c>
      <c r="K696">
        <v>7970.68</v>
      </c>
      <c r="L696" s="5">
        <v>46271</v>
      </c>
      <c r="M696" t="s">
        <v>1336</v>
      </c>
      <c r="N696" t="s">
        <v>207</v>
      </c>
      <c r="O696" t="s">
        <v>1715</v>
      </c>
      <c r="P696" t="s">
        <v>208</v>
      </c>
      <c r="Q696" t="s">
        <v>209</v>
      </c>
    </row>
    <row r="697" spans="1:17" x14ac:dyDescent="0.3">
      <c r="A697" t="s">
        <v>1716</v>
      </c>
      <c r="C697" t="s">
        <v>1717</v>
      </c>
      <c r="D697" t="s">
        <v>1717</v>
      </c>
      <c r="E697" s="5">
        <v>46269</v>
      </c>
      <c r="F697" t="s">
        <v>204</v>
      </c>
      <c r="G697" t="s">
        <v>220</v>
      </c>
      <c r="H697">
        <v>6498</v>
      </c>
      <c r="I697">
        <v>19.489999999999998</v>
      </c>
      <c r="J697">
        <v>3.51</v>
      </c>
      <c r="K697">
        <v>6475</v>
      </c>
      <c r="L697" s="5">
        <v>46271</v>
      </c>
      <c r="M697" t="s">
        <v>1336</v>
      </c>
      <c r="N697" t="s">
        <v>207</v>
      </c>
      <c r="O697" t="s">
        <v>1717</v>
      </c>
      <c r="P697" t="s">
        <v>208</v>
      </c>
      <c r="Q697" t="s">
        <v>209</v>
      </c>
    </row>
    <row r="698" spans="1:17" x14ac:dyDescent="0.3">
      <c r="A698" t="s">
        <v>1718</v>
      </c>
      <c r="C698" t="s">
        <v>1719</v>
      </c>
      <c r="D698" t="s">
        <v>1719</v>
      </c>
      <c r="E698" s="5">
        <v>46269</v>
      </c>
      <c r="F698" t="s">
        <v>204</v>
      </c>
      <c r="G698" t="s">
        <v>220</v>
      </c>
      <c r="H698">
        <v>8298</v>
      </c>
      <c r="I698">
        <v>24.89</v>
      </c>
      <c r="J698">
        <v>4.4800000000000004</v>
      </c>
      <c r="K698">
        <v>8268.6299999999992</v>
      </c>
      <c r="L698" s="5">
        <v>46271</v>
      </c>
      <c r="M698" t="s">
        <v>1336</v>
      </c>
      <c r="N698" t="s">
        <v>207</v>
      </c>
      <c r="O698" t="s">
        <v>1719</v>
      </c>
      <c r="P698" t="s">
        <v>208</v>
      </c>
      <c r="Q698" t="s">
        <v>209</v>
      </c>
    </row>
    <row r="699" spans="1:17" x14ac:dyDescent="0.3">
      <c r="A699" t="s">
        <v>1720</v>
      </c>
      <c r="C699" t="s">
        <v>1721</v>
      </c>
      <c r="D699" t="s">
        <v>1721</v>
      </c>
      <c r="E699" s="5">
        <v>46269</v>
      </c>
      <c r="F699" t="s">
        <v>204</v>
      </c>
      <c r="G699" t="s">
        <v>220</v>
      </c>
      <c r="H699">
        <v>1299</v>
      </c>
      <c r="I699">
        <v>0</v>
      </c>
      <c r="J699">
        <v>0</v>
      </c>
      <c r="K699">
        <v>1299</v>
      </c>
      <c r="L699" s="5">
        <v>46271</v>
      </c>
      <c r="M699" t="s">
        <v>1336</v>
      </c>
      <c r="N699" t="s">
        <v>207</v>
      </c>
      <c r="O699" t="s">
        <v>1721</v>
      </c>
      <c r="P699" t="s">
        <v>208</v>
      </c>
      <c r="Q699" t="s">
        <v>209</v>
      </c>
    </row>
    <row r="700" spans="1:17" x14ac:dyDescent="0.3">
      <c r="A700" t="s">
        <v>1722</v>
      </c>
      <c r="C700" t="s">
        <v>1723</v>
      </c>
      <c r="D700" t="s">
        <v>1723</v>
      </c>
      <c r="E700" s="5">
        <v>46269</v>
      </c>
      <c r="F700" t="s">
        <v>204</v>
      </c>
      <c r="G700" t="s">
        <v>255</v>
      </c>
      <c r="H700">
        <v>5348</v>
      </c>
      <c r="I700">
        <v>64.180000000000007</v>
      </c>
      <c r="J700">
        <v>11.55</v>
      </c>
      <c r="K700">
        <v>5272.27</v>
      </c>
      <c r="L700" s="5">
        <v>46271</v>
      </c>
      <c r="M700" t="s">
        <v>1336</v>
      </c>
      <c r="N700" t="s">
        <v>207</v>
      </c>
      <c r="O700" t="s">
        <v>1723</v>
      </c>
      <c r="P700" t="s">
        <v>208</v>
      </c>
      <c r="Q700" t="s">
        <v>209</v>
      </c>
    </row>
    <row r="701" spans="1:17" x14ac:dyDescent="0.3">
      <c r="A701" t="s">
        <v>1724</v>
      </c>
      <c r="C701" t="s">
        <v>1725</v>
      </c>
      <c r="D701" t="s">
        <v>1725</v>
      </c>
      <c r="E701" s="5">
        <v>46269</v>
      </c>
      <c r="F701" t="s">
        <v>204</v>
      </c>
      <c r="G701" t="s">
        <v>213</v>
      </c>
      <c r="H701">
        <v>999</v>
      </c>
      <c r="I701">
        <v>17.98</v>
      </c>
      <c r="J701">
        <v>3.24</v>
      </c>
      <c r="K701">
        <v>977.78</v>
      </c>
      <c r="L701" s="5">
        <v>46271</v>
      </c>
      <c r="M701" t="s">
        <v>1336</v>
      </c>
      <c r="N701" t="s">
        <v>207</v>
      </c>
      <c r="O701" t="s">
        <v>1725</v>
      </c>
      <c r="P701" t="s">
        <v>208</v>
      </c>
      <c r="Q701" t="s">
        <v>209</v>
      </c>
    </row>
    <row r="702" spans="1:17" x14ac:dyDescent="0.3">
      <c r="A702" t="s">
        <v>1726</v>
      </c>
      <c r="C702" t="s">
        <v>1727</v>
      </c>
      <c r="D702" t="s">
        <v>1727</v>
      </c>
      <c r="E702" s="5">
        <v>46269</v>
      </c>
      <c r="F702" t="s">
        <v>204</v>
      </c>
      <c r="G702" t="s">
        <v>220</v>
      </c>
      <c r="H702">
        <v>599</v>
      </c>
      <c r="I702">
        <v>0</v>
      </c>
      <c r="J702">
        <v>0</v>
      </c>
      <c r="K702">
        <v>599</v>
      </c>
      <c r="L702" s="5">
        <v>46271</v>
      </c>
      <c r="M702" t="s">
        <v>1336</v>
      </c>
      <c r="N702" t="s">
        <v>207</v>
      </c>
      <c r="O702" t="s">
        <v>1727</v>
      </c>
      <c r="P702" t="s">
        <v>208</v>
      </c>
      <c r="Q702" t="s">
        <v>209</v>
      </c>
    </row>
    <row r="703" spans="1:17" x14ac:dyDescent="0.3">
      <c r="A703" t="s">
        <v>1728</v>
      </c>
      <c r="C703" t="s">
        <v>1729</v>
      </c>
      <c r="D703" t="s">
        <v>1729</v>
      </c>
      <c r="E703" s="5">
        <v>46269</v>
      </c>
      <c r="F703" t="s">
        <v>204</v>
      </c>
      <c r="G703" t="s">
        <v>213</v>
      </c>
      <c r="H703">
        <v>349</v>
      </c>
      <c r="I703">
        <v>6.28</v>
      </c>
      <c r="J703">
        <v>1.1299999999999999</v>
      </c>
      <c r="K703">
        <v>341.59</v>
      </c>
      <c r="L703" s="5">
        <v>46271</v>
      </c>
      <c r="M703" t="s">
        <v>1336</v>
      </c>
      <c r="N703" t="s">
        <v>207</v>
      </c>
      <c r="O703" t="s">
        <v>1729</v>
      </c>
      <c r="P703" t="s">
        <v>208</v>
      </c>
      <c r="Q703" t="s">
        <v>209</v>
      </c>
    </row>
    <row r="704" spans="1:17" x14ac:dyDescent="0.3">
      <c r="A704" t="s">
        <v>1730</v>
      </c>
      <c r="C704" t="s">
        <v>1731</v>
      </c>
      <c r="D704" t="s">
        <v>1731</v>
      </c>
      <c r="E704" s="5">
        <v>46269</v>
      </c>
      <c r="F704" t="s">
        <v>204</v>
      </c>
      <c r="G704" t="s">
        <v>213</v>
      </c>
      <c r="H704">
        <v>599</v>
      </c>
      <c r="I704">
        <v>10.78</v>
      </c>
      <c r="J704">
        <v>1.94</v>
      </c>
      <c r="K704">
        <v>586.28</v>
      </c>
      <c r="L704" s="5">
        <v>46271</v>
      </c>
      <c r="M704" t="s">
        <v>1336</v>
      </c>
      <c r="N704" t="s">
        <v>207</v>
      </c>
      <c r="O704" t="s">
        <v>1731</v>
      </c>
      <c r="P704" t="s">
        <v>208</v>
      </c>
      <c r="Q704" t="s">
        <v>209</v>
      </c>
    </row>
    <row r="705" spans="1:17" x14ac:dyDescent="0.3">
      <c r="A705" t="s">
        <v>1732</v>
      </c>
      <c r="C705" t="s">
        <v>1733</v>
      </c>
      <c r="D705" t="s">
        <v>1734</v>
      </c>
      <c r="E705" s="5">
        <v>46269</v>
      </c>
      <c r="F705" t="s">
        <v>204</v>
      </c>
      <c r="G705" t="s">
        <v>220</v>
      </c>
      <c r="H705">
        <v>1299</v>
      </c>
      <c r="I705">
        <v>0</v>
      </c>
      <c r="J705">
        <v>0</v>
      </c>
      <c r="K705">
        <v>1299</v>
      </c>
      <c r="L705" s="5">
        <v>46271</v>
      </c>
      <c r="M705" t="s">
        <v>1336</v>
      </c>
      <c r="N705" t="s">
        <v>207</v>
      </c>
      <c r="O705" t="s">
        <v>1734</v>
      </c>
      <c r="P705" t="s">
        <v>208</v>
      </c>
      <c r="Q705" t="s">
        <v>209</v>
      </c>
    </row>
    <row r="706" spans="1:17" x14ac:dyDescent="0.3">
      <c r="A706" t="s">
        <v>1735</v>
      </c>
      <c r="C706" t="s">
        <v>1736</v>
      </c>
      <c r="D706" t="s">
        <v>1736</v>
      </c>
      <c r="E706" s="5">
        <v>46269</v>
      </c>
      <c r="F706" t="s">
        <v>204</v>
      </c>
      <c r="G706" t="s">
        <v>220</v>
      </c>
      <c r="H706">
        <v>1799</v>
      </c>
      <c r="I706">
        <v>0</v>
      </c>
      <c r="J706">
        <v>0</v>
      </c>
      <c r="K706">
        <v>1799</v>
      </c>
      <c r="L706" s="5">
        <v>46271</v>
      </c>
      <c r="M706" t="s">
        <v>1336</v>
      </c>
      <c r="N706" t="s">
        <v>207</v>
      </c>
      <c r="O706" t="s">
        <v>1736</v>
      </c>
      <c r="P706" t="s">
        <v>208</v>
      </c>
      <c r="Q706" t="s">
        <v>209</v>
      </c>
    </row>
    <row r="707" spans="1:17" x14ac:dyDescent="0.3">
      <c r="A707" t="s">
        <v>1737</v>
      </c>
      <c r="C707" t="s">
        <v>1738</v>
      </c>
      <c r="D707" t="s">
        <v>1738</v>
      </c>
      <c r="E707" s="5">
        <v>46269</v>
      </c>
      <c r="F707" t="s">
        <v>204</v>
      </c>
      <c r="G707" t="s">
        <v>220</v>
      </c>
      <c r="H707">
        <v>2998</v>
      </c>
      <c r="I707">
        <v>8.99</v>
      </c>
      <c r="J707">
        <v>1.62</v>
      </c>
      <c r="K707">
        <v>2987.39</v>
      </c>
      <c r="L707" s="5">
        <v>46271</v>
      </c>
      <c r="M707" t="s">
        <v>1336</v>
      </c>
      <c r="N707" t="s">
        <v>207</v>
      </c>
      <c r="O707" t="s">
        <v>1738</v>
      </c>
      <c r="P707" t="s">
        <v>208</v>
      </c>
      <c r="Q707" t="s">
        <v>209</v>
      </c>
    </row>
    <row r="708" spans="1:17" x14ac:dyDescent="0.3">
      <c r="A708" t="s">
        <v>1739</v>
      </c>
      <c r="C708" t="s">
        <v>1740</v>
      </c>
      <c r="D708" t="s">
        <v>1740</v>
      </c>
      <c r="E708" s="5">
        <v>46269</v>
      </c>
      <c r="F708" t="s">
        <v>204</v>
      </c>
      <c r="G708" t="s">
        <v>213</v>
      </c>
      <c r="H708">
        <v>1247</v>
      </c>
      <c r="I708">
        <v>22.45</v>
      </c>
      <c r="J708">
        <v>4.04</v>
      </c>
      <c r="K708">
        <v>1220.51</v>
      </c>
      <c r="L708" s="5">
        <v>46271</v>
      </c>
      <c r="M708" t="s">
        <v>1336</v>
      </c>
      <c r="N708" t="s">
        <v>207</v>
      </c>
      <c r="O708" t="s">
        <v>1740</v>
      </c>
      <c r="P708" t="s">
        <v>208</v>
      </c>
      <c r="Q708" t="s">
        <v>209</v>
      </c>
    </row>
    <row r="709" spans="1:17" x14ac:dyDescent="0.3">
      <c r="A709" t="s">
        <v>1741</v>
      </c>
      <c r="C709" t="s">
        <v>1742</v>
      </c>
      <c r="D709" t="s">
        <v>1742</v>
      </c>
      <c r="E709" s="5">
        <v>46269</v>
      </c>
      <c r="F709" t="s">
        <v>204</v>
      </c>
      <c r="G709" t="s">
        <v>213</v>
      </c>
      <c r="H709">
        <v>3499</v>
      </c>
      <c r="I709">
        <v>55.98</v>
      </c>
      <c r="J709">
        <v>10.08</v>
      </c>
      <c r="K709">
        <v>3432.94</v>
      </c>
      <c r="L709" s="5">
        <v>46271</v>
      </c>
      <c r="M709" t="s">
        <v>1336</v>
      </c>
      <c r="N709" t="s">
        <v>207</v>
      </c>
      <c r="O709" t="s">
        <v>1742</v>
      </c>
      <c r="P709" t="s">
        <v>208</v>
      </c>
      <c r="Q709" t="s">
        <v>209</v>
      </c>
    </row>
    <row r="710" spans="1:17" x14ac:dyDescent="0.3">
      <c r="A710" t="s">
        <v>1743</v>
      </c>
      <c r="C710" t="s">
        <v>1744</v>
      </c>
      <c r="D710" t="s">
        <v>1745</v>
      </c>
      <c r="E710" s="5">
        <v>46269</v>
      </c>
      <c r="F710" t="s">
        <v>204</v>
      </c>
      <c r="G710" t="s">
        <v>255</v>
      </c>
      <c r="H710">
        <v>7999</v>
      </c>
      <c r="I710">
        <v>95.99</v>
      </c>
      <c r="J710">
        <v>17.28</v>
      </c>
      <c r="K710">
        <v>7885.73</v>
      </c>
      <c r="L710" s="5">
        <v>46271</v>
      </c>
      <c r="M710" t="s">
        <v>1336</v>
      </c>
      <c r="N710" t="s">
        <v>207</v>
      </c>
      <c r="O710" t="s">
        <v>1745</v>
      </c>
      <c r="P710" t="s">
        <v>208</v>
      </c>
      <c r="Q710" t="s">
        <v>209</v>
      </c>
    </row>
    <row r="711" spans="1:17" x14ac:dyDescent="0.3">
      <c r="A711" t="s">
        <v>1746</v>
      </c>
      <c r="C711" t="s">
        <v>1747</v>
      </c>
      <c r="D711" t="s">
        <v>1747</v>
      </c>
      <c r="E711" s="5">
        <v>46269</v>
      </c>
      <c r="F711" t="s">
        <v>204</v>
      </c>
      <c r="G711" t="s">
        <v>220</v>
      </c>
      <c r="H711">
        <v>1799</v>
      </c>
      <c r="I711">
        <v>0</v>
      </c>
      <c r="J711">
        <v>0</v>
      </c>
      <c r="K711">
        <v>1799</v>
      </c>
      <c r="L711" s="5">
        <v>46271</v>
      </c>
      <c r="M711" t="s">
        <v>1336</v>
      </c>
      <c r="N711" t="s">
        <v>207</v>
      </c>
      <c r="O711" t="s">
        <v>1747</v>
      </c>
      <c r="P711" t="s">
        <v>208</v>
      </c>
      <c r="Q711" t="s">
        <v>209</v>
      </c>
    </row>
    <row r="712" spans="1:17" x14ac:dyDescent="0.3">
      <c r="A712" t="s">
        <v>1748</v>
      </c>
      <c r="C712" t="s">
        <v>1749</v>
      </c>
      <c r="D712" t="s">
        <v>1749</v>
      </c>
      <c r="E712" s="5">
        <v>46269</v>
      </c>
      <c r="F712" t="s">
        <v>204</v>
      </c>
      <c r="G712" t="s">
        <v>220</v>
      </c>
      <c r="H712">
        <v>2499</v>
      </c>
      <c r="I712">
        <v>7.5</v>
      </c>
      <c r="J712">
        <v>1.35</v>
      </c>
      <c r="K712">
        <v>2490.15</v>
      </c>
      <c r="L712" s="5">
        <v>46271</v>
      </c>
      <c r="M712" t="s">
        <v>1336</v>
      </c>
      <c r="N712" t="s">
        <v>207</v>
      </c>
      <c r="O712" t="s">
        <v>1749</v>
      </c>
      <c r="P712" t="s">
        <v>208</v>
      </c>
      <c r="Q712" t="s">
        <v>209</v>
      </c>
    </row>
    <row r="713" spans="1:17" x14ac:dyDescent="0.3">
      <c r="A713" t="s">
        <v>1750</v>
      </c>
      <c r="C713" t="s">
        <v>1751</v>
      </c>
      <c r="D713" t="s">
        <v>1751</v>
      </c>
      <c r="E713" s="5">
        <v>46269</v>
      </c>
      <c r="F713" t="s">
        <v>204</v>
      </c>
      <c r="G713" t="s">
        <v>213</v>
      </c>
      <c r="H713">
        <v>1299</v>
      </c>
      <c r="I713">
        <v>23.38</v>
      </c>
      <c r="J713">
        <v>4.21</v>
      </c>
      <c r="K713">
        <v>1271.4100000000001</v>
      </c>
      <c r="L713" s="5">
        <v>46271</v>
      </c>
      <c r="M713" t="s">
        <v>1336</v>
      </c>
      <c r="N713" t="s">
        <v>207</v>
      </c>
      <c r="O713" t="s">
        <v>1751</v>
      </c>
      <c r="P713" t="s">
        <v>208</v>
      </c>
      <c r="Q713" t="s">
        <v>209</v>
      </c>
    </row>
    <row r="714" spans="1:17" x14ac:dyDescent="0.3">
      <c r="A714" t="s">
        <v>1752</v>
      </c>
      <c r="C714" t="s">
        <v>1753</v>
      </c>
      <c r="D714" t="s">
        <v>1754</v>
      </c>
      <c r="E714" s="5">
        <v>46269</v>
      </c>
      <c r="F714" t="s">
        <v>204</v>
      </c>
      <c r="G714" t="s">
        <v>220</v>
      </c>
      <c r="H714">
        <v>948</v>
      </c>
      <c r="I714">
        <v>0</v>
      </c>
      <c r="J714">
        <v>0</v>
      </c>
      <c r="K714">
        <v>948</v>
      </c>
      <c r="L714" s="5">
        <v>46271</v>
      </c>
      <c r="M714" t="s">
        <v>1336</v>
      </c>
      <c r="N714" t="s">
        <v>207</v>
      </c>
      <c r="O714" t="s">
        <v>1754</v>
      </c>
      <c r="P714" t="s">
        <v>208</v>
      </c>
      <c r="Q714" t="s">
        <v>209</v>
      </c>
    </row>
    <row r="715" spans="1:17" x14ac:dyDescent="0.3">
      <c r="A715" t="s">
        <v>1755</v>
      </c>
      <c r="C715" t="s">
        <v>1756</v>
      </c>
      <c r="D715" t="s">
        <v>1756</v>
      </c>
      <c r="E715" s="5">
        <v>46269</v>
      </c>
      <c r="F715" t="s">
        <v>204</v>
      </c>
      <c r="G715" t="s">
        <v>213</v>
      </c>
      <c r="H715">
        <v>349</v>
      </c>
      <c r="I715">
        <v>6.28</v>
      </c>
      <c r="J715">
        <v>1.1299999999999999</v>
      </c>
      <c r="K715">
        <v>341.59</v>
      </c>
      <c r="L715" s="5">
        <v>46271</v>
      </c>
      <c r="M715" t="s">
        <v>1336</v>
      </c>
      <c r="N715" t="s">
        <v>207</v>
      </c>
      <c r="O715" t="s">
        <v>1756</v>
      </c>
      <c r="P715" t="s">
        <v>208</v>
      </c>
      <c r="Q715" t="s">
        <v>209</v>
      </c>
    </row>
    <row r="716" spans="1:17" x14ac:dyDescent="0.3">
      <c r="A716" t="s">
        <v>1757</v>
      </c>
      <c r="C716" t="s">
        <v>1758</v>
      </c>
      <c r="D716" t="s">
        <v>1758</v>
      </c>
      <c r="E716" s="5">
        <v>46269</v>
      </c>
      <c r="F716" t="s">
        <v>204</v>
      </c>
      <c r="G716" t="s">
        <v>220</v>
      </c>
      <c r="H716">
        <v>349</v>
      </c>
      <c r="I716">
        <v>0</v>
      </c>
      <c r="J716">
        <v>0</v>
      </c>
      <c r="K716">
        <v>349</v>
      </c>
      <c r="L716" s="5">
        <v>46271</v>
      </c>
      <c r="M716" t="s">
        <v>1336</v>
      </c>
      <c r="N716" t="s">
        <v>207</v>
      </c>
      <c r="O716" t="s">
        <v>1758</v>
      </c>
      <c r="P716" t="s">
        <v>208</v>
      </c>
      <c r="Q716" t="s">
        <v>209</v>
      </c>
    </row>
    <row r="717" spans="1:17" x14ac:dyDescent="0.3">
      <c r="A717" t="s">
        <v>1759</v>
      </c>
      <c r="C717" t="s">
        <v>1760</v>
      </c>
      <c r="D717" t="s">
        <v>1760</v>
      </c>
      <c r="E717" s="5">
        <v>46269</v>
      </c>
      <c r="F717" t="s">
        <v>204</v>
      </c>
      <c r="G717" t="s">
        <v>220</v>
      </c>
      <c r="H717">
        <v>349</v>
      </c>
      <c r="I717">
        <v>0</v>
      </c>
      <c r="J717">
        <v>0</v>
      </c>
      <c r="K717">
        <v>349</v>
      </c>
      <c r="L717" s="5">
        <v>46271</v>
      </c>
      <c r="M717" t="s">
        <v>1336</v>
      </c>
      <c r="N717" t="s">
        <v>207</v>
      </c>
      <c r="O717" t="s">
        <v>1760</v>
      </c>
      <c r="P717" t="s">
        <v>208</v>
      </c>
      <c r="Q717" t="s">
        <v>209</v>
      </c>
    </row>
    <row r="718" spans="1:17" x14ac:dyDescent="0.3">
      <c r="A718" t="s">
        <v>1761</v>
      </c>
      <c r="B718" t="s">
        <v>1124</v>
      </c>
      <c r="E718" s="5">
        <v>46269</v>
      </c>
      <c r="F718" t="s">
        <v>921</v>
      </c>
      <c r="G718" t="s">
        <v>220</v>
      </c>
      <c r="H718">
        <v>5998</v>
      </c>
      <c r="I718">
        <v>0</v>
      </c>
      <c r="J718">
        <v>0</v>
      </c>
      <c r="K718">
        <v>-5998</v>
      </c>
      <c r="L718" s="5">
        <v>46271</v>
      </c>
      <c r="M718" t="s">
        <v>1336</v>
      </c>
      <c r="N718" t="s">
        <v>207</v>
      </c>
      <c r="O718" t="s">
        <v>1125</v>
      </c>
      <c r="P718" t="s">
        <v>208</v>
      </c>
    </row>
    <row r="719" spans="1:17" x14ac:dyDescent="0.3">
      <c r="A719" t="s">
        <v>1762</v>
      </c>
      <c r="B719" t="s">
        <v>1220</v>
      </c>
      <c r="E719" s="5">
        <v>46269</v>
      </c>
      <c r="F719" t="s">
        <v>921</v>
      </c>
      <c r="G719" t="s">
        <v>213</v>
      </c>
      <c r="H719">
        <v>7999</v>
      </c>
      <c r="I719">
        <v>0</v>
      </c>
      <c r="J719">
        <v>0</v>
      </c>
      <c r="K719">
        <v>-7999</v>
      </c>
      <c r="L719" s="5">
        <v>46271</v>
      </c>
      <c r="M719" t="s">
        <v>1336</v>
      </c>
      <c r="N719" t="s">
        <v>207</v>
      </c>
      <c r="O719" t="s">
        <v>1221</v>
      </c>
      <c r="P719" t="s">
        <v>208</v>
      </c>
    </row>
    <row r="720" spans="1:17" x14ac:dyDescent="0.3">
      <c r="A720" t="s">
        <v>1763</v>
      </c>
      <c r="C720" t="s">
        <v>1764</v>
      </c>
      <c r="D720" t="s">
        <v>1764</v>
      </c>
      <c r="E720" s="5">
        <v>46270</v>
      </c>
      <c r="F720" t="s">
        <v>204</v>
      </c>
      <c r="G720" t="s">
        <v>220</v>
      </c>
      <c r="H720">
        <v>3598</v>
      </c>
      <c r="I720">
        <v>10.79</v>
      </c>
      <c r="J720">
        <v>1.94</v>
      </c>
      <c r="K720">
        <v>3585.27</v>
      </c>
      <c r="L720" s="5">
        <v>46272</v>
      </c>
      <c r="M720" t="s">
        <v>1765</v>
      </c>
      <c r="N720" t="s">
        <v>207</v>
      </c>
      <c r="O720" t="s">
        <v>1764</v>
      </c>
      <c r="P720" t="s">
        <v>208</v>
      </c>
      <c r="Q720" t="s">
        <v>209</v>
      </c>
    </row>
    <row r="721" spans="1:17" x14ac:dyDescent="0.3">
      <c r="A721" t="s">
        <v>1766</v>
      </c>
      <c r="C721" t="s">
        <v>1767</v>
      </c>
      <c r="D721" t="s">
        <v>1767</v>
      </c>
      <c r="E721" s="5">
        <v>46270</v>
      </c>
      <c r="F721" t="s">
        <v>204</v>
      </c>
      <c r="G721" t="s">
        <v>255</v>
      </c>
      <c r="H721">
        <v>1798</v>
      </c>
      <c r="I721">
        <v>26.97</v>
      </c>
      <c r="J721">
        <v>4.8499999999999996</v>
      </c>
      <c r="K721">
        <v>1766.18</v>
      </c>
      <c r="L721" s="5">
        <v>46272</v>
      </c>
      <c r="M721" t="s">
        <v>1765</v>
      </c>
      <c r="N721" t="s">
        <v>207</v>
      </c>
      <c r="O721" t="s">
        <v>1767</v>
      </c>
      <c r="P721" t="s">
        <v>208</v>
      </c>
      <c r="Q721" t="s">
        <v>209</v>
      </c>
    </row>
    <row r="722" spans="1:17" x14ac:dyDescent="0.3">
      <c r="A722" t="s">
        <v>1768</v>
      </c>
      <c r="C722" t="s">
        <v>1769</v>
      </c>
      <c r="D722" t="s">
        <v>1769</v>
      </c>
      <c r="E722" s="5">
        <v>46270</v>
      </c>
      <c r="F722" t="s">
        <v>204</v>
      </c>
      <c r="G722" t="s">
        <v>213</v>
      </c>
      <c r="H722">
        <v>5097</v>
      </c>
      <c r="I722">
        <v>81.55</v>
      </c>
      <c r="J722">
        <v>14.68</v>
      </c>
      <c r="K722">
        <v>5000.7700000000004</v>
      </c>
      <c r="L722" s="5">
        <v>46272</v>
      </c>
      <c r="M722" t="s">
        <v>1765</v>
      </c>
      <c r="N722" t="s">
        <v>207</v>
      </c>
      <c r="O722" t="s">
        <v>1769</v>
      </c>
      <c r="P722" t="s">
        <v>208</v>
      </c>
      <c r="Q722" t="s">
        <v>209</v>
      </c>
    </row>
    <row r="723" spans="1:17" x14ac:dyDescent="0.3">
      <c r="A723" t="s">
        <v>1770</v>
      </c>
      <c r="C723" t="s">
        <v>1771</v>
      </c>
      <c r="D723" t="s">
        <v>1772</v>
      </c>
      <c r="E723" s="5">
        <v>46270</v>
      </c>
      <c r="F723" t="s">
        <v>204</v>
      </c>
      <c r="G723" t="s">
        <v>205</v>
      </c>
      <c r="H723">
        <v>2999</v>
      </c>
      <c r="I723">
        <v>50.98</v>
      </c>
      <c r="J723">
        <v>9.18</v>
      </c>
      <c r="K723">
        <v>2938.84</v>
      </c>
      <c r="L723" s="5">
        <v>46272</v>
      </c>
      <c r="M723" t="s">
        <v>1765</v>
      </c>
      <c r="N723" t="s">
        <v>207</v>
      </c>
      <c r="O723" t="s">
        <v>1772</v>
      </c>
      <c r="P723" t="s">
        <v>208</v>
      </c>
      <c r="Q723" t="s">
        <v>209</v>
      </c>
    </row>
    <row r="724" spans="1:17" x14ac:dyDescent="0.3">
      <c r="A724" t="s">
        <v>1773</v>
      </c>
      <c r="C724" t="s">
        <v>1774</v>
      </c>
      <c r="D724" t="s">
        <v>1774</v>
      </c>
      <c r="E724" s="5">
        <v>46270</v>
      </c>
      <c r="F724" t="s">
        <v>204</v>
      </c>
      <c r="G724" t="s">
        <v>213</v>
      </c>
      <c r="H724">
        <v>5998</v>
      </c>
      <c r="I724">
        <v>95.97</v>
      </c>
      <c r="J724">
        <v>17.27</v>
      </c>
      <c r="K724">
        <v>5884.76</v>
      </c>
      <c r="L724" s="5">
        <v>46272</v>
      </c>
      <c r="M724" t="s">
        <v>1765</v>
      </c>
      <c r="N724" t="s">
        <v>207</v>
      </c>
      <c r="O724" t="s">
        <v>1774</v>
      </c>
      <c r="P724" t="s">
        <v>208</v>
      </c>
      <c r="Q724" t="s">
        <v>209</v>
      </c>
    </row>
    <row r="725" spans="1:17" x14ac:dyDescent="0.3">
      <c r="A725" t="s">
        <v>1775</v>
      </c>
      <c r="C725" t="s">
        <v>1776</v>
      </c>
      <c r="D725" t="s">
        <v>1776</v>
      </c>
      <c r="E725" s="5">
        <v>46270</v>
      </c>
      <c r="F725" t="s">
        <v>204</v>
      </c>
      <c r="G725" t="s">
        <v>220</v>
      </c>
      <c r="H725">
        <v>9347</v>
      </c>
      <c r="I725">
        <v>28.04</v>
      </c>
      <c r="J725">
        <v>5.05</v>
      </c>
      <c r="K725">
        <v>9313.91</v>
      </c>
      <c r="L725" s="5">
        <v>46272</v>
      </c>
      <c r="M725" t="s">
        <v>1765</v>
      </c>
      <c r="N725" t="s">
        <v>207</v>
      </c>
      <c r="O725" t="s">
        <v>1776</v>
      </c>
      <c r="P725" t="s">
        <v>208</v>
      </c>
      <c r="Q725" t="s">
        <v>209</v>
      </c>
    </row>
    <row r="726" spans="1:17" x14ac:dyDescent="0.3">
      <c r="A726" t="s">
        <v>1777</v>
      </c>
      <c r="C726" t="s">
        <v>1778</v>
      </c>
      <c r="D726" t="s">
        <v>1778</v>
      </c>
      <c r="E726" s="5">
        <v>46270</v>
      </c>
      <c r="F726" t="s">
        <v>204</v>
      </c>
      <c r="G726" t="s">
        <v>213</v>
      </c>
      <c r="H726">
        <v>2197</v>
      </c>
      <c r="I726">
        <v>35.15</v>
      </c>
      <c r="J726">
        <v>6.33</v>
      </c>
      <c r="K726">
        <v>2155.52</v>
      </c>
      <c r="L726" s="5">
        <v>46272</v>
      </c>
      <c r="M726" t="s">
        <v>1765</v>
      </c>
      <c r="N726" t="s">
        <v>207</v>
      </c>
      <c r="O726" t="s">
        <v>1778</v>
      </c>
      <c r="P726" t="s">
        <v>208</v>
      </c>
      <c r="Q726" t="s">
        <v>209</v>
      </c>
    </row>
    <row r="727" spans="1:17" x14ac:dyDescent="0.3">
      <c r="A727" t="s">
        <v>1779</v>
      </c>
      <c r="C727" t="s">
        <v>1780</v>
      </c>
      <c r="D727" t="s">
        <v>1780</v>
      </c>
      <c r="E727" s="5">
        <v>46270</v>
      </c>
      <c r="F727" t="s">
        <v>204</v>
      </c>
      <c r="G727" t="s">
        <v>220</v>
      </c>
      <c r="H727">
        <v>2999</v>
      </c>
      <c r="I727">
        <v>9</v>
      </c>
      <c r="J727">
        <v>1.62</v>
      </c>
      <c r="K727">
        <v>2988.38</v>
      </c>
      <c r="L727" s="5">
        <v>46272</v>
      </c>
      <c r="M727" t="s">
        <v>1765</v>
      </c>
      <c r="N727" t="s">
        <v>207</v>
      </c>
      <c r="O727" t="s">
        <v>1780</v>
      </c>
      <c r="P727" t="s">
        <v>208</v>
      </c>
      <c r="Q727" t="s">
        <v>209</v>
      </c>
    </row>
    <row r="728" spans="1:17" x14ac:dyDescent="0.3">
      <c r="A728" t="s">
        <v>1781</v>
      </c>
      <c r="C728" t="s">
        <v>1782</v>
      </c>
      <c r="D728" t="s">
        <v>1782</v>
      </c>
      <c r="E728" s="5">
        <v>46270</v>
      </c>
      <c r="F728" t="s">
        <v>204</v>
      </c>
      <c r="G728" t="s">
        <v>205</v>
      </c>
      <c r="H728">
        <v>8598</v>
      </c>
      <c r="I728">
        <v>146.16999999999999</v>
      </c>
      <c r="J728">
        <v>26.31</v>
      </c>
      <c r="K728">
        <v>8425.52</v>
      </c>
      <c r="L728" s="5">
        <v>46272</v>
      </c>
      <c r="M728" t="s">
        <v>1765</v>
      </c>
      <c r="N728" t="s">
        <v>207</v>
      </c>
      <c r="O728" t="s">
        <v>1782</v>
      </c>
      <c r="P728" t="s">
        <v>208</v>
      </c>
      <c r="Q728" t="s">
        <v>209</v>
      </c>
    </row>
    <row r="729" spans="1:17" x14ac:dyDescent="0.3">
      <c r="A729" t="s">
        <v>1783</v>
      </c>
      <c r="C729" t="s">
        <v>1784</v>
      </c>
      <c r="D729" t="s">
        <v>1784</v>
      </c>
      <c r="E729" s="5">
        <v>46270</v>
      </c>
      <c r="F729" t="s">
        <v>204</v>
      </c>
      <c r="G729" t="s">
        <v>220</v>
      </c>
      <c r="H729">
        <v>999</v>
      </c>
      <c r="I729">
        <v>0</v>
      </c>
      <c r="J729">
        <v>0</v>
      </c>
      <c r="K729">
        <v>999</v>
      </c>
      <c r="L729" s="5">
        <v>46272</v>
      </c>
      <c r="M729" t="s">
        <v>1765</v>
      </c>
      <c r="N729" t="s">
        <v>207</v>
      </c>
      <c r="O729" t="s">
        <v>1784</v>
      </c>
      <c r="P729" t="s">
        <v>208</v>
      </c>
      <c r="Q729" t="s">
        <v>209</v>
      </c>
    </row>
    <row r="730" spans="1:17" x14ac:dyDescent="0.3">
      <c r="A730" t="s">
        <v>1785</v>
      </c>
      <c r="C730" t="s">
        <v>1786</v>
      </c>
      <c r="D730" t="s">
        <v>1786</v>
      </c>
      <c r="E730" s="5">
        <v>46270</v>
      </c>
      <c r="F730" t="s">
        <v>204</v>
      </c>
      <c r="G730" t="s">
        <v>213</v>
      </c>
      <c r="H730">
        <v>998</v>
      </c>
      <c r="I730">
        <v>17.96</v>
      </c>
      <c r="J730">
        <v>3.23</v>
      </c>
      <c r="K730">
        <v>976.81</v>
      </c>
      <c r="L730" s="5">
        <v>46272</v>
      </c>
      <c r="M730" t="s">
        <v>1765</v>
      </c>
      <c r="N730" t="s">
        <v>207</v>
      </c>
      <c r="O730" t="s">
        <v>1786</v>
      </c>
      <c r="P730" t="s">
        <v>208</v>
      </c>
      <c r="Q730" t="s">
        <v>209</v>
      </c>
    </row>
    <row r="731" spans="1:17" x14ac:dyDescent="0.3">
      <c r="A731" t="s">
        <v>1787</v>
      </c>
      <c r="C731" t="s">
        <v>1788</v>
      </c>
      <c r="D731" t="s">
        <v>1788</v>
      </c>
      <c r="E731" s="5">
        <v>46270</v>
      </c>
      <c r="F731" t="s">
        <v>204</v>
      </c>
      <c r="G731" t="s">
        <v>220</v>
      </c>
      <c r="H731">
        <v>7999</v>
      </c>
      <c r="I731">
        <v>24</v>
      </c>
      <c r="J731">
        <v>4.32</v>
      </c>
      <c r="K731">
        <v>7970.68</v>
      </c>
      <c r="L731" s="5">
        <v>46272</v>
      </c>
      <c r="M731" t="s">
        <v>1765</v>
      </c>
      <c r="N731" t="s">
        <v>207</v>
      </c>
      <c r="O731" t="s">
        <v>1788</v>
      </c>
      <c r="P731" t="s">
        <v>208</v>
      </c>
      <c r="Q731" t="s">
        <v>209</v>
      </c>
    </row>
    <row r="732" spans="1:17" x14ac:dyDescent="0.3">
      <c r="A732" t="s">
        <v>1789</v>
      </c>
      <c r="C732" t="s">
        <v>1790</v>
      </c>
      <c r="D732" t="s">
        <v>1790</v>
      </c>
      <c r="E732" s="5">
        <v>46270</v>
      </c>
      <c r="F732" t="s">
        <v>204</v>
      </c>
      <c r="G732" t="s">
        <v>220</v>
      </c>
      <c r="H732">
        <v>11797</v>
      </c>
      <c r="I732">
        <v>35.39</v>
      </c>
      <c r="J732">
        <v>6.37</v>
      </c>
      <c r="K732">
        <v>11755.24</v>
      </c>
      <c r="L732" s="5">
        <v>46272</v>
      </c>
      <c r="M732" t="s">
        <v>1765</v>
      </c>
      <c r="N732" t="s">
        <v>207</v>
      </c>
      <c r="O732" t="s">
        <v>1790</v>
      </c>
      <c r="P732" t="s">
        <v>208</v>
      </c>
      <c r="Q732" t="s">
        <v>209</v>
      </c>
    </row>
    <row r="733" spans="1:17" x14ac:dyDescent="0.3">
      <c r="A733" t="s">
        <v>1791</v>
      </c>
      <c r="C733" t="s">
        <v>1792</v>
      </c>
      <c r="D733" t="s">
        <v>1792</v>
      </c>
      <c r="E733" s="5">
        <v>46270</v>
      </c>
      <c r="F733" t="s">
        <v>204</v>
      </c>
      <c r="G733" t="s">
        <v>220</v>
      </c>
      <c r="H733">
        <v>3499</v>
      </c>
      <c r="I733">
        <v>10.5</v>
      </c>
      <c r="J733">
        <v>1.89</v>
      </c>
      <c r="K733">
        <v>3486.61</v>
      </c>
      <c r="L733" s="5">
        <v>46272</v>
      </c>
      <c r="M733" t="s">
        <v>1765</v>
      </c>
      <c r="N733" t="s">
        <v>207</v>
      </c>
      <c r="O733" t="s">
        <v>1792</v>
      </c>
      <c r="P733" t="s">
        <v>208</v>
      </c>
      <c r="Q733" t="s">
        <v>209</v>
      </c>
    </row>
    <row r="734" spans="1:17" x14ac:dyDescent="0.3">
      <c r="A734" t="s">
        <v>1793</v>
      </c>
      <c r="C734" t="s">
        <v>1794</v>
      </c>
      <c r="D734" t="s">
        <v>1794</v>
      </c>
      <c r="E734" s="5">
        <v>46270</v>
      </c>
      <c r="F734" t="s">
        <v>204</v>
      </c>
      <c r="G734" t="s">
        <v>205</v>
      </c>
      <c r="H734">
        <v>2499</v>
      </c>
      <c r="I734">
        <v>42.48</v>
      </c>
      <c r="J734">
        <v>7.65</v>
      </c>
      <c r="K734">
        <v>2448.87</v>
      </c>
      <c r="L734" s="5">
        <v>46272</v>
      </c>
      <c r="M734" t="s">
        <v>1765</v>
      </c>
      <c r="N734" t="s">
        <v>207</v>
      </c>
      <c r="O734" t="s">
        <v>1794</v>
      </c>
      <c r="P734" t="s">
        <v>208</v>
      </c>
      <c r="Q734" t="s">
        <v>209</v>
      </c>
    </row>
    <row r="735" spans="1:17" x14ac:dyDescent="0.3">
      <c r="A735" t="s">
        <v>1795</v>
      </c>
      <c r="C735" t="s">
        <v>1796</v>
      </c>
      <c r="D735" t="s">
        <v>1796</v>
      </c>
      <c r="E735" s="5">
        <v>46270</v>
      </c>
      <c r="F735" t="s">
        <v>204</v>
      </c>
      <c r="G735" t="s">
        <v>213</v>
      </c>
      <c r="H735">
        <v>12998</v>
      </c>
      <c r="I735">
        <v>207.97</v>
      </c>
      <c r="J735">
        <v>37.43</v>
      </c>
      <c r="K735">
        <v>12752.6</v>
      </c>
      <c r="L735" s="5">
        <v>46272</v>
      </c>
      <c r="M735" t="s">
        <v>1765</v>
      </c>
      <c r="N735" t="s">
        <v>207</v>
      </c>
      <c r="O735" t="s">
        <v>1796</v>
      </c>
      <c r="P735" t="s">
        <v>208</v>
      </c>
      <c r="Q735" t="s">
        <v>209</v>
      </c>
    </row>
    <row r="736" spans="1:17" x14ac:dyDescent="0.3">
      <c r="A736" t="s">
        <v>1797</v>
      </c>
      <c r="C736" t="s">
        <v>1798</v>
      </c>
      <c r="D736" t="s">
        <v>1798</v>
      </c>
      <c r="E736" s="5">
        <v>46270</v>
      </c>
      <c r="F736" t="s">
        <v>204</v>
      </c>
      <c r="G736" t="s">
        <v>220</v>
      </c>
      <c r="H736">
        <v>1799</v>
      </c>
      <c r="I736">
        <v>0</v>
      </c>
      <c r="J736">
        <v>0</v>
      </c>
      <c r="K736">
        <v>1799</v>
      </c>
      <c r="L736" s="5">
        <v>46272</v>
      </c>
      <c r="M736" t="s">
        <v>1765</v>
      </c>
      <c r="N736" t="s">
        <v>207</v>
      </c>
      <c r="O736" t="s">
        <v>1798</v>
      </c>
      <c r="P736" t="s">
        <v>208</v>
      </c>
      <c r="Q736" t="s">
        <v>209</v>
      </c>
    </row>
    <row r="737" spans="1:17" x14ac:dyDescent="0.3">
      <c r="A737" t="s">
        <v>1799</v>
      </c>
      <c r="C737" t="s">
        <v>1800</v>
      </c>
      <c r="D737" t="s">
        <v>1800</v>
      </c>
      <c r="E737" s="5">
        <v>46270</v>
      </c>
      <c r="F737" t="s">
        <v>204</v>
      </c>
      <c r="G737" t="s">
        <v>220</v>
      </c>
      <c r="H737">
        <v>6997</v>
      </c>
      <c r="I737">
        <v>20.99</v>
      </c>
      <c r="J737">
        <v>3.78</v>
      </c>
      <c r="K737">
        <v>6972.23</v>
      </c>
      <c r="L737" s="5">
        <v>46272</v>
      </c>
      <c r="M737" t="s">
        <v>1765</v>
      </c>
      <c r="N737" t="s">
        <v>207</v>
      </c>
      <c r="O737" t="s">
        <v>1800</v>
      </c>
      <c r="P737" t="s">
        <v>208</v>
      </c>
      <c r="Q737" t="s">
        <v>209</v>
      </c>
    </row>
    <row r="738" spans="1:17" x14ac:dyDescent="0.3">
      <c r="A738" t="s">
        <v>1801</v>
      </c>
      <c r="C738" t="s">
        <v>1802</v>
      </c>
      <c r="D738" t="s">
        <v>1803</v>
      </c>
      <c r="E738" s="5">
        <v>46270</v>
      </c>
      <c r="F738" t="s">
        <v>204</v>
      </c>
      <c r="G738" t="s">
        <v>220</v>
      </c>
      <c r="H738">
        <v>1499</v>
      </c>
      <c r="I738">
        <v>0</v>
      </c>
      <c r="J738">
        <v>0</v>
      </c>
      <c r="K738">
        <v>1499</v>
      </c>
      <c r="L738" s="5">
        <v>46272</v>
      </c>
      <c r="M738" t="s">
        <v>1765</v>
      </c>
      <c r="N738" t="s">
        <v>207</v>
      </c>
      <c r="O738" t="s">
        <v>1803</v>
      </c>
      <c r="P738" t="s">
        <v>208</v>
      </c>
      <c r="Q738" t="s">
        <v>209</v>
      </c>
    </row>
    <row r="739" spans="1:17" x14ac:dyDescent="0.3">
      <c r="A739" t="s">
        <v>1804</v>
      </c>
      <c r="C739" t="s">
        <v>1805</v>
      </c>
      <c r="D739" t="s">
        <v>1805</v>
      </c>
      <c r="E739" s="5">
        <v>46270</v>
      </c>
      <c r="F739" t="s">
        <v>204</v>
      </c>
      <c r="G739" t="s">
        <v>220</v>
      </c>
      <c r="H739">
        <v>349</v>
      </c>
      <c r="I739">
        <v>0</v>
      </c>
      <c r="J739">
        <v>0</v>
      </c>
      <c r="K739">
        <v>349</v>
      </c>
      <c r="L739" s="5">
        <v>46272</v>
      </c>
      <c r="M739" t="s">
        <v>1765</v>
      </c>
      <c r="N739" t="s">
        <v>207</v>
      </c>
      <c r="O739" t="s">
        <v>1805</v>
      </c>
      <c r="P739" t="s">
        <v>208</v>
      </c>
      <c r="Q739" t="s">
        <v>209</v>
      </c>
    </row>
    <row r="740" spans="1:17" x14ac:dyDescent="0.3">
      <c r="A740" t="s">
        <v>1806</v>
      </c>
      <c r="C740" t="s">
        <v>1807</v>
      </c>
      <c r="D740" t="s">
        <v>1807</v>
      </c>
      <c r="E740" s="5">
        <v>46270</v>
      </c>
      <c r="F740" t="s">
        <v>204</v>
      </c>
      <c r="G740" t="s">
        <v>220</v>
      </c>
      <c r="H740">
        <v>349</v>
      </c>
      <c r="I740">
        <v>0</v>
      </c>
      <c r="J740">
        <v>0</v>
      </c>
      <c r="K740">
        <v>349</v>
      </c>
      <c r="L740" s="5">
        <v>46272</v>
      </c>
      <c r="M740" t="s">
        <v>1765</v>
      </c>
      <c r="N740" t="s">
        <v>207</v>
      </c>
      <c r="O740" t="s">
        <v>1807</v>
      </c>
      <c r="P740" t="s">
        <v>208</v>
      </c>
      <c r="Q740" t="s">
        <v>209</v>
      </c>
    </row>
    <row r="741" spans="1:17" x14ac:dyDescent="0.3">
      <c r="A741" t="s">
        <v>1808</v>
      </c>
      <c r="C741" t="s">
        <v>1809</v>
      </c>
      <c r="D741" t="s">
        <v>1809</v>
      </c>
      <c r="E741" s="5">
        <v>46270</v>
      </c>
      <c r="F741" t="s">
        <v>204</v>
      </c>
      <c r="G741" t="s">
        <v>220</v>
      </c>
      <c r="H741">
        <v>499</v>
      </c>
      <c r="I741">
        <v>0</v>
      </c>
      <c r="J741">
        <v>0</v>
      </c>
      <c r="K741">
        <v>499</v>
      </c>
      <c r="L741" s="5">
        <v>46272</v>
      </c>
      <c r="M741" t="s">
        <v>1765</v>
      </c>
      <c r="N741" t="s">
        <v>207</v>
      </c>
      <c r="O741" t="s">
        <v>1809</v>
      </c>
      <c r="P741" t="s">
        <v>208</v>
      </c>
      <c r="Q741" t="s">
        <v>209</v>
      </c>
    </row>
    <row r="742" spans="1:17" x14ac:dyDescent="0.3">
      <c r="A742" t="s">
        <v>1810</v>
      </c>
      <c r="C742" t="s">
        <v>1811</v>
      </c>
      <c r="D742" t="s">
        <v>1812</v>
      </c>
      <c r="E742" s="5">
        <v>46270</v>
      </c>
      <c r="F742" t="s">
        <v>204</v>
      </c>
      <c r="G742" t="s">
        <v>220</v>
      </c>
      <c r="H742">
        <v>8348</v>
      </c>
      <c r="I742">
        <v>25.04</v>
      </c>
      <c r="J742">
        <v>4.51</v>
      </c>
      <c r="K742">
        <v>8318.4500000000007</v>
      </c>
      <c r="L742" s="5">
        <v>46272</v>
      </c>
      <c r="M742" t="s">
        <v>1765</v>
      </c>
      <c r="N742" t="s">
        <v>207</v>
      </c>
      <c r="O742" t="s">
        <v>1812</v>
      </c>
      <c r="P742" t="s">
        <v>208</v>
      </c>
      <c r="Q742" t="s">
        <v>209</v>
      </c>
    </row>
    <row r="743" spans="1:17" x14ac:dyDescent="0.3">
      <c r="A743" t="s">
        <v>1813</v>
      </c>
      <c r="C743" t="s">
        <v>1814</v>
      </c>
      <c r="D743" t="s">
        <v>1814</v>
      </c>
      <c r="E743" s="5">
        <v>46270</v>
      </c>
      <c r="F743" t="s">
        <v>204</v>
      </c>
      <c r="G743" t="s">
        <v>220</v>
      </c>
      <c r="H743">
        <v>2798</v>
      </c>
      <c r="I743">
        <v>8.39</v>
      </c>
      <c r="J743">
        <v>1.51</v>
      </c>
      <c r="K743">
        <v>2788.1</v>
      </c>
      <c r="L743" s="5">
        <v>46272</v>
      </c>
      <c r="M743" t="s">
        <v>1765</v>
      </c>
      <c r="N743" t="s">
        <v>207</v>
      </c>
      <c r="O743" t="s">
        <v>1814</v>
      </c>
      <c r="P743" t="s">
        <v>208</v>
      </c>
      <c r="Q743" t="s">
        <v>209</v>
      </c>
    </row>
    <row r="744" spans="1:17" x14ac:dyDescent="0.3">
      <c r="A744" t="s">
        <v>1815</v>
      </c>
      <c r="C744" t="s">
        <v>1816</v>
      </c>
      <c r="D744" t="s">
        <v>1816</v>
      </c>
      <c r="E744" s="5">
        <v>46270</v>
      </c>
      <c r="F744" t="s">
        <v>204</v>
      </c>
      <c r="G744" t="s">
        <v>213</v>
      </c>
      <c r="H744">
        <v>4999</v>
      </c>
      <c r="I744">
        <v>79.98</v>
      </c>
      <c r="J744">
        <v>14.4</v>
      </c>
      <c r="K744">
        <v>4904.62</v>
      </c>
      <c r="L744" s="5">
        <v>46272</v>
      </c>
      <c r="M744" t="s">
        <v>1765</v>
      </c>
      <c r="N744" t="s">
        <v>207</v>
      </c>
      <c r="O744" t="s">
        <v>1816</v>
      </c>
      <c r="P744" t="s">
        <v>208</v>
      </c>
      <c r="Q744" t="s">
        <v>209</v>
      </c>
    </row>
    <row r="745" spans="1:17" x14ac:dyDescent="0.3">
      <c r="A745" t="s">
        <v>1817</v>
      </c>
      <c r="C745" t="s">
        <v>1818</v>
      </c>
      <c r="D745" t="s">
        <v>1818</v>
      </c>
      <c r="E745" s="5">
        <v>46270</v>
      </c>
      <c r="F745" t="s">
        <v>204</v>
      </c>
      <c r="G745" t="s">
        <v>205</v>
      </c>
      <c r="H745">
        <v>4098</v>
      </c>
      <c r="I745">
        <v>69.67</v>
      </c>
      <c r="J745">
        <v>12.54</v>
      </c>
      <c r="K745">
        <v>4015.79</v>
      </c>
      <c r="L745" s="5">
        <v>46272</v>
      </c>
      <c r="M745" t="s">
        <v>1765</v>
      </c>
      <c r="N745" t="s">
        <v>207</v>
      </c>
      <c r="O745" t="s">
        <v>1818</v>
      </c>
      <c r="P745" t="s">
        <v>208</v>
      </c>
      <c r="Q745" t="s">
        <v>209</v>
      </c>
    </row>
    <row r="746" spans="1:17" x14ac:dyDescent="0.3">
      <c r="A746" t="s">
        <v>1819</v>
      </c>
      <c r="C746" t="s">
        <v>1820</v>
      </c>
      <c r="D746" t="s">
        <v>1820</v>
      </c>
      <c r="E746" s="5">
        <v>46270</v>
      </c>
      <c r="F746" t="s">
        <v>204</v>
      </c>
      <c r="G746" t="s">
        <v>205</v>
      </c>
      <c r="H746">
        <v>799</v>
      </c>
      <c r="I746">
        <v>15.18</v>
      </c>
      <c r="J746">
        <v>2.73</v>
      </c>
      <c r="K746">
        <v>781.09</v>
      </c>
      <c r="L746" s="5">
        <v>46272</v>
      </c>
      <c r="M746" t="s">
        <v>1765</v>
      </c>
      <c r="N746" t="s">
        <v>207</v>
      </c>
      <c r="O746" t="s">
        <v>1820</v>
      </c>
      <c r="P746" t="s">
        <v>208</v>
      </c>
      <c r="Q746" t="s">
        <v>209</v>
      </c>
    </row>
    <row r="747" spans="1:17" x14ac:dyDescent="0.3">
      <c r="A747" t="s">
        <v>1821</v>
      </c>
      <c r="C747" t="s">
        <v>1822</v>
      </c>
      <c r="D747" t="s">
        <v>1822</v>
      </c>
      <c r="E747" s="5">
        <v>46270</v>
      </c>
      <c r="F747" t="s">
        <v>204</v>
      </c>
      <c r="G747" t="s">
        <v>213</v>
      </c>
      <c r="H747">
        <v>2947</v>
      </c>
      <c r="I747">
        <v>47.15</v>
      </c>
      <c r="J747">
        <v>8.49</v>
      </c>
      <c r="K747">
        <v>2891.36</v>
      </c>
      <c r="L747" s="5">
        <v>46272</v>
      </c>
      <c r="M747" t="s">
        <v>1765</v>
      </c>
      <c r="N747" t="s">
        <v>207</v>
      </c>
      <c r="O747" t="s">
        <v>1822</v>
      </c>
      <c r="P747" t="s">
        <v>208</v>
      </c>
      <c r="Q747" t="s">
        <v>209</v>
      </c>
    </row>
    <row r="748" spans="1:17" x14ac:dyDescent="0.3">
      <c r="A748" t="s">
        <v>1823</v>
      </c>
      <c r="C748" t="s">
        <v>1824</v>
      </c>
      <c r="D748" t="s">
        <v>1824</v>
      </c>
      <c r="E748" s="5">
        <v>46270</v>
      </c>
      <c r="F748" t="s">
        <v>204</v>
      </c>
      <c r="G748" t="s">
        <v>220</v>
      </c>
      <c r="H748">
        <v>799</v>
      </c>
      <c r="I748">
        <v>0</v>
      </c>
      <c r="J748">
        <v>0</v>
      </c>
      <c r="K748">
        <v>799</v>
      </c>
      <c r="L748" s="5">
        <v>46272</v>
      </c>
      <c r="M748" t="s">
        <v>1765</v>
      </c>
      <c r="N748" t="s">
        <v>207</v>
      </c>
      <c r="O748" t="s">
        <v>1824</v>
      </c>
      <c r="P748" t="s">
        <v>208</v>
      </c>
      <c r="Q748" t="s">
        <v>209</v>
      </c>
    </row>
    <row r="749" spans="1:17" x14ac:dyDescent="0.3">
      <c r="A749" t="s">
        <v>1825</v>
      </c>
      <c r="C749" t="s">
        <v>1826</v>
      </c>
      <c r="D749" t="s">
        <v>1827</v>
      </c>
      <c r="E749" s="5">
        <v>46270</v>
      </c>
      <c r="F749" t="s">
        <v>204</v>
      </c>
      <c r="G749" t="s">
        <v>213</v>
      </c>
      <c r="H749">
        <v>1499</v>
      </c>
      <c r="I749">
        <v>26.98</v>
      </c>
      <c r="J749">
        <v>4.8600000000000003</v>
      </c>
      <c r="K749">
        <v>1467.16</v>
      </c>
      <c r="L749" s="5">
        <v>46272</v>
      </c>
      <c r="M749" t="s">
        <v>1765</v>
      </c>
      <c r="N749" t="s">
        <v>207</v>
      </c>
      <c r="O749" t="s">
        <v>1827</v>
      </c>
      <c r="P749" t="s">
        <v>208</v>
      </c>
      <c r="Q749" t="s">
        <v>209</v>
      </c>
    </row>
    <row r="750" spans="1:17" x14ac:dyDescent="0.3">
      <c r="A750" t="s">
        <v>1828</v>
      </c>
      <c r="C750" t="s">
        <v>1829</v>
      </c>
      <c r="D750" t="s">
        <v>1829</v>
      </c>
      <c r="E750" s="5">
        <v>46270</v>
      </c>
      <c r="F750" t="s">
        <v>204</v>
      </c>
      <c r="G750" t="s">
        <v>220</v>
      </c>
      <c r="H750">
        <v>2999</v>
      </c>
      <c r="I750">
        <v>9</v>
      </c>
      <c r="J750">
        <v>1.62</v>
      </c>
      <c r="K750">
        <v>2988.38</v>
      </c>
      <c r="L750" s="5">
        <v>46272</v>
      </c>
      <c r="M750" t="s">
        <v>1765</v>
      </c>
      <c r="N750" t="s">
        <v>207</v>
      </c>
      <c r="O750" t="s">
        <v>1829</v>
      </c>
      <c r="P750" t="s">
        <v>208</v>
      </c>
      <c r="Q750" t="s">
        <v>209</v>
      </c>
    </row>
    <row r="751" spans="1:17" x14ac:dyDescent="0.3">
      <c r="A751" t="s">
        <v>1830</v>
      </c>
      <c r="C751" t="s">
        <v>1831</v>
      </c>
      <c r="D751" t="s">
        <v>1831</v>
      </c>
      <c r="E751" s="5">
        <v>46270</v>
      </c>
      <c r="F751" t="s">
        <v>204</v>
      </c>
      <c r="G751" t="s">
        <v>205</v>
      </c>
      <c r="H751">
        <v>3499</v>
      </c>
      <c r="I751">
        <v>59.48</v>
      </c>
      <c r="J751">
        <v>10.71</v>
      </c>
      <c r="K751">
        <v>3428.81</v>
      </c>
      <c r="L751" s="5">
        <v>46272</v>
      </c>
      <c r="M751" t="s">
        <v>1765</v>
      </c>
      <c r="N751" t="s">
        <v>207</v>
      </c>
      <c r="O751" t="s">
        <v>1831</v>
      </c>
      <c r="P751" t="s">
        <v>208</v>
      </c>
      <c r="Q751" t="s">
        <v>209</v>
      </c>
    </row>
    <row r="752" spans="1:17" x14ac:dyDescent="0.3">
      <c r="A752" t="s">
        <v>1832</v>
      </c>
      <c r="C752" t="s">
        <v>1833</v>
      </c>
      <c r="D752" t="s">
        <v>1833</v>
      </c>
      <c r="E752" s="5">
        <v>46270</v>
      </c>
      <c r="F752" t="s">
        <v>204</v>
      </c>
      <c r="G752" t="s">
        <v>220</v>
      </c>
      <c r="H752">
        <v>599</v>
      </c>
      <c r="I752">
        <v>0</v>
      </c>
      <c r="J752">
        <v>0</v>
      </c>
      <c r="K752">
        <v>599</v>
      </c>
      <c r="L752" s="5">
        <v>46272</v>
      </c>
      <c r="M752" t="s">
        <v>1765</v>
      </c>
      <c r="N752" t="s">
        <v>207</v>
      </c>
      <c r="O752" t="s">
        <v>1833</v>
      </c>
      <c r="P752" t="s">
        <v>208</v>
      </c>
      <c r="Q752" t="s">
        <v>209</v>
      </c>
    </row>
    <row r="753" spans="1:17" x14ac:dyDescent="0.3">
      <c r="A753" t="s">
        <v>1834</v>
      </c>
      <c r="C753" t="s">
        <v>1835</v>
      </c>
      <c r="D753" t="s">
        <v>1836</v>
      </c>
      <c r="E753" s="5">
        <v>46270</v>
      </c>
      <c r="F753" t="s">
        <v>204</v>
      </c>
      <c r="G753" t="s">
        <v>205</v>
      </c>
      <c r="H753">
        <v>3499</v>
      </c>
      <c r="I753">
        <v>59.48</v>
      </c>
      <c r="J753">
        <v>10.71</v>
      </c>
      <c r="K753">
        <v>3428.81</v>
      </c>
      <c r="L753" s="5">
        <v>46272</v>
      </c>
      <c r="M753" t="s">
        <v>1765</v>
      </c>
      <c r="N753" t="s">
        <v>207</v>
      </c>
      <c r="O753" t="s">
        <v>1836</v>
      </c>
      <c r="P753" t="s">
        <v>208</v>
      </c>
      <c r="Q753" t="s">
        <v>209</v>
      </c>
    </row>
    <row r="754" spans="1:17" x14ac:dyDescent="0.3">
      <c r="A754" t="s">
        <v>1837</v>
      </c>
      <c r="C754" t="s">
        <v>1838</v>
      </c>
      <c r="D754" t="s">
        <v>1838</v>
      </c>
      <c r="E754" s="5">
        <v>46270</v>
      </c>
      <c r="F754" t="s">
        <v>204</v>
      </c>
      <c r="G754" t="s">
        <v>220</v>
      </c>
      <c r="H754">
        <v>3597</v>
      </c>
      <c r="I754">
        <v>10.79</v>
      </c>
      <c r="J754">
        <v>1.94</v>
      </c>
      <c r="K754">
        <v>3584.27</v>
      </c>
      <c r="L754" s="5">
        <v>46272</v>
      </c>
      <c r="M754" t="s">
        <v>1765</v>
      </c>
      <c r="N754" t="s">
        <v>207</v>
      </c>
      <c r="O754" t="s">
        <v>1838</v>
      </c>
      <c r="P754" t="s">
        <v>208</v>
      </c>
      <c r="Q754" t="s">
        <v>209</v>
      </c>
    </row>
    <row r="755" spans="1:17" x14ac:dyDescent="0.3">
      <c r="A755" t="s">
        <v>1839</v>
      </c>
      <c r="C755" t="s">
        <v>1840</v>
      </c>
      <c r="D755" t="s">
        <v>1841</v>
      </c>
      <c r="E755" s="5">
        <v>46270</v>
      </c>
      <c r="F755" t="s">
        <v>204</v>
      </c>
      <c r="G755" t="s">
        <v>220</v>
      </c>
      <c r="H755">
        <v>1348</v>
      </c>
      <c r="I755">
        <v>0</v>
      </c>
      <c r="J755">
        <v>0</v>
      </c>
      <c r="K755">
        <v>1348</v>
      </c>
      <c r="L755" s="5">
        <v>46272</v>
      </c>
      <c r="M755" t="s">
        <v>1765</v>
      </c>
      <c r="N755" t="s">
        <v>207</v>
      </c>
      <c r="O755" t="s">
        <v>1841</v>
      </c>
      <c r="P755" t="s">
        <v>208</v>
      </c>
      <c r="Q755" t="s">
        <v>209</v>
      </c>
    </row>
    <row r="756" spans="1:17" x14ac:dyDescent="0.3">
      <c r="A756" t="s">
        <v>1842</v>
      </c>
      <c r="C756" t="s">
        <v>1843</v>
      </c>
      <c r="D756" t="s">
        <v>1844</v>
      </c>
      <c r="E756" s="5">
        <v>46270</v>
      </c>
      <c r="F756" t="s">
        <v>204</v>
      </c>
      <c r="G756" t="s">
        <v>213</v>
      </c>
      <c r="H756">
        <v>6347</v>
      </c>
      <c r="I756">
        <v>101.55</v>
      </c>
      <c r="J756">
        <v>18.28</v>
      </c>
      <c r="K756">
        <v>6227.17</v>
      </c>
      <c r="L756" s="5">
        <v>46272</v>
      </c>
      <c r="M756" t="s">
        <v>1765</v>
      </c>
      <c r="N756" t="s">
        <v>207</v>
      </c>
      <c r="O756" t="s">
        <v>1844</v>
      </c>
      <c r="P756" t="s">
        <v>208</v>
      </c>
      <c r="Q756" t="s">
        <v>209</v>
      </c>
    </row>
    <row r="757" spans="1:17" x14ac:dyDescent="0.3">
      <c r="A757" t="s">
        <v>1845</v>
      </c>
      <c r="C757" t="s">
        <v>1846</v>
      </c>
      <c r="D757" t="s">
        <v>1846</v>
      </c>
      <c r="E757" s="5">
        <v>46270</v>
      </c>
      <c r="F757" t="s">
        <v>204</v>
      </c>
      <c r="G757" t="s">
        <v>220</v>
      </c>
      <c r="H757">
        <v>799</v>
      </c>
      <c r="I757">
        <v>0</v>
      </c>
      <c r="J757">
        <v>0</v>
      </c>
      <c r="K757">
        <v>799</v>
      </c>
      <c r="L757" s="5">
        <v>46272</v>
      </c>
      <c r="M757" t="s">
        <v>1765</v>
      </c>
      <c r="N757" t="s">
        <v>207</v>
      </c>
      <c r="O757" t="s">
        <v>1846</v>
      </c>
      <c r="P757" t="s">
        <v>208</v>
      </c>
      <c r="Q757" t="s">
        <v>209</v>
      </c>
    </row>
    <row r="758" spans="1:17" x14ac:dyDescent="0.3">
      <c r="A758" t="s">
        <v>1847</v>
      </c>
      <c r="C758" t="s">
        <v>1848</v>
      </c>
      <c r="D758" t="s">
        <v>1848</v>
      </c>
      <c r="E758" s="5">
        <v>46270</v>
      </c>
      <c r="F758" t="s">
        <v>204</v>
      </c>
      <c r="G758" t="s">
        <v>213</v>
      </c>
      <c r="H758">
        <v>1799</v>
      </c>
      <c r="I758">
        <v>32.380000000000003</v>
      </c>
      <c r="J758">
        <v>5.83</v>
      </c>
      <c r="K758">
        <v>1760.79</v>
      </c>
      <c r="L758" s="5">
        <v>46272</v>
      </c>
      <c r="M758" t="s">
        <v>1765</v>
      </c>
      <c r="N758" t="s">
        <v>207</v>
      </c>
      <c r="O758" t="s">
        <v>1848</v>
      </c>
      <c r="P758" t="s">
        <v>208</v>
      </c>
      <c r="Q758" t="s">
        <v>209</v>
      </c>
    </row>
    <row r="759" spans="1:17" x14ac:dyDescent="0.3">
      <c r="A759" t="s">
        <v>1849</v>
      </c>
      <c r="C759" t="s">
        <v>1850</v>
      </c>
      <c r="D759" t="s">
        <v>1850</v>
      </c>
      <c r="E759" s="5">
        <v>46270</v>
      </c>
      <c r="F759" t="s">
        <v>204</v>
      </c>
      <c r="G759" t="s">
        <v>213</v>
      </c>
      <c r="H759">
        <v>799</v>
      </c>
      <c r="I759">
        <v>14.38</v>
      </c>
      <c r="J759">
        <v>2.59</v>
      </c>
      <c r="K759">
        <v>782.03</v>
      </c>
      <c r="L759" s="5">
        <v>46272</v>
      </c>
      <c r="M759" t="s">
        <v>1765</v>
      </c>
      <c r="N759" t="s">
        <v>207</v>
      </c>
      <c r="O759" t="s">
        <v>1850</v>
      </c>
      <c r="P759" t="s">
        <v>208</v>
      </c>
      <c r="Q759" t="s">
        <v>209</v>
      </c>
    </row>
    <row r="760" spans="1:17" x14ac:dyDescent="0.3">
      <c r="A760" t="s">
        <v>1851</v>
      </c>
      <c r="C760" t="s">
        <v>1852</v>
      </c>
      <c r="D760" t="s">
        <v>1852</v>
      </c>
      <c r="E760" s="5">
        <v>46270</v>
      </c>
      <c r="F760" t="s">
        <v>204</v>
      </c>
      <c r="G760" t="s">
        <v>220</v>
      </c>
      <c r="H760">
        <v>1499</v>
      </c>
      <c r="I760">
        <v>0</v>
      </c>
      <c r="J760">
        <v>0</v>
      </c>
      <c r="K760">
        <v>1499</v>
      </c>
      <c r="L760" s="5">
        <v>46272</v>
      </c>
      <c r="M760" t="s">
        <v>1765</v>
      </c>
      <c r="N760" t="s">
        <v>207</v>
      </c>
      <c r="O760" t="s">
        <v>1852</v>
      </c>
      <c r="P760" t="s">
        <v>208</v>
      </c>
      <c r="Q760" t="s">
        <v>209</v>
      </c>
    </row>
    <row r="761" spans="1:17" x14ac:dyDescent="0.3">
      <c r="A761" t="s">
        <v>1853</v>
      </c>
      <c r="C761" t="s">
        <v>1854</v>
      </c>
      <c r="D761" t="s">
        <v>1854</v>
      </c>
      <c r="E761" s="5">
        <v>46270</v>
      </c>
      <c r="F761" t="s">
        <v>204</v>
      </c>
      <c r="G761" t="s">
        <v>220</v>
      </c>
      <c r="H761">
        <v>4498</v>
      </c>
      <c r="I761">
        <v>13.49</v>
      </c>
      <c r="J761">
        <v>2.4300000000000002</v>
      </c>
      <c r="K761">
        <v>4482.08</v>
      </c>
      <c r="L761" s="5">
        <v>46272</v>
      </c>
      <c r="M761" t="s">
        <v>1765</v>
      </c>
      <c r="N761" t="s">
        <v>207</v>
      </c>
      <c r="O761" t="s">
        <v>1854</v>
      </c>
      <c r="P761" t="s">
        <v>208</v>
      </c>
      <c r="Q761" t="s">
        <v>209</v>
      </c>
    </row>
    <row r="762" spans="1:17" x14ac:dyDescent="0.3">
      <c r="A762" t="s">
        <v>1855</v>
      </c>
      <c r="C762" t="s">
        <v>1856</v>
      </c>
      <c r="D762" t="s">
        <v>1857</v>
      </c>
      <c r="E762" s="5">
        <v>46270</v>
      </c>
      <c r="F762" t="s">
        <v>204</v>
      </c>
      <c r="G762" t="s">
        <v>205</v>
      </c>
      <c r="H762">
        <v>5998</v>
      </c>
      <c r="I762">
        <v>101.97</v>
      </c>
      <c r="J762">
        <v>18.350000000000001</v>
      </c>
      <c r="K762">
        <v>5877.68</v>
      </c>
      <c r="L762" s="5">
        <v>46272</v>
      </c>
      <c r="M762" t="s">
        <v>1765</v>
      </c>
      <c r="N762" t="s">
        <v>207</v>
      </c>
      <c r="O762" t="s">
        <v>1857</v>
      </c>
      <c r="P762" t="s">
        <v>208</v>
      </c>
      <c r="Q762" t="s">
        <v>209</v>
      </c>
    </row>
    <row r="763" spans="1:17" x14ac:dyDescent="0.3">
      <c r="A763" t="s">
        <v>1858</v>
      </c>
      <c r="C763" t="s">
        <v>1859</v>
      </c>
      <c r="D763" t="s">
        <v>1859</v>
      </c>
      <c r="E763" s="5">
        <v>46270</v>
      </c>
      <c r="F763" t="s">
        <v>204</v>
      </c>
      <c r="G763" t="s">
        <v>220</v>
      </c>
      <c r="H763">
        <v>3499</v>
      </c>
      <c r="I763">
        <v>10.5</v>
      </c>
      <c r="J763">
        <v>1.89</v>
      </c>
      <c r="K763">
        <v>3486.61</v>
      </c>
      <c r="L763" s="5">
        <v>46272</v>
      </c>
      <c r="M763" t="s">
        <v>1765</v>
      </c>
      <c r="N763" t="s">
        <v>207</v>
      </c>
      <c r="O763" t="s">
        <v>1859</v>
      </c>
      <c r="P763" t="s">
        <v>208</v>
      </c>
      <c r="Q763" t="s">
        <v>209</v>
      </c>
    </row>
    <row r="764" spans="1:17" x14ac:dyDescent="0.3">
      <c r="A764" t="s">
        <v>1860</v>
      </c>
      <c r="C764" t="s">
        <v>1861</v>
      </c>
      <c r="D764" t="s">
        <v>1861</v>
      </c>
      <c r="E764" s="5">
        <v>46270</v>
      </c>
      <c r="F764" t="s">
        <v>204</v>
      </c>
      <c r="G764" t="s">
        <v>213</v>
      </c>
      <c r="H764">
        <v>1799</v>
      </c>
      <c r="I764">
        <v>32.380000000000003</v>
      </c>
      <c r="J764">
        <v>5.83</v>
      </c>
      <c r="K764">
        <v>1760.79</v>
      </c>
      <c r="L764" s="5">
        <v>46272</v>
      </c>
      <c r="M764" t="s">
        <v>1765</v>
      </c>
      <c r="N764" t="s">
        <v>207</v>
      </c>
      <c r="O764" t="s">
        <v>1861</v>
      </c>
      <c r="P764" t="s">
        <v>208</v>
      </c>
      <c r="Q764" t="s">
        <v>209</v>
      </c>
    </row>
    <row r="765" spans="1:17" x14ac:dyDescent="0.3">
      <c r="A765" t="s">
        <v>1862</v>
      </c>
      <c r="C765" t="s">
        <v>1863</v>
      </c>
      <c r="D765" t="s">
        <v>1863</v>
      </c>
      <c r="E765" s="5">
        <v>46270</v>
      </c>
      <c r="F765" t="s">
        <v>204</v>
      </c>
      <c r="G765" t="s">
        <v>205</v>
      </c>
      <c r="H765">
        <v>1098</v>
      </c>
      <c r="I765">
        <v>20.86</v>
      </c>
      <c r="J765">
        <v>3.75</v>
      </c>
      <c r="K765">
        <v>1073.3900000000001</v>
      </c>
      <c r="L765" s="5">
        <v>46272</v>
      </c>
      <c r="M765" t="s">
        <v>1765</v>
      </c>
      <c r="N765" t="s">
        <v>207</v>
      </c>
      <c r="O765" t="s">
        <v>1863</v>
      </c>
      <c r="P765" t="s">
        <v>208</v>
      </c>
      <c r="Q765" t="s">
        <v>209</v>
      </c>
    </row>
    <row r="766" spans="1:17" x14ac:dyDescent="0.3">
      <c r="A766" t="s">
        <v>1864</v>
      </c>
      <c r="C766" t="s">
        <v>1865</v>
      </c>
      <c r="D766" t="s">
        <v>1866</v>
      </c>
      <c r="E766" s="5">
        <v>46270</v>
      </c>
      <c r="F766" t="s">
        <v>204</v>
      </c>
      <c r="G766" t="s">
        <v>220</v>
      </c>
      <c r="H766">
        <v>5797</v>
      </c>
      <c r="I766">
        <v>17.39</v>
      </c>
      <c r="J766">
        <v>3.13</v>
      </c>
      <c r="K766">
        <v>5776.48</v>
      </c>
      <c r="L766" s="5">
        <v>46272</v>
      </c>
      <c r="M766" t="s">
        <v>1765</v>
      </c>
      <c r="N766" t="s">
        <v>207</v>
      </c>
      <c r="O766" t="s">
        <v>1866</v>
      </c>
      <c r="P766" t="s">
        <v>208</v>
      </c>
      <c r="Q766" t="s">
        <v>209</v>
      </c>
    </row>
    <row r="767" spans="1:17" x14ac:dyDescent="0.3">
      <c r="A767" t="s">
        <v>1867</v>
      </c>
      <c r="C767" t="s">
        <v>1868</v>
      </c>
      <c r="D767" t="s">
        <v>1869</v>
      </c>
      <c r="E767" s="5">
        <v>46270</v>
      </c>
      <c r="F767" t="s">
        <v>204</v>
      </c>
      <c r="G767" t="s">
        <v>205</v>
      </c>
      <c r="H767">
        <v>2999</v>
      </c>
      <c r="I767">
        <v>50.98</v>
      </c>
      <c r="J767">
        <v>9.18</v>
      </c>
      <c r="K767">
        <v>2938.84</v>
      </c>
      <c r="L767" s="5">
        <v>46272</v>
      </c>
      <c r="M767" t="s">
        <v>1765</v>
      </c>
      <c r="N767" t="s">
        <v>207</v>
      </c>
      <c r="O767" t="s">
        <v>1869</v>
      </c>
      <c r="P767" t="s">
        <v>208</v>
      </c>
      <c r="Q767" t="s">
        <v>209</v>
      </c>
    </row>
    <row r="768" spans="1:17" x14ac:dyDescent="0.3">
      <c r="A768" t="s">
        <v>1870</v>
      </c>
      <c r="C768" t="s">
        <v>1871</v>
      </c>
      <c r="D768" t="s">
        <v>1872</v>
      </c>
      <c r="E768" s="5">
        <v>46270</v>
      </c>
      <c r="F768" t="s">
        <v>204</v>
      </c>
      <c r="G768" t="s">
        <v>220</v>
      </c>
      <c r="H768">
        <v>6297</v>
      </c>
      <c r="I768">
        <v>18.89</v>
      </c>
      <c r="J768">
        <v>3.4</v>
      </c>
      <c r="K768">
        <v>6274.71</v>
      </c>
      <c r="L768" s="5">
        <v>46272</v>
      </c>
      <c r="M768" t="s">
        <v>1765</v>
      </c>
      <c r="N768" t="s">
        <v>207</v>
      </c>
      <c r="O768" t="s">
        <v>1872</v>
      </c>
      <c r="P768" t="s">
        <v>208</v>
      </c>
      <c r="Q768" t="s">
        <v>209</v>
      </c>
    </row>
    <row r="769" spans="1:17" x14ac:dyDescent="0.3">
      <c r="A769" t="s">
        <v>1873</v>
      </c>
      <c r="C769" t="s">
        <v>1874</v>
      </c>
      <c r="D769" t="s">
        <v>1875</v>
      </c>
      <c r="E769" s="5">
        <v>46270</v>
      </c>
      <c r="F769" t="s">
        <v>204</v>
      </c>
      <c r="G769" t="s">
        <v>205</v>
      </c>
      <c r="H769">
        <v>3499</v>
      </c>
      <c r="I769">
        <v>83.98</v>
      </c>
      <c r="J769">
        <v>15.12</v>
      </c>
      <c r="K769">
        <v>3399.9</v>
      </c>
      <c r="L769" s="5">
        <v>46272</v>
      </c>
      <c r="M769" t="s">
        <v>1765</v>
      </c>
      <c r="N769" t="s">
        <v>207</v>
      </c>
      <c r="O769" t="s">
        <v>1875</v>
      </c>
      <c r="P769" t="s">
        <v>208</v>
      </c>
      <c r="Q769" t="s">
        <v>209</v>
      </c>
    </row>
    <row r="770" spans="1:17" x14ac:dyDescent="0.3">
      <c r="A770" t="s">
        <v>1876</v>
      </c>
      <c r="C770" t="s">
        <v>1877</v>
      </c>
      <c r="D770" t="s">
        <v>1877</v>
      </c>
      <c r="E770" s="5">
        <v>46270</v>
      </c>
      <c r="F770" t="s">
        <v>204</v>
      </c>
      <c r="G770" t="s">
        <v>220</v>
      </c>
      <c r="H770">
        <v>7297</v>
      </c>
      <c r="I770">
        <v>21.89</v>
      </c>
      <c r="J770">
        <v>3.94</v>
      </c>
      <c r="K770">
        <v>7271.17</v>
      </c>
      <c r="L770" s="5">
        <v>46272</v>
      </c>
      <c r="M770" t="s">
        <v>1765</v>
      </c>
      <c r="N770" t="s">
        <v>207</v>
      </c>
      <c r="O770" t="s">
        <v>1877</v>
      </c>
      <c r="P770" t="s">
        <v>208</v>
      </c>
      <c r="Q770" t="s">
        <v>209</v>
      </c>
    </row>
    <row r="771" spans="1:17" x14ac:dyDescent="0.3">
      <c r="A771" t="s">
        <v>1878</v>
      </c>
      <c r="C771" t="s">
        <v>1879</v>
      </c>
      <c r="D771" t="s">
        <v>1879</v>
      </c>
      <c r="E771" s="5">
        <v>46270</v>
      </c>
      <c r="F771" t="s">
        <v>204</v>
      </c>
      <c r="G771" t="s">
        <v>205</v>
      </c>
      <c r="H771">
        <v>4998</v>
      </c>
      <c r="I771">
        <v>84.97</v>
      </c>
      <c r="J771">
        <v>15.29</v>
      </c>
      <c r="K771">
        <v>4897.74</v>
      </c>
      <c r="L771" s="5">
        <v>46272</v>
      </c>
      <c r="M771" t="s">
        <v>1765</v>
      </c>
      <c r="N771" t="s">
        <v>207</v>
      </c>
      <c r="O771" t="s">
        <v>1879</v>
      </c>
      <c r="P771" t="s">
        <v>208</v>
      </c>
      <c r="Q771" t="s">
        <v>209</v>
      </c>
    </row>
    <row r="772" spans="1:17" x14ac:dyDescent="0.3">
      <c r="A772" t="s">
        <v>1880</v>
      </c>
      <c r="C772" t="s">
        <v>1881</v>
      </c>
      <c r="D772" t="s">
        <v>1881</v>
      </c>
      <c r="E772" s="5">
        <v>46270</v>
      </c>
      <c r="F772" t="s">
        <v>204</v>
      </c>
      <c r="G772" t="s">
        <v>220</v>
      </c>
      <c r="H772">
        <v>3499</v>
      </c>
      <c r="I772">
        <v>10.5</v>
      </c>
      <c r="J772">
        <v>1.89</v>
      </c>
      <c r="K772">
        <v>3486.61</v>
      </c>
      <c r="L772" s="5">
        <v>46272</v>
      </c>
      <c r="M772" t="s">
        <v>1765</v>
      </c>
      <c r="N772" t="s">
        <v>207</v>
      </c>
      <c r="O772" t="s">
        <v>1881</v>
      </c>
      <c r="P772" t="s">
        <v>208</v>
      </c>
      <c r="Q772" t="s">
        <v>209</v>
      </c>
    </row>
    <row r="773" spans="1:17" x14ac:dyDescent="0.3">
      <c r="A773" t="s">
        <v>1882</v>
      </c>
      <c r="C773" t="s">
        <v>1883</v>
      </c>
      <c r="D773" t="s">
        <v>1883</v>
      </c>
      <c r="E773" s="5">
        <v>46270</v>
      </c>
      <c r="F773" t="s">
        <v>204</v>
      </c>
      <c r="G773" t="s">
        <v>205</v>
      </c>
      <c r="H773">
        <v>799</v>
      </c>
      <c r="I773">
        <v>15.18</v>
      </c>
      <c r="J773">
        <v>2.73</v>
      </c>
      <c r="K773">
        <v>781.09</v>
      </c>
      <c r="L773" s="5">
        <v>46272</v>
      </c>
      <c r="M773" t="s">
        <v>1765</v>
      </c>
      <c r="N773" t="s">
        <v>207</v>
      </c>
      <c r="O773" t="s">
        <v>1883</v>
      </c>
      <c r="P773" t="s">
        <v>208</v>
      </c>
      <c r="Q773" t="s">
        <v>209</v>
      </c>
    </row>
    <row r="774" spans="1:17" x14ac:dyDescent="0.3">
      <c r="A774" t="s">
        <v>1884</v>
      </c>
      <c r="C774" t="s">
        <v>1885</v>
      </c>
      <c r="D774" t="s">
        <v>1885</v>
      </c>
      <c r="E774" s="5">
        <v>46270</v>
      </c>
      <c r="F774" t="s">
        <v>204</v>
      </c>
      <c r="G774" t="s">
        <v>220</v>
      </c>
      <c r="H774">
        <v>9147</v>
      </c>
      <c r="I774">
        <v>27.44</v>
      </c>
      <c r="J774">
        <v>4.9400000000000004</v>
      </c>
      <c r="K774">
        <v>9114.6200000000008</v>
      </c>
      <c r="L774" s="5">
        <v>46272</v>
      </c>
      <c r="M774" t="s">
        <v>1765</v>
      </c>
      <c r="N774" t="s">
        <v>207</v>
      </c>
      <c r="O774" t="s">
        <v>1885</v>
      </c>
      <c r="P774" t="s">
        <v>208</v>
      </c>
      <c r="Q774" t="s">
        <v>209</v>
      </c>
    </row>
    <row r="775" spans="1:17" x14ac:dyDescent="0.3">
      <c r="A775" t="s">
        <v>1886</v>
      </c>
      <c r="C775" t="s">
        <v>1887</v>
      </c>
      <c r="D775" t="s">
        <v>1887</v>
      </c>
      <c r="E775" s="5">
        <v>46270</v>
      </c>
      <c r="F775" t="s">
        <v>204</v>
      </c>
      <c r="G775" t="s">
        <v>220</v>
      </c>
      <c r="H775">
        <v>1647</v>
      </c>
      <c r="I775">
        <v>0</v>
      </c>
      <c r="J775">
        <v>0</v>
      </c>
      <c r="K775">
        <v>1647</v>
      </c>
      <c r="L775" s="5">
        <v>46272</v>
      </c>
      <c r="M775" t="s">
        <v>1765</v>
      </c>
      <c r="N775" t="s">
        <v>207</v>
      </c>
      <c r="O775" t="s">
        <v>1887</v>
      </c>
      <c r="P775" t="s">
        <v>208</v>
      </c>
      <c r="Q775" t="s">
        <v>209</v>
      </c>
    </row>
    <row r="776" spans="1:17" x14ac:dyDescent="0.3">
      <c r="A776" t="s">
        <v>1888</v>
      </c>
      <c r="C776" t="s">
        <v>1889</v>
      </c>
      <c r="D776" t="s">
        <v>1889</v>
      </c>
      <c r="E776" s="5">
        <v>46270</v>
      </c>
      <c r="F776" t="s">
        <v>204</v>
      </c>
      <c r="G776" t="s">
        <v>220</v>
      </c>
      <c r="H776">
        <v>1299</v>
      </c>
      <c r="I776">
        <v>0</v>
      </c>
      <c r="J776">
        <v>0</v>
      </c>
      <c r="K776">
        <v>1299</v>
      </c>
      <c r="L776" s="5">
        <v>46272</v>
      </c>
      <c r="M776" t="s">
        <v>1765</v>
      </c>
      <c r="N776" t="s">
        <v>207</v>
      </c>
      <c r="O776" t="s">
        <v>1889</v>
      </c>
      <c r="P776" t="s">
        <v>208</v>
      </c>
      <c r="Q776" t="s">
        <v>209</v>
      </c>
    </row>
    <row r="777" spans="1:17" x14ac:dyDescent="0.3">
      <c r="A777" t="s">
        <v>1890</v>
      </c>
      <c r="C777" t="s">
        <v>1891</v>
      </c>
      <c r="D777" t="s">
        <v>1891</v>
      </c>
      <c r="E777" s="5">
        <v>46270</v>
      </c>
      <c r="F777" t="s">
        <v>204</v>
      </c>
      <c r="G777" t="s">
        <v>213</v>
      </c>
      <c r="H777">
        <v>1198</v>
      </c>
      <c r="I777">
        <v>21.56</v>
      </c>
      <c r="J777">
        <v>3.88</v>
      </c>
      <c r="K777">
        <v>1172.56</v>
      </c>
      <c r="L777" s="5">
        <v>46272</v>
      </c>
      <c r="M777" t="s">
        <v>1765</v>
      </c>
      <c r="N777" t="s">
        <v>207</v>
      </c>
      <c r="O777" t="s">
        <v>1891</v>
      </c>
      <c r="P777" t="s">
        <v>208</v>
      </c>
      <c r="Q777" t="s">
        <v>209</v>
      </c>
    </row>
    <row r="778" spans="1:17" x14ac:dyDescent="0.3">
      <c r="A778" t="s">
        <v>1892</v>
      </c>
      <c r="C778" t="s">
        <v>1893</v>
      </c>
      <c r="D778" t="s">
        <v>1893</v>
      </c>
      <c r="E778" s="5">
        <v>46270</v>
      </c>
      <c r="F778" t="s">
        <v>204</v>
      </c>
      <c r="G778" t="s">
        <v>220</v>
      </c>
      <c r="H778">
        <v>8997</v>
      </c>
      <c r="I778">
        <v>26.99</v>
      </c>
      <c r="J778">
        <v>4.8600000000000003</v>
      </c>
      <c r="K778">
        <v>8965.15</v>
      </c>
      <c r="L778" s="5">
        <v>46272</v>
      </c>
      <c r="M778" t="s">
        <v>1765</v>
      </c>
      <c r="N778" t="s">
        <v>207</v>
      </c>
      <c r="O778" t="s">
        <v>1893</v>
      </c>
      <c r="P778" t="s">
        <v>208</v>
      </c>
      <c r="Q778" t="s">
        <v>209</v>
      </c>
    </row>
    <row r="779" spans="1:17" x14ac:dyDescent="0.3">
      <c r="A779" t="s">
        <v>1894</v>
      </c>
      <c r="C779" t="s">
        <v>1895</v>
      </c>
      <c r="D779" t="s">
        <v>1895</v>
      </c>
      <c r="E779" s="5">
        <v>46270</v>
      </c>
      <c r="F779" t="s">
        <v>204</v>
      </c>
      <c r="G779" t="s">
        <v>255</v>
      </c>
      <c r="H779">
        <v>6347</v>
      </c>
      <c r="I779">
        <v>76.16</v>
      </c>
      <c r="J779">
        <v>13.71</v>
      </c>
      <c r="K779">
        <v>6257.13</v>
      </c>
      <c r="L779" s="5">
        <v>46272</v>
      </c>
      <c r="M779" t="s">
        <v>1765</v>
      </c>
      <c r="N779" t="s">
        <v>207</v>
      </c>
      <c r="O779" t="s">
        <v>1895</v>
      </c>
      <c r="P779" t="s">
        <v>208</v>
      </c>
      <c r="Q779" t="s">
        <v>209</v>
      </c>
    </row>
    <row r="780" spans="1:17" x14ac:dyDescent="0.3">
      <c r="A780" t="s">
        <v>1896</v>
      </c>
      <c r="C780" t="s">
        <v>1897</v>
      </c>
      <c r="D780" t="s">
        <v>1897</v>
      </c>
      <c r="E780" s="5">
        <v>46270</v>
      </c>
      <c r="F780" t="s">
        <v>204</v>
      </c>
      <c r="G780" t="s">
        <v>220</v>
      </c>
      <c r="H780">
        <v>5797</v>
      </c>
      <c r="I780">
        <v>17.39</v>
      </c>
      <c r="J780">
        <v>3.13</v>
      </c>
      <c r="K780">
        <v>5776.48</v>
      </c>
      <c r="L780" s="5">
        <v>46272</v>
      </c>
      <c r="M780" t="s">
        <v>1765</v>
      </c>
      <c r="N780" t="s">
        <v>207</v>
      </c>
      <c r="O780" t="s">
        <v>1897</v>
      </c>
      <c r="P780" t="s">
        <v>208</v>
      </c>
      <c r="Q780" t="s">
        <v>209</v>
      </c>
    </row>
    <row r="781" spans="1:17" x14ac:dyDescent="0.3">
      <c r="A781" t="s">
        <v>1898</v>
      </c>
      <c r="C781" t="s">
        <v>1899</v>
      </c>
      <c r="D781" t="s">
        <v>1899</v>
      </c>
      <c r="E781" s="5">
        <v>46270</v>
      </c>
      <c r="F781" t="s">
        <v>204</v>
      </c>
      <c r="G781" t="s">
        <v>213</v>
      </c>
      <c r="H781">
        <v>4999</v>
      </c>
      <c r="I781">
        <v>79.98</v>
      </c>
      <c r="J781">
        <v>14.4</v>
      </c>
      <c r="K781">
        <v>4904.62</v>
      </c>
      <c r="L781" s="5">
        <v>46272</v>
      </c>
      <c r="M781" t="s">
        <v>1765</v>
      </c>
      <c r="N781" t="s">
        <v>207</v>
      </c>
      <c r="O781" t="s">
        <v>1899</v>
      </c>
      <c r="P781" t="s">
        <v>208</v>
      </c>
      <c r="Q781" t="s">
        <v>209</v>
      </c>
    </row>
    <row r="782" spans="1:17" x14ac:dyDescent="0.3">
      <c r="A782" t="s">
        <v>1900</v>
      </c>
      <c r="C782" t="s">
        <v>1901</v>
      </c>
      <c r="D782" t="s">
        <v>1902</v>
      </c>
      <c r="E782" s="5">
        <v>46270</v>
      </c>
      <c r="F782" t="s">
        <v>204</v>
      </c>
      <c r="G782" t="s">
        <v>213</v>
      </c>
      <c r="H782">
        <v>7999</v>
      </c>
      <c r="I782">
        <v>127.98</v>
      </c>
      <c r="J782">
        <v>23.04</v>
      </c>
      <c r="K782">
        <v>7847.98</v>
      </c>
      <c r="L782" s="5">
        <v>46272</v>
      </c>
      <c r="M782" t="s">
        <v>1765</v>
      </c>
      <c r="N782" t="s">
        <v>207</v>
      </c>
      <c r="O782" t="s">
        <v>1902</v>
      </c>
      <c r="P782" t="s">
        <v>208</v>
      </c>
      <c r="Q782" t="s">
        <v>209</v>
      </c>
    </row>
    <row r="783" spans="1:17" x14ac:dyDescent="0.3">
      <c r="A783" t="s">
        <v>1903</v>
      </c>
      <c r="C783" t="s">
        <v>1904</v>
      </c>
      <c r="D783" t="s">
        <v>1904</v>
      </c>
      <c r="E783" s="5">
        <v>46270</v>
      </c>
      <c r="F783" t="s">
        <v>204</v>
      </c>
      <c r="G783" t="s">
        <v>220</v>
      </c>
      <c r="H783">
        <v>2499</v>
      </c>
      <c r="I783">
        <v>7.5</v>
      </c>
      <c r="J783">
        <v>1.35</v>
      </c>
      <c r="K783">
        <v>2490.15</v>
      </c>
      <c r="L783" s="5">
        <v>46272</v>
      </c>
      <c r="M783" t="s">
        <v>1765</v>
      </c>
      <c r="N783" t="s">
        <v>207</v>
      </c>
      <c r="O783" t="s">
        <v>1904</v>
      </c>
      <c r="P783" t="s">
        <v>208</v>
      </c>
      <c r="Q783" t="s">
        <v>209</v>
      </c>
    </row>
    <row r="784" spans="1:17" x14ac:dyDescent="0.3">
      <c r="A784" t="s">
        <v>1905</v>
      </c>
      <c r="C784" t="s">
        <v>1906</v>
      </c>
      <c r="D784" t="s">
        <v>1907</v>
      </c>
      <c r="E784" s="5">
        <v>46270</v>
      </c>
      <c r="F784" t="s">
        <v>204</v>
      </c>
      <c r="G784" t="s">
        <v>213</v>
      </c>
      <c r="H784">
        <v>1799</v>
      </c>
      <c r="I784">
        <v>32.380000000000003</v>
      </c>
      <c r="J784">
        <v>5.83</v>
      </c>
      <c r="K784">
        <v>1760.79</v>
      </c>
      <c r="L784" s="5">
        <v>46272</v>
      </c>
      <c r="M784" t="s">
        <v>1765</v>
      </c>
      <c r="N784" t="s">
        <v>207</v>
      </c>
      <c r="O784" t="s">
        <v>1907</v>
      </c>
      <c r="P784" t="s">
        <v>208</v>
      </c>
      <c r="Q784" t="s">
        <v>209</v>
      </c>
    </row>
    <row r="785" spans="1:17" x14ac:dyDescent="0.3">
      <c r="A785" t="s">
        <v>1908</v>
      </c>
      <c r="C785" t="s">
        <v>1909</v>
      </c>
      <c r="D785" t="s">
        <v>1909</v>
      </c>
      <c r="E785" s="5">
        <v>46270</v>
      </c>
      <c r="F785" t="s">
        <v>204</v>
      </c>
      <c r="G785" t="s">
        <v>220</v>
      </c>
      <c r="H785">
        <v>11797</v>
      </c>
      <c r="I785">
        <v>35.39</v>
      </c>
      <c r="J785">
        <v>6.37</v>
      </c>
      <c r="K785">
        <v>11755.24</v>
      </c>
      <c r="L785" s="5">
        <v>46272</v>
      </c>
      <c r="M785" t="s">
        <v>1765</v>
      </c>
      <c r="N785" t="s">
        <v>207</v>
      </c>
      <c r="O785" t="s">
        <v>1909</v>
      </c>
      <c r="P785" t="s">
        <v>208</v>
      </c>
      <c r="Q785" t="s">
        <v>209</v>
      </c>
    </row>
    <row r="786" spans="1:17" x14ac:dyDescent="0.3">
      <c r="A786" t="s">
        <v>1910</v>
      </c>
      <c r="C786" t="s">
        <v>1911</v>
      </c>
      <c r="D786" t="s">
        <v>1911</v>
      </c>
      <c r="E786" s="5">
        <v>46270</v>
      </c>
      <c r="F786" t="s">
        <v>204</v>
      </c>
      <c r="G786" t="s">
        <v>213</v>
      </c>
      <c r="H786">
        <v>3499</v>
      </c>
      <c r="I786">
        <v>55.98</v>
      </c>
      <c r="J786">
        <v>10.08</v>
      </c>
      <c r="K786">
        <v>3432.94</v>
      </c>
      <c r="L786" s="5">
        <v>46272</v>
      </c>
      <c r="M786" t="s">
        <v>1765</v>
      </c>
      <c r="N786" t="s">
        <v>207</v>
      </c>
      <c r="O786" t="s">
        <v>1911</v>
      </c>
      <c r="P786" t="s">
        <v>208</v>
      </c>
      <c r="Q786" t="s">
        <v>209</v>
      </c>
    </row>
    <row r="787" spans="1:17" x14ac:dyDescent="0.3">
      <c r="A787" t="s">
        <v>1912</v>
      </c>
      <c r="C787" t="s">
        <v>1913</v>
      </c>
      <c r="D787" t="s">
        <v>1913</v>
      </c>
      <c r="E787" s="5">
        <v>46270</v>
      </c>
      <c r="F787" t="s">
        <v>204</v>
      </c>
      <c r="G787" t="s">
        <v>220</v>
      </c>
      <c r="H787">
        <v>3499</v>
      </c>
      <c r="I787">
        <v>10.5</v>
      </c>
      <c r="J787">
        <v>1.89</v>
      </c>
      <c r="K787">
        <v>3486.61</v>
      </c>
      <c r="L787" s="5">
        <v>46272</v>
      </c>
      <c r="M787" t="s">
        <v>1765</v>
      </c>
      <c r="N787" t="s">
        <v>207</v>
      </c>
      <c r="O787" t="s">
        <v>1913</v>
      </c>
      <c r="P787" t="s">
        <v>208</v>
      </c>
      <c r="Q787" t="s">
        <v>209</v>
      </c>
    </row>
    <row r="788" spans="1:17" x14ac:dyDescent="0.3">
      <c r="A788" t="s">
        <v>1914</v>
      </c>
      <c r="C788" t="s">
        <v>1915</v>
      </c>
      <c r="D788" t="s">
        <v>1915</v>
      </c>
      <c r="E788" s="5">
        <v>46270</v>
      </c>
      <c r="F788" t="s">
        <v>204</v>
      </c>
      <c r="G788" t="s">
        <v>213</v>
      </c>
      <c r="H788">
        <v>1497</v>
      </c>
      <c r="I788">
        <v>26.95</v>
      </c>
      <c r="J788">
        <v>4.8499999999999996</v>
      </c>
      <c r="K788">
        <v>1465.2</v>
      </c>
      <c r="L788" s="5">
        <v>46272</v>
      </c>
      <c r="M788" t="s">
        <v>1765</v>
      </c>
      <c r="N788" t="s">
        <v>207</v>
      </c>
      <c r="O788" t="s">
        <v>1915</v>
      </c>
      <c r="P788" t="s">
        <v>208</v>
      </c>
      <c r="Q788" t="s">
        <v>209</v>
      </c>
    </row>
    <row r="789" spans="1:17" x14ac:dyDescent="0.3">
      <c r="A789" t="s">
        <v>1916</v>
      </c>
      <c r="C789" t="s">
        <v>1917</v>
      </c>
      <c r="D789" t="s">
        <v>1918</v>
      </c>
      <c r="E789" s="5">
        <v>46270</v>
      </c>
      <c r="F789" t="s">
        <v>204</v>
      </c>
      <c r="G789" t="s">
        <v>220</v>
      </c>
      <c r="H789">
        <v>3348</v>
      </c>
      <c r="I789">
        <v>10.039999999999999</v>
      </c>
      <c r="J789">
        <v>1.81</v>
      </c>
      <c r="K789">
        <v>3336.15</v>
      </c>
      <c r="L789" s="5">
        <v>46272</v>
      </c>
      <c r="M789" t="s">
        <v>1765</v>
      </c>
      <c r="N789" t="s">
        <v>207</v>
      </c>
      <c r="O789" t="s">
        <v>1918</v>
      </c>
      <c r="P789" t="s">
        <v>208</v>
      </c>
      <c r="Q789" t="s">
        <v>209</v>
      </c>
    </row>
    <row r="790" spans="1:17" x14ac:dyDescent="0.3">
      <c r="A790" t="s">
        <v>1919</v>
      </c>
      <c r="C790" t="s">
        <v>1920</v>
      </c>
      <c r="D790" t="s">
        <v>1920</v>
      </c>
      <c r="E790" s="5">
        <v>46270</v>
      </c>
      <c r="F790" t="s">
        <v>204</v>
      </c>
      <c r="G790" t="s">
        <v>220</v>
      </c>
      <c r="H790">
        <v>2347</v>
      </c>
      <c r="I790">
        <v>7.04</v>
      </c>
      <c r="J790">
        <v>1.27</v>
      </c>
      <c r="K790">
        <v>2338.69</v>
      </c>
      <c r="L790" s="5">
        <v>46272</v>
      </c>
      <c r="M790" t="s">
        <v>1765</v>
      </c>
      <c r="N790" t="s">
        <v>207</v>
      </c>
      <c r="O790" t="s">
        <v>1920</v>
      </c>
      <c r="P790" t="s">
        <v>208</v>
      </c>
      <c r="Q790" t="s">
        <v>209</v>
      </c>
    </row>
    <row r="791" spans="1:17" x14ac:dyDescent="0.3">
      <c r="A791" t="s">
        <v>1921</v>
      </c>
      <c r="C791" t="s">
        <v>1922</v>
      </c>
      <c r="D791" t="s">
        <v>1922</v>
      </c>
      <c r="E791" s="5">
        <v>46270</v>
      </c>
      <c r="F791" t="s">
        <v>204</v>
      </c>
      <c r="G791" t="s">
        <v>213</v>
      </c>
      <c r="H791">
        <v>299</v>
      </c>
      <c r="I791">
        <v>5.38</v>
      </c>
      <c r="J791">
        <v>0.97</v>
      </c>
      <c r="K791">
        <v>292.64999999999998</v>
      </c>
      <c r="L791" s="5">
        <v>46272</v>
      </c>
      <c r="M791" t="s">
        <v>1765</v>
      </c>
      <c r="N791" t="s">
        <v>207</v>
      </c>
      <c r="O791" t="s">
        <v>1922</v>
      </c>
      <c r="P791" t="s">
        <v>208</v>
      </c>
      <c r="Q791" t="s">
        <v>209</v>
      </c>
    </row>
    <row r="792" spans="1:17" x14ac:dyDescent="0.3">
      <c r="A792" t="s">
        <v>1923</v>
      </c>
      <c r="C792" t="s">
        <v>1924</v>
      </c>
      <c r="D792" t="s">
        <v>1924</v>
      </c>
      <c r="E792" s="5">
        <v>46270</v>
      </c>
      <c r="F792" t="s">
        <v>204</v>
      </c>
      <c r="G792" t="s">
        <v>220</v>
      </c>
      <c r="H792">
        <v>1299</v>
      </c>
      <c r="I792">
        <v>0</v>
      </c>
      <c r="J792">
        <v>0</v>
      </c>
      <c r="K792">
        <v>1299</v>
      </c>
      <c r="L792" s="5">
        <v>46272</v>
      </c>
      <c r="M792" t="s">
        <v>1765</v>
      </c>
      <c r="N792" t="s">
        <v>207</v>
      </c>
      <c r="O792" t="s">
        <v>1924</v>
      </c>
      <c r="P792" t="s">
        <v>208</v>
      </c>
      <c r="Q792" t="s">
        <v>209</v>
      </c>
    </row>
    <row r="793" spans="1:17" x14ac:dyDescent="0.3">
      <c r="A793" t="s">
        <v>1925</v>
      </c>
      <c r="C793" t="s">
        <v>1926</v>
      </c>
      <c r="D793" t="s">
        <v>1926</v>
      </c>
      <c r="E793" s="5">
        <v>46270</v>
      </c>
      <c r="F793" t="s">
        <v>204</v>
      </c>
      <c r="G793" t="s">
        <v>220</v>
      </c>
      <c r="H793">
        <v>1648</v>
      </c>
      <c r="I793">
        <v>0</v>
      </c>
      <c r="J793">
        <v>0</v>
      </c>
      <c r="K793">
        <v>1648</v>
      </c>
      <c r="L793" s="5">
        <v>46272</v>
      </c>
      <c r="M793" t="s">
        <v>1765</v>
      </c>
      <c r="N793" t="s">
        <v>207</v>
      </c>
      <c r="O793" t="s">
        <v>1926</v>
      </c>
      <c r="P793" t="s">
        <v>208</v>
      </c>
      <c r="Q793" t="s">
        <v>209</v>
      </c>
    </row>
    <row r="794" spans="1:17" x14ac:dyDescent="0.3">
      <c r="A794" t="s">
        <v>1927</v>
      </c>
      <c r="C794" t="s">
        <v>1928</v>
      </c>
      <c r="D794" t="s">
        <v>1928</v>
      </c>
      <c r="E794" s="5">
        <v>46270</v>
      </c>
      <c r="F794" t="s">
        <v>204</v>
      </c>
      <c r="G794" t="s">
        <v>213</v>
      </c>
      <c r="H794">
        <v>7999</v>
      </c>
      <c r="I794">
        <v>127.98</v>
      </c>
      <c r="J794">
        <v>23.04</v>
      </c>
      <c r="K794">
        <v>7847.98</v>
      </c>
      <c r="L794" s="5">
        <v>46272</v>
      </c>
      <c r="M794" t="s">
        <v>1765</v>
      </c>
      <c r="N794" t="s">
        <v>207</v>
      </c>
      <c r="O794" t="s">
        <v>1928</v>
      </c>
      <c r="P794" t="s">
        <v>208</v>
      </c>
      <c r="Q794" t="s">
        <v>209</v>
      </c>
    </row>
    <row r="795" spans="1:17" x14ac:dyDescent="0.3">
      <c r="A795" t="s">
        <v>1929</v>
      </c>
      <c r="C795" t="s">
        <v>1930</v>
      </c>
      <c r="D795" t="s">
        <v>1930</v>
      </c>
      <c r="E795" s="5">
        <v>46270</v>
      </c>
      <c r="F795" t="s">
        <v>204</v>
      </c>
      <c r="G795" t="s">
        <v>205</v>
      </c>
      <c r="H795">
        <v>4999</v>
      </c>
      <c r="I795">
        <v>84.98</v>
      </c>
      <c r="J795">
        <v>15.3</v>
      </c>
      <c r="K795">
        <v>4898.72</v>
      </c>
      <c r="L795" s="5">
        <v>46272</v>
      </c>
      <c r="M795" t="s">
        <v>1765</v>
      </c>
      <c r="N795" t="s">
        <v>207</v>
      </c>
      <c r="O795" t="s">
        <v>1930</v>
      </c>
      <c r="P795" t="s">
        <v>208</v>
      </c>
      <c r="Q795" t="s">
        <v>209</v>
      </c>
    </row>
    <row r="796" spans="1:17" x14ac:dyDescent="0.3">
      <c r="A796" t="s">
        <v>1931</v>
      </c>
      <c r="C796" t="s">
        <v>1932</v>
      </c>
      <c r="D796" t="s">
        <v>1932</v>
      </c>
      <c r="E796" s="5">
        <v>46270</v>
      </c>
      <c r="F796" t="s">
        <v>204</v>
      </c>
      <c r="G796" t="s">
        <v>220</v>
      </c>
      <c r="H796">
        <v>1348</v>
      </c>
      <c r="I796">
        <v>0</v>
      </c>
      <c r="J796">
        <v>0</v>
      </c>
      <c r="K796">
        <v>1348</v>
      </c>
      <c r="L796" s="5">
        <v>46272</v>
      </c>
      <c r="M796" t="s">
        <v>1765</v>
      </c>
      <c r="N796" t="s">
        <v>207</v>
      </c>
      <c r="O796" t="s">
        <v>1932</v>
      </c>
      <c r="P796" t="s">
        <v>208</v>
      </c>
      <c r="Q796" t="s">
        <v>209</v>
      </c>
    </row>
    <row r="797" spans="1:17" x14ac:dyDescent="0.3">
      <c r="A797" t="s">
        <v>1933</v>
      </c>
      <c r="C797" t="s">
        <v>1934</v>
      </c>
      <c r="D797" t="s">
        <v>1934</v>
      </c>
      <c r="E797" s="5">
        <v>46270</v>
      </c>
      <c r="F797" t="s">
        <v>204</v>
      </c>
      <c r="G797" t="s">
        <v>220</v>
      </c>
      <c r="H797">
        <v>3998</v>
      </c>
      <c r="I797">
        <v>11.99</v>
      </c>
      <c r="J797">
        <v>2.16</v>
      </c>
      <c r="K797">
        <v>3983.85</v>
      </c>
      <c r="L797" s="5">
        <v>46272</v>
      </c>
      <c r="M797" t="s">
        <v>1765</v>
      </c>
      <c r="N797" t="s">
        <v>207</v>
      </c>
      <c r="O797" t="s">
        <v>1934</v>
      </c>
      <c r="P797" t="s">
        <v>208</v>
      </c>
      <c r="Q797" t="s">
        <v>209</v>
      </c>
    </row>
    <row r="798" spans="1:17" x14ac:dyDescent="0.3">
      <c r="A798" t="s">
        <v>1935</v>
      </c>
      <c r="C798" t="s">
        <v>1936</v>
      </c>
      <c r="D798" t="s">
        <v>1936</v>
      </c>
      <c r="E798" s="5">
        <v>46270</v>
      </c>
      <c r="F798" t="s">
        <v>204</v>
      </c>
      <c r="G798" t="s">
        <v>220</v>
      </c>
      <c r="H798">
        <v>349</v>
      </c>
      <c r="I798">
        <v>0</v>
      </c>
      <c r="J798">
        <v>0</v>
      </c>
      <c r="K798">
        <v>349</v>
      </c>
      <c r="L798" s="5">
        <v>46272</v>
      </c>
      <c r="M798" t="s">
        <v>1765</v>
      </c>
      <c r="N798" t="s">
        <v>207</v>
      </c>
      <c r="O798" t="s">
        <v>1936</v>
      </c>
      <c r="P798" t="s">
        <v>208</v>
      </c>
      <c r="Q798" t="s">
        <v>209</v>
      </c>
    </row>
    <row r="799" spans="1:17" x14ac:dyDescent="0.3">
      <c r="A799" t="s">
        <v>1937</v>
      </c>
      <c r="C799" t="s">
        <v>1938</v>
      </c>
      <c r="D799" t="s">
        <v>1938</v>
      </c>
      <c r="E799" s="5">
        <v>46270</v>
      </c>
      <c r="F799" t="s">
        <v>204</v>
      </c>
      <c r="G799" t="s">
        <v>213</v>
      </c>
      <c r="H799">
        <v>2499</v>
      </c>
      <c r="I799">
        <v>39.979999999999997</v>
      </c>
      <c r="J799">
        <v>7.2</v>
      </c>
      <c r="K799">
        <v>2451.8200000000002</v>
      </c>
      <c r="L799" s="5">
        <v>46272</v>
      </c>
      <c r="M799" t="s">
        <v>1765</v>
      </c>
      <c r="N799" t="s">
        <v>207</v>
      </c>
      <c r="O799" t="s">
        <v>1938</v>
      </c>
      <c r="P799" t="s">
        <v>208</v>
      </c>
      <c r="Q799" t="s">
        <v>209</v>
      </c>
    </row>
    <row r="800" spans="1:17" x14ac:dyDescent="0.3">
      <c r="A800" t="s">
        <v>1939</v>
      </c>
      <c r="C800" t="s">
        <v>1940</v>
      </c>
      <c r="D800" t="s">
        <v>1940</v>
      </c>
      <c r="E800" s="5">
        <v>46270</v>
      </c>
      <c r="F800" t="s">
        <v>204</v>
      </c>
      <c r="G800" t="s">
        <v>213</v>
      </c>
      <c r="H800">
        <v>7097</v>
      </c>
      <c r="I800">
        <v>113.55</v>
      </c>
      <c r="J800">
        <v>20.440000000000001</v>
      </c>
      <c r="K800">
        <v>6963.01</v>
      </c>
      <c r="L800" s="5">
        <v>46272</v>
      </c>
      <c r="M800" t="s">
        <v>1765</v>
      </c>
      <c r="N800" t="s">
        <v>207</v>
      </c>
      <c r="O800" t="s">
        <v>1940</v>
      </c>
      <c r="P800" t="s">
        <v>208</v>
      </c>
      <c r="Q800" t="s">
        <v>209</v>
      </c>
    </row>
    <row r="801" spans="1:17" x14ac:dyDescent="0.3">
      <c r="A801" t="s">
        <v>1941</v>
      </c>
      <c r="C801" t="s">
        <v>1942</v>
      </c>
      <c r="D801" t="s">
        <v>1942</v>
      </c>
      <c r="E801" s="5">
        <v>46270</v>
      </c>
      <c r="F801" t="s">
        <v>204</v>
      </c>
      <c r="G801" t="s">
        <v>220</v>
      </c>
      <c r="H801">
        <v>1147</v>
      </c>
      <c r="I801">
        <v>0</v>
      </c>
      <c r="J801">
        <v>0</v>
      </c>
      <c r="K801">
        <v>1147</v>
      </c>
      <c r="L801" s="5">
        <v>46272</v>
      </c>
      <c r="M801" t="s">
        <v>1765</v>
      </c>
      <c r="N801" t="s">
        <v>207</v>
      </c>
      <c r="O801" t="s">
        <v>1942</v>
      </c>
      <c r="P801" t="s">
        <v>208</v>
      </c>
      <c r="Q801" t="s">
        <v>209</v>
      </c>
    </row>
    <row r="802" spans="1:17" x14ac:dyDescent="0.3">
      <c r="A802" t="s">
        <v>1943</v>
      </c>
      <c r="C802" t="s">
        <v>1944</v>
      </c>
      <c r="D802" t="s">
        <v>1944</v>
      </c>
      <c r="E802" s="5">
        <v>46270</v>
      </c>
      <c r="F802" t="s">
        <v>204</v>
      </c>
      <c r="G802" t="s">
        <v>213</v>
      </c>
      <c r="H802">
        <v>349</v>
      </c>
      <c r="I802">
        <v>6.28</v>
      </c>
      <c r="J802">
        <v>1.1299999999999999</v>
      </c>
      <c r="K802">
        <v>341.59</v>
      </c>
      <c r="L802" s="5">
        <v>46272</v>
      </c>
      <c r="M802" t="s">
        <v>1765</v>
      </c>
      <c r="N802" t="s">
        <v>207</v>
      </c>
      <c r="O802" t="s">
        <v>1944</v>
      </c>
      <c r="P802" t="s">
        <v>208</v>
      </c>
      <c r="Q802" t="s">
        <v>209</v>
      </c>
    </row>
    <row r="803" spans="1:17" x14ac:dyDescent="0.3">
      <c r="A803" t="s">
        <v>1945</v>
      </c>
      <c r="C803" t="s">
        <v>1946</v>
      </c>
      <c r="D803" t="s">
        <v>1946</v>
      </c>
      <c r="E803" s="5">
        <v>46270</v>
      </c>
      <c r="F803" t="s">
        <v>204</v>
      </c>
      <c r="G803" t="s">
        <v>220</v>
      </c>
      <c r="H803">
        <v>7999</v>
      </c>
      <c r="I803">
        <v>24</v>
      </c>
      <c r="J803">
        <v>4.32</v>
      </c>
      <c r="K803">
        <v>7970.68</v>
      </c>
      <c r="L803" s="5">
        <v>46272</v>
      </c>
      <c r="M803" t="s">
        <v>1765</v>
      </c>
      <c r="N803" t="s">
        <v>207</v>
      </c>
      <c r="O803" t="s">
        <v>1946</v>
      </c>
      <c r="P803" t="s">
        <v>208</v>
      </c>
      <c r="Q803" t="s">
        <v>209</v>
      </c>
    </row>
    <row r="804" spans="1:17" x14ac:dyDescent="0.3">
      <c r="A804" t="s">
        <v>1947</v>
      </c>
      <c r="C804" t="s">
        <v>1948</v>
      </c>
      <c r="D804" t="s">
        <v>1949</v>
      </c>
      <c r="E804" s="5">
        <v>46270</v>
      </c>
      <c r="F804" t="s">
        <v>204</v>
      </c>
      <c r="G804" t="s">
        <v>220</v>
      </c>
      <c r="H804">
        <v>4098</v>
      </c>
      <c r="I804">
        <v>12.29</v>
      </c>
      <c r="J804">
        <v>2.21</v>
      </c>
      <c r="K804">
        <v>4083.5</v>
      </c>
      <c r="L804" s="5">
        <v>46272</v>
      </c>
      <c r="M804" t="s">
        <v>1765</v>
      </c>
      <c r="N804" t="s">
        <v>207</v>
      </c>
      <c r="O804" t="s">
        <v>1949</v>
      </c>
      <c r="P804" t="s">
        <v>208</v>
      </c>
      <c r="Q804" t="s">
        <v>209</v>
      </c>
    </row>
    <row r="805" spans="1:17" x14ac:dyDescent="0.3">
      <c r="A805" t="s">
        <v>1950</v>
      </c>
      <c r="C805" t="s">
        <v>1951</v>
      </c>
      <c r="D805" t="s">
        <v>1951</v>
      </c>
      <c r="E805" s="5">
        <v>46270</v>
      </c>
      <c r="F805" t="s">
        <v>204</v>
      </c>
      <c r="G805" t="s">
        <v>255</v>
      </c>
      <c r="H805">
        <v>1499</v>
      </c>
      <c r="I805">
        <v>22.49</v>
      </c>
      <c r="J805">
        <v>4.05</v>
      </c>
      <c r="K805">
        <v>1472.46</v>
      </c>
      <c r="L805" s="5">
        <v>46272</v>
      </c>
      <c r="M805" t="s">
        <v>1765</v>
      </c>
      <c r="N805" t="s">
        <v>207</v>
      </c>
      <c r="O805" t="s">
        <v>1951</v>
      </c>
      <c r="P805" t="s">
        <v>208</v>
      </c>
      <c r="Q805" t="s">
        <v>209</v>
      </c>
    </row>
    <row r="806" spans="1:17" x14ac:dyDescent="0.3">
      <c r="A806" t="s">
        <v>1952</v>
      </c>
      <c r="C806" t="s">
        <v>1953</v>
      </c>
      <c r="D806" t="s">
        <v>1953</v>
      </c>
      <c r="E806" s="5">
        <v>46270</v>
      </c>
      <c r="F806" t="s">
        <v>204</v>
      </c>
      <c r="G806" t="s">
        <v>220</v>
      </c>
      <c r="H806">
        <v>1799</v>
      </c>
      <c r="I806">
        <v>0</v>
      </c>
      <c r="J806">
        <v>0</v>
      </c>
      <c r="K806">
        <v>1799</v>
      </c>
      <c r="L806" s="5">
        <v>46272</v>
      </c>
      <c r="M806" t="s">
        <v>1765</v>
      </c>
      <c r="N806" t="s">
        <v>207</v>
      </c>
      <c r="O806" t="s">
        <v>1953</v>
      </c>
      <c r="P806" t="s">
        <v>208</v>
      </c>
      <c r="Q806" t="s">
        <v>209</v>
      </c>
    </row>
    <row r="807" spans="1:17" x14ac:dyDescent="0.3">
      <c r="A807" t="s">
        <v>1954</v>
      </c>
      <c r="C807" t="s">
        <v>1955</v>
      </c>
      <c r="D807" t="s">
        <v>1955</v>
      </c>
      <c r="E807" s="5">
        <v>46270</v>
      </c>
      <c r="F807" t="s">
        <v>204</v>
      </c>
      <c r="G807" t="s">
        <v>213</v>
      </c>
      <c r="H807">
        <v>4297</v>
      </c>
      <c r="I807">
        <v>68.75</v>
      </c>
      <c r="J807">
        <v>12.38</v>
      </c>
      <c r="K807">
        <v>4215.87</v>
      </c>
      <c r="L807" s="5">
        <v>46272</v>
      </c>
      <c r="M807" t="s">
        <v>1765</v>
      </c>
      <c r="N807" t="s">
        <v>207</v>
      </c>
      <c r="O807" t="s">
        <v>1955</v>
      </c>
      <c r="P807" t="s">
        <v>208</v>
      </c>
      <c r="Q807" t="s">
        <v>209</v>
      </c>
    </row>
    <row r="808" spans="1:17" x14ac:dyDescent="0.3">
      <c r="A808" t="s">
        <v>1956</v>
      </c>
      <c r="C808" t="s">
        <v>1957</v>
      </c>
      <c r="D808" t="s">
        <v>1957</v>
      </c>
      <c r="E808" s="5">
        <v>46270</v>
      </c>
      <c r="F808" t="s">
        <v>204</v>
      </c>
      <c r="G808" t="s">
        <v>213</v>
      </c>
      <c r="H808">
        <v>3499</v>
      </c>
      <c r="I808">
        <v>55.98</v>
      </c>
      <c r="J808">
        <v>10.08</v>
      </c>
      <c r="K808">
        <v>3432.94</v>
      </c>
      <c r="L808" s="5">
        <v>46272</v>
      </c>
      <c r="M808" t="s">
        <v>1765</v>
      </c>
      <c r="N808" t="s">
        <v>207</v>
      </c>
      <c r="O808" t="s">
        <v>1957</v>
      </c>
      <c r="P808" t="s">
        <v>208</v>
      </c>
      <c r="Q808" t="s">
        <v>209</v>
      </c>
    </row>
    <row r="809" spans="1:17" x14ac:dyDescent="0.3">
      <c r="A809" t="s">
        <v>1958</v>
      </c>
      <c r="C809" t="s">
        <v>1959</v>
      </c>
      <c r="D809" t="s">
        <v>1959</v>
      </c>
      <c r="E809" s="5">
        <v>46270</v>
      </c>
      <c r="F809" t="s">
        <v>204</v>
      </c>
      <c r="G809" t="s">
        <v>220</v>
      </c>
      <c r="H809">
        <v>9347</v>
      </c>
      <c r="I809">
        <v>28.04</v>
      </c>
      <c r="J809">
        <v>5.05</v>
      </c>
      <c r="K809">
        <v>9313.91</v>
      </c>
      <c r="L809" s="5">
        <v>46272</v>
      </c>
      <c r="M809" t="s">
        <v>1765</v>
      </c>
      <c r="N809" t="s">
        <v>207</v>
      </c>
      <c r="O809" t="s">
        <v>1959</v>
      </c>
      <c r="P809" t="s">
        <v>208</v>
      </c>
      <c r="Q809" t="s">
        <v>209</v>
      </c>
    </row>
    <row r="810" spans="1:17" x14ac:dyDescent="0.3">
      <c r="A810" t="s">
        <v>1960</v>
      </c>
      <c r="C810" t="s">
        <v>1961</v>
      </c>
      <c r="D810" t="s">
        <v>1961</v>
      </c>
      <c r="E810" s="5">
        <v>46270</v>
      </c>
      <c r="F810" t="s">
        <v>204</v>
      </c>
      <c r="G810" t="s">
        <v>213</v>
      </c>
      <c r="H810">
        <v>499</v>
      </c>
      <c r="I810">
        <v>8.98</v>
      </c>
      <c r="J810">
        <v>1.62</v>
      </c>
      <c r="K810">
        <v>488.4</v>
      </c>
      <c r="L810" s="5">
        <v>46272</v>
      </c>
      <c r="M810" t="s">
        <v>1765</v>
      </c>
      <c r="N810" t="s">
        <v>207</v>
      </c>
      <c r="O810" t="s">
        <v>1961</v>
      </c>
      <c r="P810" t="s">
        <v>208</v>
      </c>
      <c r="Q810" t="s">
        <v>209</v>
      </c>
    </row>
    <row r="811" spans="1:17" x14ac:dyDescent="0.3">
      <c r="A811" t="s">
        <v>1962</v>
      </c>
      <c r="C811" t="s">
        <v>1963</v>
      </c>
      <c r="D811" t="s">
        <v>1963</v>
      </c>
      <c r="E811" s="5">
        <v>46270</v>
      </c>
      <c r="F811" t="s">
        <v>204</v>
      </c>
      <c r="G811" t="s">
        <v>220</v>
      </c>
      <c r="H811">
        <v>1299</v>
      </c>
      <c r="I811">
        <v>0</v>
      </c>
      <c r="J811">
        <v>0</v>
      </c>
      <c r="K811">
        <v>1299</v>
      </c>
      <c r="L811" s="5">
        <v>46272</v>
      </c>
      <c r="M811" t="s">
        <v>1765</v>
      </c>
      <c r="N811" t="s">
        <v>207</v>
      </c>
      <c r="O811" t="s">
        <v>1963</v>
      </c>
      <c r="P811" t="s">
        <v>208</v>
      </c>
      <c r="Q811" t="s">
        <v>209</v>
      </c>
    </row>
    <row r="812" spans="1:17" x14ac:dyDescent="0.3">
      <c r="A812" t="s">
        <v>1964</v>
      </c>
      <c r="C812" t="s">
        <v>1965</v>
      </c>
      <c r="D812" t="s">
        <v>1965</v>
      </c>
      <c r="E812" s="5">
        <v>46270</v>
      </c>
      <c r="F812" t="s">
        <v>204</v>
      </c>
      <c r="G812" t="s">
        <v>205</v>
      </c>
      <c r="H812">
        <v>3098</v>
      </c>
      <c r="I812">
        <v>52.67</v>
      </c>
      <c r="J812">
        <v>9.48</v>
      </c>
      <c r="K812">
        <v>3035.85</v>
      </c>
      <c r="L812" s="5">
        <v>46272</v>
      </c>
      <c r="M812" t="s">
        <v>1765</v>
      </c>
      <c r="N812" t="s">
        <v>207</v>
      </c>
      <c r="O812" t="s">
        <v>1965</v>
      </c>
      <c r="P812" t="s">
        <v>208</v>
      </c>
      <c r="Q812" t="s">
        <v>209</v>
      </c>
    </row>
    <row r="813" spans="1:17" x14ac:dyDescent="0.3">
      <c r="A813" t="s">
        <v>1966</v>
      </c>
      <c r="C813" t="s">
        <v>1967</v>
      </c>
      <c r="D813" t="s">
        <v>1967</v>
      </c>
      <c r="E813" s="5">
        <v>46270</v>
      </c>
      <c r="F813" t="s">
        <v>204</v>
      </c>
      <c r="G813" t="s">
        <v>205</v>
      </c>
      <c r="H813">
        <v>2598</v>
      </c>
      <c r="I813">
        <v>44.17</v>
      </c>
      <c r="J813">
        <v>7.95</v>
      </c>
      <c r="K813">
        <v>2545.88</v>
      </c>
      <c r="L813" s="5">
        <v>46272</v>
      </c>
      <c r="M813" t="s">
        <v>1765</v>
      </c>
      <c r="N813" t="s">
        <v>207</v>
      </c>
      <c r="O813" t="s">
        <v>1967</v>
      </c>
      <c r="P813" t="s">
        <v>208</v>
      </c>
      <c r="Q813" t="s">
        <v>209</v>
      </c>
    </row>
    <row r="814" spans="1:17" x14ac:dyDescent="0.3">
      <c r="A814" t="s">
        <v>1968</v>
      </c>
      <c r="C814" t="s">
        <v>1969</v>
      </c>
      <c r="D814" t="s">
        <v>1970</v>
      </c>
      <c r="E814" s="5">
        <v>46270</v>
      </c>
      <c r="F814" t="s">
        <v>204</v>
      </c>
      <c r="G814" t="s">
        <v>205</v>
      </c>
      <c r="H814">
        <v>2499</v>
      </c>
      <c r="I814">
        <v>42.48</v>
      </c>
      <c r="J814">
        <v>7.65</v>
      </c>
      <c r="K814">
        <v>2448.87</v>
      </c>
      <c r="L814" s="5">
        <v>46272</v>
      </c>
      <c r="M814" t="s">
        <v>1765</v>
      </c>
      <c r="N814" t="s">
        <v>207</v>
      </c>
      <c r="O814" t="s">
        <v>1970</v>
      </c>
      <c r="P814" t="s">
        <v>208</v>
      </c>
      <c r="Q814" t="s">
        <v>209</v>
      </c>
    </row>
    <row r="815" spans="1:17" x14ac:dyDescent="0.3">
      <c r="A815" t="s">
        <v>1971</v>
      </c>
      <c r="C815" t="s">
        <v>1972</v>
      </c>
      <c r="D815" t="s">
        <v>1972</v>
      </c>
      <c r="E815" s="5">
        <v>46270</v>
      </c>
      <c r="F815" t="s">
        <v>204</v>
      </c>
      <c r="G815" t="s">
        <v>220</v>
      </c>
      <c r="H815">
        <v>8348</v>
      </c>
      <c r="I815">
        <v>25.04</v>
      </c>
      <c r="J815">
        <v>4.51</v>
      </c>
      <c r="K815">
        <v>8318.4500000000007</v>
      </c>
      <c r="L815" s="5">
        <v>46272</v>
      </c>
      <c r="M815" t="s">
        <v>1765</v>
      </c>
      <c r="N815" t="s">
        <v>207</v>
      </c>
      <c r="O815" t="s">
        <v>1972</v>
      </c>
      <c r="P815" t="s">
        <v>208</v>
      </c>
      <c r="Q815" t="s">
        <v>209</v>
      </c>
    </row>
    <row r="816" spans="1:17" x14ac:dyDescent="0.3">
      <c r="A816" t="s">
        <v>1973</v>
      </c>
      <c r="C816" t="s">
        <v>1974</v>
      </c>
      <c r="D816" t="s">
        <v>1974</v>
      </c>
      <c r="E816" s="5">
        <v>46270</v>
      </c>
      <c r="F816" t="s">
        <v>204</v>
      </c>
      <c r="G816" t="s">
        <v>220</v>
      </c>
      <c r="H816">
        <v>3499</v>
      </c>
      <c r="I816">
        <v>10.5</v>
      </c>
      <c r="J816">
        <v>1.89</v>
      </c>
      <c r="K816">
        <v>3486.61</v>
      </c>
      <c r="L816" s="5">
        <v>46272</v>
      </c>
      <c r="M816" t="s">
        <v>1765</v>
      </c>
      <c r="N816" t="s">
        <v>207</v>
      </c>
      <c r="O816" t="s">
        <v>1974</v>
      </c>
      <c r="P816" t="s">
        <v>208</v>
      </c>
      <c r="Q816" t="s">
        <v>209</v>
      </c>
    </row>
    <row r="817" spans="1:17" x14ac:dyDescent="0.3">
      <c r="A817" t="s">
        <v>1975</v>
      </c>
      <c r="C817" t="s">
        <v>1976</v>
      </c>
      <c r="D817" t="s">
        <v>1976</v>
      </c>
      <c r="E817" s="5">
        <v>46270</v>
      </c>
      <c r="F817" t="s">
        <v>204</v>
      </c>
      <c r="G817" t="s">
        <v>255</v>
      </c>
      <c r="H817">
        <v>599</v>
      </c>
      <c r="I817">
        <v>8.99</v>
      </c>
      <c r="J817">
        <v>1.62</v>
      </c>
      <c r="K817">
        <v>588.39</v>
      </c>
      <c r="L817" s="5">
        <v>46272</v>
      </c>
      <c r="M817" t="s">
        <v>1765</v>
      </c>
      <c r="N817" t="s">
        <v>207</v>
      </c>
      <c r="O817" t="s">
        <v>1976</v>
      </c>
      <c r="P817" t="s">
        <v>208</v>
      </c>
      <c r="Q817" t="s">
        <v>209</v>
      </c>
    </row>
    <row r="818" spans="1:17" x14ac:dyDescent="0.3">
      <c r="A818" t="s">
        <v>1977</v>
      </c>
      <c r="C818" t="s">
        <v>1978</v>
      </c>
      <c r="D818" t="s">
        <v>1978</v>
      </c>
      <c r="E818" s="5">
        <v>46270</v>
      </c>
      <c r="F818" t="s">
        <v>204</v>
      </c>
      <c r="G818" t="s">
        <v>213</v>
      </c>
      <c r="H818">
        <v>499</v>
      </c>
      <c r="I818">
        <v>8.98</v>
      </c>
      <c r="J818">
        <v>1.62</v>
      </c>
      <c r="K818">
        <v>488.4</v>
      </c>
      <c r="L818" s="5">
        <v>46272</v>
      </c>
      <c r="M818" t="s">
        <v>1765</v>
      </c>
      <c r="N818" t="s">
        <v>207</v>
      </c>
      <c r="O818" t="s">
        <v>1978</v>
      </c>
      <c r="P818" t="s">
        <v>208</v>
      </c>
      <c r="Q818" t="s">
        <v>209</v>
      </c>
    </row>
    <row r="819" spans="1:17" x14ac:dyDescent="0.3">
      <c r="A819" t="s">
        <v>1979</v>
      </c>
      <c r="C819" t="s">
        <v>1980</v>
      </c>
      <c r="D819" t="s">
        <v>1980</v>
      </c>
      <c r="E819" s="5">
        <v>46270</v>
      </c>
      <c r="F819" t="s">
        <v>204</v>
      </c>
      <c r="G819" t="s">
        <v>213</v>
      </c>
      <c r="H819">
        <v>1299</v>
      </c>
      <c r="I819">
        <v>23.38</v>
      </c>
      <c r="J819">
        <v>4.21</v>
      </c>
      <c r="K819">
        <v>1271.4100000000001</v>
      </c>
      <c r="L819" s="5">
        <v>46272</v>
      </c>
      <c r="M819" t="s">
        <v>1765</v>
      </c>
      <c r="N819" t="s">
        <v>207</v>
      </c>
      <c r="O819" t="s">
        <v>1980</v>
      </c>
      <c r="P819" t="s">
        <v>208</v>
      </c>
      <c r="Q819" t="s">
        <v>209</v>
      </c>
    </row>
    <row r="820" spans="1:17" x14ac:dyDescent="0.3">
      <c r="A820" t="s">
        <v>1981</v>
      </c>
      <c r="C820" t="s">
        <v>1982</v>
      </c>
      <c r="D820" t="s">
        <v>1982</v>
      </c>
      <c r="E820" s="5">
        <v>46270</v>
      </c>
      <c r="F820" t="s">
        <v>204</v>
      </c>
      <c r="G820" t="s">
        <v>220</v>
      </c>
      <c r="H820">
        <v>1799</v>
      </c>
      <c r="I820">
        <v>0</v>
      </c>
      <c r="J820">
        <v>0</v>
      </c>
      <c r="K820">
        <v>1799</v>
      </c>
      <c r="L820" s="5">
        <v>46272</v>
      </c>
      <c r="M820" t="s">
        <v>1765</v>
      </c>
      <c r="N820" t="s">
        <v>207</v>
      </c>
      <c r="O820" t="s">
        <v>1982</v>
      </c>
      <c r="P820" t="s">
        <v>208</v>
      </c>
      <c r="Q820" t="s">
        <v>209</v>
      </c>
    </row>
    <row r="821" spans="1:17" x14ac:dyDescent="0.3">
      <c r="A821" t="s">
        <v>1983</v>
      </c>
      <c r="C821" t="s">
        <v>1984</v>
      </c>
      <c r="D821" t="s">
        <v>1985</v>
      </c>
      <c r="E821" s="5">
        <v>46270</v>
      </c>
      <c r="F821" t="s">
        <v>204</v>
      </c>
      <c r="G821" t="s">
        <v>213</v>
      </c>
      <c r="H821">
        <v>999</v>
      </c>
      <c r="I821">
        <v>17.98</v>
      </c>
      <c r="J821">
        <v>3.24</v>
      </c>
      <c r="K821">
        <v>977.78</v>
      </c>
      <c r="L821" s="5">
        <v>46272</v>
      </c>
      <c r="M821" t="s">
        <v>1765</v>
      </c>
      <c r="N821" t="s">
        <v>207</v>
      </c>
      <c r="O821" t="s">
        <v>1985</v>
      </c>
      <c r="P821" t="s">
        <v>208</v>
      </c>
      <c r="Q821" t="s">
        <v>209</v>
      </c>
    </row>
    <row r="822" spans="1:17" x14ac:dyDescent="0.3">
      <c r="A822" t="s">
        <v>1986</v>
      </c>
      <c r="C822" t="s">
        <v>1987</v>
      </c>
      <c r="D822" t="s">
        <v>1987</v>
      </c>
      <c r="E822" s="5">
        <v>46270</v>
      </c>
      <c r="F822" t="s">
        <v>204</v>
      </c>
      <c r="G822" t="s">
        <v>220</v>
      </c>
      <c r="H822">
        <v>1597</v>
      </c>
      <c r="I822">
        <v>0</v>
      </c>
      <c r="J822">
        <v>0</v>
      </c>
      <c r="K822">
        <v>1597</v>
      </c>
      <c r="L822" s="5">
        <v>46272</v>
      </c>
      <c r="M822" t="s">
        <v>1765</v>
      </c>
      <c r="N822" t="s">
        <v>207</v>
      </c>
      <c r="O822" t="s">
        <v>1987</v>
      </c>
      <c r="P822" t="s">
        <v>208</v>
      </c>
      <c r="Q822" t="s">
        <v>209</v>
      </c>
    </row>
    <row r="823" spans="1:17" x14ac:dyDescent="0.3">
      <c r="A823" t="s">
        <v>1988</v>
      </c>
      <c r="C823" t="s">
        <v>1989</v>
      </c>
      <c r="D823" t="s">
        <v>1989</v>
      </c>
      <c r="E823" s="5">
        <v>46270</v>
      </c>
      <c r="F823" t="s">
        <v>204</v>
      </c>
      <c r="G823" t="s">
        <v>205</v>
      </c>
      <c r="H823">
        <v>999</v>
      </c>
      <c r="I823">
        <v>18.98</v>
      </c>
      <c r="J823">
        <v>3.42</v>
      </c>
      <c r="K823">
        <v>976.6</v>
      </c>
      <c r="L823" s="5">
        <v>46272</v>
      </c>
      <c r="M823" t="s">
        <v>1765</v>
      </c>
      <c r="N823" t="s">
        <v>207</v>
      </c>
      <c r="O823" t="s">
        <v>1989</v>
      </c>
      <c r="P823" t="s">
        <v>208</v>
      </c>
      <c r="Q823" t="s">
        <v>209</v>
      </c>
    </row>
    <row r="824" spans="1:17" x14ac:dyDescent="0.3">
      <c r="A824" t="s">
        <v>1990</v>
      </c>
      <c r="C824" t="s">
        <v>1991</v>
      </c>
      <c r="D824" t="s">
        <v>1991</v>
      </c>
      <c r="E824" s="5">
        <v>46270</v>
      </c>
      <c r="F824" t="s">
        <v>204</v>
      </c>
      <c r="G824" t="s">
        <v>220</v>
      </c>
      <c r="H824">
        <v>499</v>
      </c>
      <c r="I824">
        <v>0</v>
      </c>
      <c r="J824">
        <v>0</v>
      </c>
      <c r="K824">
        <v>499</v>
      </c>
      <c r="L824" s="5">
        <v>46272</v>
      </c>
      <c r="M824" t="s">
        <v>1765</v>
      </c>
      <c r="N824" t="s">
        <v>207</v>
      </c>
      <c r="O824" t="s">
        <v>1991</v>
      </c>
      <c r="P824" t="s">
        <v>208</v>
      </c>
      <c r="Q824" t="s">
        <v>209</v>
      </c>
    </row>
    <row r="825" spans="1:17" x14ac:dyDescent="0.3">
      <c r="A825" t="s">
        <v>1992</v>
      </c>
      <c r="C825" t="s">
        <v>1993</v>
      </c>
      <c r="D825" t="s">
        <v>1993</v>
      </c>
      <c r="E825" s="5">
        <v>46270</v>
      </c>
      <c r="F825" t="s">
        <v>204</v>
      </c>
      <c r="G825" t="s">
        <v>213</v>
      </c>
      <c r="H825">
        <v>999</v>
      </c>
      <c r="I825">
        <v>17.98</v>
      </c>
      <c r="J825">
        <v>3.24</v>
      </c>
      <c r="K825">
        <v>977.78</v>
      </c>
      <c r="L825" s="5">
        <v>46272</v>
      </c>
      <c r="M825" t="s">
        <v>1765</v>
      </c>
      <c r="N825" t="s">
        <v>207</v>
      </c>
      <c r="O825" t="s">
        <v>1993</v>
      </c>
      <c r="P825" t="s">
        <v>208</v>
      </c>
      <c r="Q825" t="s">
        <v>209</v>
      </c>
    </row>
    <row r="826" spans="1:17" x14ac:dyDescent="0.3">
      <c r="A826" t="s">
        <v>1994</v>
      </c>
      <c r="C826" t="s">
        <v>1995</v>
      </c>
      <c r="D826" t="s">
        <v>1995</v>
      </c>
      <c r="E826" s="5">
        <v>46270</v>
      </c>
      <c r="F826" t="s">
        <v>204</v>
      </c>
      <c r="G826" t="s">
        <v>213</v>
      </c>
      <c r="H826">
        <v>2999</v>
      </c>
      <c r="I826">
        <v>47.98</v>
      </c>
      <c r="J826">
        <v>8.64</v>
      </c>
      <c r="K826">
        <v>2942.38</v>
      </c>
      <c r="L826" s="5">
        <v>46272</v>
      </c>
      <c r="M826" t="s">
        <v>1765</v>
      </c>
      <c r="N826" t="s">
        <v>207</v>
      </c>
      <c r="O826" t="s">
        <v>1995</v>
      </c>
      <c r="P826" t="s">
        <v>208</v>
      </c>
      <c r="Q826" t="s">
        <v>209</v>
      </c>
    </row>
    <row r="827" spans="1:17" x14ac:dyDescent="0.3">
      <c r="A827" t="s">
        <v>1996</v>
      </c>
      <c r="C827" t="s">
        <v>1997</v>
      </c>
      <c r="D827" t="s">
        <v>1997</v>
      </c>
      <c r="E827" s="5">
        <v>46270</v>
      </c>
      <c r="F827" t="s">
        <v>204</v>
      </c>
      <c r="G827" t="s">
        <v>220</v>
      </c>
      <c r="H827">
        <v>12998</v>
      </c>
      <c r="I827">
        <v>38.99</v>
      </c>
      <c r="J827">
        <v>7.02</v>
      </c>
      <c r="K827">
        <v>12951.99</v>
      </c>
      <c r="L827" s="5">
        <v>46272</v>
      </c>
      <c r="M827" t="s">
        <v>1765</v>
      </c>
      <c r="N827" t="s">
        <v>207</v>
      </c>
      <c r="O827" t="s">
        <v>1997</v>
      </c>
      <c r="P827" t="s">
        <v>208</v>
      </c>
      <c r="Q827" t="s">
        <v>209</v>
      </c>
    </row>
    <row r="828" spans="1:17" x14ac:dyDescent="0.3">
      <c r="A828" t="s">
        <v>1998</v>
      </c>
      <c r="C828" t="s">
        <v>1999</v>
      </c>
      <c r="D828" t="s">
        <v>1999</v>
      </c>
      <c r="E828" s="5">
        <v>46270</v>
      </c>
      <c r="F828" t="s">
        <v>204</v>
      </c>
      <c r="G828" t="s">
        <v>220</v>
      </c>
      <c r="H828">
        <v>799</v>
      </c>
      <c r="I828">
        <v>0</v>
      </c>
      <c r="J828">
        <v>0</v>
      </c>
      <c r="K828">
        <v>799</v>
      </c>
      <c r="L828" s="5">
        <v>46272</v>
      </c>
      <c r="M828" t="s">
        <v>1765</v>
      </c>
      <c r="N828" t="s">
        <v>207</v>
      </c>
      <c r="O828" t="s">
        <v>1999</v>
      </c>
      <c r="P828" t="s">
        <v>208</v>
      </c>
      <c r="Q828" t="s">
        <v>209</v>
      </c>
    </row>
    <row r="829" spans="1:17" x14ac:dyDescent="0.3">
      <c r="A829" t="s">
        <v>2000</v>
      </c>
      <c r="C829" t="s">
        <v>2001</v>
      </c>
      <c r="D829" t="s">
        <v>2001</v>
      </c>
      <c r="E829" s="5">
        <v>46270</v>
      </c>
      <c r="F829" t="s">
        <v>204</v>
      </c>
      <c r="G829" t="s">
        <v>213</v>
      </c>
      <c r="H829">
        <v>999</v>
      </c>
      <c r="I829">
        <v>17.98</v>
      </c>
      <c r="J829">
        <v>3.24</v>
      </c>
      <c r="K829">
        <v>977.78</v>
      </c>
      <c r="L829" s="5">
        <v>46272</v>
      </c>
      <c r="M829" t="s">
        <v>1765</v>
      </c>
      <c r="N829" t="s">
        <v>207</v>
      </c>
      <c r="O829" t="s">
        <v>2001</v>
      </c>
      <c r="P829" t="s">
        <v>208</v>
      </c>
      <c r="Q829" t="s">
        <v>209</v>
      </c>
    </row>
    <row r="830" spans="1:17" x14ac:dyDescent="0.3">
      <c r="A830" t="s">
        <v>2002</v>
      </c>
      <c r="C830" t="s">
        <v>2003</v>
      </c>
      <c r="D830" t="s">
        <v>2003</v>
      </c>
      <c r="E830" s="5">
        <v>46270</v>
      </c>
      <c r="F830" t="s">
        <v>204</v>
      </c>
      <c r="G830" t="s">
        <v>213</v>
      </c>
      <c r="H830">
        <v>599</v>
      </c>
      <c r="I830">
        <v>10.78</v>
      </c>
      <c r="J830">
        <v>1.94</v>
      </c>
      <c r="K830">
        <v>586.28</v>
      </c>
      <c r="L830" s="5">
        <v>46272</v>
      </c>
      <c r="M830" t="s">
        <v>1765</v>
      </c>
      <c r="N830" t="s">
        <v>207</v>
      </c>
      <c r="O830" t="s">
        <v>2003</v>
      </c>
      <c r="P830" t="s">
        <v>208</v>
      </c>
      <c r="Q830" t="s">
        <v>209</v>
      </c>
    </row>
    <row r="831" spans="1:17" x14ac:dyDescent="0.3">
      <c r="A831" t="s">
        <v>2004</v>
      </c>
      <c r="C831" t="s">
        <v>2005</v>
      </c>
      <c r="D831" t="s">
        <v>2005</v>
      </c>
      <c r="E831" s="5">
        <v>46270</v>
      </c>
      <c r="F831" t="s">
        <v>204</v>
      </c>
      <c r="G831" t="s">
        <v>255</v>
      </c>
      <c r="H831">
        <v>10497</v>
      </c>
      <c r="I831">
        <v>94.47</v>
      </c>
      <c r="J831">
        <v>17</v>
      </c>
      <c r="K831">
        <v>10385.530000000001</v>
      </c>
      <c r="L831" s="5">
        <v>46272</v>
      </c>
      <c r="M831" t="s">
        <v>1765</v>
      </c>
      <c r="N831" t="s">
        <v>207</v>
      </c>
      <c r="O831" t="s">
        <v>2005</v>
      </c>
      <c r="P831" t="s">
        <v>208</v>
      </c>
      <c r="Q831" t="s">
        <v>209</v>
      </c>
    </row>
    <row r="832" spans="1:17" x14ac:dyDescent="0.3">
      <c r="A832" t="s">
        <v>2006</v>
      </c>
      <c r="C832" t="s">
        <v>2007</v>
      </c>
      <c r="D832" t="s">
        <v>2007</v>
      </c>
      <c r="E832" s="5">
        <v>46270</v>
      </c>
      <c r="F832" t="s">
        <v>204</v>
      </c>
      <c r="G832" t="s">
        <v>220</v>
      </c>
      <c r="H832">
        <v>8348</v>
      </c>
      <c r="I832">
        <v>25.04</v>
      </c>
      <c r="J832">
        <v>4.51</v>
      </c>
      <c r="K832">
        <v>8318.4500000000007</v>
      </c>
      <c r="L832" s="5">
        <v>46272</v>
      </c>
      <c r="M832" t="s">
        <v>1765</v>
      </c>
      <c r="N832" t="s">
        <v>207</v>
      </c>
      <c r="O832" t="s">
        <v>2007</v>
      </c>
      <c r="P832" t="s">
        <v>208</v>
      </c>
      <c r="Q832" t="s">
        <v>209</v>
      </c>
    </row>
    <row r="833" spans="1:17" x14ac:dyDescent="0.3">
      <c r="A833" t="s">
        <v>2008</v>
      </c>
      <c r="C833" t="s">
        <v>2009</v>
      </c>
      <c r="D833" t="s">
        <v>2009</v>
      </c>
      <c r="E833" s="5">
        <v>46270</v>
      </c>
      <c r="F833" t="s">
        <v>204</v>
      </c>
      <c r="G833" t="s">
        <v>220</v>
      </c>
      <c r="H833">
        <v>799</v>
      </c>
      <c r="I833">
        <v>0</v>
      </c>
      <c r="J833">
        <v>0</v>
      </c>
      <c r="K833">
        <v>799</v>
      </c>
      <c r="L833" s="5">
        <v>46272</v>
      </c>
      <c r="M833" t="s">
        <v>1765</v>
      </c>
      <c r="N833" t="s">
        <v>207</v>
      </c>
      <c r="O833" t="s">
        <v>2009</v>
      </c>
      <c r="P833" t="s">
        <v>208</v>
      </c>
      <c r="Q833" t="s">
        <v>209</v>
      </c>
    </row>
    <row r="834" spans="1:17" x14ac:dyDescent="0.3">
      <c r="A834" t="s">
        <v>2010</v>
      </c>
      <c r="C834" t="s">
        <v>2011</v>
      </c>
      <c r="D834" t="s">
        <v>2012</v>
      </c>
      <c r="E834" s="5">
        <v>46270</v>
      </c>
      <c r="F834" t="s">
        <v>204</v>
      </c>
      <c r="G834" t="s">
        <v>213</v>
      </c>
      <c r="H834">
        <v>1299</v>
      </c>
      <c r="I834">
        <v>23.38</v>
      </c>
      <c r="J834">
        <v>4.21</v>
      </c>
      <c r="K834">
        <v>1271.4100000000001</v>
      </c>
      <c r="L834" s="5">
        <v>46272</v>
      </c>
      <c r="M834" t="s">
        <v>1765</v>
      </c>
      <c r="N834" t="s">
        <v>207</v>
      </c>
      <c r="O834" t="s">
        <v>2012</v>
      </c>
      <c r="P834" t="s">
        <v>208</v>
      </c>
      <c r="Q834" t="s">
        <v>209</v>
      </c>
    </row>
    <row r="835" spans="1:17" x14ac:dyDescent="0.3">
      <c r="A835" t="s">
        <v>2013</v>
      </c>
      <c r="C835" t="s">
        <v>2014</v>
      </c>
      <c r="D835" t="s">
        <v>2014</v>
      </c>
      <c r="E835" s="5">
        <v>46270</v>
      </c>
      <c r="F835" t="s">
        <v>204</v>
      </c>
      <c r="G835" t="s">
        <v>220</v>
      </c>
      <c r="H835">
        <v>1499</v>
      </c>
      <c r="I835">
        <v>0</v>
      </c>
      <c r="J835">
        <v>0</v>
      </c>
      <c r="K835">
        <v>1499</v>
      </c>
      <c r="L835" s="5">
        <v>46272</v>
      </c>
      <c r="M835" t="s">
        <v>1765</v>
      </c>
      <c r="N835" t="s">
        <v>207</v>
      </c>
      <c r="O835" t="s">
        <v>2014</v>
      </c>
      <c r="P835" t="s">
        <v>208</v>
      </c>
      <c r="Q835" t="s">
        <v>209</v>
      </c>
    </row>
    <row r="836" spans="1:17" x14ac:dyDescent="0.3">
      <c r="A836" t="s">
        <v>2015</v>
      </c>
      <c r="C836" t="s">
        <v>2016</v>
      </c>
      <c r="D836" t="s">
        <v>2016</v>
      </c>
      <c r="E836" s="5">
        <v>46270</v>
      </c>
      <c r="F836" t="s">
        <v>204</v>
      </c>
      <c r="G836" t="s">
        <v>220</v>
      </c>
      <c r="H836">
        <v>798</v>
      </c>
      <c r="I836">
        <v>0</v>
      </c>
      <c r="J836">
        <v>0</v>
      </c>
      <c r="K836">
        <v>798</v>
      </c>
      <c r="L836" s="5">
        <v>46272</v>
      </c>
      <c r="M836" t="s">
        <v>1765</v>
      </c>
      <c r="N836" t="s">
        <v>207</v>
      </c>
      <c r="O836" t="s">
        <v>2016</v>
      </c>
      <c r="P836" t="s">
        <v>208</v>
      </c>
      <c r="Q836" t="s">
        <v>209</v>
      </c>
    </row>
    <row r="837" spans="1:17" x14ac:dyDescent="0.3">
      <c r="A837" t="s">
        <v>2017</v>
      </c>
      <c r="C837" t="s">
        <v>2018</v>
      </c>
      <c r="D837" t="s">
        <v>2018</v>
      </c>
      <c r="E837" s="5">
        <v>46270</v>
      </c>
      <c r="F837" t="s">
        <v>204</v>
      </c>
      <c r="G837" t="s">
        <v>213</v>
      </c>
      <c r="H837">
        <v>4999</v>
      </c>
      <c r="I837">
        <v>79.98</v>
      </c>
      <c r="J837">
        <v>14.4</v>
      </c>
      <c r="K837">
        <v>4904.62</v>
      </c>
      <c r="L837" s="5">
        <v>46272</v>
      </c>
      <c r="M837" t="s">
        <v>1765</v>
      </c>
      <c r="N837" t="s">
        <v>207</v>
      </c>
      <c r="O837" t="s">
        <v>2018</v>
      </c>
      <c r="P837" t="s">
        <v>208</v>
      </c>
      <c r="Q837" t="s">
        <v>209</v>
      </c>
    </row>
    <row r="838" spans="1:17" x14ac:dyDescent="0.3">
      <c r="A838" t="s">
        <v>2019</v>
      </c>
      <c r="C838" t="s">
        <v>2020</v>
      </c>
      <c r="D838" t="s">
        <v>2020</v>
      </c>
      <c r="E838" s="5">
        <v>46270</v>
      </c>
      <c r="F838" t="s">
        <v>204</v>
      </c>
      <c r="G838" t="s">
        <v>220</v>
      </c>
      <c r="H838">
        <v>599</v>
      </c>
      <c r="I838">
        <v>0</v>
      </c>
      <c r="J838">
        <v>0</v>
      </c>
      <c r="K838">
        <v>599</v>
      </c>
      <c r="L838" s="5">
        <v>46272</v>
      </c>
      <c r="M838" t="s">
        <v>1765</v>
      </c>
      <c r="N838" t="s">
        <v>207</v>
      </c>
      <c r="O838" t="s">
        <v>2020</v>
      </c>
      <c r="P838" t="s">
        <v>208</v>
      </c>
      <c r="Q838" t="s">
        <v>209</v>
      </c>
    </row>
    <row r="839" spans="1:17" x14ac:dyDescent="0.3">
      <c r="A839" t="s">
        <v>2021</v>
      </c>
      <c r="C839" t="s">
        <v>2022</v>
      </c>
      <c r="D839" t="s">
        <v>2022</v>
      </c>
      <c r="E839" s="5">
        <v>46270</v>
      </c>
      <c r="F839" t="s">
        <v>204</v>
      </c>
      <c r="G839" t="s">
        <v>213</v>
      </c>
      <c r="H839">
        <v>1148</v>
      </c>
      <c r="I839">
        <v>20.66</v>
      </c>
      <c r="J839">
        <v>3.72</v>
      </c>
      <c r="K839">
        <v>1123.6199999999999</v>
      </c>
      <c r="L839" s="5">
        <v>46272</v>
      </c>
      <c r="M839" t="s">
        <v>1765</v>
      </c>
      <c r="N839" t="s">
        <v>207</v>
      </c>
      <c r="O839" t="s">
        <v>2022</v>
      </c>
      <c r="P839" t="s">
        <v>208</v>
      </c>
      <c r="Q839" t="s">
        <v>209</v>
      </c>
    </row>
    <row r="840" spans="1:17" x14ac:dyDescent="0.3">
      <c r="A840" t="s">
        <v>2023</v>
      </c>
      <c r="C840" t="s">
        <v>2024</v>
      </c>
      <c r="D840" t="s">
        <v>2025</v>
      </c>
      <c r="E840" s="5">
        <v>46270</v>
      </c>
      <c r="F840" t="s">
        <v>204</v>
      </c>
      <c r="G840" t="s">
        <v>255</v>
      </c>
      <c r="H840">
        <v>1598</v>
      </c>
      <c r="I840">
        <v>23.97</v>
      </c>
      <c r="J840">
        <v>4.3099999999999996</v>
      </c>
      <c r="K840">
        <v>1569.72</v>
      </c>
      <c r="L840" s="5">
        <v>46272</v>
      </c>
      <c r="M840" t="s">
        <v>1765</v>
      </c>
      <c r="N840" t="s">
        <v>207</v>
      </c>
      <c r="O840" t="s">
        <v>2025</v>
      </c>
      <c r="P840" t="s">
        <v>208</v>
      </c>
      <c r="Q840" t="s">
        <v>209</v>
      </c>
    </row>
    <row r="841" spans="1:17" x14ac:dyDescent="0.3">
      <c r="A841" t="s">
        <v>2026</v>
      </c>
      <c r="C841" t="s">
        <v>2027</v>
      </c>
      <c r="D841" t="s">
        <v>2028</v>
      </c>
      <c r="E841" s="5">
        <v>46270</v>
      </c>
      <c r="F841" t="s">
        <v>204</v>
      </c>
      <c r="G841" t="s">
        <v>213</v>
      </c>
      <c r="H841">
        <v>299</v>
      </c>
      <c r="I841">
        <v>5.38</v>
      </c>
      <c r="J841">
        <v>0.97</v>
      </c>
      <c r="K841">
        <v>292.64999999999998</v>
      </c>
      <c r="L841" s="5">
        <v>46272</v>
      </c>
      <c r="M841" t="s">
        <v>1765</v>
      </c>
      <c r="N841" t="s">
        <v>207</v>
      </c>
      <c r="O841" t="s">
        <v>2028</v>
      </c>
      <c r="P841" t="s">
        <v>208</v>
      </c>
      <c r="Q841" t="s">
        <v>209</v>
      </c>
    </row>
    <row r="842" spans="1:17" x14ac:dyDescent="0.3">
      <c r="A842" t="s">
        <v>2029</v>
      </c>
      <c r="C842" t="s">
        <v>2030</v>
      </c>
      <c r="D842" t="s">
        <v>2031</v>
      </c>
      <c r="E842" s="5">
        <v>46270</v>
      </c>
      <c r="F842" t="s">
        <v>204</v>
      </c>
      <c r="G842" t="s">
        <v>213</v>
      </c>
      <c r="H842">
        <v>2499</v>
      </c>
      <c r="I842">
        <v>39.979999999999997</v>
      </c>
      <c r="J842">
        <v>7.2</v>
      </c>
      <c r="K842">
        <v>2451.8200000000002</v>
      </c>
      <c r="L842" s="5">
        <v>46272</v>
      </c>
      <c r="M842" t="s">
        <v>1765</v>
      </c>
      <c r="N842" t="s">
        <v>207</v>
      </c>
      <c r="O842" t="s">
        <v>2031</v>
      </c>
      <c r="P842" t="s">
        <v>208</v>
      </c>
      <c r="Q842" t="s">
        <v>209</v>
      </c>
    </row>
    <row r="843" spans="1:17" x14ac:dyDescent="0.3">
      <c r="A843" t="s">
        <v>2032</v>
      </c>
      <c r="C843" t="s">
        <v>2033</v>
      </c>
      <c r="D843" t="s">
        <v>2033</v>
      </c>
      <c r="E843" s="5">
        <v>46270</v>
      </c>
      <c r="F843" t="s">
        <v>204</v>
      </c>
      <c r="G843" t="s">
        <v>220</v>
      </c>
      <c r="H843">
        <v>3498</v>
      </c>
      <c r="I843">
        <v>10.49</v>
      </c>
      <c r="J843">
        <v>1.89</v>
      </c>
      <c r="K843">
        <v>3485.62</v>
      </c>
      <c r="L843" s="5">
        <v>46272</v>
      </c>
      <c r="M843" t="s">
        <v>1765</v>
      </c>
      <c r="N843" t="s">
        <v>207</v>
      </c>
      <c r="O843" t="s">
        <v>2033</v>
      </c>
      <c r="P843" t="s">
        <v>208</v>
      </c>
      <c r="Q843" t="s">
        <v>209</v>
      </c>
    </row>
    <row r="844" spans="1:17" x14ac:dyDescent="0.3">
      <c r="A844" t="s">
        <v>2034</v>
      </c>
      <c r="C844" t="s">
        <v>2035</v>
      </c>
      <c r="D844" t="s">
        <v>2035</v>
      </c>
      <c r="E844" s="5">
        <v>46270</v>
      </c>
      <c r="F844" t="s">
        <v>204</v>
      </c>
      <c r="G844" t="s">
        <v>220</v>
      </c>
      <c r="H844">
        <v>6347</v>
      </c>
      <c r="I844">
        <v>19.04</v>
      </c>
      <c r="J844">
        <v>3.43</v>
      </c>
      <c r="K844">
        <v>6324.53</v>
      </c>
      <c r="L844" s="5">
        <v>46272</v>
      </c>
      <c r="M844" t="s">
        <v>1765</v>
      </c>
      <c r="N844" t="s">
        <v>207</v>
      </c>
      <c r="O844" t="s">
        <v>2035</v>
      </c>
      <c r="P844" t="s">
        <v>208</v>
      </c>
      <c r="Q844" t="s">
        <v>209</v>
      </c>
    </row>
    <row r="845" spans="1:17" x14ac:dyDescent="0.3">
      <c r="A845" t="s">
        <v>2036</v>
      </c>
      <c r="C845" t="s">
        <v>2037</v>
      </c>
      <c r="D845" t="s">
        <v>2037</v>
      </c>
      <c r="E845" s="5">
        <v>46270</v>
      </c>
      <c r="F845" t="s">
        <v>204</v>
      </c>
      <c r="G845" t="s">
        <v>220</v>
      </c>
      <c r="H845">
        <v>349</v>
      </c>
      <c r="I845">
        <v>0</v>
      </c>
      <c r="J845">
        <v>0</v>
      </c>
      <c r="K845">
        <v>349</v>
      </c>
      <c r="L845" s="5">
        <v>46272</v>
      </c>
      <c r="M845" t="s">
        <v>1765</v>
      </c>
      <c r="N845" t="s">
        <v>207</v>
      </c>
      <c r="O845" t="s">
        <v>2037</v>
      </c>
      <c r="P845" t="s">
        <v>208</v>
      </c>
      <c r="Q845" t="s">
        <v>209</v>
      </c>
    </row>
    <row r="846" spans="1:17" x14ac:dyDescent="0.3">
      <c r="A846" t="s">
        <v>2038</v>
      </c>
      <c r="C846" t="s">
        <v>2039</v>
      </c>
      <c r="D846" t="s">
        <v>2039</v>
      </c>
      <c r="E846" s="5">
        <v>46270</v>
      </c>
      <c r="F846" t="s">
        <v>204</v>
      </c>
      <c r="G846" t="s">
        <v>205</v>
      </c>
      <c r="H846">
        <v>5998</v>
      </c>
      <c r="I846">
        <v>101.97</v>
      </c>
      <c r="J846">
        <v>18.350000000000001</v>
      </c>
      <c r="K846">
        <v>5877.68</v>
      </c>
      <c r="L846" s="5">
        <v>46272</v>
      </c>
      <c r="M846" t="s">
        <v>1765</v>
      </c>
      <c r="N846" t="s">
        <v>207</v>
      </c>
      <c r="O846" t="s">
        <v>2039</v>
      </c>
      <c r="P846" t="s">
        <v>208</v>
      </c>
      <c r="Q846" t="s">
        <v>209</v>
      </c>
    </row>
    <row r="847" spans="1:17" x14ac:dyDescent="0.3">
      <c r="A847" t="s">
        <v>2040</v>
      </c>
      <c r="C847" t="s">
        <v>2041</v>
      </c>
      <c r="D847" t="s">
        <v>2042</v>
      </c>
      <c r="E847" s="5">
        <v>46270</v>
      </c>
      <c r="F847" t="s">
        <v>204</v>
      </c>
      <c r="G847" t="s">
        <v>205</v>
      </c>
      <c r="H847">
        <v>3997</v>
      </c>
      <c r="I847">
        <v>67.95</v>
      </c>
      <c r="J847">
        <v>12.23</v>
      </c>
      <c r="K847">
        <v>3916.82</v>
      </c>
      <c r="L847" s="5">
        <v>46272</v>
      </c>
      <c r="M847" t="s">
        <v>1765</v>
      </c>
      <c r="N847" t="s">
        <v>207</v>
      </c>
      <c r="O847" t="s">
        <v>2042</v>
      </c>
      <c r="P847" t="s">
        <v>208</v>
      </c>
      <c r="Q847" t="s">
        <v>209</v>
      </c>
    </row>
    <row r="848" spans="1:17" x14ac:dyDescent="0.3">
      <c r="A848" t="s">
        <v>2043</v>
      </c>
      <c r="C848" t="s">
        <v>2044</v>
      </c>
      <c r="D848" t="s">
        <v>2044</v>
      </c>
      <c r="E848" s="5">
        <v>46270</v>
      </c>
      <c r="F848" t="s">
        <v>204</v>
      </c>
      <c r="G848" t="s">
        <v>220</v>
      </c>
      <c r="H848">
        <v>3797</v>
      </c>
      <c r="I848">
        <v>11.39</v>
      </c>
      <c r="J848">
        <v>2.0499999999999998</v>
      </c>
      <c r="K848">
        <v>3783.56</v>
      </c>
      <c r="L848" s="5">
        <v>46272</v>
      </c>
      <c r="M848" t="s">
        <v>1765</v>
      </c>
      <c r="N848" t="s">
        <v>207</v>
      </c>
      <c r="O848" t="s">
        <v>2044</v>
      </c>
      <c r="P848" t="s">
        <v>208</v>
      </c>
      <c r="Q848" t="s">
        <v>209</v>
      </c>
    </row>
    <row r="849" spans="1:17" x14ac:dyDescent="0.3">
      <c r="A849" t="s">
        <v>2045</v>
      </c>
      <c r="C849" t="s">
        <v>2046</v>
      </c>
      <c r="D849" t="s">
        <v>2046</v>
      </c>
      <c r="E849" s="5">
        <v>46270</v>
      </c>
      <c r="F849" t="s">
        <v>204</v>
      </c>
      <c r="G849" t="s">
        <v>220</v>
      </c>
      <c r="H849">
        <v>2999</v>
      </c>
      <c r="I849">
        <v>9</v>
      </c>
      <c r="J849">
        <v>1.62</v>
      </c>
      <c r="K849">
        <v>2988.38</v>
      </c>
      <c r="L849" s="5">
        <v>46272</v>
      </c>
      <c r="M849" t="s">
        <v>1765</v>
      </c>
      <c r="N849" t="s">
        <v>207</v>
      </c>
      <c r="O849" t="s">
        <v>2046</v>
      </c>
      <c r="P849" t="s">
        <v>208</v>
      </c>
      <c r="Q849" t="s">
        <v>209</v>
      </c>
    </row>
    <row r="850" spans="1:17" x14ac:dyDescent="0.3">
      <c r="A850" t="s">
        <v>2047</v>
      </c>
      <c r="C850" t="s">
        <v>2048</v>
      </c>
      <c r="D850" t="s">
        <v>2048</v>
      </c>
      <c r="E850" s="5">
        <v>46270</v>
      </c>
      <c r="F850" t="s">
        <v>204</v>
      </c>
      <c r="G850" t="s">
        <v>220</v>
      </c>
      <c r="H850">
        <v>1799</v>
      </c>
      <c r="I850">
        <v>0</v>
      </c>
      <c r="J850">
        <v>0</v>
      </c>
      <c r="K850">
        <v>1799</v>
      </c>
      <c r="L850" s="5">
        <v>46272</v>
      </c>
      <c r="M850" t="s">
        <v>1765</v>
      </c>
      <c r="N850" t="s">
        <v>207</v>
      </c>
      <c r="O850" t="s">
        <v>2048</v>
      </c>
      <c r="P850" t="s">
        <v>208</v>
      </c>
      <c r="Q850" t="s">
        <v>209</v>
      </c>
    </row>
    <row r="851" spans="1:17" x14ac:dyDescent="0.3">
      <c r="A851" t="s">
        <v>2049</v>
      </c>
      <c r="C851" t="s">
        <v>2050</v>
      </c>
      <c r="D851" t="s">
        <v>2050</v>
      </c>
      <c r="E851" s="5">
        <v>46270</v>
      </c>
      <c r="F851" t="s">
        <v>204</v>
      </c>
      <c r="G851" t="s">
        <v>213</v>
      </c>
      <c r="H851">
        <v>599</v>
      </c>
      <c r="I851">
        <v>10.78</v>
      </c>
      <c r="J851">
        <v>1.94</v>
      </c>
      <c r="K851">
        <v>586.28</v>
      </c>
      <c r="L851" s="5">
        <v>46272</v>
      </c>
      <c r="M851" t="s">
        <v>1765</v>
      </c>
      <c r="N851" t="s">
        <v>207</v>
      </c>
      <c r="O851" t="s">
        <v>2050</v>
      </c>
      <c r="P851" t="s">
        <v>208</v>
      </c>
      <c r="Q851" t="s">
        <v>209</v>
      </c>
    </row>
    <row r="852" spans="1:17" x14ac:dyDescent="0.3">
      <c r="A852" t="s">
        <v>2051</v>
      </c>
      <c r="C852" t="s">
        <v>2052</v>
      </c>
      <c r="D852" t="s">
        <v>2052</v>
      </c>
      <c r="E852" s="5">
        <v>46270</v>
      </c>
      <c r="F852" t="s">
        <v>204</v>
      </c>
      <c r="G852" t="s">
        <v>255</v>
      </c>
      <c r="H852">
        <v>799</v>
      </c>
      <c r="I852">
        <v>11.99</v>
      </c>
      <c r="J852">
        <v>2.16</v>
      </c>
      <c r="K852">
        <v>784.85</v>
      </c>
      <c r="L852" s="5">
        <v>46272</v>
      </c>
      <c r="M852" t="s">
        <v>1765</v>
      </c>
      <c r="N852" t="s">
        <v>207</v>
      </c>
      <c r="O852" t="s">
        <v>2052</v>
      </c>
      <c r="P852" t="s">
        <v>208</v>
      </c>
      <c r="Q852" t="s">
        <v>209</v>
      </c>
    </row>
    <row r="853" spans="1:17" x14ac:dyDescent="0.3">
      <c r="A853" t="s">
        <v>2053</v>
      </c>
      <c r="C853" t="s">
        <v>2054</v>
      </c>
      <c r="D853" t="s">
        <v>2055</v>
      </c>
      <c r="E853" s="5">
        <v>46270</v>
      </c>
      <c r="F853" t="s">
        <v>204</v>
      </c>
      <c r="G853" t="s">
        <v>220</v>
      </c>
      <c r="H853">
        <v>7999</v>
      </c>
      <c r="I853">
        <v>24</v>
      </c>
      <c r="J853">
        <v>4.32</v>
      </c>
      <c r="K853">
        <v>7970.68</v>
      </c>
      <c r="L853" s="5">
        <v>46272</v>
      </c>
      <c r="M853" t="s">
        <v>1765</v>
      </c>
      <c r="N853" t="s">
        <v>207</v>
      </c>
      <c r="O853" t="s">
        <v>2055</v>
      </c>
      <c r="P853" t="s">
        <v>208</v>
      </c>
      <c r="Q853" t="s">
        <v>209</v>
      </c>
    </row>
    <row r="854" spans="1:17" x14ac:dyDescent="0.3">
      <c r="A854" t="s">
        <v>2056</v>
      </c>
      <c r="C854" t="s">
        <v>2057</v>
      </c>
      <c r="D854" t="s">
        <v>2057</v>
      </c>
      <c r="E854" s="5">
        <v>46270</v>
      </c>
      <c r="F854" t="s">
        <v>204</v>
      </c>
      <c r="G854" t="s">
        <v>220</v>
      </c>
      <c r="H854">
        <v>3499</v>
      </c>
      <c r="I854">
        <v>10.5</v>
      </c>
      <c r="J854">
        <v>1.89</v>
      </c>
      <c r="K854">
        <v>3486.61</v>
      </c>
      <c r="L854" s="5">
        <v>46272</v>
      </c>
      <c r="M854" t="s">
        <v>1765</v>
      </c>
      <c r="N854" t="s">
        <v>207</v>
      </c>
      <c r="O854" t="s">
        <v>2057</v>
      </c>
      <c r="P854" t="s">
        <v>208</v>
      </c>
      <c r="Q854" t="s">
        <v>209</v>
      </c>
    </row>
    <row r="855" spans="1:17" x14ac:dyDescent="0.3">
      <c r="A855" t="s">
        <v>2058</v>
      </c>
      <c r="C855" t="s">
        <v>2059</v>
      </c>
      <c r="D855" t="s">
        <v>2059</v>
      </c>
      <c r="E855" s="5">
        <v>46270</v>
      </c>
      <c r="F855" t="s">
        <v>204</v>
      </c>
      <c r="G855" t="s">
        <v>220</v>
      </c>
      <c r="H855">
        <v>7498</v>
      </c>
      <c r="I855">
        <v>22.49</v>
      </c>
      <c r="J855">
        <v>4.05</v>
      </c>
      <c r="K855">
        <v>7471.46</v>
      </c>
      <c r="L855" s="5">
        <v>46272</v>
      </c>
      <c r="M855" t="s">
        <v>1765</v>
      </c>
      <c r="N855" t="s">
        <v>207</v>
      </c>
      <c r="O855" t="s">
        <v>2059</v>
      </c>
      <c r="P855" t="s">
        <v>208</v>
      </c>
      <c r="Q855" t="s">
        <v>209</v>
      </c>
    </row>
    <row r="856" spans="1:17" x14ac:dyDescent="0.3">
      <c r="A856" t="s">
        <v>2060</v>
      </c>
      <c r="C856" t="s">
        <v>2061</v>
      </c>
      <c r="D856" t="s">
        <v>2061</v>
      </c>
      <c r="E856" s="5">
        <v>46270</v>
      </c>
      <c r="F856" t="s">
        <v>204</v>
      </c>
      <c r="G856" t="s">
        <v>220</v>
      </c>
      <c r="H856">
        <v>349</v>
      </c>
      <c r="I856">
        <v>0</v>
      </c>
      <c r="J856">
        <v>0</v>
      </c>
      <c r="K856">
        <v>349</v>
      </c>
      <c r="L856" s="5">
        <v>46272</v>
      </c>
      <c r="M856" t="s">
        <v>1765</v>
      </c>
      <c r="N856" t="s">
        <v>207</v>
      </c>
      <c r="O856" t="s">
        <v>2061</v>
      </c>
      <c r="P856" t="s">
        <v>208</v>
      </c>
      <c r="Q856" t="s">
        <v>209</v>
      </c>
    </row>
    <row r="857" spans="1:17" x14ac:dyDescent="0.3">
      <c r="A857" t="s">
        <v>2062</v>
      </c>
      <c r="C857" t="s">
        <v>2063</v>
      </c>
      <c r="D857" t="s">
        <v>2063</v>
      </c>
      <c r="E857" s="5">
        <v>46270</v>
      </c>
      <c r="F857" t="s">
        <v>204</v>
      </c>
      <c r="G857" t="s">
        <v>205</v>
      </c>
      <c r="H857">
        <v>2499</v>
      </c>
      <c r="I857">
        <v>42.48</v>
      </c>
      <c r="J857">
        <v>7.65</v>
      </c>
      <c r="K857">
        <v>2448.87</v>
      </c>
      <c r="L857" s="5">
        <v>46272</v>
      </c>
      <c r="M857" t="s">
        <v>1765</v>
      </c>
      <c r="N857" t="s">
        <v>207</v>
      </c>
      <c r="O857" t="s">
        <v>2063</v>
      </c>
      <c r="P857" t="s">
        <v>208</v>
      </c>
      <c r="Q857" t="s">
        <v>209</v>
      </c>
    </row>
    <row r="858" spans="1:17" x14ac:dyDescent="0.3">
      <c r="A858" t="s">
        <v>2064</v>
      </c>
      <c r="C858" t="s">
        <v>2065</v>
      </c>
      <c r="D858" t="s">
        <v>2065</v>
      </c>
      <c r="E858" s="5">
        <v>46270</v>
      </c>
      <c r="F858" t="s">
        <v>204</v>
      </c>
      <c r="G858" t="s">
        <v>220</v>
      </c>
      <c r="H858">
        <v>4998</v>
      </c>
      <c r="I858">
        <v>14.99</v>
      </c>
      <c r="J858">
        <v>2.7</v>
      </c>
      <c r="K858">
        <v>4980.3100000000004</v>
      </c>
      <c r="L858" s="5">
        <v>46272</v>
      </c>
      <c r="M858" t="s">
        <v>1765</v>
      </c>
      <c r="N858" t="s">
        <v>207</v>
      </c>
      <c r="O858" t="s">
        <v>2065</v>
      </c>
      <c r="P858" t="s">
        <v>208</v>
      </c>
      <c r="Q858" t="s">
        <v>209</v>
      </c>
    </row>
    <row r="859" spans="1:17" x14ac:dyDescent="0.3">
      <c r="A859" t="s">
        <v>2066</v>
      </c>
      <c r="C859" t="s">
        <v>2067</v>
      </c>
      <c r="D859" t="s">
        <v>2067</v>
      </c>
      <c r="E859" s="5">
        <v>46270</v>
      </c>
      <c r="F859" t="s">
        <v>204</v>
      </c>
      <c r="G859" t="s">
        <v>205</v>
      </c>
      <c r="H859">
        <v>2999</v>
      </c>
      <c r="I859">
        <v>50.98</v>
      </c>
      <c r="J859">
        <v>9.18</v>
      </c>
      <c r="K859">
        <v>2938.84</v>
      </c>
      <c r="L859" s="5">
        <v>46272</v>
      </c>
      <c r="M859" t="s">
        <v>1765</v>
      </c>
      <c r="N859" t="s">
        <v>207</v>
      </c>
      <c r="O859" t="s">
        <v>2067</v>
      </c>
      <c r="P859" t="s">
        <v>208</v>
      </c>
      <c r="Q859" t="s">
        <v>209</v>
      </c>
    </row>
    <row r="860" spans="1:17" x14ac:dyDescent="0.3">
      <c r="A860" t="s">
        <v>2068</v>
      </c>
      <c r="C860" t="s">
        <v>2069</v>
      </c>
      <c r="D860" t="s">
        <v>2069</v>
      </c>
      <c r="E860" s="5">
        <v>46270</v>
      </c>
      <c r="F860" t="s">
        <v>204</v>
      </c>
      <c r="G860" t="s">
        <v>220</v>
      </c>
      <c r="H860">
        <v>499</v>
      </c>
      <c r="I860">
        <v>0</v>
      </c>
      <c r="J860">
        <v>0</v>
      </c>
      <c r="K860">
        <v>499</v>
      </c>
      <c r="L860" s="5">
        <v>46272</v>
      </c>
      <c r="M860" t="s">
        <v>1765</v>
      </c>
      <c r="N860" t="s">
        <v>207</v>
      </c>
      <c r="O860" t="s">
        <v>2069</v>
      </c>
      <c r="P860" t="s">
        <v>208</v>
      </c>
      <c r="Q860" t="s">
        <v>209</v>
      </c>
    </row>
    <row r="861" spans="1:17" x14ac:dyDescent="0.3">
      <c r="A861" t="s">
        <v>2070</v>
      </c>
      <c r="C861" t="s">
        <v>2071</v>
      </c>
      <c r="D861" t="s">
        <v>2071</v>
      </c>
      <c r="E861" s="5">
        <v>46270</v>
      </c>
      <c r="F861" t="s">
        <v>204</v>
      </c>
      <c r="G861" t="s">
        <v>255</v>
      </c>
      <c r="H861">
        <v>10998</v>
      </c>
      <c r="I861">
        <v>98.98</v>
      </c>
      <c r="J861">
        <v>17.82</v>
      </c>
      <c r="K861">
        <v>10881.2</v>
      </c>
      <c r="L861" s="5">
        <v>46272</v>
      </c>
      <c r="M861" t="s">
        <v>1765</v>
      </c>
      <c r="N861" t="s">
        <v>207</v>
      </c>
      <c r="O861" t="s">
        <v>2071</v>
      </c>
      <c r="P861" t="s">
        <v>208</v>
      </c>
      <c r="Q861" t="s">
        <v>209</v>
      </c>
    </row>
    <row r="862" spans="1:17" x14ac:dyDescent="0.3">
      <c r="A862" t="s">
        <v>2072</v>
      </c>
      <c r="C862" t="s">
        <v>2073</v>
      </c>
      <c r="D862" t="s">
        <v>2073</v>
      </c>
      <c r="E862" s="5">
        <v>46270</v>
      </c>
      <c r="F862" t="s">
        <v>204</v>
      </c>
      <c r="G862" t="s">
        <v>220</v>
      </c>
      <c r="H862">
        <v>1799</v>
      </c>
      <c r="I862">
        <v>0</v>
      </c>
      <c r="J862">
        <v>0</v>
      </c>
      <c r="K862">
        <v>1799</v>
      </c>
      <c r="L862" s="5">
        <v>46272</v>
      </c>
      <c r="M862" t="s">
        <v>1765</v>
      </c>
      <c r="N862" t="s">
        <v>207</v>
      </c>
      <c r="O862" t="s">
        <v>2073</v>
      </c>
      <c r="P862" t="s">
        <v>208</v>
      </c>
      <c r="Q862" t="s">
        <v>209</v>
      </c>
    </row>
    <row r="863" spans="1:17" x14ac:dyDescent="0.3">
      <c r="A863" t="s">
        <v>2074</v>
      </c>
      <c r="C863" t="s">
        <v>2075</v>
      </c>
      <c r="D863" t="s">
        <v>2075</v>
      </c>
      <c r="E863" s="5">
        <v>46270</v>
      </c>
      <c r="F863" t="s">
        <v>204</v>
      </c>
      <c r="G863" t="s">
        <v>220</v>
      </c>
      <c r="H863">
        <v>2999</v>
      </c>
      <c r="I863">
        <v>9</v>
      </c>
      <c r="J863">
        <v>1.62</v>
      </c>
      <c r="K863">
        <v>2988.38</v>
      </c>
      <c r="L863" s="5">
        <v>46272</v>
      </c>
      <c r="M863" t="s">
        <v>1765</v>
      </c>
      <c r="N863" t="s">
        <v>207</v>
      </c>
      <c r="O863" t="s">
        <v>2075</v>
      </c>
      <c r="P863" t="s">
        <v>208</v>
      </c>
      <c r="Q863" t="s">
        <v>209</v>
      </c>
    </row>
    <row r="864" spans="1:17" x14ac:dyDescent="0.3">
      <c r="A864" t="s">
        <v>2076</v>
      </c>
      <c r="C864" t="s">
        <v>2077</v>
      </c>
      <c r="D864" t="s">
        <v>2078</v>
      </c>
      <c r="E864" s="5">
        <v>46270</v>
      </c>
      <c r="F864" t="s">
        <v>204</v>
      </c>
      <c r="G864" t="s">
        <v>220</v>
      </c>
      <c r="H864">
        <v>349</v>
      </c>
      <c r="I864">
        <v>0</v>
      </c>
      <c r="J864">
        <v>0</v>
      </c>
      <c r="K864">
        <v>349</v>
      </c>
      <c r="L864" s="5">
        <v>46272</v>
      </c>
      <c r="M864" t="s">
        <v>1765</v>
      </c>
      <c r="N864" t="s">
        <v>207</v>
      </c>
      <c r="O864" t="s">
        <v>2078</v>
      </c>
      <c r="P864" t="s">
        <v>208</v>
      </c>
      <c r="Q864" t="s">
        <v>209</v>
      </c>
    </row>
    <row r="865" spans="1:17" x14ac:dyDescent="0.3">
      <c r="A865" t="s">
        <v>2079</v>
      </c>
      <c r="C865" t="s">
        <v>2080</v>
      </c>
      <c r="D865" t="s">
        <v>2080</v>
      </c>
      <c r="E865" s="5">
        <v>46270</v>
      </c>
      <c r="F865" t="s">
        <v>204</v>
      </c>
      <c r="G865" t="s">
        <v>220</v>
      </c>
      <c r="H865">
        <v>1299</v>
      </c>
      <c r="I865">
        <v>0</v>
      </c>
      <c r="J865">
        <v>0</v>
      </c>
      <c r="K865">
        <v>1299</v>
      </c>
      <c r="L865" s="5">
        <v>46272</v>
      </c>
      <c r="M865" t="s">
        <v>1765</v>
      </c>
      <c r="N865" t="s">
        <v>207</v>
      </c>
      <c r="O865" t="s">
        <v>2080</v>
      </c>
      <c r="P865" t="s">
        <v>208</v>
      </c>
      <c r="Q865" t="s">
        <v>209</v>
      </c>
    </row>
    <row r="866" spans="1:17" x14ac:dyDescent="0.3">
      <c r="A866" t="s">
        <v>2081</v>
      </c>
      <c r="C866" t="s">
        <v>2082</v>
      </c>
      <c r="D866" t="s">
        <v>2082</v>
      </c>
      <c r="E866" s="5">
        <v>46270</v>
      </c>
      <c r="F866" t="s">
        <v>204</v>
      </c>
      <c r="G866" t="s">
        <v>220</v>
      </c>
      <c r="H866">
        <v>4999</v>
      </c>
      <c r="I866">
        <v>15</v>
      </c>
      <c r="J866">
        <v>2.7</v>
      </c>
      <c r="K866">
        <v>4981.3</v>
      </c>
      <c r="L866" s="5">
        <v>46272</v>
      </c>
      <c r="M866" t="s">
        <v>1765</v>
      </c>
      <c r="N866" t="s">
        <v>207</v>
      </c>
      <c r="O866" t="s">
        <v>2082</v>
      </c>
      <c r="P866" t="s">
        <v>208</v>
      </c>
      <c r="Q866" t="s">
        <v>209</v>
      </c>
    </row>
    <row r="867" spans="1:17" x14ac:dyDescent="0.3">
      <c r="A867" t="s">
        <v>2083</v>
      </c>
      <c r="C867" t="s">
        <v>2084</v>
      </c>
      <c r="D867" t="s">
        <v>2084</v>
      </c>
      <c r="E867" s="5">
        <v>46270</v>
      </c>
      <c r="F867" t="s">
        <v>204</v>
      </c>
      <c r="G867" t="s">
        <v>220</v>
      </c>
      <c r="H867">
        <v>4298</v>
      </c>
      <c r="I867">
        <v>12.89</v>
      </c>
      <c r="J867">
        <v>2.3199999999999998</v>
      </c>
      <c r="K867">
        <v>4282.79</v>
      </c>
      <c r="L867" s="5">
        <v>46272</v>
      </c>
      <c r="M867" t="s">
        <v>1765</v>
      </c>
      <c r="N867" t="s">
        <v>207</v>
      </c>
      <c r="O867" t="s">
        <v>2084</v>
      </c>
      <c r="P867" t="s">
        <v>208</v>
      </c>
      <c r="Q867" t="s">
        <v>209</v>
      </c>
    </row>
    <row r="868" spans="1:17" x14ac:dyDescent="0.3">
      <c r="A868" t="s">
        <v>2085</v>
      </c>
      <c r="C868" t="s">
        <v>2086</v>
      </c>
      <c r="D868" t="s">
        <v>2086</v>
      </c>
      <c r="E868" s="5">
        <v>46270</v>
      </c>
      <c r="F868" t="s">
        <v>204</v>
      </c>
      <c r="G868" t="s">
        <v>220</v>
      </c>
      <c r="H868">
        <v>3998</v>
      </c>
      <c r="I868">
        <v>11.99</v>
      </c>
      <c r="J868">
        <v>2.16</v>
      </c>
      <c r="K868">
        <v>3983.85</v>
      </c>
      <c r="L868" s="5">
        <v>46272</v>
      </c>
      <c r="M868" t="s">
        <v>1765</v>
      </c>
      <c r="N868" t="s">
        <v>207</v>
      </c>
      <c r="O868" t="s">
        <v>2086</v>
      </c>
      <c r="P868" t="s">
        <v>208</v>
      </c>
      <c r="Q868" t="s">
        <v>209</v>
      </c>
    </row>
    <row r="869" spans="1:17" x14ac:dyDescent="0.3">
      <c r="A869" t="s">
        <v>2087</v>
      </c>
      <c r="C869" t="s">
        <v>2088</v>
      </c>
      <c r="D869" t="s">
        <v>2088</v>
      </c>
      <c r="E869" s="5">
        <v>46270</v>
      </c>
      <c r="F869" t="s">
        <v>204</v>
      </c>
      <c r="G869" t="s">
        <v>220</v>
      </c>
      <c r="H869">
        <v>798</v>
      </c>
      <c r="I869">
        <v>0</v>
      </c>
      <c r="J869">
        <v>0</v>
      </c>
      <c r="K869">
        <v>798</v>
      </c>
      <c r="L869" s="5">
        <v>46272</v>
      </c>
      <c r="M869" t="s">
        <v>1765</v>
      </c>
      <c r="N869" t="s">
        <v>207</v>
      </c>
      <c r="O869" t="s">
        <v>2088</v>
      </c>
      <c r="P869" t="s">
        <v>208</v>
      </c>
      <c r="Q869" t="s">
        <v>209</v>
      </c>
    </row>
    <row r="870" spans="1:17" x14ac:dyDescent="0.3">
      <c r="A870" t="s">
        <v>2089</v>
      </c>
      <c r="C870" t="s">
        <v>2090</v>
      </c>
      <c r="D870" t="s">
        <v>2090</v>
      </c>
      <c r="E870" s="5">
        <v>46270</v>
      </c>
      <c r="F870" t="s">
        <v>204</v>
      </c>
      <c r="G870" t="s">
        <v>220</v>
      </c>
      <c r="H870">
        <v>1799</v>
      </c>
      <c r="I870">
        <v>0</v>
      </c>
      <c r="J870">
        <v>0</v>
      </c>
      <c r="K870">
        <v>1799</v>
      </c>
      <c r="L870" s="5">
        <v>46272</v>
      </c>
      <c r="M870" t="s">
        <v>1765</v>
      </c>
      <c r="N870" t="s">
        <v>207</v>
      </c>
      <c r="O870" t="s">
        <v>2090</v>
      </c>
      <c r="P870" t="s">
        <v>208</v>
      </c>
      <c r="Q870" t="s">
        <v>209</v>
      </c>
    </row>
    <row r="871" spans="1:17" x14ac:dyDescent="0.3">
      <c r="A871" t="s">
        <v>2091</v>
      </c>
      <c r="C871" t="s">
        <v>2092</v>
      </c>
      <c r="D871" t="s">
        <v>2092</v>
      </c>
      <c r="E871" s="5">
        <v>46270</v>
      </c>
      <c r="F871" t="s">
        <v>204</v>
      </c>
      <c r="G871" t="s">
        <v>255</v>
      </c>
      <c r="H871">
        <v>4098</v>
      </c>
      <c r="I871">
        <v>49.18</v>
      </c>
      <c r="J871">
        <v>8.85</v>
      </c>
      <c r="K871">
        <v>4039.97</v>
      </c>
      <c r="L871" s="5">
        <v>46272</v>
      </c>
      <c r="M871" t="s">
        <v>1765</v>
      </c>
      <c r="N871" t="s">
        <v>207</v>
      </c>
      <c r="O871" t="s">
        <v>2092</v>
      </c>
      <c r="P871" t="s">
        <v>208</v>
      </c>
      <c r="Q871" t="s">
        <v>209</v>
      </c>
    </row>
    <row r="872" spans="1:17" x14ac:dyDescent="0.3">
      <c r="A872" t="s">
        <v>2093</v>
      </c>
      <c r="C872" t="s">
        <v>2094</v>
      </c>
      <c r="D872" t="s">
        <v>2094</v>
      </c>
      <c r="E872" s="5">
        <v>46270</v>
      </c>
      <c r="F872" t="s">
        <v>204</v>
      </c>
      <c r="G872" t="s">
        <v>213</v>
      </c>
      <c r="H872">
        <v>5997</v>
      </c>
      <c r="I872">
        <v>95.95</v>
      </c>
      <c r="J872">
        <v>17.27</v>
      </c>
      <c r="K872">
        <v>5883.78</v>
      </c>
      <c r="L872" s="5">
        <v>46272</v>
      </c>
      <c r="M872" t="s">
        <v>1765</v>
      </c>
      <c r="N872" t="s">
        <v>207</v>
      </c>
      <c r="O872" t="s">
        <v>2094</v>
      </c>
      <c r="P872" t="s">
        <v>208</v>
      </c>
      <c r="Q872" t="s">
        <v>209</v>
      </c>
    </row>
    <row r="873" spans="1:17" x14ac:dyDescent="0.3">
      <c r="A873" t="s">
        <v>2095</v>
      </c>
      <c r="C873" t="s">
        <v>2096</v>
      </c>
      <c r="D873" t="s">
        <v>2096</v>
      </c>
      <c r="E873" s="5">
        <v>46270</v>
      </c>
      <c r="F873" t="s">
        <v>204</v>
      </c>
      <c r="G873" t="s">
        <v>213</v>
      </c>
      <c r="H873">
        <v>349</v>
      </c>
      <c r="I873">
        <v>6.28</v>
      </c>
      <c r="J873">
        <v>1.1299999999999999</v>
      </c>
      <c r="K873">
        <v>341.59</v>
      </c>
      <c r="L873" s="5">
        <v>46272</v>
      </c>
      <c r="M873" t="s">
        <v>1765</v>
      </c>
      <c r="N873" t="s">
        <v>207</v>
      </c>
      <c r="O873" t="s">
        <v>2096</v>
      </c>
      <c r="P873" t="s">
        <v>208</v>
      </c>
      <c r="Q873" t="s">
        <v>209</v>
      </c>
    </row>
    <row r="874" spans="1:17" x14ac:dyDescent="0.3">
      <c r="A874" t="s">
        <v>2097</v>
      </c>
      <c r="C874" t="s">
        <v>2098</v>
      </c>
      <c r="D874" t="s">
        <v>2099</v>
      </c>
      <c r="E874" s="5">
        <v>46270</v>
      </c>
      <c r="F874" t="s">
        <v>204</v>
      </c>
      <c r="G874" t="s">
        <v>220</v>
      </c>
      <c r="H874">
        <v>698</v>
      </c>
      <c r="I874">
        <v>0</v>
      </c>
      <c r="J874">
        <v>0</v>
      </c>
      <c r="K874">
        <v>698</v>
      </c>
      <c r="L874" s="5">
        <v>46272</v>
      </c>
      <c r="M874" t="s">
        <v>1765</v>
      </c>
      <c r="N874" t="s">
        <v>207</v>
      </c>
      <c r="O874" t="s">
        <v>2099</v>
      </c>
      <c r="P874" t="s">
        <v>208</v>
      </c>
      <c r="Q874" t="s">
        <v>209</v>
      </c>
    </row>
    <row r="875" spans="1:17" x14ac:dyDescent="0.3">
      <c r="A875" t="s">
        <v>2100</v>
      </c>
      <c r="C875" t="s">
        <v>2101</v>
      </c>
      <c r="D875" t="s">
        <v>2101</v>
      </c>
      <c r="E875" s="5">
        <v>46270</v>
      </c>
      <c r="F875" t="s">
        <v>204</v>
      </c>
      <c r="G875" t="s">
        <v>255</v>
      </c>
      <c r="H875">
        <v>4999</v>
      </c>
      <c r="I875">
        <v>59.99</v>
      </c>
      <c r="J875">
        <v>10.8</v>
      </c>
      <c r="K875">
        <v>4928.21</v>
      </c>
      <c r="L875" s="5">
        <v>46272</v>
      </c>
      <c r="M875" t="s">
        <v>1765</v>
      </c>
      <c r="N875" t="s">
        <v>207</v>
      </c>
      <c r="O875" t="s">
        <v>2101</v>
      </c>
      <c r="P875" t="s">
        <v>208</v>
      </c>
      <c r="Q875" t="s">
        <v>209</v>
      </c>
    </row>
    <row r="876" spans="1:17" x14ac:dyDescent="0.3">
      <c r="A876" t="s">
        <v>2102</v>
      </c>
      <c r="C876" t="s">
        <v>2103</v>
      </c>
      <c r="D876" t="s">
        <v>2103</v>
      </c>
      <c r="E876" s="5">
        <v>46270</v>
      </c>
      <c r="F876" t="s">
        <v>204</v>
      </c>
      <c r="G876" t="s">
        <v>220</v>
      </c>
      <c r="H876">
        <v>299</v>
      </c>
      <c r="I876">
        <v>0</v>
      </c>
      <c r="J876">
        <v>0</v>
      </c>
      <c r="K876">
        <v>299</v>
      </c>
      <c r="L876" s="5">
        <v>46272</v>
      </c>
      <c r="M876" t="s">
        <v>1765</v>
      </c>
      <c r="N876" t="s">
        <v>207</v>
      </c>
      <c r="O876" t="s">
        <v>2103</v>
      </c>
      <c r="P876" t="s">
        <v>208</v>
      </c>
      <c r="Q876" t="s">
        <v>209</v>
      </c>
    </row>
    <row r="877" spans="1:17" x14ac:dyDescent="0.3">
      <c r="A877" t="s">
        <v>2104</v>
      </c>
      <c r="C877" t="s">
        <v>2105</v>
      </c>
      <c r="D877" t="s">
        <v>2105</v>
      </c>
      <c r="E877" s="5">
        <v>46270</v>
      </c>
      <c r="F877" t="s">
        <v>204</v>
      </c>
      <c r="G877" t="s">
        <v>213</v>
      </c>
      <c r="H877">
        <v>299</v>
      </c>
      <c r="I877">
        <v>5.38</v>
      </c>
      <c r="J877">
        <v>0.97</v>
      </c>
      <c r="K877">
        <v>292.64999999999998</v>
      </c>
      <c r="L877" s="5">
        <v>46272</v>
      </c>
      <c r="M877" t="s">
        <v>1765</v>
      </c>
      <c r="N877" t="s">
        <v>207</v>
      </c>
      <c r="O877" t="s">
        <v>2105</v>
      </c>
      <c r="P877" t="s">
        <v>208</v>
      </c>
      <c r="Q877" t="s">
        <v>209</v>
      </c>
    </row>
    <row r="878" spans="1:17" x14ac:dyDescent="0.3">
      <c r="A878" t="s">
        <v>2106</v>
      </c>
      <c r="C878" t="s">
        <v>2107</v>
      </c>
      <c r="D878" t="s">
        <v>2107</v>
      </c>
      <c r="E878" s="5">
        <v>46270</v>
      </c>
      <c r="F878" t="s">
        <v>204</v>
      </c>
      <c r="G878" t="s">
        <v>220</v>
      </c>
      <c r="H878">
        <v>2999</v>
      </c>
      <c r="I878">
        <v>9</v>
      </c>
      <c r="J878">
        <v>1.62</v>
      </c>
      <c r="K878">
        <v>2988.38</v>
      </c>
      <c r="L878" s="5">
        <v>46272</v>
      </c>
      <c r="M878" t="s">
        <v>1765</v>
      </c>
      <c r="N878" t="s">
        <v>207</v>
      </c>
      <c r="O878" t="s">
        <v>2107</v>
      </c>
      <c r="P878" t="s">
        <v>208</v>
      </c>
      <c r="Q878" t="s">
        <v>209</v>
      </c>
    </row>
    <row r="879" spans="1:17" x14ac:dyDescent="0.3">
      <c r="A879" t="s">
        <v>2108</v>
      </c>
      <c r="C879" t="s">
        <v>2109</v>
      </c>
      <c r="D879" t="s">
        <v>2109</v>
      </c>
      <c r="E879" s="5">
        <v>46270</v>
      </c>
      <c r="F879" t="s">
        <v>204</v>
      </c>
      <c r="G879" t="s">
        <v>255</v>
      </c>
      <c r="H879">
        <v>499</v>
      </c>
      <c r="I879">
        <v>7.49</v>
      </c>
      <c r="J879">
        <v>1.35</v>
      </c>
      <c r="K879">
        <v>490.16</v>
      </c>
      <c r="L879" s="5">
        <v>46272</v>
      </c>
      <c r="M879" t="s">
        <v>1765</v>
      </c>
      <c r="N879" t="s">
        <v>207</v>
      </c>
      <c r="O879" t="s">
        <v>2109</v>
      </c>
      <c r="P879" t="s">
        <v>208</v>
      </c>
      <c r="Q879" t="s">
        <v>209</v>
      </c>
    </row>
    <row r="880" spans="1:17" x14ac:dyDescent="0.3">
      <c r="A880" t="s">
        <v>2110</v>
      </c>
      <c r="C880" t="s">
        <v>2111</v>
      </c>
      <c r="D880" t="s">
        <v>2111</v>
      </c>
      <c r="E880" s="5">
        <v>46270</v>
      </c>
      <c r="F880" t="s">
        <v>204</v>
      </c>
      <c r="G880" t="s">
        <v>220</v>
      </c>
      <c r="H880">
        <v>10097</v>
      </c>
      <c r="I880">
        <v>30.29</v>
      </c>
      <c r="J880">
        <v>5.45</v>
      </c>
      <c r="K880">
        <v>10061.26</v>
      </c>
      <c r="L880" s="5">
        <v>46272</v>
      </c>
      <c r="M880" t="s">
        <v>1765</v>
      </c>
      <c r="N880" t="s">
        <v>207</v>
      </c>
      <c r="O880" t="s">
        <v>2111</v>
      </c>
      <c r="P880" t="s">
        <v>208</v>
      </c>
      <c r="Q880" t="s">
        <v>209</v>
      </c>
    </row>
    <row r="881" spans="1:17" x14ac:dyDescent="0.3">
      <c r="A881" t="s">
        <v>2112</v>
      </c>
      <c r="C881" t="s">
        <v>2113</v>
      </c>
      <c r="D881" t="s">
        <v>2114</v>
      </c>
      <c r="E881" s="5">
        <v>46270</v>
      </c>
      <c r="F881" t="s">
        <v>204</v>
      </c>
      <c r="G881" t="s">
        <v>220</v>
      </c>
      <c r="H881">
        <v>2148</v>
      </c>
      <c r="I881">
        <v>6.44</v>
      </c>
      <c r="J881">
        <v>1.1599999999999999</v>
      </c>
      <c r="K881">
        <v>2140.4</v>
      </c>
      <c r="L881" s="5">
        <v>46272</v>
      </c>
      <c r="M881" t="s">
        <v>1765</v>
      </c>
      <c r="N881" t="s">
        <v>207</v>
      </c>
      <c r="O881" t="s">
        <v>2114</v>
      </c>
      <c r="P881" t="s">
        <v>208</v>
      </c>
      <c r="Q881" t="s">
        <v>209</v>
      </c>
    </row>
    <row r="882" spans="1:17" x14ac:dyDescent="0.3">
      <c r="A882" t="s">
        <v>2115</v>
      </c>
      <c r="C882" t="s">
        <v>2116</v>
      </c>
      <c r="D882" t="s">
        <v>2116</v>
      </c>
      <c r="E882" s="5">
        <v>46270</v>
      </c>
      <c r="F882" t="s">
        <v>204</v>
      </c>
      <c r="G882" t="s">
        <v>205</v>
      </c>
      <c r="H882">
        <v>5798</v>
      </c>
      <c r="I882">
        <v>98.57</v>
      </c>
      <c r="J882">
        <v>17.739999999999998</v>
      </c>
      <c r="K882">
        <v>5681.69</v>
      </c>
      <c r="L882" s="5">
        <v>46272</v>
      </c>
      <c r="M882" t="s">
        <v>1765</v>
      </c>
      <c r="N882" t="s">
        <v>207</v>
      </c>
      <c r="O882" t="s">
        <v>2116</v>
      </c>
      <c r="P882" t="s">
        <v>208</v>
      </c>
      <c r="Q882" t="s">
        <v>209</v>
      </c>
    </row>
    <row r="883" spans="1:17" x14ac:dyDescent="0.3">
      <c r="A883" t="s">
        <v>2117</v>
      </c>
      <c r="C883" t="s">
        <v>2118</v>
      </c>
      <c r="D883" t="s">
        <v>2119</v>
      </c>
      <c r="E883" s="5">
        <v>46270</v>
      </c>
      <c r="F883" t="s">
        <v>204</v>
      </c>
      <c r="G883" t="s">
        <v>255</v>
      </c>
      <c r="H883">
        <v>3897</v>
      </c>
      <c r="I883">
        <v>46.76</v>
      </c>
      <c r="J883">
        <v>8.42</v>
      </c>
      <c r="K883">
        <v>3841.82</v>
      </c>
      <c r="L883" s="5">
        <v>46272</v>
      </c>
      <c r="M883" t="s">
        <v>1765</v>
      </c>
      <c r="N883" t="s">
        <v>207</v>
      </c>
      <c r="O883" t="s">
        <v>2119</v>
      </c>
      <c r="P883" t="s">
        <v>208</v>
      </c>
      <c r="Q883" t="s">
        <v>209</v>
      </c>
    </row>
    <row r="884" spans="1:17" x14ac:dyDescent="0.3">
      <c r="A884" t="s">
        <v>2120</v>
      </c>
      <c r="C884" t="s">
        <v>2121</v>
      </c>
      <c r="D884" t="s">
        <v>2122</v>
      </c>
      <c r="E884" s="5">
        <v>46270</v>
      </c>
      <c r="F884" t="s">
        <v>204</v>
      </c>
      <c r="G884" t="s">
        <v>213</v>
      </c>
      <c r="H884">
        <v>1098</v>
      </c>
      <c r="I884">
        <v>19.760000000000002</v>
      </c>
      <c r="J884">
        <v>3.56</v>
      </c>
      <c r="K884">
        <v>1074.68</v>
      </c>
      <c r="L884" s="5">
        <v>46272</v>
      </c>
      <c r="M884" t="s">
        <v>1765</v>
      </c>
      <c r="N884" t="s">
        <v>207</v>
      </c>
      <c r="O884" t="s">
        <v>2122</v>
      </c>
      <c r="P884" t="s">
        <v>208</v>
      </c>
      <c r="Q884" t="s">
        <v>209</v>
      </c>
    </row>
    <row r="885" spans="1:17" x14ac:dyDescent="0.3">
      <c r="A885" t="s">
        <v>2123</v>
      </c>
      <c r="C885" t="s">
        <v>2124</v>
      </c>
      <c r="D885" t="s">
        <v>2124</v>
      </c>
      <c r="E885" s="5">
        <v>46270</v>
      </c>
      <c r="F885" t="s">
        <v>204</v>
      </c>
      <c r="G885" t="s">
        <v>220</v>
      </c>
      <c r="H885">
        <v>5597</v>
      </c>
      <c r="I885">
        <v>16.79</v>
      </c>
      <c r="J885">
        <v>3.02</v>
      </c>
      <c r="K885">
        <v>5577.19</v>
      </c>
      <c r="L885" s="5">
        <v>46272</v>
      </c>
      <c r="M885" t="s">
        <v>1765</v>
      </c>
      <c r="N885" t="s">
        <v>207</v>
      </c>
      <c r="O885" t="s">
        <v>2124</v>
      </c>
      <c r="P885" t="s">
        <v>208</v>
      </c>
      <c r="Q885" t="s">
        <v>209</v>
      </c>
    </row>
    <row r="886" spans="1:17" x14ac:dyDescent="0.3">
      <c r="A886" t="s">
        <v>2125</v>
      </c>
      <c r="C886" t="s">
        <v>2126</v>
      </c>
      <c r="D886" t="s">
        <v>2126</v>
      </c>
      <c r="E886" s="5">
        <v>46270</v>
      </c>
      <c r="F886" t="s">
        <v>204</v>
      </c>
      <c r="G886" t="s">
        <v>205</v>
      </c>
      <c r="H886">
        <v>349</v>
      </c>
      <c r="I886">
        <v>6.63</v>
      </c>
      <c r="J886">
        <v>1.19</v>
      </c>
      <c r="K886">
        <v>341.18</v>
      </c>
      <c r="L886" s="5">
        <v>46272</v>
      </c>
      <c r="M886" t="s">
        <v>1765</v>
      </c>
      <c r="N886" t="s">
        <v>207</v>
      </c>
      <c r="O886" t="s">
        <v>2126</v>
      </c>
      <c r="P886" t="s">
        <v>208</v>
      </c>
      <c r="Q886" t="s">
        <v>209</v>
      </c>
    </row>
    <row r="887" spans="1:17" x14ac:dyDescent="0.3">
      <c r="A887" t="s">
        <v>2127</v>
      </c>
      <c r="C887" t="s">
        <v>2128</v>
      </c>
      <c r="D887" t="s">
        <v>2129</v>
      </c>
      <c r="E887" s="5">
        <v>46270</v>
      </c>
      <c r="F887" t="s">
        <v>204</v>
      </c>
      <c r="G887" t="s">
        <v>220</v>
      </c>
      <c r="H887">
        <v>5348</v>
      </c>
      <c r="I887">
        <v>16.04</v>
      </c>
      <c r="J887">
        <v>2.89</v>
      </c>
      <c r="K887">
        <v>5329.07</v>
      </c>
      <c r="L887" s="5">
        <v>46272</v>
      </c>
      <c r="M887" t="s">
        <v>1765</v>
      </c>
      <c r="N887" t="s">
        <v>207</v>
      </c>
      <c r="O887" t="s">
        <v>2129</v>
      </c>
      <c r="P887" t="s">
        <v>208</v>
      </c>
      <c r="Q887" t="s">
        <v>209</v>
      </c>
    </row>
    <row r="888" spans="1:17" x14ac:dyDescent="0.3">
      <c r="A888" t="s">
        <v>2130</v>
      </c>
      <c r="C888" t="s">
        <v>2131</v>
      </c>
      <c r="D888" t="s">
        <v>2131</v>
      </c>
      <c r="E888" s="5">
        <v>46270</v>
      </c>
      <c r="F888" t="s">
        <v>204</v>
      </c>
      <c r="G888" t="s">
        <v>220</v>
      </c>
      <c r="H888">
        <v>8298</v>
      </c>
      <c r="I888">
        <v>24.89</v>
      </c>
      <c r="J888">
        <v>4.4800000000000004</v>
      </c>
      <c r="K888">
        <v>8268.6299999999992</v>
      </c>
      <c r="L888" s="5">
        <v>46272</v>
      </c>
      <c r="M888" t="s">
        <v>1765</v>
      </c>
      <c r="N888" t="s">
        <v>207</v>
      </c>
      <c r="O888" t="s">
        <v>2131</v>
      </c>
      <c r="P888" t="s">
        <v>208</v>
      </c>
      <c r="Q888" t="s">
        <v>209</v>
      </c>
    </row>
    <row r="889" spans="1:17" x14ac:dyDescent="0.3">
      <c r="A889" t="s">
        <v>2132</v>
      </c>
      <c r="C889" t="s">
        <v>2133</v>
      </c>
      <c r="D889" t="s">
        <v>2133</v>
      </c>
      <c r="E889" s="5">
        <v>46270</v>
      </c>
      <c r="F889" t="s">
        <v>204</v>
      </c>
      <c r="G889" t="s">
        <v>213</v>
      </c>
      <c r="H889">
        <v>2298</v>
      </c>
      <c r="I889">
        <v>36.770000000000003</v>
      </c>
      <c r="J889">
        <v>6.62</v>
      </c>
      <c r="K889">
        <v>2254.61</v>
      </c>
      <c r="L889" s="5">
        <v>46272</v>
      </c>
      <c r="M889" t="s">
        <v>1765</v>
      </c>
      <c r="N889" t="s">
        <v>207</v>
      </c>
      <c r="O889" t="s">
        <v>2133</v>
      </c>
      <c r="P889" t="s">
        <v>208</v>
      </c>
      <c r="Q889" t="s">
        <v>209</v>
      </c>
    </row>
    <row r="890" spans="1:17" x14ac:dyDescent="0.3">
      <c r="A890" t="s">
        <v>2134</v>
      </c>
      <c r="C890" t="s">
        <v>2135</v>
      </c>
      <c r="D890" t="s">
        <v>2135</v>
      </c>
      <c r="E890" s="5">
        <v>46270</v>
      </c>
      <c r="F890" t="s">
        <v>204</v>
      </c>
      <c r="G890" t="s">
        <v>220</v>
      </c>
      <c r="H890">
        <v>7999</v>
      </c>
      <c r="I890">
        <v>24</v>
      </c>
      <c r="J890">
        <v>4.32</v>
      </c>
      <c r="K890">
        <v>7970.68</v>
      </c>
      <c r="L890" s="5">
        <v>46272</v>
      </c>
      <c r="M890" t="s">
        <v>1765</v>
      </c>
      <c r="N890" t="s">
        <v>207</v>
      </c>
      <c r="O890" t="s">
        <v>2135</v>
      </c>
      <c r="P890" t="s">
        <v>208</v>
      </c>
      <c r="Q890" t="s">
        <v>209</v>
      </c>
    </row>
    <row r="891" spans="1:17" x14ac:dyDescent="0.3">
      <c r="A891" t="s">
        <v>2136</v>
      </c>
      <c r="C891" t="s">
        <v>2137</v>
      </c>
      <c r="D891" t="s">
        <v>2137</v>
      </c>
      <c r="E891" s="5">
        <v>46270</v>
      </c>
      <c r="F891" t="s">
        <v>204</v>
      </c>
      <c r="G891" t="s">
        <v>220</v>
      </c>
      <c r="H891">
        <v>1798</v>
      </c>
      <c r="I891">
        <v>0</v>
      </c>
      <c r="J891">
        <v>0</v>
      </c>
      <c r="K891">
        <v>1798</v>
      </c>
      <c r="L891" s="5">
        <v>46272</v>
      </c>
      <c r="M891" t="s">
        <v>1765</v>
      </c>
      <c r="N891" t="s">
        <v>207</v>
      </c>
      <c r="O891" t="s">
        <v>2137</v>
      </c>
      <c r="P891" t="s">
        <v>208</v>
      </c>
      <c r="Q891" t="s">
        <v>209</v>
      </c>
    </row>
    <row r="892" spans="1:17" x14ac:dyDescent="0.3">
      <c r="A892" t="s">
        <v>2138</v>
      </c>
      <c r="C892" t="s">
        <v>2139</v>
      </c>
      <c r="D892" t="s">
        <v>2139</v>
      </c>
      <c r="E892" s="5">
        <v>46270</v>
      </c>
      <c r="F892" t="s">
        <v>204</v>
      </c>
      <c r="G892" t="s">
        <v>213</v>
      </c>
      <c r="H892">
        <v>5298</v>
      </c>
      <c r="I892">
        <v>84.77</v>
      </c>
      <c r="J892">
        <v>15.26</v>
      </c>
      <c r="K892">
        <v>5197.97</v>
      </c>
      <c r="L892" s="5">
        <v>46272</v>
      </c>
      <c r="M892" t="s">
        <v>1765</v>
      </c>
      <c r="N892" t="s">
        <v>207</v>
      </c>
      <c r="O892" t="s">
        <v>2139</v>
      </c>
      <c r="P892" t="s">
        <v>208</v>
      </c>
      <c r="Q892" t="s">
        <v>209</v>
      </c>
    </row>
    <row r="893" spans="1:17" x14ac:dyDescent="0.3">
      <c r="A893" t="s">
        <v>2140</v>
      </c>
      <c r="C893" t="s">
        <v>2141</v>
      </c>
      <c r="D893" t="s">
        <v>2142</v>
      </c>
      <c r="E893" s="5">
        <v>46270</v>
      </c>
      <c r="F893" t="s">
        <v>204</v>
      </c>
      <c r="G893" t="s">
        <v>213</v>
      </c>
      <c r="H893">
        <v>299</v>
      </c>
      <c r="I893">
        <v>5.38</v>
      </c>
      <c r="J893">
        <v>0.97</v>
      </c>
      <c r="K893">
        <v>292.64999999999998</v>
      </c>
      <c r="L893" s="5">
        <v>46272</v>
      </c>
      <c r="M893" t="s">
        <v>1765</v>
      </c>
      <c r="N893" t="s">
        <v>207</v>
      </c>
      <c r="O893" t="s">
        <v>2142</v>
      </c>
      <c r="P893" t="s">
        <v>208</v>
      </c>
      <c r="Q893" t="s">
        <v>209</v>
      </c>
    </row>
    <row r="894" spans="1:17" x14ac:dyDescent="0.3">
      <c r="A894" t="s">
        <v>2143</v>
      </c>
      <c r="C894" t="s">
        <v>2144</v>
      </c>
      <c r="D894" t="s">
        <v>2144</v>
      </c>
      <c r="E894" s="5">
        <v>46270</v>
      </c>
      <c r="F894" t="s">
        <v>204</v>
      </c>
      <c r="G894" t="s">
        <v>220</v>
      </c>
      <c r="H894">
        <v>3598</v>
      </c>
      <c r="I894">
        <v>10.79</v>
      </c>
      <c r="J894">
        <v>1.94</v>
      </c>
      <c r="K894">
        <v>3585.27</v>
      </c>
      <c r="L894" s="5">
        <v>46272</v>
      </c>
      <c r="M894" t="s">
        <v>1765</v>
      </c>
      <c r="N894" t="s">
        <v>207</v>
      </c>
      <c r="O894" t="s">
        <v>2144</v>
      </c>
      <c r="P894" t="s">
        <v>208</v>
      </c>
      <c r="Q894" t="s">
        <v>209</v>
      </c>
    </row>
    <row r="895" spans="1:17" x14ac:dyDescent="0.3">
      <c r="A895" t="s">
        <v>2145</v>
      </c>
      <c r="C895" t="s">
        <v>2146</v>
      </c>
      <c r="D895" t="s">
        <v>2146</v>
      </c>
      <c r="E895" s="5">
        <v>46270</v>
      </c>
      <c r="F895" t="s">
        <v>204</v>
      </c>
      <c r="G895" t="s">
        <v>220</v>
      </c>
      <c r="H895">
        <v>9798</v>
      </c>
      <c r="I895">
        <v>29.39</v>
      </c>
      <c r="J895">
        <v>5.29</v>
      </c>
      <c r="K895">
        <v>9763.32</v>
      </c>
      <c r="L895" s="5">
        <v>46272</v>
      </c>
      <c r="M895" t="s">
        <v>1765</v>
      </c>
      <c r="N895" t="s">
        <v>207</v>
      </c>
      <c r="O895" t="s">
        <v>2146</v>
      </c>
      <c r="P895" t="s">
        <v>208</v>
      </c>
      <c r="Q895" t="s">
        <v>209</v>
      </c>
    </row>
    <row r="896" spans="1:17" x14ac:dyDescent="0.3">
      <c r="A896" t="s">
        <v>2147</v>
      </c>
      <c r="C896" t="s">
        <v>2148</v>
      </c>
      <c r="D896" t="s">
        <v>2148</v>
      </c>
      <c r="E896" s="5">
        <v>46270</v>
      </c>
      <c r="F896" t="s">
        <v>204</v>
      </c>
      <c r="G896" t="s">
        <v>213</v>
      </c>
      <c r="H896">
        <v>1799</v>
      </c>
      <c r="I896">
        <v>32.380000000000003</v>
      </c>
      <c r="J896">
        <v>5.83</v>
      </c>
      <c r="K896">
        <v>1760.79</v>
      </c>
      <c r="L896" s="5">
        <v>46272</v>
      </c>
      <c r="M896" t="s">
        <v>1765</v>
      </c>
      <c r="N896" t="s">
        <v>207</v>
      </c>
      <c r="O896" t="s">
        <v>2148</v>
      </c>
      <c r="P896" t="s">
        <v>208</v>
      </c>
      <c r="Q896" t="s">
        <v>209</v>
      </c>
    </row>
    <row r="897" spans="1:17" x14ac:dyDescent="0.3">
      <c r="A897" t="s">
        <v>2149</v>
      </c>
      <c r="C897" t="s">
        <v>2150</v>
      </c>
      <c r="D897" t="s">
        <v>2150</v>
      </c>
      <c r="E897" s="5">
        <v>46270</v>
      </c>
      <c r="F897" t="s">
        <v>204</v>
      </c>
      <c r="G897" t="s">
        <v>213</v>
      </c>
      <c r="H897">
        <v>1398</v>
      </c>
      <c r="I897">
        <v>25.16</v>
      </c>
      <c r="J897">
        <v>4.53</v>
      </c>
      <c r="K897">
        <v>1368.31</v>
      </c>
      <c r="L897" s="5">
        <v>46272</v>
      </c>
      <c r="M897" t="s">
        <v>1765</v>
      </c>
      <c r="N897" t="s">
        <v>207</v>
      </c>
      <c r="O897" t="s">
        <v>2150</v>
      </c>
      <c r="P897" t="s">
        <v>208</v>
      </c>
      <c r="Q897" t="s">
        <v>209</v>
      </c>
    </row>
    <row r="898" spans="1:17" x14ac:dyDescent="0.3">
      <c r="A898" t="s">
        <v>2151</v>
      </c>
      <c r="C898" t="s">
        <v>2152</v>
      </c>
      <c r="D898" t="s">
        <v>2153</v>
      </c>
      <c r="E898" s="5">
        <v>46270</v>
      </c>
      <c r="F898" t="s">
        <v>204</v>
      </c>
      <c r="G898" t="s">
        <v>220</v>
      </c>
      <c r="H898">
        <v>299</v>
      </c>
      <c r="I898">
        <v>0</v>
      </c>
      <c r="J898">
        <v>0</v>
      </c>
      <c r="K898">
        <v>299</v>
      </c>
      <c r="L898" s="5">
        <v>46272</v>
      </c>
      <c r="M898" t="s">
        <v>1765</v>
      </c>
      <c r="N898" t="s">
        <v>207</v>
      </c>
      <c r="O898" t="s">
        <v>2153</v>
      </c>
      <c r="P898" t="s">
        <v>208</v>
      </c>
      <c r="Q898" t="s">
        <v>209</v>
      </c>
    </row>
    <row r="899" spans="1:17" x14ac:dyDescent="0.3">
      <c r="A899" t="s">
        <v>2154</v>
      </c>
      <c r="C899" t="s">
        <v>2155</v>
      </c>
      <c r="D899" t="s">
        <v>2155</v>
      </c>
      <c r="E899" s="5">
        <v>46270</v>
      </c>
      <c r="F899" t="s">
        <v>204</v>
      </c>
      <c r="G899" t="s">
        <v>213</v>
      </c>
      <c r="H899">
        <v>999</v>
      </c>
      <c r="I899">
        <v>17.98</v>
      </c>
      <c r="J899">
        <v>3.24</v>
      </c>
      <c r="K899">
        <v>977.78</v>
      </c>
      <c r="L899" s="5">
        <v>46272</v>
      </c>
      <c r="M899" t="s">
        <v>1765</v>
      </c>
      <c r="N899" t="s">
        <v>207</v>
      </c>
      <c r="O899" t="s">
        <v>2155</v>
      </c>
      <c r="P899" t="s">
        <v>208</v>
      </c>
      <c r="Q899" t="s">
        <v>209</v>
      </c>
    </row>
    <row r="900" spans="1:17" x14ac:dyDescent="0.3">
      <c r="A900" t="s">
        <v>2156</v>
      </c>
      <c r="C900" t="s">
        <v>2157</v>
      </c>
      <c r="D900" t="s">
        <v>2157</v>
      </c>
      <c r="E900" s="5">
        <v>46270</v>
      </c>
      <c r="F900" t="s">
        <v>204</v>
      </c>
      <c r="G900" t="s">
        <v>220</v>
      </c>
      <c r="H900">
        <v>2999</v>
      </c>
      <c r="I900">
        <v>9</v>
      </c>
      <c r="J900">
        <v>1.62</v>
      </c>
      <c r="K900">
        <v>2988.38</v>
      </c>
      <c r="L900" s="5">
        <v>46272</v>
      </c>
      <c r="M900" t="s">
        <v>1765</v>
      </c>
      <c r="N900" t="s">
        <v>207</v>
      </c>
      <c r="O900" t="s">
        <v>2157</v>
      </c>
      <c r="P900" t="s">
        <v>208</v>
      </c>
      <c r="Q900" t="s">
        <v>209</v>
      </c>
    </row>
    <row r="901" spans="1:17" x14ac:dyDescent="0.3">
      <c r="A901" t="s">
        <v>2158</v>
      </c>
      <c r="B901" t="s">
        <v>964</v>
      </c>
      <c r="E901" s="5">
        <v>46270</v>
      </c>
      <c r="F901" t="s">
        <v>921</v>
      </c>
      <c r="G901" t="s">
        <v>220</v>
      </c>
      <c r="H901">
        <v>798</v>
      </c>
      <c r="I901">
        <v>0</v>
      </c>
      <c r="J901">
        <v>0</v>
      </c>
      <c r="K901">
        <v>-798</v>
      </c>
      <c r="L901" s="5">
        <v>46272</v>
      </c>
      <c r="M901" t="s">
        <v>1765</v>
      </c>
      <c r="N901" t="s">
        <v>207</v>
      </c>
      <c r="O901" t="s">
        <v>965</v>
      </c>
      <c r="P901" t="s">
        <v>208</v>
      </c>
    </row>
    <row r="902" spans="1:17" x14ac:dyDescent="0.3">
      <c r="A902" t="s">
        <v>2159</v>
      </c>
      <c r="B902" t="s">
        <v>1273</v>
      </c>
      <c r="E902" s="5">
        <v>46270</v>
      </c>
      <c r="F902" t="s">
        <v>921</v>
      </c>
      <c r="G902" t="s">
        <v>220</v>
      </c>
      <c r="H902">
        <v>1299</v>
      </c>
      <c r="I902">
        <v>0</v>
      </c>
      <c r="J902">
        <v>0</v>
      </c>
      <c r="K902">
        <v>-1299</v>
      </c>
      <c r="L902" s="5">
        <v>46272</v>
      </c>
      <c r="M902" t="s">
        <v>1765</v>
      </c>
      <c r="N902" t="s">
        <v>207</v>
      </c>
      <c r="O902" t="s">
        <v>1274</v>
      </c>
      <c r="P902" t="s">
        <v>208</v>
      </c>
    </row>
    <row r="903" spans="1:17" x14ac:dyDescent="0.3">
      <c r="A903" t="s">
        <v>2160</v>
      </c>
      <c r="C903" t="s">
        <v>2161</v>
      </c>
      <c r="D903" t="s">
        <v>2162</v>
      </c>
      <c r="E903" s="5">
        <v>46271</v>
      </c>
      <c r="F903" t="s">
        <v>204</v>
      </c>
      <c r="G903" t="s">
        <v>220</v>
      </c>
      <c r="H903">
        <v>3798</v>
      </c>
      <c r="I903">
        <v>11.39</v>
      </c>
      <c r="J903">
        <v>2.0499999999999998</v>
      </c>
      <c r="K903">
        <v>3784.56</v>
      </c>
      <c r="L903" s="5">
        <v>46273</v>
      </c>
      <c r="M903" t="s">
        <v>2163</v>
      </c>
      <c r="N903" t="s">
        <v>207</v>
      </c>
      <c r="O903" t="s">
        <v>2162</v>
      </c>
      <c r="P903" t="s">
        <v>208</v>
      </c>
      <c r="Q903" t="s">
        <v>209</v>
      </c>
    </row>
    <row r="904" spans="1:17" x14ac:dyDescent="0.3">
      <c r="A904" t="s">
        <v>2164</v>
      </c>
      <c r="C904" t="s">
        <v>2165</v>
      </c>
      <c r="D904" t="s">
        <v>2165</v>
      </c>
      <c r="E904" s="5">
        <v>46271</v>
      </c>
      <c r="F904" t="s">
        <v>204</v>
      </c>
      <c r="G904" t="s">
        <v>213</v>
      </c>
      <c r="H904">
        <v>1598</v>
      </c>
      <c r="I904">
        <v>28.76</v>
      </c>
      <c r="J904">
        <v>5.18</v>
      </c>
      <c r="K904">
        <v>1564.06</v>
      </c>
      <c r="L904" s="5">
        <v>46273</v>
      </c>
      <c r="M904" t="s">
        <v>2163</v>
      </c>
      <c r="N904" t="s">
        <v>207</v>
      </c>
      <c r="O904" t="s">
        <v>2165</v>
      </c>
      <c r="P904" t="s">
        <v>208</v>
      </c>
      <c r="Q904" t="s">
        <v>209</v>
      </c>
    </row>
    <row r="905" spans="1:17" x14ac:dyDescent="0.3">
      <c r="A905" t="s">
        <v>2166</v>
      </c>
      <c r="C905" t="s">
        <v>2167</v>
      </c>
      <c r="D905" t="s">
        <v>2167</v>
      </c>
      <c r="E905" s="5">
        <v>46271</v>
      </c>
      <c r="F905" t="s">
        <v>204</v>
      </c>
      <c r="G905" t="s">
        <v>213</v>
      </c>
      <c r="H905">
        <v>1299</v>
      </c>
      <c r="I905">
        <v>23.38</v>
      </c>
      <c r="J905">
        <v>4.21</v>
      </c>
      <c r="K905">
        <v>1271.4100000000001</v>
      </c>
      <c r="L905" s="5">
        <v>46273</v>
      </c>
      <c r="M905" t="s">
        <v>2163</v>
      </c>
      <c r="N905" t="s">
        <v>207</v>
      </c>
      <c r="O905" t="s">
        <v>2167</v>
      </c>
      <c r="P905" t="s">
        <v>208</v>
      </c>
      <c r="Q905" t="s">
        <v>209</v>
      </c>
    </row>
    <row r="906" spans="1:17" x14ac:dyDescent="0.3">
      <c r="A906" t="s">
        <v>2168</v>
      </c>
      <c r="C906" t="s">
        <v>2169</v>
      </c>
      <c r="D906" t="s">
        <v>2169</v>
      </c>
      <c r="E906" s="5">
        <v>46271</v>
      </c>
      <c r="F906" t="s">
        <v>204</v>
      </c>
      <c r="G906" t="s">
        <v>213</v>
      </c>
      <c r="H906">
        <v>5998</v>
      </c>
      <c r="I906">
        <v>95.97</v>
      </c>
      <c r="J906">
        <v>17.27</v>
      </c>
      <c r="K906">
        <v>5884.76</v>
      </c>
      <c r="L906" s="5">
        <v>46273</v>
      </c>
      <c r="M906" t="s">
        <v>2163</v>
      </c>
      <c r="N906" t="s">
        <v>207</v>
      </c>
      <c r="O906" t="s">
        <v>2169</v>
      </c>
      <c r="P906" t="s">
        <v>208</v>
      </c>
      <c r="Q906" t="s">
        <v>209</v>
      </c>
    </row>
    <row r="907" spans="1:17" x14ac:dyDescent="0.3">
      <c r="A907" t="s">
        <v>2170</v>
      </c>
      <c r="C907" t="s">
        <v>2171</v>
      </c>
      <c r="D907" t="s">
        <v>2172</v>
      </c>
      <c r="E907" s="5">
        <v>46271</v>
      </c>
      <c r="F907" t="s">
        <v>204</v>
      </c>
      <c r="G907" t="s">
        <v>213</v>
      </c>
      <c r="H907">
        <v>2499</v>
      </c>
      <c r="I907">
        <v>39.979999999999997</v>
      </c>
      <c r="J907">
        <v>7.2</v>
      </c>
      <c r="K907">
        <v>2451.8200000000002</v>
      </c>
      <c r="L907" s="5">
        <v>46273</v>
      </c>
      <c r="M907" t="s">
        <v>2163</v>
      </c>
      <c r="N907" t="s">
        <v>207</v>
      </c>
      <c r="O907" t="s">
        <v>2172</v>
      </c>
      <c r="P907" t="s">
        <v>208</v>
      </c>
      <c r="Q907" t="s">
        <v>209</v>
      </c>
    </row>
    <row r="908" spans="1:17" x14ac:dyDescent="0.3">
      <c r="A908" t="s">
        <v>2173</v>
      </c>
      <c r="C908" t="s">
        <v>2174</v>
      </c>
      <c r="D908" t="s">
        <v>2174</v>
      </c>
      <c r="E908" s="5">
        <v>46271</v>
      </c>
      <c r="F908" t="s">
        <v>204</v>
      </c>
      <c r="G908" t="s">
        <v>220</v>
      </c>
      <c r="H908">
        <v>2197</v>
      </c>
      <c r="I908">
        <v>6.59</v>
      </c>
      <c r="J908">
        <v>1.19</v>
      </c>
      <c r="K908">
        <v>2189.2199999999998</v>
      </c>
      <c r="L908" s="5">
        <v>46273</v>
      </c>
      <c r="M908" t="s">
        <v>2163</v>
      </c>
      <c r="N908" t="s">
        <v>207</v>
      </c>
      <c r="O908" t="s">
        <v>2174</v>
      </c>
      <c r="P908" t="s">
        <v>208</v>
      </c>
      <c r="Q908" t="s">
        <v>209</v>
      </c>
    </row>
    <row r="909" spans="1:17" x14ac:dyDescent="0.3">
      <c r="A909" t="s">
        <v>2175</v>
      </c>
      <c r="C909" t="s">
        <v>2176</v>
      </c>
      <c r="D909" t="s">
        <v>2176</v>
      </c>
      <c r="E909" s="5">
        <v>46271</v>
      </c>
      <c r="F909" t="s">
        <v>204</v>
      </c>
      <c r="G909" t="s">
        <v>213</v>
      </c>
      <c r="H909">
        <v>7997</v>
      </c>
      <c r="I909">
        <v>127.95</v>
      </c>
      <c r="J909">
        <v>23.03</v>
      </c>
      <c r="K909">
        <v>7846.02</v>
      </c>
      <c r="L909" s="5">
        <v>46273</v>
      </c>
      <c r="M909" t="s">
        <v>2163</v>
      </c>
      <c r="N909" t="s">
        <v>207</v>
      </c>
      <c r="O909" t="s">
        <v>2176</v>
      </c>
      <c r="P909" t="s">
        <v>208</v>
      </c>
      <c r="Q909" t="s">
        <v>209</v>
      </c>
    </row>
    <row r="910" spans="1:17" x14ac:dyDescent="0.3">
      <c r="A910" t="s">
        <v>2177</v>
      </c>
      <c r="C910" t="s">
        <v>2178</v>
      </c>
      <c r="D910" t="s">
        <v>2179</v>
      </c>
      <c r="E910" s="5">
        <v>46271</v>
      </c>
      <c r="F910" t="s">
        <v>204</v>
      </c>
      <c r="G910" t="s">
        <v>220</v>
      </c>
      <c r="H910">
        <v>3848</v>
      </c>
      <c r="I910">
        <v>11.54</v>
      </c>
      <c r="J910">
        <v>2.08</v>
      </c>
      <c r="K910">
        <v>3834.38</v>
      </c>
      <c r="L910" s="5">
        <v>46273</v>
      </c>
      <c r="M910" t="s">
        <v>2163</v>
      </c>
      <c r="N910" t="s">
        <v>207</v>
      </c>
      <c r="O910" t="s">
        <v>2179</v>
      </c>
      <c r="P910" t="s">
        <v>208</v>
      </c>
      <c r="Q910" t="s">
        <v>209</v>
      </c>
    </row>
    <row r="911" spans="1:17" x14ac:dyDescent="0.3">
      <c r="A911" t="s">
        <v>2180</v>
      </c>
      <c r="C911" t="s">
        <v>2181</v>
      </c>
      <c r="D911" t="s">
        <v>2182</v>
      </c>
      <c r="E911" s="5">
        <v>46271</v>
      </c>
      <c r="F911" t="s">
        <v>204</v>
      </c>
      <c r="G911" t="s">
        <v>255</v>
      </c>
      <c r="H911">
        <v>1299</v>
      </c>
      <c r="I911">
        <v>19.489999999999998</v>
      </c>
      <c r="J911">
        <v>3.51</v>
      </c>
      <c r="K911">
        <v>1276</v>
      </c>
      <c r="L911" s="5">
        <v>46273</v>
      </c>
      <c r="M911" t="s">
        <v>2163</v>
      </c>
      <c r="N911" t="s">
        <v>207</v>
      </c>
      <c r="O911" t="s">
        <v>2182</v>
      </c>
      <c r="P911" t="s">
        <v>208</v>
      </c>
      <c r="Q911" t="s">
        <v>209</v>
      </c>
    </row>
    <row r="912" spans="1:17" x14ac:dyDescent="0.3">
      <c r="A912" t="s">
        <v>2183</v>
      </c>
      <c r="C912" t="s">
        <v>2184</v>
      </c>
      <c r="D912" t="s">
        <v>2184</v>
      </c>
      <c r="E912" s="5">
        <v>46271</v>
      </c>
      <c r="F912" t="s">
        <v>204</v>
      </c>
      <c r="G912" t="s">
        <v>205</v>
      </c>
      <c r="H912">
        <v>499</v>
      </c>
      <c r="I912">
        <v>9.48</v>
      </c>
      <c r="J912">
        <v>1.71</v>
      </c>
      <c r="K912">
        <v>487.81</v>
      </c>
      <c r="L912" s="5">
        <v>46273</v>
      </c>
      <c r="M912" t="s">
        <v>2163</v>
      </c>
      <c r="N912" t="s">
        <v>207</v>
      </c>
      <c r="O912" t="s">
        <v>2184</v>
      </c>
      <c r="P912" t="s">
        <v>208</v>
      </c>
      <c r="Q912" t="s">
        <v>209</v>
      </c>
    </row>
    <row r="913" spans="1:17" x14ac:dyDescent="0.3">
      <c r="A913" t="s">
        <v>2185</v>
      </c>
      <c r="C913" t="s">
        <v>2186</v>
      </c>
      <c r="D913" t="s">
        <v>2186</v>
      </c>
      <c r="E913" s="5">
        <v>46271</v>
      </c>
      <c r="F913" t="s">
        <v>204</v>
      </c>
      <c r="G913" t="s">
        <v>213</v>
      </c>
      <c r="H913">
        <v>9647</v>
      </c>
      <c r="I913">
        <v>154.35</v>
      </c>
      <c r="J913">
        <v>27.78</v>
      </c>
      <c r="K913">
        <v>9464.8700000000008</v>
      </c>
      <c r="L913" s="5">
        <v>46273</v>
      </c>
      <c r="M913" t="s">
        <v>2163</v>
      </c>
      <c r="N913" t="s">
        <v>207</v>
      </c>
      <c r="O913" t="s">
        <v>2186</v>
      </c>
      <c r="P913" t="s">
        <v>208</v>
      </c>
      <c r="Q913" t="s">
        <v>209</v>
      </c>
    </row>
    <row r="914" spans="1:17" x14ac:dyDescent="0.3">
      <c r="A914" t="s">
        <v>2187</v>
      </c>
      <c r="C914" t="s">
        <v>2188</v>
      </c>
      <c r="D914" t="s">
        <v>2188</v>
      </c>
      <c r="E914" s="5">
        <v>46271</v>
      </c>
      <c r="F914" t="s">
        <v>204</v>
      </c>
      <c r="G914" t="s">
        <v>213</v>
      </c>
      <c r="H914">
        <v>999</v>
      </c>
      <c r="I914">
        <v>17.98</v>
      </c>
      <c r="J914">
        <v>3.24</v>
      </c>
      <c r="K914">
        <v>977.78</v>
      </c>
      <c r="L914" s="5">
        <v>46273</v>
      </c>
      <c r="M914" t="s">
        <v>2163</v>
      </c>
      <c r="N914" t="s">
        <v>207</v>
      </c>
      <c r="O914" t="s">
        <v>2188</v>
      </c>
      <c r="P914" t="s">
        <v>208</v>
      </c>
      <c r="Q914" t="s">
        <v>209</v>
      </c>
    </row>
    <row r="915" spans="1:17" x14ac:dyDescent="0.3">
      <c r="A915" t="s">
        <v>2189</v>
      </c>
      <c r="C915" t="s">
        <v>2190</v>
      </c>
      <c r="D915" t="s">
        <v>2190</v>
      </c>
      <c r="E915" s="5">
        <v>46271</v>
      </c>
      <c r="F915" t="s">
        <v>204</v>
      </c>
      <c r="G915" t="s">
        <v>213</v>
      </c>
      <c r="H915">
        <v>1798</v>
      </c>
      <c r="I915">
        <v>32.36</v>
      </c>
      <c r="J915">
        <v>5.82</v>
      </c>
      <c r="K915">
        <v>1759.82</v>
      </c>
      <c r="L915" s="5">
        <v>46273</v>
      </c>
      <c r="M915" t="s">
        <v>2163</v>
      </c>
      <c r="N915" t="s">
        <v>207</v>
      </c>
      <c r="O915" t="s">
        <v>2190</v>
      </c>
      <c r="P915" t="s">
        <v>208</v>
      </c>
      <c r="Q915" t="s">
        <v>209</v>
      </c>
    </row>
    <row r="916" spans="1:17" x14ac:dyDescent="0.3">
      <c r="A916" t="s">
        <v>2191</v>
      </c>
      <c r="C916" t="s">
        <v>2192</v>
      </c>
      <c r="D916" t="s">
        <v>2192</v>
      </c>
      <c r="E916" s="5">
        <v>46271</v>
      </c>
      <c r="F916" t="s">
        <v>204</v>
      </c>
      <c r="G916" t="s">
        <v>205</v>
      </c>
      <c r="H916">
        <v>1498</v>
      </c>
      <c r="I916">
        <v>28.46</v>
      </c>
      <c r="J916">
        <v>5.12</v>
      </c>
      <c r="K916">
        <v>1464.42</v>
      </c>
      <c r="L916" s="5">
        <v>46273</v>
      </c>
      <c r="M916" t="s">
        <v>2163</v>
      </c>
      <c r="N916" t="s">
        <v>207</v>
      </c>
      <c r="O916" t="s">
        <v>2192</v>
      </c>
      <c r="P916" t="s">
        <v>208</v>
      </c>
      <c r="Q916" t="s">
        <v>209</v>
      </c>
    </row>
    <row r="917" spans="1:17" x14ac:dyDescent="0.3">
      <c r="A917" t="s">
        <v>2193</v>
      </c>
      <c r="C917" t="s">
        <v>2194</v>
      </c>
      <c r="D917" t="s">
        <v>2194</v>
      </c>
      <c r="E917" s="5">
        <v>46271</v>
      </c>
      <c r="F917" t="s">
        <v>204</v>
      </c>
      <c r="G917" t="s">
        <v>220</v>
      </c>
      <c r="H917">
        <v>3499</v>
      </c>
      <c r="I917">
        <v>10.5</v>
      </c>
      <c r="J917">
        <v>1.89</v>
      </c>
      <c r="K917">
        <v>3486.61</v>
      </c>
      <c r="L917" s="5">
        <v>46273</v>
      </c>
      <c r="M917" t="s">
        <v>2163</v>
      </c>
      <c r="N917" t="s">
        <v>207</v>
      </c>
      <c r="O917" t="s">
        <v>2194</v>
      </c>
      <c r="P917" t="s">
        <v>208</v>
      </c>
      <c r="Q917" t="s">
        <v>209</v>
      </c>
    </row>
    <row r="918" spans="1:17" x14ac:dyDescent="0.3">
      <c r="A918" t="s">
        <v>2195</v>
      </c>
      <c r="C918" t="s">
        <v>2196</v>
      </c>
      <c r="D918" t="s">
        <v>2196</v>
      </c>
      <c r="E918" s="5">
        <v>46271</v>
      </c>
      <c r="F918" t="s">
        <v>204</v>
      </c>
      <c r="G918" t="s">
        <v>213</v>
      </c>
      <c r="H918">
        <v>9597</v>
      </c>
      <c r="I918">
        <v>153.55000000000001</v>
      </c>
      <c r="J918">
        <v>27.64</v>
      </c>
      <c r="K918">
        <v>9415.81</v>
      </c>
      <c r="L918" s="5">
        <v>46273</v>
      </c>
      <c r="M918" t="s">
        <v>2163</v>
      </c>
      <c r="N918" t="s">
        <v>207</v>
      </c>
      <c r="O918" t="s">
        <v>2196</v>
      </c>
      <c r="P918" t="s">
        <v>208</v>
      </c>
      <c r="Q918" t="s">
        <v>209</v>
      </c>
    </row>
    <row r="919" spans="1:17" x14ac:dyDescent="0.3">
      <c r="A919" t="s">
        <v>2197</v>
      </c>
      <c r="C919" t="s">
        <v>2198</v>
      </c>
      <c r="D919" t="s">
        <v>2198</v>
      </c>
      <c r="E919" s="5">
        <v>46271</v>
      </c>
      <c r="F919" t="s">
        <v>204</v>
      </c>
      <c r="G919" t="s">
        <v>220</v>
      </c>
      <c r="H919">
        <v>2499</v>
      </c>
      <c r="I919">
        <v>7.5</v>
      </c>
      <c r="J919">
        <v>1.35</v>
      </c>
      <c r="K919">
        <v>2490.15</v>
      </c>
      <c r="L919" s="5">
        <v>46273</v>
      </c>
      <c r="M919" t="s">
        <v>2163</v>
      </c>
      <c r="N919" t="s">
        <v>207</v>
      </c>
      <c r="O919" t="s">
        <v>2198</v>
      </c>
      <c r="P919" t="s">
        <v>208</v>
      </c>
      <c r="Q919" t="s">
        <v>209</v>
      </c>
    </row>
    <row r="920" spans="1:17" x14ac:dyDescent="0.3">
      <c r="A920" t="s">
        <v>2199</v>
      </c>
      <c r="C920" t="s">
        <v>2200</v>
      </c>
      <c r="D920" t="s">
        <v>2200</v>
      </c>
      <c r="E920" s="5">
        <v>46271</v>
      </c>
      <c r="F920" t="s">
        <v>204</v>
      </c>
      <c r="G920" t="s">
        <v>220</v>
      </c>
      <c r="H920">
        <v>499</v>
      </c>
      <c r="I920">
        <v>0</v>
      </c>
      <c r="J920">
        <v>0</v>
      </c>
      <c r="K920">
        <v>499</v>
      </c>
      <c r="L920" s="5">
        <v>46273</v>
      </c>
      <c r="M920" t="s">
        <v>2163</v>
      </c>
      <c r="N920" t="s">
        <v>207</v>
      </c>
      <c r="O920" t="s">
        <v>2200</v>
      </c>
      <c r="P920" t="s">
        <v>208</v>
      </c>
      <c r="Q920" t="s">
        <v>209</v>
      </c>
    </row>
    <row r="921" spans="1:17" x14ac:dyDescent="0.3">
      <c r="A921" t="s">
        <v>2201</v>
      </c>
      <c r="C921" t="s">
        <v>2202</v>
      </c>
      <c r="D921" t="s">
        <v>2202</v>
      </c>
      <c r="E921" s="5">
        <v>46271</v>
      </c>
      <c r="F921" t="s">
        <v>204</v>
      </c>
      <c r="G921" t="s">
        <v>220</v>
      </c>
      <c r="H921">
        <v>12297</v>
      </c>
      <c r="I921">
        <v>36.89</v>
      </c>
      <c r="J921">
        <v>6.64</v>
      </c>
      <c r="K921">
        <v>12253.47</v>
      </c>
      <c r="L921" s="5">
        <v>46273</v>
      </c>
      <c r="M921" t="s">
        <v>2163</v>
      </c>
      <c r="N921" t="s">
        <v>207</v>
      </c>
      <c r="O921" t="s">
        <v>2202</v>
      </c>
      <c r="P921" t="s">
        <v>208</v>
      </c>
      <c r="Q921" t="s">
        <v>209</v>
      </c>
    </row>
    <row r="922" spans="1:17" x14ac:dyDescent="0.3">
      <c r="A922" t="s">
        <v>2203</v>
      </c>
      <c r="C922" t="s">
        <v>2204</v>
      </c>
      <c r="D922" t="s">
        <v>2204</v>
      </c>
      <c r="E922" s="5">
        <v>46271</v>
      </c>
      <c r="F922" t="s">
        <v>204</v>
      </c>
      <c r="G922" t="s">
        <v>205</v>
      </c>
      <c r="H922">
        <v>6297</v>
      </c>
      <c r="I922">
        <v>107.05</v>
      </c>
      <c r="J922">
        <v>19.27</v>
      </c>
      <c r="K922">
        <v>6170.68</v>
      </c>
      <c r="L922" s="5">
        <v>46273</v>
      </c>
      <c r="M922" t="s">
        <v>2163</v>
      </c>
      <c r="N922" t="s">
        <v>207</v>
      </c>
      <c r="O922" t="s">
        <v>2204</v>
      </c>
      <c r="P922" t="s">
        <v>208</v>
      </c>
      <c r="Q922" t="s">
        <v>209</v>
      </c>
    </row>
    <row r="923" spans="1:17" x14ac:dyDescent="0.3">
      <c r="A923" t="s">
        <v>2205</v>
      </c>
      <c r="C923" t="s">
        <v>2206</v>
      </c>
      <c r="D923" t="s">
        <v>2206</v>
      </c>
      <c r="E923" s="5">
        <v>46271</v>
      </c>
      <c r="F923" t="s">
        <v>204</v>
      </c>
      <c r="G923" t="s">
        <v>220</v>
      </c>
      <c r="H923">
        <v>5998</v>
      </c>
      <c r="I923">
        <v>17.989999999999998</v>
      </c>
      <c r="J923">
        <v>3.24</v>
      </c>
      <c r="K923">
        <v>5976.77</v>
      </c>
      <c r="L923" s="5">
        <v>46273</v>
      </c>
      <c r="M923" t="s">
        <v>2163</v>
      </c>
      <c r="N923" t="s">
        <v>207</v>
      </c>
      <c r="O923" t="s">
        <v>2206</v>
      </c>
      <c r="P923" t="s">
        <v>208</v>
      </c>
      <c r="Q923" t="s">
        <v>209</v>
      </c>
    </row>
    <row r="924" spans="1:17" x14ac:dyDescent="0.3">
      <c r="A924" t="s">
        <v>2207</v>
      </c>
      <c r="C924" t="s">
        <v>2208</v>
      </c>
      <c r="D924" t="s">
        <v>2208</v>
      </c>
      <c r="E924" s="5">
        <v>46271</v>
      </c>
      <c r="F924" t="s">
        <v>204</v>
      </c>
      <c r="G924" t="s">
        <v>220</v>
      </c>
      <c r="H924">
        <v>599</v>
      </c>
      <c r="I924">
        <v>0</v>
      </c>
      <c r="J924">
        <v>0</v>
      </c>
      <c r="K924">
        <v>599</v>
      </c>
      <c r="L924" s="5">
        <v>46273</v>
      </c>
      <c r="M924" t="s">
        <v>2163</v>
      </c>
      <c r="N924" t="s">
        <v>207</v>
      </c>
      <c r="O924" t="s">
        <v>2208</v>
      </c>
      <c r="P924" t="s">
        <v>208</v>
      </c>
      <c r="Q924" t="s">
        <v>209</v>
      </c>
    </row>
    <row r="925" spans="1:17" x14ac:dyDescent="0.3">
      <c r="A925" t="s">
        <v>2209</v>
      </c>
      <c r="C925" t="s">
        <v>2210</v>
      </c>
      <c r="D925" t="s">
        <v>2211</v>
      </c>
      <c r="E925" s="5">
        <v>46271</v>
      </c>
      <c r="F925" t="s">
        <v>204</v>
      </c>
      <c r="G925" t="s">
        <v>213</v>
      </c>
      <c r="H925">
        <v>8847</v>
      </c>
      <c r="I925">
        <v>141.55000000000001</v>
      </c>
      <c r="J925">
        <v>25.48</v>
      </c>
      <c r="K925">
        <v>8679.9699999999993</v>
      </c>
      <c r="L925" s="5">
        <v>46273</v>
      </c>
      <c r="M925" t="s">
        <v>2163</v>
      </c>
      <c r="N925" t="s">
        <v>207</v>
      </c>
      <c r="O925" t="s">
        <v>2211</v>
      </c>
      <c r="P925" t="s">
        <v>208</v>
      </c>
      <c r="Q925" t="s">
        <v>209</v>
      </c>
    </row>
    <row r="926" spans="1:17" x14ac:dyDescent="0.3">
      <c r="A926" t="s">
        <v>2212</v>
      </c>
      <c r="C926" t="s">
        <v>2213</v>
      </c>
      <c r="D926" t="s">
        <v>2214</v>
      </c>
      <c r="E926" s="5">
        <v>46271</v>
      </c>
      <c r="F926" t="s">
        <v>204</v>
      </c>
      <c r="G926" t="s">
        <v>220</v>
      </c>
      <c r="H926">
        <v>8798</v>
      </c>
      <c r="I926">
        <v>26.39</v>
      </c>
      <c r="J926">
        <v>4.75</v>
      </c>
      <c r="K926">
        <v>8766.86</v>
      </c>
      <c r="L926" s="5">
        <v>46273</v>
      </c>
      <c r="M926" t="s">
        <v>2163</v>
      </c>
      <c r="N926" t="s">
        <v>207</v>
      </c>
      <c r="O926" t="s">
        <v>2214</v>
      </c>
      <c r="P926" t="s">
        <v>208</v>
      </c>
      <c r="Q926" t="s">
        <v>209</v>
      </c>
    </row>
    <row r="927" spans="1:17" x14ac:dyDescent="0.3">
      <c r="A927" t="s">
        <v>2215</v>
      </c>
      <c r="C927" t="s">
        <v>2216</v>
      </c>
      <c r="D927" t="s">
        <v>2216</v>
      </c>
      <c r="E927" s="5">
        <v>46271</v>
      </c>
      <c r="F927" t="s">
        <v>204</v>
      </c>
      <c r="G927" t="s">
        <v>220</v>
      </c>
      <c r="H927">
        <v>5348</v>
      </c>
      <c r="I927">
        <v>16.04</v>
      </c>
      <c r="J927">
        <v>2.89</v>
      </c>
      <c r="K927">
        <v>5329.07</v>
      </c>
      <c r="L927" s="5">
        <v>46273</v>
      </c>
      <c r="M927" t="s">
        <v>2163</v>
      </c>
      <c r="N927" t="s">
        <v>207</v>
      </c>
      <c r="O927" t="s">
        <v>2216</v>
      </c>
      <c r="P927" t="s">
        <v>208</v>
      </c>
      <c r="Q927" t="s">
        <v>209</v>
      </c>
    </row>
    <row r="928" spans="1:17" x14ac:dyDescent="0.3">
      <c r="A928" t="s">
        <v>2217</v>
      </c>
      <c r="C928" t="s">
        <v>2218</v>
      </c>
      <c r="D928" t="s">
        <v>2218</v>
      </c>
      <c r="E928" s="5">
        <v>46271</v>
      </c>
      <c r="F928" t="s">
        <v>204</v>
      </c>
      <c r="G928" t="s">
        <v>255</v>
      </c>
      <c r="H928">
        <v>1799</v>
      </c>
      <c r="I928">
        <v>26.99</v>
      </c>
      <c r="J928">
        <v>4.8600000000000003</v>
      </c>
      <c r="K928">
        <v>1767.15</v>
      </c>
      <c r="L928" s="5">
        <v>46273</v>
      </c>
      <c r="M928" t="s">
        <v>2163</v>
      </c>
      <c r="N928" t="s">
        <v>207</v>
      </c>
      <c r="O928" t="s">
        <v>2218</v>
      </c>
      <c r="P928" t="s">
        <v>208</v>
      </c>
      <c r="Q928" t="s">
        <v>209</v>
      </c>
    </row>
    <row r="929" spans="1:17" x14ac:dyDescent="0.3">
      <c r="A929" t="s">
        <v>2219</v>
      </c>
      <c r="C929" t="s">
        <v>2220</v>
      </c>
      <c r="D929" t="s">
        <v>2220</v>
      </c>
      <c r="E929" s="5">
        <v>46271</v>
      </c>
      <c r="F929" t="s">
        <v>204</v>
      </c>
      <c r="G929" t="s">
        <v>255</v>
      </c>
      <c r="H929">
        <v>3298</v>
      </c>
      <c r="I929">
        <v>39.58</v>
      </c>
      <c r="J929">
        <v>7.12</v>
      </c>
      <c r="K929">
        <v>3251.3</v>
      </c>
      <c r="L929" s="5">
        <v>46273</v>
      </c>
      <c r="M929" t="s">
        <v>2163</v>
      </c>
      <c r="N929" t="s">
        <v>207</v>
      </c>
      <c r="O929" t="s">
        <v>2220</v>
      </c>
      <c r="P929" t="s">
        <v>208</v>
      </c>
      <c r="Q929" t="s">
        <v>209</v>
      </c>
    </row>
    <row r="930" spans="1:17" x14ac:dyDescent="0.3">
      <c r="A930" t="s">
        <v>2221</v>
      </c>
      <c r="C930" t="s">
        <v>2222</v>
      </c>
      <c r="D930" t="s">
        <v>2222</v>
      </c>
      <c r="E930" s="5">
        <v>46271</v>
      </c>
      <c r="F930" t="s">
        <v>204</v>
      </c>
      <c r="G930" t="s">
        <v>205</v>
      </c>
      <c r="H930">
        <v>1897</v>
      </c>
      <c r="I930">
        <v>36.04</v>
      </c>
      <c r="J930">
        <v>6.49</v>
      </c>
      <c r="K930">
        <v>1854.47</v>
      </c>
      <c r="L930" s="5">
        <v>46273</v>
      </c>
      <c r="M930" t="s">
        <v>2163</v>
      </c>
      <c r="N930" t="s">
        <v>207</v>
      </c>
      <c r="O930" t="s">
        <v>2222</v>
      </c>
      <c r="P930" t="s">
        <v>208</v>
      </c>
      <c r="Q930" t="s">
        <v>209</v>
      </c>
    </row>
    <row r="931" spans="1:17" x14ac:dyDescent="0.3">
      <c r="A931" t="s">
        <v>2223</v>
      </c>
      <c r="C931" t="s">
        <v>2224</v>
      </c>
      <c r="D931" t="s">
        <v>2225</v>
      </c>
      <c r="E931" s="5">
        <v>46271</v>
      </c>
      <c r="F931" t="s">
        <v>204</v>
      </c>
      <c r="G931" t="s">
        <v>220</v>
      </c>
      <c r="H931">
        <v>4999</v>
      </c>
      <c r="I931">
        <v>15</v>
      </c>
      <c r="J931">
        <v>2.7</v>
      </c>
      <c r="K931">
        <v>4981.3</v>
      </c>
      <c r="L931" s="5">
        <v>46273</v>
      </c>
      <c r="M931" t="s">
        <v>2163</v>
      </c>
      <c r="N931" t="s">
        <v>207</v>
      </c>
      <c r="O931" t="s">
        <v>2225</v>
      </c>
      <c r="P931" t="s">
        <v>208</v>
      </c>
      <c r="Q931" t="s">
        <v>209</v>
      </c>
    </row>
    <row r="932" spans="1:17" x14ac:dyDescent="0.3">
      <c r="A932" t="s">
        <v>2226</v>
      </c>
      <c r="C932" t="s">
        <v>2227</v>
      </c>
      <c r="D932" t="s">
        <v>2227</v>
      </c>
      <c r="E932" s="5">
        <v>46271</v>
      </c>
      <c r="F932" t="s">
        <v>204</v>
      </c>
      <c r="G932" t="s">
        <v>220</v>
      </c>
      <c r="H932">
        <v>299</v>
      </c>
      <c r="I932">
        <v>0</v>
      </c>
      <c r="J932">
        <v>0</v>
      </c>
      <c r="K932">
        <v>299</v>
      </c>
      <c r="L932" s="5">
        <v>46273</v>
      </c>
      <c r="M932" t="s">
        <v>2163</v>
      </c>
      <c r="N932" t="s">
        <v>207</v>
      </c>
      <c r="O932" t="s">
        <v>2227</v>
      </c>
      <c r="P932" t="s">
        <v>208</v>
      </c>
      <c r="Q932" t="s">
        <v>209</v>
      </c>
    </row>
    <row r="933" spans="1:17" x14ac:dyDescent="0.3">
      <c r="A933" t="s">
        <v>2228</v>
      </c>
      <c r="C933" t="s">
        <v>2229</v>
      </c>
      <c r="D933" t="s">
        <v>2229</v>
      </c>
      <c r="E933" s="5">
        <v>46271</v>
      </c>
      <c r="F933" t="s">
        <v>204</v>
      </c>
      <c r="G933" t="s">
        <v>220</v>
      </c>
      <c r="H933">
        <v>3499</v>
      </c>
      <c r="I933">
        <v>10.5</v>
      </c>
      <c r="J933">
        <v>1.89</v>
      </c>
      <c r="K933">
        <v>3486.61</v>
      </c>
      <c r="L933" s="5">
        <v>46273</v>
      </c>
      <c r="M933" t="s">
        <v>2163</v>
      </c>
      <c r="N933" t="s">
        <v>207</v>
      </c>
      <c r="O933" t="s">
        <v>2229</v>
      </c>
      <c r="P933" t="s">
        <v>208</v>
      </c>
      <c r="Q933" t="s">
        <v>209</v>
      </c>
    </row>
    <row r="934" spans="1:17" x14ac:dyDescent="0.3">
      <c r="A934" t="s">
        <v>2230</v>
      </c>
      <c r="C934" t="s">
        <v>2231</v>
      </c>
      <c r="D934" t="s">
        <v>2231</v>
      </c>
      <c r="E934" s="5">
        <v>46271</v>
      </c>
      <c r="F934" t="s">
        <v>204</v>
      </c>
      <c r="G934" t="s">
        <v>220</v>
      </c>
      <c r="H934">
        <v>8997</v>
      </c>
      <c r="I934">
        <v>26.99</v>
      </c>
      <c r="J934">
        <v>4.8600000000000003</v>
      </c>
      <c r="K934">
        <v>8965.15</v>
      </c>
      <c r="L934" s="5">
        <v>46273</v>
      </c>
      <c r="M934" t="s">
        <v>2163</v>
      </c>
      <c r="N934" t="s">
        <v>207</v>
      </c>
      <c r="O934" t="s">
        <v>2231</v>
      </c>
      <c r="P934" t="s">
        <v>208</v>
      </c>
      <c r="Q934" t="s">
        <v>209</v>
      </c>
    </row>
    <row r="935" spans="1:17" x14ac:dyDescent="0.3">
      <c r="A935" t="s">
        <v>2232</v>
      </c>
      <c r="C935" t="s">
        <v>2233</v>
      </c>
      <c r="D935" t="s">
        <v>2233</v>
      </c>
      <c r="E935" s="5">
        <v>46271</v>
      </c>
      <c r="F935" t="s">
        <v>204</v>
      </c>
      <c r="G935" t="s">
        <v>220</v>
      </c>
      <c r="H935">
        <v>8298</v>
      </c>
      <c r="I935">
        <v>24.89</v>
      </c>
      <c r="J935">
        <v>4.4800000000000004</v>
      </c>
      <c r="K935">
        <v>8268.6299999999992</v>
      </c>
      <c r="L935" s="5">
        <v>46273</v>
      </c>
      <c r="M935" t="s">
        <v>2163</v>
      </c>
      <c r="N935" t="s">
        <v>207</v>
      </c>
      <c r="O935" t="s">
        <v>2233</v>
      </c>
      <c r="P935" t="s">
        <v>208</v>
      </c>
      <c r="Q935" t="s">
        <v>209</v>
      </c>
    </row>
    <row r="936" spans="1:17" x14ac:dyDescent="0.3">
      <c r="A936" t="s">
        <v>2234</v>
      </c>
      <c r="C936" t="s">
        <v>2235</v>
      </c>
      <c r="D936" t="s">
        <v>2235</v>
      </c>
      <c r="E936" s="5">
        <v>46271</v>
      </c>
      <c r="F936" t="s">
        <v>204</v>
      </c>
      <c r="G936" t="s">
        <v>220</v>
      </c>
      <c r="H936">
        <v>1598</v>
      </c>
      <c r="I936">
        <v>0</v>
      </c>
      <c r="J936">
        <v>0</v>
      </c>
      <c r="K936">
        <v>1598</v>
      </c>
      <c r="L936" s="5">
        <v>46273</v>
      </c>
      <c r="M936" t="s">
        <v>2163</v>
      </c>
      <c r="N936" t="s">
        <v>207</v>
      </c>
      <c r="O936" t="s">
        <v>2235</v>
      </c>
      <c r="P936" t="s">
        <v>208</v>
      </c>
      <c r="Q936" t="s">
        <v>209</v>
      </c>
    </row>
    <row r="937" spans="1:17" x14ac:dyDescent="0.3">
      <c r="A937" t="s">
        <v>2236</v>
      </c>
      <c r="C937" t="s">
        <v>2237</v>
      </c>
      <c r="D937" t="s">
        <v>2237</v>
      </c>
      <c r="E937" s="5">
        <v>46271</v>
      </c>
      <c r="F937" t="s">
        <v>204</v>
      </c>
      <c r="G937" t="s">
        <v>220</v>
      </c>
      <c r="H937">
        <v>3499</v>
      </c>
      <c r="I937">
        <v>10.5</v>
      </c>
      <c r="J937">
        <v>1.89</v>
      </c>
      <c r="K937">
        <v>3486.61</v>
      </c>
      <c r="L937" s="5">
        <v>46273</v>
      </c>
      <c r="M937" t="s">
        <v>2163</v>
      </c>
      <c r="N937" t="s">
        <v>207</v>
      </c>
      <c r="O937" t="s">
        <v>2237</v>
      </c>
      <c r="P937" t="s">
        <v>208</v>
      </c>
      <c r="Q937" t="s">
        <v>209</v>
      </c>
    </row>
    <row r="938" spans="1:17" x14ac:dyDescent="0.3">
      <c r="A938" t="s">
        <v>2238</v>
      </c>
      <c r="C938" t="s">
        <v>2239</v>
      </c>
      <c r="D938" t="s">
        <v>2239</v>
      </c>
      <c r="E938" s="5">
        <v>46271</v>
      </c>
      <c r="F938" t="s">
        <v>204</v>
      </c>
      <c r="G938" t="s">
        <v>220</v>
      </c>
      <c r="H938">
        <v>11497</v>
      </c>
      <c r="I938">
        <v>34.49</v>
      </c>
      <c r="J938">
        <v>6.21</v>
      </c>
      <c r="K938">
        <v>11456.3</v>
      </c>
      <c r="L938" s="5">
        <v>46273</v>
      </c>
      <c r="M938" t="s">
        <v>2163</v>
      </c>
      <c r="N938" t="s">
        <v>207</v>
      </c>
      <c r="O938" t="s">
        <v>2239</v>
      </c>
      <c r="P938" t="s">
        <v>208</v>
      </c>
      <c r="Q938" t="s">
        <v>209</v>
      </c>
    </row>
    <row r="939" spans="1:17" x14ac:dyDescent="0.3">
      <c r="A939" t="s">
        <v>2240</v>
      </c>
      <c r="C939" t="s">
        <v>2241</v>
      </c>
      <c r="D939" t="s">
        <v>2241</v>
      </c>
      <c r="E939" s="5">
        <v>46271</v>
      </c>
      <c r="F939" t="s">
        <v>204</v>
      </c>
      <c r="G939" t="s">
        <v>220</v>
      </c>
      <c r="H939">
        <v>2848</v>
      </c>
      <c r="I939">
        <v>8.5399999999999991</v>
      </c>
      <c r="J939">
        <v>1.54</v>
      </c>
      <c r="K939">
        <v>2837.92</v>
      </c>
      <c r="L939" s="5">
        <v>46273</v>
      </c>
      <c r="M939" t="s">
        <v>2163</v>
      </c>
      <c r="N939" t="s">
        <v>207</v>
      </c>
      <c r="O939" t="s">
        <v>2241</v>
      </c>
      <c r="P939" t="s">
        <v>208</v>
      </c>
      <c r="Q939" t="s">
        <v>209</v>
      </c>
    </row>
    <row r="940" spans="1:17" x14ac:dyDescent="0.3">
      <c r="A940" t="s">
        <v>2242</v>
      </c>
      <c r="C940" t="s">
        <v>2243</v>
      </c>
      <c r="D940" t="s">
        <v>2243</v>
      </c>
      <c r="E940" s="5">
        <v>46271</v>
      </c>
      <c r="F940" t="s">
        <v>204</v>
      </c>
      <c r="G940" t="s">
        <v>205</v>
      </c>
      <c r="H940">
        <v>4998</v>
      </c>
      <c r="I940">
        <v>84.97</v>
      </c>
      <c r="J940">
        <v>15.29</v>
      </c>
      <c r="K940">
        <v>4897.74</v>
      </c>
      <c r="L940" s="5">
        <v>46273</v>
      </c>
      <c r="M940" t="s">
        <v>2163</v>
      </c>
      <c r="N940" t="s">
        <v>207</v>
      </c>
      <c r="O940" t="s">
        <v>2243</v>
      </c>
      <c r="P940" t="s">
        <v>208</v>
      </c>
      <c r="Q940" t="s">
        <v>209</v>
      </c>
    </row>
    <row r="941" spans="1:17" x14ac:dyDescent="0.3">
      <c r="A941" t="s">
        <v>2244</v>
      </c>
      <c r="C941" t="s">
        <v>2245</v>
      </c>
      <c r="D941" t="s">
        <v>2245</v>
      </c>
      <c r="E941" s="5">
        <v>46271</v>
      </c>
      <c r="F941" t="s">
        <v>204</v>
      </c>
      <c r="G941" t="s">
        <v>220</v>
      </c>
      <c r="H941">
        <v>4597</v>
      </c>
      <c r="I941">
        <v>13.79</v>
      </c>
      <c r="J941">
        <v>2.48</v>
      </c>
      <c r="K941">
        <v>4580.7299999999996</v>
      </c>
      <c r="L941" s="5">
        <v>46273</v>
      </c>
      <c r="M941" t="s">
        <v>2163</v>
      </c>
      <c r="N941" t="s">
        <v>207</v>
      </c>
      <c r="O941" t="s">
        <v>2245</v>
      </c>
      <c r="P941" t="s">
        <v>208</v>
      </c>
      <c r="Q941" t="s">
        <v>209</v>
      </c>
    </row>
    <row r="942" spans="1:17" x14ac:dyDescent="0.3">
      <c r="A942" t="s">
        <v>2246</v>
      </c>
      <c r="C942" t="s">
        <v>2247</v>
      </c>
      <c r="D942" t="s">
        <v>2247</v>
      </c>
      <c r="E942" s="5">
        <v>46271</v>
      </c>
      <c r="F942" t="s">
        <v>204</v>
      </c>
      <c r="G942" t="s">
        <v>213</v>
      </c>
      <c r="H942">
        <v>5998</v>
      </c>
      <c r="I942">
        <v>95.97</v>
      </c>
      <c r="J942">
        <v>17.27</v>
      </c>
      <c r="K942">
        <v>5884.76</v>
      </c>
      <c r="L942" s="5">
        <v>46273</v>
      </c>
      <c r="M942" t="s">
        <v>2163</v>
      </c>
      <c r="N942" t="s">
        <v>207</v>
      </c>
      <c r="O942" t="s">
        <v>2247</v>
      </c>
      <c r="P942" t="s">
        <v>208</v>
      </c>
      <c r="Q942" t="s">
        <v>209</v>
      </c>
    </row>
    <row r="943" spans="1:17" x14ac:dyDescent="0.3">
      <c r="A943" t="s">
        <v>2248</v>
      </c>
      <c r="C943" t="s">
        <v>2249</v>
      </c>
      <c r="D943" t="s">
        <v>2249</v>
      </c>
      <c r="E943" s="5">
        <v>46271</v>
      </c>
      <c r="F943" t="s">
        <v>204</v>
      </c>
      <c r="G943" t="s">
        <v>220</v>
      </c>
      <c r="H943">
        <v>1798</v>
      </c>
      <c r="I943">
        <v>0</v>
      </c>
      <c r="J943">
        <v>0</v>
      </c>
      <c r="K943">
        <v>1798</v>
      </c>
      <c r="L943" s="5">
        <v>46273</v>
      </c>
      <c r="M943" t="s">
        <v>2163</v>
      </c>
      <c r="N943" t="s">
        <v>207</v>
      </c>
      <c r="O943" t="s">
        <v>2249</v>
      </c>
      <c r="P943" t="s">
        <v>208</v>
      </c>
      <c r="Q943" t="s">
        <v>209</v>
      </c>
    </row>
    <row r="944" spans="1:17" x14ac:dyDescent="0.3">
      <c r="A944" t="s">
        <v>2250</v>
      </c>
      <c r="C944" t="s">
        <v>2251</v>
      </c>
      <c r="D944" t="s">
        <v>2251</v>
      </c>
      <c r="E944" s="5">
        <v>46271</v>
      </c>
      <c r="F944" t="s">
        <v>204</v>
      </c>
      <c r="G944" t="s">
        <v>220</v>
      </c>
      <c r="H944">
        <v>7999</v>
      </c>
      <c r="I944">
        <v>24</v>
      </c>
      <c r="J944">
        <v>4.32</v>
      </c>
      <c r="K944">
        <v>7970.68</v>
      </c>
      <c r="L944" s="5">
        <v>46273</v>
      </c>
      <c r="M944" t="s">
        <v>2163</v>
      </c>
      <c r="N944" t="s">
        <v>207</v>
      </c>
      <c r="O944" t="s">
        <v>2251</v>
      </c>
      <c r="P944" t="s">
        <v>208</v>
      </c>
      <c r="Q944" t="s">
        <v>209</v>
      </c>
    </row>
    <row r="945" spans="1:17" x14ac:dyDescent="0.3">
      <c r="A945" t="s">
        <v>2252</v>
      </c>
      <c r="C945" t="s">
        <v>2253</v>
      </c>
      <c r="D945" t="s">
        <v>2253</v>
      </c>
      <c r="E945" s="5">
        <v>46271</v>
      </c>
      <c r="F945" t="s">
        <v>204</v>
      </c>
      <c r="G945" t="s">
        <v>213</v>
      </c>
      <c r="H945">
        <v>799</v>
      </c>
      <c r="I945">
        <v>14.38</v>
      </c>
      <c r="J945">
        <v>2.59</v>
      </c>
      <c r="K945">
        <v>782.03</v>
      </c>
      <c r="L945" s="5">
        <v>46273</v>
      </c>
      <c r="M945" t="s">
        <v>2163</v>
      </c>
      <c r="N945" t="s">
        <v>207</v>
      </c>
      <c r="O945" t="s">
        <v>2253</v>
      </c>
      <c r="P945" t="s">
        <v>208</v>
      </c>
      <c r="Q945" t="s">
        <v>209</v>
      </c>
    </row>
    <row r="946" spans="1:17" x14ac:dyDescent="0.3">
      <c r="A946" t="s">
        <v>2254</v>
      </c>
      <c r="C946" t="s">
        <v>2255</v>
      </c>
      <c r="D946" t="s">
        <v>2255</v>
      </c>
      <c r="E946" s="5">
        <v>46271</v>
      </c>
      <c r="F946" t="s">
        <v>204</v>
      </c>
      <c r="G946" t="s">
        <v>255</v>
      </c>
      <c r="H946">
        <v>6298</v>
      </c>
      <c r="I946">
        <v>75.58</v>
      </c>
      <c r="J946">
        <v>13.6</v>
      </c>
      <c r="K946">
        <v>6208.82</v>
      </c>
      <c r="L946" s="5">
        <v>46273</v>
      </c>
      <c r="M946" t="s">
        <v>2163</v>
      </c>
      <c r="N946" t="s">
        <v>207</v>
      </c>
      <c r="O946" t="s">
        <v>2255</v>
      </c>
      <c r="P946" t="s">
        <v>208</v>
      </c>
      <c r="Q946" t="s">
        <v>209</v>
      </c>
    </row>
    <row r="947" spans="1:17" x14ac:dyDescent="0.3">
      <c r="A947" t="s">
        <v>2256</v>
      </c>
      <c r="C947" t="s">
        <v>2257</v>
      </c>
      <c r="D947" t="s">
        <v>2257</v>
      </c>
      <c r="E947" s="5">
        <v>46271</v>
      </c>
      <c r="F947" t="s">
        <v>204</v>
      </c>
      <c r="G947" t="s">
        <v>220</v>
      </c>
      <c r="H947">
        <v>1998</v>
      </c>
      <c r="I947">
        <v>0</v>
      </c>
      <c r="J947">
        <v>0</v>
      </c>
      <c r="K947">
        <v>1998</v>
      </c>
      <c r="L947" s="5">
        <v>46273</v>
      </c>
      <c r="M947" t="s">
        <v>2163</v>
      </c>
      <c r="N947" t="s">
        <v>207</v>
      </c>
      <c r="O947" t="s">
        <v>2257</v>
      </c>
      <c r="P947" t="s">
        <v>208</v>
      </c>
      <c r="Q947" t="s">
        <v>209</v>
      </c>
    </row>
    <row r="948" spans="1:17" x14ac:dyDescent="0.3">
      <c r="A948" t="s">
        <v>2258</v>
      </c>
      <c r="C948" t="s">
        <v>2259</v>
      </c>
      <c r="D948" t="s">
        <v>2259</v>
      </c>
      <c r="E948" s="5">
        <v>46271</v>
      </c>
      <c r="F948" t="s">
        <v>204</v>
      </c>
      <c r="G948" t="s">
        <v>220</v>
      </c>
      <c r="H948">
        <v>349</v>
      </c>
      <c r="I948">
        <v>0</v>
      </c>
      <c r="J948">
        <v>0</v>
      </c>
      <c r="K948">
        <v>349</v>
      </c>
      <c r="L948" s="5">
        <v>46273</v>
      </c>
      <c r="M948" t="s">
        <v>2163</v>
      </c>
      <c r="N948" t="s">
        <v>207</v>
      </c>
      <c r="O948" t="s">
        <v>2259</v>
      </c>
      <c r="P948" t="s">
        <v>208</v>
      </c>
      <c r="Q948" t="s">
        <v>209</v>
      </c>
    </row>
    <row r="949" spans="1:17" x14ac:dyDescent="0.3">
      <c r="A949" t="s">
        <v>2260</v>
      </c>
      <c r="C949" t="s">
        <v>2261</v>
      </c>
      <c r="D949" t="s">
        <v>2261</v>
      </c>
      <c r="E949" s="5">
        <v>46271</v>
      </c>
      <c r="F949" t="s">
        <v>204</v>
      </c>
      <c r="G949" t="s">
        <v>220</v>
      </c>
      <c r="H949">
        <v>1299</v>
      </c>
      <c r="I949">
        <v>0</v>
      </c>
      <c r="J949">
        <v>0</v>
      </c>
      <c r="K949">
        <v>1299</v>
      </c>
      <c r="L949" s="5">
        <v>46273</v>
      </c>
      <c r="M949" t="s">
        <v>2163</v>
      </c>
      <c r="N949" t="s">
        <v>207</v>
      </c>
      <c r="O949" t="s">
        <v>2261</v>
      </c>
      <c r="P949" t="s">
        <v>208</v>
      </c>
      <c r="Q949" t="s">
        <v>209</v>
      </c>
    </row>
    <row r="950" spans="1:17" x14ac:dyDescent="0.3">
      <c r="A950" t="s">
        <v>2262</v>
      </c>
      <c r="C950" t="s">
        <v>2263</v>
      </c>
      <c r="D950" t="s">
        <v>2263</v>
      </c>
      <c r="E950" s="5">
        <v>46271</v>
      </c>
      <c r="F950" t="s">
        <v>204</v>
      </c>
      <c r="G950" t="s">
        <v>220</v>
      </c>
      <c r="H950">
        <v>1848</v>
      </c>
      <c r="I950">
        <v>0</v>
      </c>
      <c r="J950">
        <v>0</v>
      </c>
      <c r="K950">
        <v>1848</v>
      </c>
      <c r="L950" s="5">
        <v>46273</v>
      </c>
      <c r="M950" t="s">
        <v>2163</v>
      </c>
      <c r="N950" t="s">
        <v>207</v>
      </c>
      <c r="O950" t="s">
        <v>2263</v>
      </c>
      <c r="P950" t="s">
        <v>208</v>
      </c>
      <c r="Q950" t="s">
        <v>209</v>
      </c>
    </row>
    <row r="951" spans="1:17" x14ac:dyDescent="0.3">
      <c r="A951" t="s">
        <v>2264</v>
      </c>
      <c r="C951" t="s">
        <v>2265</v>
      </c>
      <c r="D951" t="s">
        <v>2265</v>
      </c>
      <c r="E951" s="5">
        <v>46271</v>
      </c>
      <c r="F951" t="s">
        <v>204</v>
      </c>
      <c r="G951" t="s">
        <v>220</v>
      </c>
      <c r="H951">
        <v>799</v>
      </c>
      <c r="I951">
        <v>0</v>
      </c>
      <c r="J951">
        <v>0</v>
      </c>
      <c r="K951">
        <v>799</v>
      </c>
      <c r="L951" s="5">
        <v>46273</v>
      </c>
      <c r="M951" t="s">
        <v>2163</v>
      </c>
      <c r="N951" t="s">
        <v>207</v>
      </c>
      <c r="O951" t="s">
        <v>2265</v>
      </c>
      <c r="P951" t="s">
        <v>208</v>
      </c>
      <c r="Q951" t="s">
        <v>209</v>
      </c>
    </row>
    <row r="952" spans="1:17" x14ac:dyDescent="0.3">
      <c r="A952" t="s">
        <v>2266</v>
      </c>
      <c r="C952" t="s">
        <v>2267</v>
      </c>
      <c r="D952" t="s">
        <v>2267</v>
      </c>
      <c r="E952" s="5">
        <v>46271</v>
      </c>
      <c r="F952" t="s">
        <v>204</v>
      </c>
      <c r="G952" t="s">
        <v>220</v>
      </c>
      <c r="H952">
        <v>999</v>
      </c>
      <c r="I952">
        <v>0</v>
      </c>
      <c r="J952">
        <v>0</v>
      </c>
      <c r="K952">
        <v>999</v>
      </c>
      <c r="L952" s="5">
        <v>46273</v>
      </c>
      <c r="M952" t="s">
        <v>2163</v>
      </c>
      <c r="N952" t="s">
        <v>207</v>
      </c>
      <c r="O952" t="s">
        <v>2267</v>
      </c>
      <c r="P952" t="s">
        <v>208</v>
      </c>
      <c r="Q952" t="s">
        <v>209</v>
      </c>
    </row>
    <row r="953" spans="1:17" x14ac:dyDescent="0.3">
      <c r="A953" t="s">
        <v>2268</v>
      </c>
      <c r="C953" t="s">
        <v>2269</v>
      </c>
      <c r="D953" t="s">
        <v>2269</v>
      </c>
      <c r="E953" s="5">
        <v>46271</v>
      </c>
      <c r="F953" t="s">
        <v>204</v>
      </c>
      <c r="G953" t="s">
        <v>220</v>
      </c>
      <c r="H953">
        <v>5097</v>
      </c>
      <c r="I953">
        <v>15.29</v>
      </c>
      <c r="J953">
        <v>2.75</v>
      </c>
      <c r="K953">
        <v>5078.96</v>
      </c>
      <c r="L953" s="5">
        <v>46273</v>
      </c>
      <c r="M953" t="s">
        <v>2163</v>
      </c>
      <c r="N953" t="s">
        <v>207</v>
      </c>
      <c r="O953" t="s">
        <v>2269</v>
      </c>
      <c r="P953" t="s">
        <v>208</v>
      </c>
      <c r="Q953" t="s">
        <v>209</v>
      </c>
    </row>
    <row r="954" spans="1:17" x14ac:dyDescent="0.3">
      <c r="A954" t="s">
        <v>2270</v>
      </c>
      <c r="C954" t="s">
        <v>2271</v>
      </c>
      <c r="D954" t="s">
        <v>2272</v>
      </c>
      <c r="E954" s="5">
        <v>46271</v>
      </c>
      <c r="F954" t="s">
        <v>204</v>
      </c>
      <c r="G954" t="s">
        <v>213</v>
      </c>
      <c r="H954">
        <v>7999</v>
      </c>
      <c r="I954">
        <v>127.98</v>
      </c>
      <c r="J954">
        <v>23.04</v>
      </c>
      <c r="K954">
        <v>7847.98</v>
      </c>
      <c r="L954" s="5">
        <v>46273</v>
      </c>
      <c r="M954" t="s">
        <v>2163</v>
      </c>
      <c r="N954" t="s">
        <v>207</v>
      </c>
      <c r="O954" t="s">
        <v>2272</v>
      </c>
      <c r="P954" t="s">
        <v>208</v>
      </c>
      <c r="Q954" t="s">
        <v>209</v>
      </c>
    </row>
    <row r="955" spans="1:17" x14ac:dyDescent="0.3">
      <c r="A955" t="s">
        <v>2273</v>
      </c>
      <c r="C955" t="s">
        <v>2274</v>
      </c>
      <c r="D955" t="s">
        <v>2274</v>
      </c>
      <c r="E955" s="5">
        <v>46271</v>
      </c>
      <c r="F955" t="s">
        <v>204</v>
      </c>
      <c r="G955" t="s">
        <v>220</v>
      </c>
      <c r="H955">
        <v>4999</v>
      </c>
      <c r="I955">
        <v>15</v>
      </c>
      <c r="J955">
        <v>2.7</v>
      </c>
      <c r="K955">
        <v>4981.3</v>
      </c>
      <c r="L955" s="5">
        <v>46273</v>
      </c>
      <c r="M955" t="s">
        <v>2163</v>
      </c>
      <c r="N955" t="s">
        <v>207</v>
      </c>
      <c r="O955" t="s">
        <v>2274</v>
      </c>
      <c r="P955" t="s">
        <v>208</v>
      </c>
      <c r="Q955" t="s">
        <v>209</v>
      </c>
    </row>
    <row r="956" spans="1:17" x14ac:dyDescent="0.3">
      <c r="A956" t="s">
        <v>2275</v>
      </c>
      <c r="C956" t="s">
        <v>2276</v>
      </c>
      <c r="D956" t="s">
        <v>2276</v>
      </c>
      <c r="E956" s="5">
        <v>46271</v>
      </c>
      <c r="F956" t="s">
        <v>204</v>
      </c>
      <c r="G956" t="s">
        <v>213</v>
      </c>
      <c r="H956">
        <v>12297</v>
      </c>
      <c r="I956">
        <v>196.75</v>
      </c>
      <c r="J956">
        <v>35.42</v>
      </c>
      <c r="K956">
        <v>12064.83</v>
      </c>
      <c r="L956" s="5">
        <v>46273</v>
      </c>
      <c r="M956" t="s">
        <v>2163</v>
      </c>
      <c r="N956" t="s">
        <v>207</v>
      </c>
      <c r="O956" t="s">
        <v>2276</v>
      </c>
      <c r="P956" t="s">
        <v>208</v>
      </c>
      <c r="Q956" t="s">
        <v>209</v>
      </c>
    </row>
    <row r="957" spans="1:17" x14ac:dyDescent="0.3">
      <c r="A957" t="s">
        <v>2277</v>
      </c>
      <c r="C957" t="s">
        <v>2278</v>
      </c>
      <c r="D957" t="s">
        <v>2278</v>
      </c>
      <c r="E957" s="5">
        <v>46271</v>
      </c>
      <c r="F957" t="s">
        <v>204</v>
      </c>
      <c r="G957" t="s">
        <v>220</v>
      </c>
      <c r="H957">
        <v>4498</v>
      </c>
      <c r="I957">
        <v>13.49</v>
      </c>
      <c r="J957">
        <v>2.4300000000000002</v>
      </c>
      <c r="K957">
        <v>4482.08</v>
      </c>
      <c r="L957" s="5">
        <v>46273</v>
      </c>
      <c r="M957" t="s">
        <v>2163</v>
      </c>
      <c r="N957" t="s">
        <v>207</v>
      </c>
      <c r="O957" t="s">
        <v>2278</v>
      </c>
      <c r="P957" t="s">
        <v>208</v>
      </c>
      <c r="Q957" t="s">
        <v>209</v>
      </c>
    </row>
    <row r="958" spans="1:17" x14ac:dyDescent="0.3">
      <c r="A958" t="s">
        <v>2279</v>
      </c>
      <c r="C958" t="s">
        <v>2280</v>
      </c>
      <c r="D958" t="s">
        <v>2280</v>
      </c>
      <c r="E958" s="5">
        <v>46271</v>
      </c>
      <c r="F958" t="s">
        <v>204</v>
      </c>
      <c r="G958" t="s">
        <v>220</v>
      </c>
      <c r="H958">
        <v>1998</v>
      </c>
      <c r="I958">
        <v>0</v>
      </c>
      <c r="J958">
        <v>0</v>
      </c>
      <c r="K958">
        <v>1998</v>
      </c>
      <c r="L958" s="5">
        <v>46273</v>
      </c>
      <c r="M958" t="s">
        <v>2163</v>
      </c>
      <c r="N958" t="s">
        <v>207</v>
      </c>
      <c r="O958" t="s">
        <v>2280</v>
      </c>
      <c r="P958" t="s">
        <v>208</v>
      </c>
      <c r="Q958" t="s">
        <v>209</v>
      </c>
    </row>
    <row r="959" spans="1:17" x14ac:dyDescent="0.3">
      <c r="A959" t="s">
        <v>2281</v>
      </c>
      <c r="C959" t="s">
        <v>2282</v>
      </c>
      <c r="D959" t="s">
        <v>2282</v>
      </c>
      <c r="E959" s="5">
        <v>46271</v>
      </c>
      <c r="F959" t="s">
        <v>204</v>
      </c>
      <c r="G959" t="s">
        <v>213</v>
      </c>
      <c r="H959">
        <v>349</v>
      </c>
      <c r="I959">
        <v>6.28</v>
      </c>
      <c r="J959">
        <v>1.1299999999999999</v>
      </c>
      <c r="K959">
        <v>341.59</v>
      </c>
      <c r="L959" s="5">
        <v>46273</v>
      </c>
      <c r="M959" t="s">
        <v>2163</v>
      </c>
      <c r="N959" t="s">
        <v>207</v>
      </c>
      <c r="O959" t="s">
        <v>2282</v>
      </c>
      <c r="P959" t="s">
        <v>208</v>
      </c>
      <c r="Q959" t="s">
        <v>209</v>
      </c>
    </row>
    <row r="960" spans="1:17" x14ac:dyDescent="0.3">
      <c r="A960" t="s">
        <v>2283</v>
      </c>
      <c r="C960" t="s">
        <v>2284</v>
      </c>
      <c r="D960" t="s">
        <v>2284</v>
      </c>
      <c r="E960" s="5">
        <v>46271</v>
      </c>
      <c r="F960" t="s">
        <v>204</v>
      </c>
      <c r="G960" t="s">
        <v>213</v>
      </c>
      <c r="H960">
        <v>3498</v>
      </c>
      <c r="I960">
        <v>55.97</v>
      </c>
      <c r="J960">
        <v>10.07</v>
      </c>
      <c r="K960">
        <v>3431.96</v>
      </c>
      <c r="L960" s="5">
        <v>46273</v>
      </c>
      <c r="M960" t="s">
        <v>2163</v>
      </c>
      <c r="N960" t="s">
        <v>207</v>
      </c>
      <c r="O960" t="s">
        <v>2284</v>
      </c>
      <c r="P960" t="s">
        <v>208</v>
      </c>
      <c r="Q960" t="s">
        <v>209</v>
      </c>
    </row>
    <row r="961" spans="1:17" x14ac:dyDescent="0.3">
      <c r="A961" t="s">
        <v>2285</v>
      </c>
      <c r="C961" t="s">
        <v>2286</v>
      </c>
      <c r="D961" t="s">
        <v>2287</v>
      </c>
      <c r="E961" s="5">
        <v>46271</v>
      </c>
      <c r="F961" t="s">
        <v>204</v>
      </c>
      <c r="G961" t="s">
        <v>255</v>
      </c>
      <c r="H961">
        <v>599</v>
      </c>
      <c r="I961">
        <v>8.99</v>
      </c>
      <c r="J961">
        <v>1.62</v>
      </c>
      <c r="K961">
        <v>588.39</v>
      </c>
      <c r="L961" s="5">
        <v>46273</v>
      </c>
      <c r="M961" t="s">
        <v>2163</v>
      </c>
      <c r="N961" t="s">
        <v>207</v>
      </c>
      <c r="O961" t="s">
        <v>2287</v>
      </c>
      <c r="P961" t="s">
        <v>208</v>
      </c>
      <c r="Q961" t="s">
        <v>209</v>
      </c>
    </row>
    <row r="962" spans="1:17" x14ac:dyDescent="0.3">
      <c r="A962" t="s">
        <v>2288</v>
      </c>
      <c r="C962" t="s">
        <v>2289</v>
      </c>
      <c r="D962" t="s">
        <v>2290</v>
      </c>
      <c r="E962" s="5">
        <v>46271</v>
      </c>
      <c r="F962" t="s">
        <v>204</v>
      </c>
      <c r="G962" t="s">
        <v>213</v>
      </c>
      <c r="H962">
        <v>6397</v>
      </c>
      <c r="I962">
        <v>102.35</v>
      </c>
      <c r="J962">
        <v>18.420000000000002</v>
      </c>
      <c r="K962">
        <v>6276.23</v>
      </c>
      <c r="L962" s="5">
        <v>46273</v>
      </c>
      <c r="M962" t="s">
        <v>2163</v>
      </c>
      <c r="N962" t="s">
        <v>207</v>
      </c>
      <c r="O962" t="s">
        <v>2290</v>
      </c>
      <c r="P962" t="s">
        <v>208</v>
      </c>
      <c r="Q962" t="s">
        <v>209</v>
      </c>
    </row>
    <row r="963" spans="1:17" x14ac:dyDescent="0.3">
      <c r="A963" t="s">
        <v>2291</v>
      </c>
      <c r="C963" t="s">
        <v>2292</v>
      </c>
      <c r="D963" t="s">
        <v>2292</v>
      </c>
      <c r="E963" s="5">
        <v>46271</v>
      </c>
      <c r="F963" t="s">
        <v>204</v>
      </c>
      <c r="G963" t="s">
        <v>220</v>
      </c>
      <c r="H963">
        <v>1799</v>
      </c>
      <c r="I963">
        <v>0</v>
      </c>
      <c r="J963">
        <v>0</v>
      </c>
      <c r="K963">
        <v>1799</v>
      </c>
      <c r="L963" s="5">
        <v>46273</v>
      </c>
      <c r="M963" t="s">
        <v>2163</v>
      </c>
      <c r="N963" t="s">
        <v>207</v>
      </c>
      <c r="O963" t="s">
        <v>2292</v>
      </c>
      <c r="P963" t="s">
        <v>208</v>
      </c>
      <c r="Q963" t="s">
        <v>209</v>
      </c>
    </row>
    <row r="964" spans="1:17" x14ac:dyDescent="0.3">
      <c r="A964" t="s">
        <v>2293</v>
      </c>
      <c r="C964" t="s">
        <v>2294</v>
      </c>
      <c r="D964" t="s">
        <v>2295</v>
      </c>
      <c r="E964" s="5">
        <v>46271</v>
      </c>
      <c r="F964" t="s">
        <v>204</v>
      </c>
      <c r="G964" t="s">
        <v>220</v>
      </c>
      <c r="H964">
        <v>9997</v>
      </c>
      <c r="I964">
        <v>29.99</v>
      </c>
      <c r="J964">
        <v>5.4</v>
      </c>
      <c r="K964">
        <v>9961.61</v>
      </c>
      <c r="L964" s="5">
        <v>46273</v>
      </c>
      <c r="M964" t="s">
        <v>2163</v>
      </c>
      <c r="N964" t="s">
        <v>207</v>
      </c>
      <c r="O964" t="s">
        <v>2295</v>
      </c>
      <c r="P964" t="s">
        <v>208</v>
      </c>
      <c r="Q964" t="s">
        <v>209</v>
      </c>
    </row>
    <row r="965" spans="1:17" x14ac:dyDescent="0.3">
      <c r="A965" t="s">
        <v>2296</v>
      </c>
      <c r="C965" t="s">
        <v>2297</v>
      </c>
      <c r="D965" t="s">
        <v>2297</v>
      </c>
      <c r="E965" s="5">
        <v>46271</v>
      </c>
      <c r="F965" t="s">
        <v>204</v>
      </c>
      <c r="G965" t="s">
        <v>220</v>
      </c>
      <c r="H965">
        <v>1799</v>
      </c>
      <c r="I965">
        <v>0</v>
      </c>
      <c r="J965">
        <v>0</v>
      </c>
      <c r="K965">
        <v>1799</v>
      </c>
      <c r="L965" s="5">
        <v>46273</v>
      </c>
      <c r="M965" t="s">
        <v>2163</v>
      </c>
      <c r="N965" t="s">
        <v>207</v>
      </c>
      <c r="O965" t="s">
        <v>2297</v>
      </c>
      <c r="P965" t="s">
        <v>208</v>
      </c>
      <c r="Q965" t="s">
        <v>209</v>
      </c>
    </row>
    <row r="966" spans="1:17" x14ac:dyDescent="0.3">
      <c r="A966" t="s">
        <v>2298</v>
      </c>
      <c r="C966" t="s">
        <v>2299</v>
      </c>
      <c r="D966" t="s">
        <v>2299</v>
      </c>
      <c r="E966" s="5">
        <v>46271</v>
      </c>
      <c r="F966" t="s">
        <v>204</v>
      </c>
      <c r="G966" t="s">
        <v>220</v>
      </c>
      <c r="H966">
        <v>4999</v>
      </c>
      <c r="I966">
        <v>15</v>
      </c>
      <c r="J966">
        <v>2.7</v>
      </c>
      <c r="K966">
        <v>4981.3</v>
      </c>
      <c r="L966" s="5">
        <v>46273</v>
      </c>
      <c r="M966" t="s">
        <v>2163</v>
      </c>
      <c r="N966" t="s">
        <v>207</v>
      </c>
      <c r="O966" t="s">
        <v>2299</v>
      </c>
      <c r="P966" t="s">
        <v>208</v>
      </c>
      <c r="Q966" t="s">
        <v>209</v>
      </c>
    </row>
    <row r="967" spans="1:17" x14ac:dyDescent="0.3">
      <c r="A967" t="s">
        <v>2300</v>
      </c>
      <c r="C967" t="s">
        <v>2301</v>
      </c>
      <c r="D967" t="s">
        <v>2301</v>
      </c>
      <c r="E967" s="5">
        <v>46271</v>
      </c>
      <c r="F967" t="s">
        <v>204</v>
      </c>
      <c r="G967" t="s">
        <v>220</v>
      </c>
      <c r="H967">
        <v>3848</v>
      </c>
      <c r="I967">
        <v>11.54</v>
      </c>
      <c r="J967">
        <v>2.08</v>
      </c>
      <c r="K967">
        <v>3834.38</v>
      </c>
      <c r="L967" s="5">
        <v>46273</v>
      </c>
      <c r="M967" t="s">
        <v>2163</v>
      </c>
      <c r="N967" t="s">
        <v>207</v>
      </c>
      <c r="O967" t="s">
        <v>2301</v>
      </c>
      <c r="P967" t="s">
        <v>208</v>
      </c>
      <c r="Q967" t="s">
        <v>209</v>
      </c>
    </row>
    <row r="968" spans="1:17" x14ac:dyDescent="0.3">
      <c r="A968" t="s">
        <v>2302</v>
      </c>
      <c r="C968" t="s">
        <v>2303</v>
      </c>
      <c r="D968" t="s">
        <v>2303</v>
      </c>
      <c r="E968" s="5">
        <v>46271</v>
      </c>
      <c r="F968" t="s">
        <v>204</v>
      </c>
      <c r="G968" t="s">
        <v>220</v>
      </c>
      <c r="H968">
        <v>499</v>
      </c>
      <c r="I968">
        <v>0</v>
      </c>
      <c r="J968">
        <v>0</v>
      </c>
      <c r="K968">
        <v>499</v>
      </c>
      <c r="L968" s="5">
        <v>46273</v>
      </c>
      <c r="M968" t="s">
        <v>2163</v>
      </c>
      <c r="N968" t="s">
        <v>207</v>
      </c>
      <c r="O968" t="s">
        <v>2303</v>
      </c>
      <c r="P968" t="s">
        <v>208</v>
      </c>
      <c r="Q968" t="s">
        <v>209</v>
      </c>
    </row>
    <row r="969" spans="1:17" x14ac:dyDescent="0.3">
      <c r="A969" t="s">
        <v>2304</v>
      </c>
      <c r="C969" t="s">
        <v>2305</v>
      </c>
      <c r="D969" t="s">
        <v>2305</v>
      </c>
      <c r="E969" s="5">
        <v>46271</v>
      </c>
      <c r="F969" t="s">
        <v>204</v>
      </c>
      <c r="G969" t="s">
        <v>213</v>
      </c>
      <c r="H969">
        <v>1799</v>
      </c>
      <c r="I969">
        <v>32.380000000000003</v>
      </c>
      <c r="J969">
        <v>5.83</v>
      </c>
      <c r="K969">
        <v>1760.79</v>
      </c>
      <c r="L969" s="5">
        <v>46273</v>
      </c>
      <c r="M969" t="s">
        <v>2163</v>
      </c>
      <c r="N969" t="s">
        <v>207</v>
      </c>
      <c r="O969" t="s">
        <v>2305</v>
      </c>
      <c r="P969" t="s">
        <v>208</v>
      </c>
      <c r="Q969" t="s">
        <v>209</v>
      </c>
    </row>
    <row r="970" spans="1:17" x14ac:dyDescent="0.3">
      <c r="A970" t="s">
        <v>2306</v>
      </c>
      <c r="C970" t="s">
        <v>2307</v>
      </c>
      <c r="D970" t="s">
        <v>2307</v>
      </c>
      <c r="E970" s="5">
        <v>46271</v>
      </c>
      <c r="F970" t="s">
        <v>204</v>
      </c>
      <c r="G970" t="s">
        <v>220</v>
      </c>
      <c r="H970">
        <v>798</v>
      </c>
      <c r="I970">
        <v>0</v>
      </c>
      <c r="J970">
        <v>0</v>
      </c>
      <c r="K970">
        <v>798</v>
      </c>
      <c r="L970" s="5">
        <v>46273</v>
      </c>
      <c r="M970" t="s">
        <v>2163</v>
      </c>
      <c r="N970" t="s">
        <v>207</v>
      </c>
      <c r="O970" t="s">
        <v>2307</v>
      </c>
      <c r="P970" t="s">
        <v>208</v>
      </c>
      <c r="Q970" t="s">
        <v>209</v>
      </c>
    </row>
    <row r="971" spans="1:17" x14ac:dyDescent="0.3">
      <c r="A971" t="s">
        <v>2308</v>
      </c>
      <c r="C971" t="s">
        <v>2309</v>
      </c>
      <c r="D971" t="s">
        <v>2309</v>
      </c>
      <c r="E971" s="5">
        <v>46271</v>
      </c>
      <c r="F971" t="s">
        <v>204</v>
      </c>
      <c r="G971" t="s">
        <v>213</v>
      </c>
      <c r="H971">
        <v>599</v>
      </c>
      <c r="I971">
        <v>10.78</v>
      </c>
      <c r="J971">
        <v>1.94</v>
      </c>
      <c r="K971">
        <v>586.28</v>
      </c>
      <c r="L971" s="5">
        <v>46273</v>
      </c>
      <c r="M971" t="s">
        <v>2163</v>
      </c>
      <c r="N971" t="s">
        <v>207</v>
      </c>
      <c r="O971" t="s">
        <v>2309</v>
      </c>
      <c r="P971" t="s">
        <v>208</v>
      </c>
      <c r="Q971" t="s">
        <v>209</v>
      </c>
    </row>
    <row r="972" spans="1:17" x14ac:dyDescent="0.3">
      <c r="A972" t="s">
        <v>2310</v>
      </c>
      <c r="C972" t="s">
        <v>2311</v>
      </c>
      <c r="D972" t="s">
        <v>2311</v>
      </c>
      <c r="E972" s="5">
        <v>46271</v>
      </c>
      <c r="F972" t="s">
        <v>204</v>
      </c>
      <c r="G972" t="s">
        <v>220</v>
      </c>
      <c r="H972">
        <v>5998</v>
      </c>
      <c r="I972">
        <v>17.989999999999998</v>
      </c>
      <c r="J972">
        <v>3.24</v>
      </c>
      <c r="K972">
        <v>5976.77</v>
      </c>
      <c r="L972" s="5">
        <v>46273</v>
      </c>
      <c r="M972" t="s">
        <v>2163</v>
      </c>
      <c r="N972" t="s">
        <v>207</v>
      </c>
      <c r="O972" t="s">
        <v>2311</v>
      </c>
      <c r="P972" t="s">
        <v>208</v>
      </c>
      <c r="Q972" t="s">
        <v>209</v>
      </c>
    </row>
    <row r="973" spans="1:17" x14ac:dyDescent="0.3">
      <c r="A973" t="s">
        <v>2312</v>
      </c>
      <c r="C973" t="s">
        <v>2313</v>
      </c>
      <c r="D973" t="s">
        <v>2313</v>
      </c>
      <c r="E973" s="5">
        <v>46271</v>
      </c>
      <c r="F973" t="s">
        <v>204</v>
      </c>
      <c r="G973" t="s">
        <v>220</v>
      </c>
      <c r="H973">
        <v>2798</v>
      </c>
      <c r="I973">
        <v>8.39</v>
      </c>
      <c r="J973">
        <v>1.51</v>
      </c>
      <c r="K973">
        <v>2788.1</v>
      </c>
      <c r="L973" s="5">
        <v>46273</v>
      </c>
      <c r="M973" t="s">
        <v>2163</v>
      </c>
      <c r="N973" t="s">
        <v>207</v>
      </c>
      <c r="O973" t="s">
        <v>2313</v>
      </c>
      <c r="P973" t="s">
        <v>208</v>
      </c>
      <c r="Q973" t="s">
        <v>209</v>
      </c>
    </row>
    <row r="974" spans="1:17" x14ac:dyDescent="0.3">
      <c r="A974" t="s">
        <v>2314</v>
      </c>
      <c r="C974" t="s">
        <v>2315</v>
      </c>
      <c r="D974" t="s">
        <v>2316</v>
      </c>
      <c r="E974" s="5">
        <v>46271</v>
      </c>
      <c r="F974" t="s">
        <v>204</v>
      </c>
      <c r="G974" t="s">
        <v>213</v>
      </c>
      <c r="H974">
        <v>5598</v>
      </c>
      <c r="I974">
        <v>89.57</v>
      </c>
      <c r="J974">
        <v>16.12</v>
      </c>
      <c r="K974">
        <v>5492.31</v>
      </c>
      <c r="L974" s="5">
        <v>46273</v>
      </c>
      <c r="M974" t="s">
        <v>2163</v>
      </c>
      <c r="N974" t="s">
        <v>207</v>
      </c>
      <c r="O974" t="s">
        <v>2316</v>
      </c>
      <c r="P974" t="s">
        <v>208</v>
      </c>
      <c r="Q974" t="s">
        <v>209</v>
      </c>
    </row>
    <row r="975" spans="1:17" x14ac:dyDescent="0.3">
      <c r="A975" t="s">
        <v>2317</v>
      </c>
      <c r="C975" t="s">
        <v>2318</v>
      </c>
      <c r="D975" t="s">
        <v>2318</v>
      </c>
      <c r="E975" s="5">
        <v>46271</v>
      </c>
      <c r="F975" t="s">
        <v>204</v>
      </c>
      <c r="G975" t="s">
        <v>220</v>
      </c>
      <c r="H975">
        <v>648</v>
      </c>
      <c r="I975">
        <v>0</v>
      </c>
      <c r="J975">
        <v>0</v>
      </c>
      <c r="K975">
        <v>648</v>
      </c>
      <c r="L975" s="5">
        <v>46273</v>
      </c>
      <c r="M975" t="s">
        <v>2163</v>
      </c>
      <c r="N975" t="s">
        <v>207</v>
      </c>
      <c r="O975" t="s">
        <v>2318</v>
      </c>
      <c r="P975" t="s">
        <v>208</v>
      </c>
      <c r="Q975" t="s">
        <v>209</v>
      </c>
    </row>
    <row r="976" spans="1:17" x14ac:dyDescent="0.3">
      <c r="A976" t="s">
        <v>2319</v>
      </c>
      <c r="C976" t="s">
        <v>2320</v>
      </c>
      <c r="D976" t="s">
        <v>2320</v>
      </c>
      <c r="E976" s="5">
        <v>46271</v>
      </c>
      <c r="F976" t="s">
        <v>204</v>
      </c>
      <c r="G976" t="s">
        <v>213</v>
      </c>
      <c r="H976">
        <v>299</v>
      </c>
      <c r="I976">
        <v>5.38</v>
      </c>
      <c r="J976">
        <v>0.97</v>
      </c>
      <c r="K976">
        <v>292.64999999999998</v>
      </c>
      <c r="L976" s="5">
        <v>46273</v>
      </c>
      <c r="M976" t="s">
        <v>2163</v>
      </c>
      <c r="N976" t="s">
        <v>207</v>
      </c>
      <c r="O976" t="s">
        <v>2320</v>
      </c>
      <c r="P976" t="s">
        <v>208</v>
      </c>
      <c r="Q976" t="s">
        <v>209</v>
      </c>
    </row>
    <row r="977" spans="1:17" x14ac:dyDescent="0.3">
      <c r="A977" t="s">
        <v>2321</v>
      </c>
      <c r="C977" t="s">
        <v>2322</v>
      </c>
      <c r="D977" t="s">
        <v>2322</v>
      </c>
      <c r="E977" s="5">
        <v>46271</v>
      </c>
      <c r="F977" t="s">
        <v>204</v>
      </c>
      <c r="G977" t="s">
        <v>205</v>
      </c>
      <c r="H977">
        <v>499</v>
      </c>
      <c r="I977">
        <v>9.48</v>
      </c>
      <c r="J977">
        <v>1.71</v>
      </c>
      <c r="K977">
        <v>487.81</v>
      </c>
      <c r="L977" s="5">
        <v>46273</v>
      </c>
      <c r="M977" t="s">
        <v>2163</v>
      </c>
      <c r="N977" t="s">
        <v>207</v>
      </c>
      <c r="O977" t="s">
        <v>2322</v>
      </c>
      <c r="P977" t="s">
        <v>208</v>
      </c>
      <c r="Q977" t="s">
        <v>209</v>
      </c>
    </row>
    <row r="978" spans="1:17" x14ac:dyDescent="0.3">
      <c r="A978" t="s">
        <v>2323</v>
      </c>
      <c r="C978" t="s">
        <v>2324</v>
      </c>
      <c r="D978" t="s">
        <v>2324</v>
      </c>
      <c r="E978" s="5">
        <v>46271</v>
      </c>
      <c r="F978" t="s">
        <v>204</v>
      </c>
      <c r="G978" t="s">
        <v>220</v>
      </c>
      <c r="H978">
        <v>1598</v>
      </c>
      <c r="I978">
        <v>0</v>
      </c>
      <c r="J978">
        <v>0</v>
      </c>
      <c r="K978">
        <v>1598</v>
      </c>
      <c r="L978" s="5">
        <v>46273</v>
      </c>
      <c r="M978" t="s">
        <v>2163</v>
      </c>
      <c r="N978" t="s">
        <v>207</v>
      </c>
      <c r="O978" t="s">
        <v>2324</v>
      </c>
      <c r="P978" t="s">
        <v>208</v>
      </c>
      <c r="Q978" t="s">
        <v>209</v>
      </c>
    </row>
    <row r="979" spans="1:17" x14ac:dyDescent="0.3">
      <c r="A979" t="s">
        <v>2325</v>
      </c>
      <c r="C979" t="s">
        <v>2326</v>
      </c>
      <c r="D979" t="s">
        <v>2326</v>
      </c>
      <c r="E979" s="5">
        <v>46271</v>
      </c>
      <c r="F979" t="s">
        <v>204</v>
      </c>
      <c r="G979" t="s">
        <v>213</v>
      </c>
      <c r="H979">
        <v>4498</v>
      </c>
      <c r="I979">
        <v>71.97</v>
      </c>
      <c r="J979">
        <v>12.95</v>
      </c>
      <c r="K979">
        <v>4413.08</v>
      </c>
      <c r="L979" s="5">
        <v>46273</v>
      </c>
      <c r="M979" t="s">
        <v>2163</v>
      </c>
      <c r="N979" t="s">
        <v>207</v>
      </c>
      <c r="O979" t="s">
        <v>2326</v>
      </c>
      <c r="P979" t="s">
        <v>208</v>
      </c>
      <c r="Q979" t="s">
        <v>209</v>
      </c>
    </row>
    <row r="980" spans="1:17" x14ac:dyDescent="0.3">
      <c r="A980" t="s">
        <v>2327</v>
      </c>
      <c r="C980" t="s">
        <v>2328</v>
      </c>
      <c r="D980" t="s">
        <v>2329</v>
      </c>
      <c r="E980" s="5">
        <v>46271</v>
      </c>
      <c r="F980" t="s">
        <v>204</v>
      </c>
      <c r="G980" t="s">
        <v>220</v>
      </c>
      <c r="H980">
        <v>3598</v>
      </c>
      <c r="I980">
        <v>10.79</v>
      </c>
      <c r="J980">
        <v>1.94</v>
      </c>
      <c r="K980">
        <v>3585.27</v>
      </c>
      <c r="L980" s="5">
        <v>46273</v>
      </c>
      <c r="M980" t="s">
        <v>2163</v>
      </c>
      <c r="N980" t="s">
        <v>207</v>
      </c>
      <c r="O980" t="s">
        <v>2329</v>
      </c>
      <c r="P980" t="s">
        <v>208</v>
      </c>
      <c r="Q980" t="s">
        <v>209</v>
      </c>
    </row>
    <row r="981" spans="1:17" x14ac:dyDescent="0.3">
      <c r="A981" t="s">
        <v>2330</v>
      </c>
      <c r="C981" t="s">
        <v>2331</v>
      </c>
      <c r="D981" t="s">
        <v>2331</v>
      </c>
      <c r="E981" s="5">
        <v>46271</v>
      </c>
      <c r="F981" t="s">
        <v>204</v>
      </c>
      <c r="G981" t="s">
        <v>213</v>
      </c>
      <c r="H981">
        <v>3298</v>
      </c>
      <c r="I981">
        <v>52.77</v>
      </c>
      <c r="J981">
        <v>9.5</v>
      </c>
      <c r="K981">
        <v>3235.73</v>
      </c>
      <c r="L981" s="5">
        <v>46273</v>
      </c>
      <c r="M981" t="s">
        <v>2163</v>
      </c>
      <c r="N981" t="s">
        <v>207</v>
      </c>
      <c r="O981" t="s">
        <v>2331</v>
      </c>
      <c r="P981" t="s">
        <v>208</v>
      </c>
      <c r="Q981" t="s">
        <v>209</v>
      </c>
    </row>
    <row r="982" spans="1:17" x14ac:dyDescent="0.3">
      <c r="A982" t="s">
        <v>2332</v>
      </c>
      <c r="C982" t="s">
        <v>2333</v>
      </c>
      <c r="D982" t="s">
        <v>2333</v>
      </c>
      <c r="E982" s="5">
        <v>46271</v>
      </c>
      <c r="F982" t="s">
        <v>204</v>
      </c>
      <c r="G982" t="s">
        <v>220</v>
      </c>
      <c r="H982">
        <v>6798</v>
      </c>
      <c r="I982">
        <v>20.39</v>
      </c>
      <c r="J982">
        <v>3.67</v>
      </c>
      <c r="K982">
        <v>6773.94</v>
      </c>
      <c r="L982" s="5">
        <v>46273</v>
      </c>
      <c r="M982" t="s">
        <v>2163</v>
      </c>
      <c r="N982" t="s">
        <v>207</v>
      </c>
      <c r="O982" t="s">
        <v>2333</v>
      </c>
      <c r="P982" t="s">
        <v>208</v>
      </c>
      <c r="Q982" t="s">
        <v>209</v>
      </c>
    </row>
    <row r="983" spans="1:17" x14ac:dyDescent="0.3">
      <c r="A983" t="s">
        <v>2334</v>
      </c>
      <c r="C983" t="s">
        <v>2335</v>
      </c>
      <c r="D983" t="s">
        <v>2335</v>
      </c>
      <c r="E983" s="5">
        <v>46271</v>
      </c>
      <c r="F983" t="s">
        <v>204</v>
      </c>
      <c r="G983" t="s">
        <v>205</v>
      </c>
      <c r="H983">
        <v>5598</v>
      </c>
      <c r="I983">
        <v>95.17</v>
      </c>
      <c r="J983">
        <v>17.13</v>
      </c>
      <c r="K983">
        <v>5485.7</v>
      </c>
      <c r="L983" s="5">
        <v>46273</v>
      </c>
      <c r="M983" t="s">
        <v>2163</v>
      </c>
      <c r="N983" t="s">
        <v>207</v>
      </c>
      <c r="O983" t="s">
        <v>2335</v>
      </c>
      <c r="P983" t="s">
        <v>208</v>
      </c>
      <c r="Q983" t="s">
        <v>209</v>
      </c>
    </row>
    <row r="984" spans="1:17" x14ac:dyDescent="0.3">
      <c r="A984" t="s">
        <v>2336</v>
      </c>
      <c r="C984" t="s">
        <v>2337</v>
      </c>
      <c r="D984" t="s">
        <v>2337</v>
      </c>
      <c r="E984" s="5">
        <v>46271</v>
      </c>
      <c r="F984" t="s">
        <v>204</v>
      </c>
      <c r="G984" t="s">
        <v>220</v>
      </c>
      <c r="H984">
        <v>3597</v>
      </c>
      <c r="I984">
        <v>10.79</v>
      </c>
      <c r="J984">
        <v>1.94</v>
      </c>
      <c r="K984">
        <v>3584.27</v>
      </c>
      <c r="L984" s="5">
        <v>46273</v>
      </c>
      <c r="M984" t="s">
        <v>2163</v>
      </c>
      <c r="N984" t="s">
        <v>207</v>
      </c>
      <c r="O984" t="s">
        <v>2337</v>
      </c>
      <c r="P984" t="s">
        <v>208</v>
      </c>
      <c r="Q984" t="s">
        <v>209</v>
      </c>
    </row>
    <row r="985" spans="1:17" x14ac:dyDescent="0.3">
      <c r="A985" t="s">
        <v>2338</v>
      </c>
      <c r="C985" t="s">
        <v>2339</v>
      </c>
      <c r="D985" t="s">
        <v>2339</v>
      </c>
      <c r="E985" s="5">
        <v>46271</v>
      </c>
      <c r="F985" t="s">
        <v>204</v>
      </c>
      <c r="G985" t="s">
        <v>213</v>
      </c>
      <c r="H985">
        <v>799</v>
      </c>
      <c r="I985">
        <v>14.38</v>
      </c>
      <c r="J985">
        <v>2.59</v>
      </c>
      <c r="K985">
        <v>782.03</v>
      </c>
      <c r="L985" s="5">
        <v>46273</v>
      </c>
      <c r="M985" t="s">
        <v>2163</v>
      </c>
      <c r="N985" t="s">
        <v>207</v>
      </c>
      <c r="O985" t="s">
        <v>2339</v>
      </c>
      <c r="P985" t="s">
        <v>208</v>
      </c>
      <c r="Q985" t="s">
        <v>209</v>
      </c>
    </row>
    <row r="986" spans="1:17" x14ac:dyDescent="0.3">
      <c r="A986" t="s">
        <v>2340</v>
      </c>
      <c r="C986" t="s">
        <v>2341</v>
      </c>
      <c r="D986" t="s">
        <v>2341</v>
      </c>
      <c r="E986" s="5">
        <v>46271</v>
      </c>
      <c r="F986" t="s">
        <v>204</v>
      </c>
      <c r="G986" t="s">
        <v>205</v>
      </c>
      <c r="H986">
        <v>5998</v>
      </c>
      <c r="I986">
        <v>101.97</v>
      </c>
      <c r="J986">
        <v>18.350000000000001</v>
      </c>
      <c r="K986">
        <v>5877.68</v>
      </c>
      <c r="L986" s="5">
        <v>46273</v>
      </c>
      <c r="M986" t="s">
        <v>2163</v>
      </c>
      <c r="N986" t="s">
        <v>207</v>
      </c>
      <c r="O986" t="s">
        <v>2341</v>
      </c>
      <c r="P986" t="s">
        <v>208</v>
      </c>
      <c r="Q986" t="s">
        <v>209</v>
      </c>
    </row>
    <row r="987" spans="1:17" x14ac:dyDescent="0.3">
      <c r="A987" t="s">
        <v>2342</v>
      </c>
      <c r="C987" t="s">
        <v>2343</v>
      </c>
      <c r="D987" t="s">
        <v>2343</v>
      </c>
      <c r="E987" s="5">
        <v>46271</v>
      </c>
      <c r="F987" t="s">
        <v>204</v>
      </c>
      <c r="G987" t="s">
        <v>205</v>
      </c>
      <c r="H987">
        <v>1797</v>
      </c>
      <c r="I987">
        <v>34.14</v>
      </c>
      <c r="J987">
        <v>6.15</v>
      </c>
      <c r="K987">
        <v>1756.71</v>
      </c>
      <c r="L987" s="5">
        <v>46273</v>
      </c>
      <c r="M987" t="s">
        <v>2163</v>
      </c>
      <c r="N987" t="s">
        <v>207</v>
      </c>
      <c r="O987" t="s">
        <v>2343</v>
      </c>
      <c r="P987" t="s">
        <v>208</v>
      </c>
      <c r="Q987" t="s">
        <v>209</v>
      </c>
    </row>
    <row r="988" spans="1:17" x14ac:dyDescent="0.3">
      <c r="A988" t="s">
        <v>2344</v>
      </c>
      <c r="C988" t="s">
        <v>2345</v>
      </c>
      <c r="D988" t="s">
        <v>2346</v>
      </c>
      <c r="E988" s="5">
        <v>46271</v>
      </c>
      <c r="F988" t="s">
        <v>204</v>
      </c>
      <c r="G988" t="s">
        <v>213</v>
      </c>
      <c r="H988">
        <v>3098</v>
      </c>
      <c r="I988">
        <v>49.57</v>
      </c>
      <c r="J988">
        <v>8.92</v>
      </c>
      <c r="K988">
        <v>3039.51</v>
      </c>
      <c r="L988" s="5">
        <v>46273</v>
      </c>
      <c r="M988" t="s">
        <v>2163</v>
      </c>
      <c r="N988" t="s">
        <v>207</v>
      </c>
      <c r="O988" t="s">
        <v>2346</v>
      </c>
      <c r="P988" t="s">
        <v>208</v>
      </c>
      <c r="Q988" t="s">
        <v>209</v>
      </c>
    </row>
    <row r="989" spans="1:17" x14ac:dyDescent="0.3">
      <c r="A989" t="s">
        <v>2347</v>
      </c>
      <c r="C989" t="s">
        <v>2348</v>
      </c>
      <c r="D989" t="s">
        <v>2348</v>
      </c>
      <c r="E989" s="5">
        <v>46271</v>
      </c>
      <c r="F989" t="s">
        <v>204</v>
      </c>
      <c r="G989" t="s">
        <v>213</v>
      </c>
      <c r="H989">
        <v>499</v>
      </c>
      <c r="I989">
        <v>8.98</v>
      </c>
      <c r="J989">
        <v>1.62</v>
      </c>
      <c r="K989">
        <v>488.4</v>
      </c>
      <c r="L989" s="5">
        <v>46273</v>
      </c>
      <c r="M989" t="s">
        <v>2163</v>
      </c>
      <c r="N989" t="s">
        <v>207</v>
      </c>
      <c r="O989" t="s">
        <v>2348</v>
      </c>
      <c r="P989" t="s">
        <v>208</v>
      </c>
      <c r="Q989" t="s">
        <v>209</v>
      </c>
    </row>
    <row r="990" spans="1:17" x14ac:dyDescent="0.3">
      <c r="A990" t="s">
        <v>2349</v>
      </c>
      <c r="C990" t="s">
        <v>2350</v>
      </c>
      <c r="D990" t="s">
        <v>2350</v>
      </c>
      <c r="E990" s="5">
        <v>46271</v>
      </c>
      <c r="F990" t="s">
        <v>204</v>
      </c>
      <c r="G990" t="s">
        <v>213</v>
      </c>
      <c r="H990">
        <v>1799</v>
      </c>
      <c r="I990">
        <v>32.380000000000003</v>
      </c>
      <c r="J990">
        <v>5.83</v>
      </c>
      <c r="K990">
        <v>1760.79</v>
      </c>
      <c r="L990" s="5">
        <v>46273</v>
      </c>
      <c r="M990" t="s">
        <v>2163</v>
      </c>
      <c r="N990" t="s">
        <v>207</v>
      </c>
      <c r="O990" t="s">
        <v>2350</v>
      </c>
      <c r="P990" t="s">
        <v>208</v>
      </c>
      <c r="Q990" t="s">
        <v>209</v>
      </c>
    </row>
    <row r="991" spans="1:17" x14ac:dyDescent="0.3">
      <c r="A991" t="s">
        <v>2351</v>
      </c>
      <c r="C991" t="s">
        <v>2352</v>
      </c>
      <c r="D991" t="s">
        <v>2353</v>
      </c>
      <c r="E991" s="5">
        <v>46271</v>
      </c>
      <c r="F991" t="s">
        <v>204</v>
      </c>
      <c r="G991" t="s">
        <v>220</v>
      </c>
      <c r="H991">
        <v>8798</v>
      </c>
      <c r="I991">
        <v>26.39</v>
      </c>
      <c r="J991">
        <v>4.75</v>
      </c>
      <c r="K991">
        <v>8766.86</v>
      </c>
      <c r="L991" s="5">
        <v>46273</v>
      </c>
      <c r="M991" t="s">
        <v>2163</v>
      </c>
      <c r="N991" t="s">
        <v>207</v>
      </c>
      <c r="O991" t="s">
        <v>2353</v>
      </c>
      <c r="P991" t="s">
        <v>208</v>
      </c>
      <c r="Q991" t="s">
        <v>209</v>
      </c>
    </row>
    <row r="992" spans="1:17" x14ac:dyDescent="0.3">
      <c r="A992" t="s">
        <v>2354</v>
      </c>
      <c r="C992" t="s">
        <v>2355</v>
      </c>
      <c r="D992" t="s">
        <v>2356</v>
      </c>
      <c r="E992" s="5">
        <v>46271</v>
      </c>
      <c r="F992" t="s">
        <v>204</v>
      </c>
      <c r="G992" t="s">
        <v>220</v>
      </c>
      <c r="H992">
        <v>3499</v>
      </c>
      <c r="I992">
        <v>10.5</v>
      </c>
      <c r="J992">
        <v>1.89</v>
      </c>
      <c r="K992">
        <v>3486.61</v>
      </c>
      <c r="L992" s="5">
        <v>46273</v>
      </c>
      <c r="M992" t="s">
        <v>2163</v>
      </c>
      <c r="N992" t="s">
        <v>207</v>
      </c>
      <c r="O992" t="s">
        <v>2356</v>
      </c>
      <c r="P992" t="s">
        <v>208</v>
      </c>
      <c r="Q992" t="s">
        <v>209</v>
      </c>
    </row>
    <row r="993" spans="1:17" x14ac:dyDescent="0.3">
      <c r="A993" t="s">
        <v>2357</v>
      </c>
      <c r="C993" t="s">
        <v>2358</v>
      </c>
      <c r="D993" t="s">
        <v>2358</v>
      </c>
      <c r="E993" s="5">
        <v>46271</v>
      </c>
      <c r="F993" t="s">
        <v>204</v>
      </c>
      <c r="G993" t="s">
        <v>220</v>
      </c>
      <c r="H993">
        <v>4999</v>
      </c>
      <c r="I993">
        <v>15</v>
      </c>
      <c r="J993">
        <v>2.7</v>
      </c>
      <c r="K993">
        <v>4981.3</v>
      </c>
      <c r="L993" s="5">
        <v>46273</v>
      </c>
      <c r="M993" t="s">
        <v>2163</v>
      </c>
      <c r="N993" t="s">
        <v>207</v>
      </c>
      <c r="O993" t="s">
        <v>2358</v>
      </c>
      <c r="P993" t="s">
        <v>208</v>
      </c>
      <c r="Q993" t="s">
        <v>209</v>
      </c>
    </row>
    <row r="994" spans="1:17" x14ac:dyDescent="0.3">
      <c r="A994" t="s">
        <v>2359</v>
      </c>
      <c r="C994" t="s">
        <v>2360</v>
      </c>
      <c r="D994" t="s">
        <v>2360</v>
      </c>
      <c r="E994" s="5">
        <v>46271</v>
      </c>
      <c r="F994" t="s">
        <v>204</v>
      </c>
      <c r="G994" t="s">
        <v>213</v>
      </c>
      <c r="H994">
        <v>499</v>
      </c>
      <c r="I994">
        <v>8.98</v>
      </c>
      <c r="J994">
        <v>1.62</v>
      </c>
      <c r="K994">
        <v>488.4</v>
      </c>
      <c r="L994" s="5">
        <v>46273</v>
      </c>
      <c r="M994" t="s">
        <v>2163</v>
      </c>
      <c r="N994" t="s">
        <v>207</v>
      </c>
      <c r="O994" t="s">
        <v>2360</v>
      </c>
      <c r="P994" t="s">
        <v>208</v>
      </c>
      <c r="Q994" t="s">
        <v>209</v>
      </c>
    </row>
    <row r="995" spans="1:17" x14ac:dyDescent="0.3">
      <c r="A995" t="s">
        <v>2361</v>
      </c>
      <c r="C995" t="s">
        <v>2362</v>
      </c>
      <c r="D995" t="s">
        <v>2362</v>
      </c>
      <c r="E995" s="5">
        <v>46271</v>
      </c>
      <c r="F995" t="s">
        <v>204</v>
      </c>
      <c r="G995" t="s">
        <v>220</v>
      </c>
      <c r="H995">
        <v>349</v>
      </c>
      <c r="I995">
        <v>0</v>
      </c>
      <c r="J995">
        <v>0</v>
      </c>
      <c r="K995">
        <v>349</v>
      </c>
      <c r="L995" s="5">
        <v>46273</v>
      </c>
      <c r="M995" t="s">
        <v>2163</v>
      </c>
      <c r="N995" t="s">
        <v>207</v>
      </c>
      <c r="O995" t="s">
        <v>2362</v>
      </c>
      <c r="P995" t="s">
        <v>208</v>
      </c>
      <c r="Q995" t="s">
        <v>209</v>
      </c>
    </row>
    <row r="996" spans="1:17" x14ac:dyDescent="0.3">
      <c r="A996" t="s">
        <v>2363</v>
      </c>
      <c r="C996" t="s">
        <v>2364</v>
      </c>
      <c r="D996" t="s">
        <v>2364</v>
      </c>
      <c r="E996" s="5">
        <v>46271</v>
      </c>
      <c r="F996" t="s">
        <v>204</v>
      </c>
      <c r="G996" t="s">
        <v>220</v>
      </c>
      <c r="H996">
        <v>299</v>
      </c>
      <c r="I996">
        <v>0</v>
      </c>
      <c r="J996">
        <v>0</v>
      </c>
      <c r="K996">
        <v>299</v>
      </c>
      <c r="L996" s="5">
        <v>46273</v>
      </c>
      <c r="M996" t="s">
        <v>2163</v>
      </c>
      <c r="N996" t="s">
        <v>207</v>
      </c>
      <c r="O996" t="s">
        <v>2364</v>
      </c>
      <c r="P996" t="s">
        <v>208</v>
      </c>
      <c r="Q996" t="s">
        <v>209</v>
      </c>
    </row>
    <row r="997" spans="1:17" x14ac:dyDescent="0.3">
      <c r="A997" t="s">
        <v>2365</v>
      </c>
      <c r="C997" t="s">
        <v>2366</v>
      </c>
      <c r="D997" t="s">
        <v>2366</v>
      </c>
      <c r="E997" s="5">
        <v>46271</v>
      </c>
      <c r="F997" t="s">
        <v>204</v>
      </c>
      <c r="G997" t="s">
        <v>220</v>
      </c>
      <c r="H997">
        <v>8498</v>
      </c>
      <c r="I997">
        <v>25.49</v>
      </c>
      <c r="J997">
        <v>4.59</v>
      </c>
      <c r="K997">
        <v>8467.92</v>
      </c>
      <c r="L997" s="5">
        <v>46273</v>
      </c>
      <c r="M997" t="s">
        <v>2163</v>
      </c>
      <c r="N997" t="s">
        <v>207</v>
      </c>
      <c r="O997" t="s">
        <v>2366</v>
      </c>
      <c r="P997" t="s">
        <v>208</v>
      </c>
      <c r="Q997" t="s">
        <v>209</v>
      </c>
    </row>
    <row r="998" spans="1:17" x14ac:dyDescent="0.3">
      <c r="A998" t="s">
        <v>2367</v>
      </c>
      <c r="C998" t="s">
        <v>2368</v>
      </c>
      <c r="D998" t="s">
        <v>2368</v>
      </c>
      <c r="E998" s="5">
        <v>46271</v>
      </c>
      <c r="F998" t="s">
        <v>204</v>
      </c>
      <c r="G998" t="s">
        <v>205</v>
      </c>
      <c r="H998">
        <v>2298</v>
      </c>
      <c r="I998">
        <v>55.15</v>
      </c>
      <c r="J998">
        <v>9.93</v>
      </c>
      <c r="K998">
        <v>2232.92</v>
      </c>
      <c r="L998" s="5">
        <v>46273</v>
      </c>
      <c r="M998" t="s">
        <v>2163</v>
      </c>
      <c r="N998" t="s">
        <v>207</v>
      </c>
      <c r="O998" t="s">
        <v>2368</v>
      </c>
      <c r="P998" t="s">
        <v>208</v>
      </c>
      <c r="Q998" t="s">
        <v>209</v>
      </c>
    </row>
    <row r="999" spans="1:17" x14ac:dyDescent="0.3">
      <c r="A999" t="s">
        <v>2369</v>
      </c>
      <c r="C999" t="s">
        <v>2370</v>
      </c>
      <c r="D999" t="s">
        <v>2370</v>
      </c>
      <c r="E999" s="5">
        <v>46271</v>
      </c>
      <c r="F999" t="s">
        <v>204</v>
      </c>
      <c r="G999" t="s">
        <v>220</v>
      </c>
      <c r="H999">
        <v>5797</v>
      </c>
      <c r="I999">
        <v>17.39</v>
      </c>
      <c r="J999">
        <v>3.13</v>
      </c>
      <c r="K999">
        <v>5776.48</v>
      </c>
      <c r="L999" s="5">
        <v>46273</v>
      </c>
      <c r="M999" t="s">
        <v>2163</v>
      </c>
      <c r="N999" t="s">
        <v>207</v>
      </c>
      <c r="O999" t="s">
        <v>2370</v>
      </c>
      <c r="P999" t="s">
        <v>208</v>
      </c>
      <c r="Q999" t="s">
        <v>209</v>
      </c>
    </row>
    <row r="1000" spans="1:17" x14ac:dyDescent="0.3">
      <c r="A1000" t="s">
        <v>2371</v>
      </c>
      <c r="C1000" t="s">
        <v>2372</v>
      </c>
      <c r="D1000" t="s">
        <v>2372</v>
      </c>
      <c r="E1000" s="5">
        <v>46271</v>
      </c>
      <c r="F1000" t="s">
        <v>204</v>
      </c>
      <c r="G1000" t="s">
        <v>220</v>
      </c>
      <c r="H1000">
        <v>9998</v>
      </c>
      <c r="I1000">
        <v>29.99</v>
      </c>
      <c r="J1000">
        <v>5.4</v>
      </c>
      <c r="K1000">
        <v>9962.61</v>
      </c>
      <c r="L1000" s="5">
        <v>46273</v>
      </c>
      <c r="M1000" t="s">
        <v>2163</v>
      </c>
      <c r="N1000" t="s">
        <v>207</v>
      </c>
      <c r="O1000" t="s">
        <v>2372</v>
      </c>
      <c r="P1000" t="s">
        <v>208</v>
      </c>
      <c r="Q1000" t="s">
        <v>209</v>
      </c>
    </row>
    <row r="1001" spans="1:17" x14ac:dyDescent="0.3">
      <c r="A1001" t="s">
        <v>2373</v>
      </c>
      <c r="C1001" t="s">
        <v>2374</v>
      </c>
      <c r="D1001" t="s">
        <v>2374</v>
      </c>
      <c r="E1001" s="5">
        <v>46271</v>
      </c>
      <c r="F1001" t="s">
        <v>204</v>
      </c>
      <c r="G1001" t="s">
        <v>220</v>
      </c>
      <c r="H1001">
        <v>5147</v>
      </c>
      <c r="I1001">
        <v>15.44</v>
      </c>
      <c r="J1001">
        <v>2.78</v>
      </c>
      <c r="K1001">
        <v>5128.78</v>
      </c>
      <c r="L1001" s="5">
        <v>46273</v>
      </c>
      <c r="M1001" t="s">
        <v>2163</v>
      </c>
      <c r="N1001" t="s">
        <v>207</v>
      </c>
      <c r="O1001" t="s">
        <v>2374</v>
      </c>
      <c r="P1001" t="s">
        <v>208</v>
      </c>
      <c r="Q1001" t="s">
        <v>209</v>
      </c>
    </row>
    <row r="1002" spans="1:17" x14ac:dyDescent="0.3">
      <c r="A1002" t="s">
        <v>2375</v>
      </c>
      <c r="C1002" t="s">
        <v>2376</v>
      </c>
      <c r="D1002" t="s">
        <v>2377</v>
      </c>
      <c r="E1002" s="5">
        <v>46271</v>
      </c>
      <c r="F1002" t="s">
        <v>204</v>
      </c>
      <c r="G1002" t="s">
        <v>220</v>
      </c>
      <c r="H1002">
        <v>3997</v>
      </c>
      <c r="I1002">
        <v>11.99</v>
      </c>
      <c r="J1002">
        <v>2.16</v>
      </c>
      <c r="K1002">
        <v>3982.85</v>
      </c>
      <c r="L1002" s="5">
        <v>46273</v>
      </c>
      <c r="M1002" t="s">
        <v>2163</v>
      </c>
      <c r="N1002" t="s">
        <v>207</v>
      </c>
      <c r="O1002" t="s">
        <v>2377</v>
      </c>
      <c r="P1002" t="s">
        <v>208</v>
      </c>
      <c r="Q1002" t="s">
        <v>209</v>
      </c>
    </row>
    <row r="1003" spans="1:17" x14ac:dyDescent="0.3">
      <c r="A1003" t="s">
        <v>2378</v>
      </c>
      <c r="C1003" t="s">
        <v>2379</v>
      </c>
      <c r="D1003" t="s">
        <v>2379</v>
      </c>
      <c r="E1003" s="5">
        <v>46271</v>
      </c>
      <c r="F1003" t="s">
        <v>204</v>
      </c>
      <c r="G1003" t="s">
        <v>220</v>
      </c>
      <c r="H1003">
        <v>349</v>
      </c>
      <c r="I1003">
        <v>0</v>
      </c>
      <c r="J1003">
        <v>0</v>
      </c>
      <c r="K1003">
        <v>349</v>
      </c>
      <c r="L1003" s="5">
        <v>46273</v>
      </c>
      <c r="M1003" t="s">
        <v>2163</v>
      </c>
      <c r="N1003" t="s">
        <v>207</v>
      </c>
      <c r="O1003" t="s">
        <v>2379</v>
      </c>
      <c r="P1003" t="s">
        <v>208</v>
      </c>
      <c r="Q1003" t="s">
        <v>209</v>
      </c>
    </row>
    <row r="1004" spans="1:17" x14ac:dyDescent="0.3">
      <c r="A1004" t="s">
        <v>2380</v>
      </c>
      <c r="C1004" t="s">
        <v>2381</v>
      </c>
      <c r="D1004" t="s">
        <v>2381</v>
      </c>
      <c r="E1004" s="5">
        <v>46271</v>
      </c>
      <c r="F1004" t="s">
        <v>204</v>
      </c>
      <c r="G1004" t="s">
        <v>220</v>
      </c>
      <c r="H1004">
        <v>1998</v>
      </c>
      <c r="I1004">
        <v>0</v>
      </c>
      <c r="J1004">
        <v>0</v>
      </c>
      <c r="K1004">
        <v>1998</v>
      </c>
      <c r="L1004" s="5">
        <v>46273</v>
      </c>
      <c r="M1004" t="s">
        <v>2163</v>
      </c>
      <c r="N1004" t="s">
        <v>207</v>
      </c>
      <c r="O1004" t="s">
        <v>2381</v>
      </c>
      <c r="P1004" t="s">
        <v>208</v>
      </c>
      <c r="Q1004" t="s">
        <v>209</v>
      </c>
    </row>
    <row r="1005" spans="1:17" x14ac:dyDescent="0.3">
      <c r="A1005" t="s">
        <v>2382</v>
      </c>
      <c r="C1005" t="s">
        <v>2383</v>
      </c>
      <c r="D1005" t="s">
        <v>2383</v>
      </c>
      <c r="E1005" s="5">
        <v>46271</v>
      </c>
      <c r="F1005" t="s">
        <v>204</v>
      </c>
      <c r="G1005" t="s">
        <v>205</v>
      </c>
      <c r="H1005">
        <v>7999</v>
      </c>
      <c r="I1005">
        <v>135.97999999999999</v>
      </c>
      <c r="J1005">
        <v>24.48</v>
      </c>
      <c r="K1005">
        <v>7838.54</v>
      </c>
      <c r="L1005" s="5">
        <v>46273</v>
      </c>
      <c r="M1005" t="s">
        <v>2163</v>
      </c>
      <c r="N1005" t="s">
        <v>207</v>
      </c>
      <c r="O1005" t="s">
        <v>2383</v>
      </c>
      <c r="P1005" t="s">
        <v>208</v>
      </c>
      <c r="Q1005" t="s">
        <v>209</v>
      </c>
    </row>
    <row r="1006" spans="1:17" x14ac:dyDescent="0.3">
      <c r="A1006" t="s">
        <v>2384</v>
      </c>
      <c r="C1006" t="s">
        <v>2385</v>
      </c>
      <c r="D1006" t="s">
        <v>2385</v>
      </c>
      <c r="E1006" s="5">
        <v>46271</v>
      </c>
      <c r="F1006" t="s">
        <v>204</v>
      </c>
      <c r="G1006" t="s">
        <v>220</v>
      </c>
      <c r="H1006">
        <v>349</v>
      </c>
      <c r="I1006">
        <v>0</v>
      </c>
      <c r="J1006">
        <v>0</v>
      </c>
      <c r="K1006">
        <v>349</v>
      </c>
      <c r="L1006" s="5">
        <v>46273</v>
      </c>
      <c r="M1006" t="s">
        <v>2163</v>
      </c>
      <c r="N1006" t="s">
        <v>207</v>
      </c>
      <c r="O1006" t="s">
        <v>2385</v>
      </c>
      <c r="P1006" t="s">
        <v>208</v>
      </c>
      <c r="Q1006" t="s">
        <v>209</v>
      </c>
    </row>
    <row r="1007" spans="1:17" x14ac:dyDescent="0.3">
      <c r="A1007" t="s">
        <v>2386</v>
      </c>
      <c r="C1007" t="s">
        <v>2387</v>
      </c>
      <c r="D1007" t="s">
        <v>2388</v>
      </c>
      <c r="E1007" s="5">
        <v>46271</v>
      </c>
      <c r="F1007" t="s">
        <v>204</v>
      </c>
      <c r="G1007" t="s">
        <v>213</v>
      </c>
      <c r="H1007">
        <v>798</v>
      </c>
      <c r="I1007">
        <v>14.36</v>
      </c>
      <c r="J1007">
        <v>2.58</v>
      </c>
      <c r="K1007">
        <v>781.06</v>
      </c>
      <c r="L1007" s="5">
        <v>46273</v>
      </c>
      <c r="M1007" t="s">
        <v>2163</v>
      </c>
      <c r="N1007" t="s">
        <v>207</v>
      </c>
      <c r="O1007" t="s">
        <v>2388</v>
      </c>
      <c r="P1007" t="s">
        <v>208</v>
      </c>
      <c r="Q1007" t="s">
        <v>209</v>
      </c>
    </row>
    <row r="1008" spans="1:17" x14ac:dyDescent="0.3">
      <c r="A1008" t="s">
        <v>2389</v>
      </c>
      <c r="C1008" t="s">
        <v>2390</v>
      </c>
      <c r="D1008" t="s">
        <v>2390</v>
      </c>
      <c r="E1008" s="5">
        <v>46271</v>
      </c>
      <c r="F1008" t="s">
        <v>204</v>
      </c>
      <c r="G1008" t="s">
        <v>220</v>
      </c>
      <c r="H1008">
        <v>599</v>
      </c>
      <c r="I1008">
        <v>0</v>
      </c>
      <c r="J1008">
        <v>0</v>
      </c>
      <c r="K1008">
        <v>599</v>
      </c>
      <c r="L1008" s="5">
        <v>46273</v>
      </c>
      <c r="M1008" t="s">
        <v>2163</v>
      </c>
      <c r="N1008" t="s">
        <v>207</v>
      </c>
      <c r="O1008" t="s">
        <v>2390</v>
      </c>
      <c r="P1008" t="s">
        <v>208</v>
      </c>
      <c r="Q1008" t="s">
        <v>209</v>
      </c>
    </row>
    <row r="1009" spans="1:17" x14ac:dyDescent="0.3">
      <c r="A1009" t="s">
        <v>2391</v>
      </c>
      <c r="C1009" t="s">
        <v>2392</v>
      </c>
      <c r="D1009" t="s">
        <v>2392</v>
      </c>
      <c r="E1009" s="5">
        <v>46271</v>
      </c>
      <c r="F1009" t="s">
        <v>204</v>
      </c>
      <c r="G1009" t="s">
        <v>220</v>
      </c>
      <c r="H1009">
        <v>12497</v>
      </c>
      <c r="I1009">
        <v>37.49</v>
      </c>
      <c r="J1009">
        <v>6.75</v>
      </c>
      <c r="K1009">
        <v>12452.76</v>
      </c>
      <c r="L1009" s="5">
        <v>46273</v>
      </c>
      <c r="M1009" t="s">
        <v>2163</v>
      </c>
      <c r="N1009" t="s">
        <v>207</v>
      </c>
      <c r="O1009" t="s">
        <v>2392</v>
      </c>
      <c r="P1009" t="s">
        <v>208</v>
      </c>
      <c r="Q1009" t="s">
        <v>209</v>
      </c>
    </row>
    <row r="1010" spans="1:17" x14ac:dyDescent="0.3">
      <c r="A1010" t="s">
        <v>2393</v>
      </c>
      <c r="C1010" t="s">
        <v>2394</v>
      </c>
      <c r="D1010" t="s">
        <v>2394</v>
      </c>
      <c r="E1010" s="5">
        <v>46271</v>
      </c>
      <c r="F1010" t="s">
        <v>204</v>
      </c>
      <c r="G1010" t="s">
        <v>205</v>
      </c>
      <c r="H1010">
        <v>8598</v>
      </c>
      <c r="I1010">
        <v>146.16999999999999</v>
      </c>
      <c r="J1010">
        <v>26.31</v>
      </c>
      <c r="K1010">
        <v>8425.52</v>
      </c>
      <c r="L1010" s="5">
        <v>46273</v>
      </c>
      <c r="M1010" t="s">
        <v>2163</v>
      </c>
      <c r="N1010" t="s">
        <v>207</v>
      </c>
      <c r="O1010" t="s">
        <v>2394</v>
      </c>
      <c r="P1010" t="s">
        <v>208</v>
      </c>
      <c r="Q1010" t="s">
        <v>209</v>
      </c>
    </row>
    <row r="1011" spans="1:17" x14ac:dyDescent="0.3">
      <c r="A1011" t="s">
        <v>2395</v>
      </c>
      <c r="C1011" t="s">
        <v>2396</v>
      </c>
      <c r="D1011" t="s">
        <v>2396</v>
      </c>
      <c r="E1011" s="5">
        <v>46271</v>
      </c>
      <c r="F1011" t="s">
        <v>204</v>
      </c>
      <c r="G1011" t="s">
        <v>205</v>
      </c>
      <c r="H1011">
        <v>9347</v>
      </c>
      <c r="I1011">
        <v>158.9</v>
      </c>
      <c r="J1011">
        <v>28.6</v>
      </c>
      <c r="K1011">
        <v>9159.5</v>
      </c>
      <c r="L1011" s="5">
        <v>46273</v>
      </c>
      <c r="M1011" t="s">
        <v>2163</v>
      </c>
      <c r="N1011" t="s">
        <v>207</v>
      </c>
      <c r="O1011" t="s">
        <v>2396</v>
      </c>
      <c r="P1011" t="s">
        <v>208</v>
      </c>
      <c r="Q1011" t="s">
        <v>209</v>
      </c>
    </row>
    <row r="1012" spans="1:17" x14ac:dyDescent="0.3">
      <c r="A1012" t="s">
        <v>2397</v>
      </c>
      <c r="C1012" t="s">
        <v>2398</v>
      </c>
      <c r="D1012" t="s">
        <v>2398</v>
      </c>
      <c r="E1012" s="5">
        <v>46271</v>
      </c>
      <c r="F1012" t="s">
        <v>204</v>
      </c>
      <c r="G1012" t="s">
        <v>220</v>
      </c>
      <c r="H1012">
        <v>3897</v>
      </c>
      <c r="I1012">
        <v>11.69</v>
      </c>
      <c r="J1012">
        <v>2.1</v>
      </c>
      <c r="K1012">
        <v>3883.21</v>
      </c>
      <c r="L1012" s="5">
        <v>46273</v>
      </c>
      <c r="M1012" t="s">
        <v>2163</v>
      </c>
      <c r="N1012" t="s">
        <v>207</v>
      </c>
      <c r="O1012" t="s">
        <v>2398</v>
      </c>
      <c r="P1012" t="s">
        <v>208</v>
      </c>
      <c r="Q1012" t="s">
        <v>209</v>
      </c>
    </row>
    <row r="1013" spans="1:17" x14ac:dyDescent="0.3">
      <c r="A1013" t="s">
        <v>2399</v>
      </c>
      <c r="C1013" t="s">
        <v>2400</v>
      </c>
      <c r="D1013" t="s">
        <v>2400</v>
      </c>
      <c r="E1013" s="5">
        <v>46271</v>
      </c>
      <c r="F1013" t="s">
        <v>204</v>
      </c>
      <c r="G1013" t="s">
        <v>220</v>
      </c>
      <c r="H1013">
        <v>1648</v>
      </c>
      <c r="I1013">
        <v>0</v>
      </c>
      <c r="J1013">
        <v>0</v>
      </c>
      <c r="K1013">
        <v>1648</v>
      </c>
      <c r="L1013" s="5">
        <v>46273</v>
      </c>
      <c r="M1013" t="s">
        <v>2163</v>
      </c>
      <c r="N1013" t="s">
        <v>207</v>
      </c>
      <c r="O1013" t="s">
        <v>2400</v>
      </c>
      <c r="P1013" t="s">
        <v>208</v>
      </c>
      <c r="Q1013" t="s">
        <v>209</v>
      </c>
    </row>
    <row r="1014" spans="1:17" x14ac:dyDescent="0.3">
      <c r="A1014" t="s">
        <v>2401</v>
      </c>
      <c r="C1014" t="s">
        <v>2402</v>
      </c>
      <c r="D1014" t="s">
        <v>2402</v>
      </c>
      <c r="E1014" s="5">
        <v>46271</v>
      </c>
      <c r="F1014" t="s">
        <v>204</v>
      </c>
      <c r="G1014" t="s">
        <v>220</v>
      </c>
      <c r="H1014">
        <v>1498</v>
      </c>
      <c r="I1014">
        <v>0</v>
      </c>
      <c r="J1014">
        <v>0</v>
      </c>
      <c r="K1014">
        <v>1498</v>
      </c>
      <c r="L1014" s="5">
        <v>46273</v>
      </c>
      <c r="M1014" t="s">
        <v>2163</v>
      </c>
      <c r="N1014" t="s">
        <v>207</v>
      </c>
      <c r="O1014" t="s">
        <v>2402</v>
      </c>
      <c r="P1014" t="s">
        <v>208</v>
      </c>
      <c r="Q1014" t="s">
        <v>209</v>
      </c>
    </row>
    <row r="1015" spans="1:17" x14ac:dyDescent="0.3">
      <c r="A1015" t="s">
        <v>2403</v>
      </c>
      <c r="C1015" t="s">
        <v>2404</v>
      </c>
      <c r="D1015" t="s">
        <v>2404</v>
      </c>
      <c r="E1015" s="5">
        <v>46271</v>
      </c>
      <c r="F1015" t="s">
        <v>204</v>
      </c>
      <c r="G1015" t="s">
        <v>213</v>
      </c>
      <c r="H1015">
        <v>698</v>
      </c>
      <c r="I1015">
        <v>12.56</v>
      </c>
      <c r="J1015">
        <v>2.2599999999999998</v>
      </c>
      <c r="K1015">
        <v>683.18</v>
      </c>
      <c r="L1015" s="5">
        <v>46273</v>
      </c>
      <c r="M1015" t="s">
        <v>2163</v>
      </c>
      <c r="N1015" t="s">
        <v>207</v>
      </c>
      <c r="O1015" t="s">
        <v>2404</v>
      </c>
      <c r="P1015" t="s">
        <v>208</v>
      </c>
      <c r="Q1015" t="s">
        <v>209</v>
      </c>
    </row>
    <row r="1016" spans="1:17" x14ac:dyDescent="0.3">
      <c r="A1016" t="s">
        <v>2405</v>
      </c>
      <c r="C1016" t="s">
        <v>2406</v>
      </c>
      <c r="D1016" t="s">
        <v>2406</v>
      </c>
      <c r="E1016" s="5">
        <v>46271</v>
      </c>
      <c r="F1016" t="s">
        <v>204</v>
      </c>
      <c r="G1016" t="s">
        <v>220</v>
      </c>
      <c r="H1016">
        <v>349</v>
      </c>
      <c r="I1016">
        <v>0</v>
      </c>
      <c r="J1016">
        <v>0</v>
      </c>
      <c r="K1016">
        <v>349</v>
      </c>
      <c r="L1016" s="5">
        <v>46273</v>
      </c>
      <c r="M1016" t="s">
        <v>2163</v>
      </c>
      <c r="N1016" t="s">
        <v>207</v>
      </c>
      <c r="O1016" t="s">
        <v>2406</v>
      </c>
      <c r="P1016" t="s">
        <v>208</v>
      </c>
      <c r="Q1016" t="s">
        <v>209</v>
      </c>
    </row>
    <row r="1017" spans="1:17" x14ac:dyDescent="0.3">
      <c r="A1017" t="s">
        <v>2407</v>
      </c>
      <c r="C1017" t="s">
        <v>2408</v>
      </c>
      <c r="D1017" t="s">
        <v>2409</v>
      </c>
      <c r="E1017" s="5">
        <v>46271</v>
      </c>
      <c r="F1017" t="s">
        <v>204</v>
      </c>
      <c r="G1017" t="s">
        <v>213</v>
      </c>
      <c r="H1017">
        <v>3597</v>
      </c>
      <c r="I1017">
        <v>57.55</v>
      </c>
      <c r="J1017">
        <v>10.36</v>
      </c>
      <c r="K1017">
        <v>3529.09</v>
      </c>
      <c r="L1017" s="5">
        <v>46273</v>
      </c>
      <c r="M1017" t="s">
        <v>2163</v>
      </c>
      <c r="N1017" t="s">
        <v>207</v>
      </c>
      <c r="O1017" t="s">
        <v>2409</v>
      </c>
      <c r="P1017" t="s">
        <v>208</v>
      </c>
      <c r="Q1017" t="s">
        <v>209</v>
      </c>
    </row>
    <row r="1018" spans="1:17" x14ac:dyDescent="0.3">
      <c r="A1018" t="s">
        <v>2410</v>
      </c>
      <c r="C1018" t="s">
        <v>2411</v>
      </c>
      <c r="D1018" t="s">
        <v>2411</v>
      </c>
      <c r="E1018" s="5">
        <v>46271</v>
      </c>
      <c r="F1018" t="s">
        <v>204</v>
      </c>
      <c r="G1018" t="s">
        <v>220</v>
      </c>
      <c r="H1018">
        <v>8348</v>
      </c>
      <c r="I1018">
        <v>25.04</v>
      </c>
      <c r="J1018">
        <v>4.51</v>
      </c>
      <c r="K1018">
        <v>8318.4500000000007</v>
      </c>
      <c r="L1018" s="5">
        <v>46273</v>
      </c>
      <c r="M1018" t="s">
        <v>2163</v>
      </c>
      <c r="N1018" t="s">
        <v>207</v>
      </c>
      <c r="O1018" t="s">
        <v>2411</v>
      </c>
      <c r="P1018" t="s">
        <v>208</v>
      </c>
      <c r="Q1018" t="s">
        <v>209</v>
      </c>
    </row>
    <row r="1019" spans="1:17" x14ac:dyDescent="0.3">
      <c r="A1019" t="s">
        <v>2412</v>
      </c>
      <c r="C1019" t="s">
        <v>2413</v>
      </c>
      <c r="D1019" t="s">
        <v>2413</v>
      </c>
      <c r="E1019" s="5">
        <v>46271</v>
      </c>
      <c r="F1019" t="s">
        <v>204</v>
      </c>
      <c r="G1019" t="s">
        <v>205</v>
      </c>
      <c r="H1019">
        <v>3499</v>
      </c>
      <c r="I1019">
        <v>59.48</v>
      </c>
      <c r="J1019">
        <v>10.71</v>
      </c>
      <c r="K1019">
        <v>3428.81</v>
      </c>
      <c r="L1019" s="5">
        <v>46273</v>
      </c>
      <c r="M1019" t="s">
        <v>2163</v>
      </c>
      <c r="N1019" t="s">
        <v>207</v>
      </c>
      <c r="O1019" t="s">
        <v>2413</v>
      </c>
      <c r="P1019" t="s">
        <v>208</v>
      </c>
      <c r="Q1019" t="s">
        <v>209</v>
      </c>
    </row>
    <row r="1020" spans="1:17" x14ac:dyDescent="0.3">
      <c r="A1020" t="s">
        <v>2414</v>
      </c>
      <c r="C1020" t="s">
        <v>2415</v>
      </c>
      <c r="D1020" t="s">
        <v>2415</v>
      </c>
      <c r="E1020" s="5">
        <v>46271</v>
      </c>
      <c r="F1020" t="s">
        <v>204</v>
      </c>
      <c r="G1020" t="s">
        <v>213</v>
      </c>
      <c r="H1020">
        <v>8348</v>
      </c>
      <c r="I1020">
        <v>133.57</v>
      </c>
      <c r="J1020">
        <v>24.04</v>
      </c>
      <c r="K1020">
        <v>8190.39</v>
      </c>
      <c r="L1020" s="5">
        <v>46273</v>
      </c>
      <c r="M1020" t="s">
        <v>2163</v>
      </c>
      <c r="N1020" t="s">
        <v>207</v>
      </c>
      <c r="O1020" t="s">
        <v>2415</v>
      </c>
      <c r="P1020" t="s">
        <v>208</v>
      </c>
      <c r="Q1020" t="s">
        <v>209</v>
      </c>
    </row>
    <row r="1021" spans="1:17" x14ac:dyDescent="0.3">
      <c r="A1021" t="s">
        <v>2416</v>
      </c>
      <c r="C1021" t="s">
        <v>2417</v>
      </c>
      <c r="D1021" t="s">
        <v>2417</v>
      </c>
      <c r="E1021" s="5">
        <v>46271</v>
      </c>
      <c r="F1021" t="s">
        <v>204</v>
      </c>
      <c r="G1021" t="s">
        <v>213</v>
      </c>
      <c r="H1021">
        <v>1799</v>
      </c>
      <c r="I1021">
        <v>32.380000000000003</v>
      </c>
      <c r="J1021">
        <v>5.83</v>
      </c>
      <c r="K1021">
        <v>1760.79</v>
      </c>
      <c r="L1021" s="5">
        <v>46273</v>
      </c>
      <c r="M1021" t="s">
        <v>2163</v>
      </c>
      <c r="N1021" t="s">
        <v>207</v>
      </c>
      <c r="O1021" t="s">
        <v>2417</v>
      </c>
      <c r="P1021" t="s">
        <v>208</v>
      </c>
      <c r="Q1021" t="s">
        <v>209</v>
      </c>
    </row>
    <row r="1022" spans="1:17" x14ac:dyDescent="0.3">
      <c r="A1022" t="s">
        <v>2418</v>
      </c>
      <c r="C1022" t="s">
        <v>2419</v>
      </c>
      <c r="D1022" t="s">
        <v>2420</v>
      </c>
      <c r="E1022" s="5">
        <v>46271</v>
      </c>
      <c r="F1022" t="s">
        <v>204</v>
      </c>
      <c r="G1022" t="s">
        <v>213</v>
      </c>
      <c r="H1022">
        <v>299</v>
      </c>
      <c r="I1022">
        <v>5.38</v>
      </c>
      <c r="J1022">
        <v>0.97</v>
      </c>
      <c r="K1022">
        <v>292.64999999999998</v>
      </c>
      <c r="L1022" s="5">
        <v>46273</v>
      </c>
      <c r="M1022" t="s">
        <v>2163</v>
      </c>
      <c r="N1022" t="s">
        <v>207</v>
      </c>
      <c r="O1022" t="s">
        <v>2420</v>
      </c>
      <c r="P1022" t="s">
        <v>208</v>
      </c>
      <c r="Q1022" t="s">
        <v>209</v>
      </c>
    </row>
    <row r="1023" spans="1:17" x14ac:dyDescent="0.3">
      <c r="A1023" t="s">
        <v>2421</v>
      </c>
      <c r="C1023" t="s">
        <v>2422</v>
      </c>
      <c r="D1023" t="s">
        <v>2422</v>
      </c>
      <c r="E1023" s="5">
        <v>46271</v>
      </c>
      <c r="F1023" t="s">
        <v>204</v>
      </c>
      <c r="G1023" t="s">
        <v>213</v>
      </c>
      <c r="H1023">
        <v>3499</v>
      </c>
      <c r="I1023">
        <v>55.98</v>
      </c>
      <c r="J1023">
        <v>10.08</v>
      </c>
      <c r="K1023">
        <v>3432.94</v>
      </c>
      <c r="L1023" s="5">
        <v>46273</v>
      </c>
      <c r="M1023" t="s">
        <v>2163</v>
      </c>
      <c r="N1023" t="s">
        <v>207</v>
      </c>
      <c r="O1023" t="s">
        <v>2422</v>
      </c>
      <c r="P1023" t="s">
        <v>208</v>
      </c>
      <c r="Q1023" t="s">
        <v>209</v>
      </c>
    </row>
    <row r="1024" spans="1:17" x14ac:dyDescent="0.3">
      <c r="A1024" t="s">
        <v>2423</v>
      </c>
      <c r="C1024" t="s">
        <v>2424</v>
      </c>
      <c r="D1024" t="s">
        <v>2424</v>
      </c>
      <c r="E1024" s="5">
        <v>46271</v>
      </c>
      <c r="F1024" t="s">
        <v>204</v>
      </c>
      <c r="G1024" t="s">
        <v>213</v>
      </c>
      <c r="H1024">
        <v>7999</v>
      </c>
      <c r="I1024">
        <v>127.98</v>
      </c>
      <c r="J1024">
        <v>23.04</v>
      </c>
      <c r="K1024">
        <v>7847.98</v>
      </c>
      <c r="L1024" s="5">
        <v>46273</v>
      </c>
      <c r="M1024" t="s">
        <v>2163</v>
      </c>
      <c r="N1024" t="s">
        <v>207</v>
      </c>
      <c r="O1024" t="s">
        <v>2424</v>
      </c>
      <c r="P1024" t="s">
        <v>208</v>
      </c>
      <c r="Q1024" t="s">
        <v>209</v>
      </c>
    </row>
    <row r="1025" spans="1:17" x14ac:dyDescent="0.3">
      <c r="A1025" t="s">
        <v>2425</v>
      </c>
      <c r="C1025" t="s">
        <v>2426</v>
      </c>
      <c r="D1025" t="s">
        <v>2426</v>
      </c>
      <c r="E1025" s="5">
        <v>46271</v>
      </c>
      <c r="F1025" t="s">
        <v>204</v>
      </c>
      <c r="G1025" t="s">
        <v>220</v>
      </c>
      <c r="H1025">
        <v>1898</v>
      </c>
      <c r="I1025">
        <v>0</v>
      </c>
      <c r="J1025">
        <v>0</v>
      </c>
      <c r="K1025">
        <v>1898</v>
      </c>
      <c r="L1025" s="5">
        <v>46273</v>
      </c>
      <c r="M1025" t="s">
        <v>2163</v>
      </c>
      <c r="N1025" t="s">
        <v>207</v>
      </c>
      <c r="O1025" t="s">
        <v>2426</v>
      </c>
      <c r="P1025" t="s">
        <v>208</v>
      </c>
      <c r="Q1025" t="s">
        <v>209</v>
      </c>
    </row>
    <row r="1026" spans="1:17" x14ac:dyDescent="0.3">
      <c r="A1026" t="s">
        <v>2427</v>
      </c>
      <c r="C1026" t="s">
        <v>2428</v>
      </c>
      <c r="D1026" t="s">
        <v>2428</v>
      </c>
      <c r="E1026" s="5">
        <v>46271</v>
      </c>
      <c r="F1026" t="s">
        <v>204</v>
      </c>
      <c r="G1026" t="s">
        <v>255</v>
      </c>
      <c r="H1026">
        <v>3298</v>
      </c>
      <c r="I1026">
        <v>39.58</v>
      </c>
      <c r="J1026">
        <v>7.12</v>
      </c>
      <c r="K1026">
        <v>3251.3</v>
      </c>
      <c r="L1026" s="5">
        <v>46273</v>
      </c>
      <c r="M1026" t="s">
        <v>2163</v>
      </c>
      <c r="N1026" t="s">
        <v>207</v>
      </c>
      <c r="O1026" t="s">
        <v>2428</v>
      </c>
      <c r="P1026" t="s">
        <v>208</v>
      </c>
      <c r="Q1026" t="s">
        <v>209</v>
      </c>
    </row>
    <row r="1027" spans="1:17" x14ac:dyDescent="0.3">
      <c r="A1027" t="s">
        <v>2429</v>
      </c>
      <c r="C1027" t="s">
        <v>2430</v>
      </c>
      <c r="D1027" t="s">
        <v>2430</v>
      </c>
      <c r="E1027" s="5">
        <v>46271</v>
      </c>
      <c r="F1027" t="s">
        <v>204</v>
      </c>
      <c r="G1027" t="s">
        <v>220</v>
      </c>
      <c r="H1027">
        <v>1299</v>
      </c>
      <c r="I1027">
        <v>0</v>
      </c>
      <c r="J1027">
        <v>0</v>
      </c>
      <c r="K1027">
        <v>1299</v>
      </c>
      <c r="L1027" s="5">
        <v>46273</v>
      </c>
      <c r="M1027" t="s">
        <v>2163</v>
      </c>
      <c r="N1027" t="s">
        <v>207</v>
      </c>
      <c r="O1027" t="s">
        <v>2430</v>
      </c>
      <c r="P1027" t="s">
        <v>208</v>
      </c>
      <c r="Q1027" t="s">
        <v>209</v>
      </c>
    </row>
    <row r="1028" spans="1:17" x14ac:dyDescent="0.3">
      <c r="A1028" t="s">
        <v>2431</v>
      </c>
      <c r="C1028" t="s">
        <v>2432</v>
      </c>
      <c r="D1028" t="s">
        <v>2432</v>
      </c>
      <c r="E1028" s="5">
        <v>46271</v>
      </c>
      <c r="F1028" t="s">
        <v>204</v>
      </c>
      <c r="G1028" t="s">
        <v>220</v>
      </c>
      <c r="H1028">
        <v>2398</v>
      </c>
      <c r="I1028">
        <v>7.19</v>
      </c>
      <c r="J1028">
        <v>1.29</v>
      </c>
      <c r="K1028">
        <v>2389.52</v>
      </c>
      <c r="L1028" s="5">
        <v>46273</v>
      </c>
      <c r="M1028" t="s">
        <v>2163</v>
      </c>
      <c r="N1028" t="s">
        <v>207</v>
      </c>
      <c r="O1028" t="s">
        <v>2432</v>
      </c>
      <c r="P1028" t="s">
        <v>208</v>
      </c>
      <c r="Q1028" t="s">
        <v>209</v>
      </c>
    </row>
    <row r="1029" spans="1:17" x14ac:dyDescent="0.3">
      <c r="A1029" t="s">
        <v>2433</v>
      </c>
      <c r="C1029" t="s">
        <v>2434</v>
      </c>
      <c r="D1029" t="s">
        <v>2434</v>
      </c>
      <c r="E1029" s="5">
        <v>46271</v>
      </c>
      <c r="F1029" t="s">
        <v>204</v>
      </c>
      <c r="G1029" t="s">
        <v>220</v>
      </c>
      <c r="H1029">
        <v>2999</v>
      </c>
      <c r="I1029">
        <v>9</v>
      </c>
      <c r="J1029">
        <v>1.62</v>
      </c>
      <c r="K1029">
        <v>2988.38</v>
      </c>
      <c r="L1029" s="5">
        <v>46273</v>
      </c>
      <c r="M1029" t="s">
        <v>2163</v>
      </c>
      <c r="N1029" t="s">
        <v>207</v>
      </c>
      <c r="O1029" t="s">
        <v>2434</v>
      </c>
      <c r="P1029" t="s">
        <v>208</v>
      </c>
      <c r="Q1029" t="s">
        <v>209</v>
      </c>
    </row>
    <row r="1030" spans="1:17" x14ac:dyDescent="0.3">
      <c r="A1030" t="s">
        <v>2435</v>
      </c>
      <c r="C1030" t="s">
        <v>2436</v>
      </c>
      <c r="D1030" t="s">
        <v>2436</v>
      </c>
      <c r="E1030" s="5">
        <v>46271</v>
      </c>
      <c r="F1030" t="s">
        <v>204</v>
      </c>
      <c r="G1030" t="s">
        <v>220</v>
      </c>
      <c r="H1030">
        <v>2999</v>
      </c>
      <c r="I1030">
        <v>9</v>
      </c>
      <c r="J1030">
        <v>1.62</v>
      </c>
      <c r="K1030">
        <v>2988.38</v>
      </c>
      <c r="L1030" s="5">
        <v>46273</v>
      </c>
      <c r="M1030" t="s">
        <v>2163</v>
      </c>
      <c r="N1030" t="s">
        <v>207</v>
      </c>
      <c r="O1030" t="s">
        <v>2436</v>
      </c>
      <c r="P1030" t="s">
        <v>208</v>
      </c>
      <c r="Q1030" t="s">
        <v>209</v>
      </c>
    </row>
    <row r="1031" spans="1:17" x14ac:dyDescent="0.3">
      <c r="A1031" t="s">
        <v>2437</v>
      </c>
      <c r="C1031" t="s">
        <v>2438</v>
      </c>
      <c r="D1031" t="s">
        <v>2438</v>
      </c>
      <c r="E1031" s="5">
        <v>46271</v>
      </c>
      <c r="F1031" t="s">
        <v>204</v>
      </c>
      <c r="G1031" t="s">
        <v>220</v>
      </c>
      <c r="H1031">
        <v>1798</v>
      </c>
      <c r="I1031">
        <v>0</v>
      </c>
      <c r="J1031">
        <v>0</v>
      </c>
      <c r="K1031">
        <v>1798</v>
      </c>
      <c r="L1031" s="5">
        <v>46273</v>
      </c>
      <c r="M1031" t="s">
        <v>2163</v>
      </c>
      <c r="N1031" t="s">
        <v>207</v>
      </c>
      <c r="O1031" t="s">
        <v>2438</v>
      </c>
      <c r="P1031" t="s">
        <v>208</v>
      </c>
      <c r="Q1031" t="s">
        <v>209</v>
      </c>
    </row>
    <row r="1032" spans="1:17" x14ac:dyDescent="0.3">
      <c r="A1032" t="s">
        <v>2439</v>
      </c>
      <c r="C1032" t="s">
        <v>2440</v>
      </c>
      <c r="D1032" t="s">
        <v>2440</v>
      </c>
      <c r="E1032" s="5">
        <v>46271</v>
      </c>
      <c r="F1032" t="s">
        <v>204</v>
      </c>
      <c r="G1032" t="s">
        <v>213</v>
      </c>
      <c r="H1032">
        <v>7999</v>
      </c>
      <c r="I1032">
        <v>127.98</v>
      </c>
      <c r="J1032">
        <v>23.04</v>
      </c>
      <c r="K1032">
        <v>7847.98</v>
      </c>
      <c r="L1032" s="5">
        <v>46273</v>
      </c>
      <c r="M1032" t="s">
        <v>2163</v>
      </c>
      <c r="N1032" t="s">
        <v>207</v>
      </c>
      <c r="O1032" t="s">
        <v>2440</v>
      </c>
      <c r="P1032" t="s">
        <v>208</v>
      </c>
      <c r="Q1032" t="s">
        <v>209</v>
      </c>
    </row>
    <row r="1033" spans="1:17" x14ac:dyDescent="0.3">
      <c r="A1033" t="s">
        <v>2441</v>
      </c>
      <c r="C1033" t="s">
        <v>2442</v>
      </c>
      <c r="D1033" t="s">
        <v>2442</v>
      </c>
      <c r="E1033" s="5">
        <v>46271</v>
      </c>
      <c r="F1033" t="s">
        <v>204</v>
      </c>
      <c r="G1033" t="s">
        <v>220</v>
      </c>
      <c r="H1033">
        <v>3397</v>
      </c>
      <c r="I1033">
        <v>10.19</v>
      </c>
      <c r="J1033">
        <v>1.83</v>
      </c>
      <c r="K1033">
        <v>3384.98</v>
      </c>
      <c r="L1033" s="5">
        <v>46273</v>
      </c>
      <c r="M1033" t="s">
        <v>2163</v>
      </c>
      <c r="N1033" t="s">
        <v>207</v>
      </c>
      <c r="O1033" t="s">
        <v>2442</v>
      </c>
      <c r="P1033" t="s">
        <v>208</v>
      </c>
      <c r="Q1033" t="s">
        <v>209</v>
      </c>
    </row>
    <row r="1034" spans="1:17" x14ac:dyDescent="0.3">
      <c r="A1034" t="s">
        <v>2443</v>
      </c>
      <c r="C1034" t="s">
        <v>2444</v>
      </c>
      <c r="D1034" t="s">
        <v>2444</v>
      </c>
      <c r="E1034" s="5">
        <v>46271</v>
      </c>
      <c r="F1034" t="s">
        <v>204</v>
      </c>
      <c r="G1034" t="s">
        <v>213</v>
      </c>
      <c r="H1034">
        <v>799</v>
      </c>
      <c r="I1034">
        <v>14.38</v>
      </c>
      <c r="J1034">
        <v>2.59</v>
      </c>
      <c r="K1034">
        <v>782.03</v>
      </c>
      <c r="L1034" s="5">
        <v>46273</v>
      </c>
      <c r="M1034" t="s">
        <v>2163</v>
      </c>
      <c r="N1034" t="s">
        <v>207</v>
      </c>
      <c r="O1034" t="s">
        <v>2444</v>
      </c>
      <c r="P1034" t="s">
        <v>208</v>
      </c>
      <c r="Q1034" t="s">
        <v>209</v>
      </c>
    </row>
    <row r="1035" spans="1:17" x14ac:dyDescent="0.3">
      <c r="A1035" t="s">
        <v>2445</v>
      </c>
      <c r="C1035" t="s">
        <v>2446</v>
      </c>
      <c r="D1035" t="s">
        <v>2446</v>
      </c>
      <c r="E1035" s="5">
        <v>46271</v>
      </c>
      <c r="F1035" t="s">
        <v>204</v>
      </c>
      <c r="G1035" t="s">
        <v>220</v>
      </c>
      <c r="H1035">
        <v>4999</v>
      </c>
      <c r="I1035">
        <v>15</v>
      </c>
      <c r="J1035">
        <v>2.7</v>
      </c>
      <c r="K1035">
        <v>4981.3</v>
      </c>
      <c r="L1035" s="5">
        <v>46273</v>
      </c>
      <c r="M1035" t="s">
        <v>2163</v>
      </c>
      <c r="N1035" t="s">
        <v>207</v>
      </c>
      <c r="O1035" t="s">
        <v>2446</v>
      </c>
      <c r="P1035" t="s">
        <v>208</v>
      </c>
      <c r="Q1035" t="s">
        <v>209</v>
      </c>
    </row>
    <row r="1036" spans="1:17" x14ac:dyDescent="0.3">
      <c r="A1036" t="s">
        <v>2447</v>
      </c>
      <c r="C1036" t="s">
        <v>2448</v>
      </c>
      <c r="D1036" t="s">
        <v>2448</v>
      </c>
      <c r="E1036" s="5">
        <v>46271</v>
      </c>
      <c r="F1036" t="s">
        <v>204</v>
      </c>
      <c r="G1036" t="s">
        <v>220</v>
      </c>
      <c r="H1036">
        <v>4347</v>
      </c>
      <c r="I1036">
        <v>13.04</v>
      </c>
      <c r="J1036">
        <v>2.35</v>
      </c>
      <c r="K1036">
        <v>4331.6099999999997</v>
      </c>
      <c r="L1036" s="5">
        <v>46273</v>
      </c>
      <c r="M1036" t="s">
        <v>2163</v>
      </c>
      <c r="N1036" t="s">
        <v>207</v>
      </c>
      <c r="O1036" t="s">
        <v>2448</v>
      </c>
      <c r="P1036" t="s">
        <v>208</v>
      </c>
      <c r="Q1036" t="s">
        <v>209</v>
      </c>
    </row>
    <row r="1037" spans="1:17" x14ac:dyDescent="0.3">
      <c r="A1037" t="s">
        <v>2449</v>
      </c>
      <c r="C1037" t="s">
        <v>2450</v>
      </c>
      <c r="D1037" t="s">
        <v>2450</v>
      </c>
      <c r="E1037" s="5">
        <v>46271</v>
      </c>
      <c r="F1037" t="s">
        <v>204</v>
      </c>
      <c r="G1037" t="s">
        <v>220</v>
      </c>
      <c r="H1037">
        <v>1499</v>
      </c>
      <c r="I1037">
        <v>0</v>
      </c>
      <c r="J1037">
        <v>0</v>
      </c>
      <c r="K1037">
        <v>1499</v>
      </c>
      <c r="L1037" s="5">
        <v>46273</v>
      </c>
      <c r="M1037" t="s">
        <v>2163</v>
      </c>
      <c r="N1037" t="s">
        <v>207</v>
      </c>
      <c r="O1037" t="s">
        <v>2450</v>
      </c>
      <c r="P1037" t="s">
        <v>208</v>
      </c>
      <c r="Q1037" t="s">
        <v>209</v>
      </c>
    </row>
    <row r="1038" spans="1:17" x14ac:dyDescent="0.3">
      <c r="A1038" t="s">
        <v>2451</v>
      </c>
      <c r="C1038" t="s">
        <v>2452</v>
      </c>
      <c r="D1038" t="s">
        <v>2452</v>
      </c>
      <c r="E1038" s="5">
        <v>46271</v>
      </c>
      <c r="F1038" t="s">
        <v>204</v>
      </c>
      <c r="G1038" t="s">
        <v>220</v>
      </c>
      <c r="H1038">
        <v>349</v>
      </c>
      <c r="I1038">
        <v>0</v>
      </c>
      <c r="J1038">
        <v>0</v>
      </c>
      <c r="K1038">
        <v>349</v>
      </c>
      <c r="L1038" s="5">
        <v>46273</v>
      </c>
      <c r="M1038" t="s">
        <v>2163</v>
      </c>
      <c r="N1038" t="s">
        <v>207</v>
      </c>
      <c r="O1038" t="s">
        <v>2452</v>
      </c>
      <c r="P1038" t="s">
        <v>208</v>
      </c>
      <c r="Q1038" t="s">
        <v>209</v>
      </c>
    </row>
    <row r="1039" spans="1:17" x14ac:dyDescent="0.3">
      <c r="A1039" t="s">
        <v>2453</v>
      </c>
      <c r="C1039" t="s">
        <v>2454</v>
      </c>
      <c r="D1039" t="s">
        <v>2454</v>
      </c>
      <c r="E1039" s="5">
        <v>46271</v>
      </c>
      <c r="F1039" t="s">
        <v>204</v>
      </c>
      <c r="G1039" t="s">
        <v>220</v>
      </c>
      <c r="H1039">
        <v>6297</v>
      </c>
      <c r="I1039">
        <v>18.89</v>
      </c>
      <c r="J1039">
        <v>3.4</v>
      </c>
      <c r="K1039">
        <v>6274.71</v>
      </c>
      <c r="L1039" s="5">
        <v>46273</v>
      </c>
      <c r="M1039" t="s">
        <v>2163</v>
      </c>
      <c r="N1039" t="s">
        <v>207</v>
      </c>
      <c r="O1039" t="s">
        <v>2454</v>
      </c>
      <c r="P1039" t="s">
        <v>208</v>
      </c>
      <c r="Q1039" t="s">
        <v>209</v>
      </c>
    </row>
    <row r="1040" spans="1:17" x14ac:dyDescent="0.3">
      <c r="A1040" t="s">
        <v>2455</v>
      </c>
      <c r="C1040" t="s">
        <v>2456</v>
      </c>
      <c r="D1040" t="s">
        <v>2456</v>
      </c>
      <c r="E1040" s="5">
        <v>46271</v>
      </c>
      <c r="F1040" t="s">
        <v>204</v>
      </c>
      <c r="G1040" t="s">
        <v>213</v>
      </c>
      <c r="H1040">
        <v>299</v>
      </c>
      <c r="I1040">
        <v>5.38</v>
      </c>
      <c r="J1040">
        <v>0.97</v>
      </c>
      <c r="K1040">
        <v>292.64999999999998</v>
      </c>
      <c r="L1040" s="5">
        <v>46273</v>
      </c>
      <c r="M1040" t="s">
        <v>2163</v>
      </c>
      <c r="N1040" t="s">
        <v>207</v>
      </c>
      <c r="O1040" t="s">
        <v>2456</v>
      </c>
      <c r="P1040" t="s">
        <v>208</v>
      </c>
      <c r="Q1040" t="s">
        <v>209</v>
      </c>
    </row>
    <row r="1041" spans="1:17" x14ac:dyDescent="0.3">
      <c r="A1041" t="s">
        <v>2457</v>
      </c>
      <c r="C1041" t="s">
        <v>2458</v>
      </c>
      <c r="D1041" t="s">
        <v>2459</v>
      </c>
      <c r="E1041" s="5">
        <v>46271</v>
      </c>
      <c r="F1041" t="s">
        <v>204</v>
      </c>
      <c r="G1041" t="s">
        <v>213</v>
      </c>
      <c r="H1041">
        <v>2598</v>
      </c>
      <c r="I1041">
        <v>41.57</v>
      </c>
      <c r="J1041">
        <v>7.48</v>
      </c>
      <c r="K1041">
        <v>2548.9499999999998</v>
      </c>
      <c r="L1041" s="5">
        <v>46273</v>
      </c>
      <c r="M1041" t="s">
        <v>2163</v>
      </c>
      <c r="N1041" t="s">
        <v>207</v>
      </c>
      <c r="O1041" t="s">
        <v>2459</v>
      </c>
      <c r="P1041" t="s">
        <v>208</v>
      </c>
      <c r="Q1041" t="s">
        <v>209</v>
      </c>
    </row>
    <row r="1042" spans="1:17" x14ac:dyDescent="0.3">
      <c r="A1042" t="s">
        <v>2460</v>
      </c>
      <c r="C1042" t="s">
        <v>2461</v>
      </c>
      <c r="D1042" t="s">
        <v>2461</v>
      </c>
      <c r="E1042" s="5">
        <v>46271</v>
      </c>
      <c r="F1042" t="s">
        <v>204</v>
      </c>
      <c r="G1042" t="s">
        <v>220</v>
      </c>
      <c r="H1042">
        <v>3798</v>
      </c>
      <c r="I1042">
        <v>11.39</v>
      </c>
      <c r="J1042">
        <v>2.0499999999999998</v>
      </c>
      <c r="K1042">
        <v>3784.56</v>
      </c>
      <c r="L1042" s="5">
        <v>46273</v>
      </c>
      <c r="M1042" t="s">
        <v>2163</v>
      </c>
      <c r="N1042" t="s">
        <v>207</v>
      </c>
      <c r="O1042" t="s">
        <v>2461</v>
      </c>
      <c r="P1042" t="s">
        <v>208</v>
      </c>
      <c r="Q1042" t="s">
        <v>209</v>
      </c>
    </row>
    <row r="1043" spans="1:17" x14ac:dyDescent="0.3">
      <c r="A1043" t="s">
        <v>2462</v>
      </c>
      <c r="C1043" t="s">
        <v>2463</v>
      </c>
      <c r="D1043" t="s">
        <v>2463</v>
      </c>
      <c r="E1043" s="5">
        <v>46271</v>
      </c>
      <c r="F1043" t="s">
        <v>204</v>
      </c>
      <c r="G1043" t="s">
        <v>220</v>
      </c>
      <c r="H1043">
        <v>2298</v>
      </c>
      <c r="I1043">
        <v>6.89</v>
      </c>
      <c r="J1043">
        <v>1.24</v>
      </c>
      <c r="K1043">
        <v>2289.87</v>
      </c>
      <c r="L1043" s="5">
        <v>46273</v>
      </c>
      <c r="M1043" t="s">
        <v>2163</v>
      </c>
      <c r="N1043" t="s">
        <v>207</v>
      </c>
      <c r="O1043" t="s">
        <v>2463</v>
      </c>
      <c r="P1043" t="s">
        <v>208</v>
      </c>
      <c r="Q1043" t="s">
        <v>209</v>
      </c>
    </row>
    <row r="1044" spans="1:17" x14ac:dyDescent="0.3">
      <c r="A1044" t="s">
        <v>2464</v>
      </c>
      <c r="C1044" t="s">
        <v>2465</v>
      </c>
      <c r="D1044" t="s">
        <v>2465</v>
      </c>
      <c r="E1044" s="5">
        <v>46271</v>
      </c>
      <c r="F1044" t="s">
        <v>204</v>
      </c>
      <c r="G1044" t="s">
        <v>213</v>
      </c>
      <c r="H1044">
        <v>8348</v>
      </c>
      <c r="I1044">
        <v>133.57</v>
      </c>
      <c r="J1044">
        <v>24.04</v>
      </c>
      <c r="K1044">
        <v>8190.39</v>
      </c>
      <c r="L1044" s="5">
        <v>46273</v>
      </c>
      <c r="M1044" t="s">
        <v>2163</v>
      </c>
      <c r="N1044" t="s">
        <v>207</v>
      </c>
      <c r="O1044" t="s">
        <v>2465</v>
      </c>
      <c r="P1044" t="s">
        <v>208</v>
      </c>
      <c r="Q1044" t="s">
        <v>209</v>
      </c>
    </row>
    <row r="1045" spans="1:17" x14ac:dyDescent="0.3">
      <c r="A1045" t="s">
        <v>2466</v>
      </c>
      <c r="C1045" t="s">
        <v>2467</v>
      </c>
      <c r="D1045" t="s">
        <v>2468</v>
      </c>
      <c r="E1045" s="5">
        <v>46271</v>
      </c>
      <c r="F1045" t="s">
        <v>204</v>
      </c>
      <c r="G1045" t="s">
        <v>220</v>
      </c>
      <c r="H1045">
        <v>599</v>
      </c>
      <c r="I1045">
        <v>0</v>
      </c>
      <c r="J1045">
        <v>0</v>
      </c>
      <c r="K1045">
        <v>599</v>
      </c>
      <c r="L1045" s="5">
        <v>46273</v>
      </c>
      <c r="M1045" t="s">
        <v>2163</v>
      </c>
      <c r="N1045" t="s">
        <v>207</v>
      </c>
      <c r="O1045" t="s">
        <v>2468</v>
      </c>
      <c r="P1045" t="s">
        <v>208</v>
      </c>
      <c r="Q1045" t="s">
        <v>209</v>
      </c>
    </row>
    <row r="1046" spans="1:17" x14ac:dyDescent="0.3">
      <c r="A1046" t="s">
        <v>2469</v>
      </c>
      <c r="C1046" t="s">
        <v>2470</v>
      </c>
      <c r="D1046" t="s">
        <v>2470</v>
      </c>
      <c r="E1046" s="5">
        <v>46271</v>
      </c>
      <c r="F1046" t="s">
        <v>204</v>
      </c>
      <c r="G1046" t="s">
        <v>220</v>
      </c>
      <c r="H1046">
        <v>349</v>
      </c>
      <c r="I1046">
        <v>0</v>
      </c>
      <c r="J1046">
        <v>0</v>
      </c>
      <c r="K1046">
        <v>349</v>
      </c>
      <c r="L1046" s="5">
        <v>46273</v>
      </c>
      <c r="M1046" t="s">
        <v>2163</v>
      </c>
      <c r="N1046" t="s">
        <v>207</v>
      </c>
      <c r="O1046" t="s">
        <v>2470</v>
      </c>
      <c r="P1046" t="s">
        <v>208</v>
      </c>
      <c r="Q1046" t="s">
        <v>209</v>
      </c>
    </row>
    <row r="1047" spans="1:17" x14ac:dyDescent="0.3">
      <c r="A1047" t="s">
        <v>2471</v>
      </c>
      <c r="C1047" t="s">
        <v>2472</v>
      </c>
      <c r="D1047" t="s">
        <v>2472</v>
      </c>
      <c r="E1047" s="5">
        <v>46271</v>
      </c>
      <c r="F1047" t="s">
        <v>204</v>
      </c>
      <c r="G1047" t="s">
        <v>205</v>
      </c>
      <c r="H1047">
        <v>2999</v>
      </c>
      <c r="I1047">
        <v>50.98</v>
      </c>
      <c r="J1047">
        <v>9.18</v>
      </c>
      <c r="K1047">
        <v>2938.84</v>
      </c>
      <c r="L1047" s="5">
        <v>46273</v>
      </c>
      <c r="M1047" t="s">
        <v>2163</v>
      </c>
      <c r="N1047" t="s">
        <v>207</v>
      </c>
      <c r="O1047" t="s">
        <v>2472</v>
      </c>
      <c r="P1047" t="s">
        <v>208</v>
      </c>
      <c r="Q1047" t="s">
        <v>209</v>
      </c>
    </row>
    <row r="1048" spans="1:17" x14ac:dyDescent="0.3">
      <c r="A1048" t="s">
        <v>2473</v>
      </c>
      <c r="C1048" t="s">
        <v>2474</v>
      </c>
      <c r="D1048" t="s">
        <v>2474</v>
      </c>
      <c r="E1048" s="5">
        <v>46271</v>
      </c>
      <c r="F1048" t="s">
        <v>204</v>
      </c>
      <c r="G1048" t="s">
        <v>213</v>
      </c>
      <c r="H1048">
        <v>499</v>
      </c>
      <c r="I1048">
        <v>8.98</v>
      </c>
      <c r="J1048">
        <v>1.62</v>
      </c>
      <c r="K1048">
        <v>488.4</v>
      </c>
      <c r="L1048" s="5">
        <v>46273</v>
      </c>
      <c r="M1048" t="s">
        <v>2163</v>
      </c>
      <c r="N1048" t="s">
        <v>207</v>
      </c>
      <c r="O1048" t="s">
        <v>2474</v>
      </c>
      <c r="P1048" t="s">
        <v>208</v>
      </c>
      <c r="Q1048" t="s">
        <v>209</v>
      </c>
    </row>
    <row r="1049" spans="1:17" x14ac:dyDescent="0.3">
      <c r="A1049" t="s">
        <v>2475</v>
      </c>
      <c r="C1049" t="s">
        <v>2476</v>
      </c>
      <c r="D1049" t="s">
        <v>2476</v>
      </c>
      <c r="E1049" s="5">
        <v>46271</v>
      </c>
      <c r="F1049" t="s">
        <v>204</v>
      </c>
      <c r="G1049" t="s">
        <v>220</v>
      </c>
      <c r="H1049">
        <v>3298</v>
      </c>
      <c r="I1049">
        <v>9.89</v>
      </c>
      <c r="J1049">
        <v>1.78</v>
      </c>
      <c r="K1049">
        <v>3286.33</v>
      </c>
      <c r="L1049" s="5">
        <v>46273</v>
      </c>
      <c r="M1049" t="s">
        <v>2163</v>
      </c>
      <c r="N1049" t="s">
        <v>207</v>
      </c>
      <c r="O1049" t="s">
        <v>2476</v>
      </c>
      <c r="P1049" t="s">
        <v>208</v>
      </c>
      <c r="Q1049" t="s">
        <v>209</v>
      </c>
    </row>
    <row r="1050" spans="1:17" x14ac:dyDescent="0.3">
      <c r="A1050" t="s">
        <v>2477</v>
      </c>
      <c r="C1050" t="s">
        <v>2478</v>
      </c>
      <c r="D1050" t="s">
        <v>2478</v>
      </c>
      <c r="E1050" s="5">
        <v>46271</v>
      </c>
      <c r="F1050" t="s">
        <v>204</v>
      </c>
      <c r="G1050" t="s">
        <v>220</v>
      </c>
      <c r="H1050">
        <v>7999</v>
      </c>
      <c r="I1050">
        <v>24</v>
      </c>
      <c r="J1050">
        <v>4.32</v>
      </c>
      <c r="K1050">
        <v>7970.68</v>
      </c>
      <c r="L1050" s="5">
        <v>46273</v>
      </c>
      <c r="M1050" t="s">
        <v>2163</v>
      </c>
      <c r="N1050" t="s">
        <v>207</v>
      </c>
      <c r="O1050" t="s">
        <v>2478</v>
      </c>
      <c r="P1050" t="s">
        <v>208</v>
      </c>
      <c r="Q1050" t="s">
        <v>209</v>
      </c>
    </row>
    <row r="1051" spans="1:17" x14ac:dyDescent="0.3">
      <c r="A1051" t="s">
        <v>2479</v>
      </c>
      <c r="C1051" t="s">
        <v>2480</v>
      </c>
      <c r="D1051" t="s">
        <v>2480</v>
      </c>
      <c r="E1051" s="5">
        <v>46271</v>
      </c>
      <c r="F1051" t="s">
        <v>204</v>
      </c>
      <c r="G1051" t="s">
        <v>220</v>
      </c>
      <c r="H1051">
        <v>5597</v>
      </c>
      <c r="I1051">
        <v>16.79</v>
      </c>
      <c r="J1051">
        <v>3.02</v>
      </c>
      <c r="K1051">
        <v>5577.19</v>
      </c>
      <c r="L1051" s="5">
        <v>46273</v>
      </c>
      <c r="M1051" t="s">
        <v>2163</v>
      </c>
      <c r="N1051" t="s">
        <v>207</v>
      </c>
      <c r="O1051" t="s">
        <v>2480</v>
      </c>
      <c r="P1051" t="s">
        <v>208</v>
      </c>
      <c r="Q1051" t="s">
        <v>209</v>
      </c>
    </row>
    <row r="1052" spans="1:17" x14ac:dyDescent="0.3">
      <c r="A1052" t="s">
        <v>2481</v>
      </c>
      <c r="C1052" t="s">
        <v>2482</v>
      </c>
      <c r="D1052" t="s">
        <v>2482</v>
      </c>
      <c r="E1052" s="5">
        <v>46271</v>
      </c>
      <c r="F1052" t="s">
        <v>204</v>
      </c>
      <c r="G1052" t="s">
        <v>220</v>
      </c>
      <c r="H1052">
        <v>4999</v>
      </c>
      <c r="I1052">
        <v>15</v>
      </c>
      <c r="J1052">
        <v>2.7</v>
      </c>
      <c r="K1052">
        <v>4981.3</v>
      </c>
      <c r="L1052" s="5">
        <v>46273</v>
      </c>
      <c r="M1052" t="s">
        <v>2163</v>
      </c>
      <c r="N1052" t="s">
        <v>207</v>
      </c>
      <c r="O1052" t="s">
        <v>2482</v>
      </c>
      <c r="P1052" t="s">
        <v>208</v>
      </c>
      <c r="Q1052" t="s">
        <v>209</v>
      </c>
    </row>
    <row r="1053" spans="1:17" x14ac:dyDescent="0.3">
      <c r="A1053" t="s">
        <v>2483</v>
      </c>
      <c r="C1053" t="s">
        <v>2484</v>
      </c>
      <c r="D1053" t="s">
        <v>2484</v>
      </c>
      <c r="E1053" s="5">
        <v>46271</v>
      </c>
      <c r="F1053" t="s">
        <v>204</v>
      </c>
      <c r="G1053" t="s">
        <v>220</v>
      </c>
      <c r="H1053">
        <v>12097</v>
      </c>
      <c r="I1053">
        <v>36.29</v>
      </c>
      <c r="J1053">
        <v>6.53</v>
      </c>
      <c r="K1053">
        <v>12054.18</v>
      </c>
      <c r="L1053" s="5">
        <v>46273</v>
      </c>
      <c r="M1053" t="s">
        <v>2163</v>
      </c>
      <c r="N1053" t="s">
        <v>207</v>
      </c>
      <c r="O1053" t="s">
        <v>2484</v>
      </c>
      <c r="P1053" t="s">
        <v>208</v>
      </c>
      <c r="Q1053" t="s">
        <v>209</v>
      </c>
    </row>
    <row r="1054" spans="1:17" x14ac:dyDescent="0.3">
      <c r="A1054" t="s">
        <v>2485</v>
      </c>
      <c r="C1054" t="s">
        <v>2486</v>
      </c>
      <c r="D1054" t="s">
        <v>2486</v>
      </c>
      <c r="E1054" s="5">
        <v>46271</v>
      </c>
      <c r="F1054" t="s">
        <v>204</v>
      </c>
      <c r="G1054" t="s">
        <v>255</v>
      </c>
      <c r="H1054">
        <v>299</v>
      </c>
      <c r="I1054">
        <v>4.49</v>
      </c>
      <c r="J1054">
        <v>0.81</v>
      </c>
      <c r="K1054">
        <v>293.7</v>
      </c>
      <c r="L1054" s="5">
        <v>46273</v>
      </c>
      <c r="M1054" t="s">
        <v>2163</v>
      </c>
      <c r="N1054" t="s">
        <v>207</v>
      </c>
      <c r="O1054" t="s">
        <v>2486</v>
      </c>
      <c r="P1054" t="s">
        <v>208</v>
      </c>
      <c r="Q1054" t="s">
        <v>209</v>
      </c>
    </row>
    <row r="1055" spans="1:17" x14ac:dyDescent="0.3">
      <c r="A1055" t="s">
        <v>2487</v>
      </c>
      <c r="C1055" t="s">
        <v>2488</v>
      </c>
      <c r="D1055" t="s">
        <v>2488</v>
      </c>
      <c r="E1055" s="5">
        <v>46271</v>
      </c>
      <c r="F1055" t="s">
        <v>204</v>
      </c>
      <c r="G1055" t="s">
        <v>220</v>
      </c>
      <c r="H1055">
        <v>6298</v>
      </c>
      <c r="I1055">
        <v>18.89</v>
      </c>
      <c r="J1055">
        <v>3.4</v>
      </c>
      <c r="K1055">
        <v>6275.71</v>
      </c>
      <c r="L1055" s="5">
        <v>46273</v>
      </c>
      <c r="M1055" t="s">
        <v>2163</v>
      </c>
      <c r="N1055" t="s">
        <v>207</v>
      </c>
      <c r="O1055" t="s">
        <v>2488</v>
      </c>
      <c r="P1055" t="s">
        <v>208</v>
      </c>
      <c r="Q1055" t="s">
        <v>209</v>
      </c>
    </row>
    <row r="1056" spans="1:17" x14ac:dyDescent="0.3">
      <c r="A1056" t="s">
        <v>2489</v>
      </c>
      <c r="C1056" t="s">
        <v>2490</v>
      </c>
      <c r="D1056" t="s">
        <v>2491</v>
      </c>
      <c r="E1056" s="5">
        <v>46271</v>
      </c>
      <c r="F1056" t="s">
        <v>204</v>
      </c>
      <c r="G1056" t="s">
        <v>220</v>
      </c>
      <c r="H1056">
        <v>1499</v>
      </c>
      <c r="I1056">
        <v>0</v>
      </c>
      <c r="J1056">
        <v>0</v>
      </c>
      <c r="K1056">
        <v>1499</v>
      </c>
      <c r="L1056" s="5">
        <v>46273</v>
      </c>
      <c r="M1056" t="s">
        <v>2163</v>
      </c>
      <c r="N1056" t="s">
        <v>207</v>
      </c>
      <c r="O1056" t="s">
        <v>2491</v>
      </c>
      <c r="P1056" t="s">
        <v>208</v>
      </c>
      <c r="Q1056" t="s">
        <v>209</v>
      </c>
    </row>
    <row r="1057" spans="1:17" x14ac:dyDescent="0.3">
      <c r="A1057" t="s">
        <v>2492</v>
      </c>
      <c r="C1057" t="s">
        <v>2493</v>
      </c>
      <c r="D1057" t="s">
        <v>2493</v>
      </c>
      <c r="E1057" s="5">
        <v>46271</v>
      </c>
      <c r="F1057" t="s">
        <v>204</v>
      </c>
      <c r="G1057" t="s">
        <v>213</v>
      </c>
      <c r="H1057">
        <v>349</v>
      </c>
      <c r="I1057">
        <v>6.28</v>
      </c>
      <c r="J1057">
        <v>1.1299999999999999</v>
      </c>
      <c r="K1057">
        <v>341.59</v>
      </c>
      <c r="L1057" s="5">
        <v>46273</v>
      </c>
      <c r="M1057" t="s">
        <v>2163</v>
      </c>
      <c r="N1057" t="s">
        <v>207</v>
      </c>
      <c r="O1057" t="s">
        <v>2493</v>
      </c>
      <c r="P1057" t="s">
        <v>208</v>
      </c>
      <c r="Q1057" t="s">
        <v>209</v>
      </c>
    </row>
    <row r="1058" spans="1:17" x14ac:dyDescent="0.3">
      <c r="A1058" t="s">
        <v>2494</v>
      </c>
      <c r="C1058" t="s">
        <v>2495</v>
      </c>
      <c r="D1058" t="s">
        <v>2495</v>
      </c>
      <c r="E1058" s="5">
        <v>46271</v>
      </c>
      <c r="F1058" t="s">
        <v>204</v>
      </c>
      <c r="G1058" t="s">
        <v>220</v>
      </c>
      <c r="H1058">
        <v>7999</v>
      </c>
      <c r="I1058">
        <v>24</v>
      </c>
      <c r="J1058">
        <v>4.32</v>
      </c>
      <c r="K1058">
        <v>7970.68</v>
      </c>
      <c r="L1058" s="5">
        <v>46273</v>
      </c>
      <c r="M1058" t="s">
        <v>2163</v>
      </c>
      <c r="N1058" t="s">
        <v>207</v>
      </c>
      <c r="O1058" t="s">
        <v>2495</v>
      </c>
      <c r="P1058" t="s">
        <v>208</v>
      </c>
      <c r="Q1058" t="s">
        <v>209</v>
      </c>
    </row>
    <row r="1059" spans="1:17" x14ac:dyDescent="0.3">
      <c r="A1059" t="s">
        <v>2496</v>
      </c>
      <c r="C1059" t="s">
        <v>2497</v>
      </c>
      <c r="D1059" t="s">
        <v>2497</v>
      </c>
      <c r="E1059" s="5">
        <v>46271</v>
      </c>
      <c r="F1059" t="s">
        <v>204</v>
      </c>
      <c r="G1059" t="s">
        <v>213</v>
      </c>
      <c r="H1059">
        <v>10397</v>
      </c>
      <c r="I1059">
        <v>166.35</v>
      </c>
      <c r="J1059">
        <v>29.94</v>
      </c>
      <c r="K1059">
        <v>10200.709999999999</v>
      </c>
      <c r="L1059" s="5">
        <v>46273</v>
      </c>
      <c r="M1059" t="s">
        <v>2163</v>
      </c>
      <c r="N1059" t="s">
        <v>207</v>
      </c>
      <c r="O1059" t="s">
        <v>2497</v>
      </c>
      <c r="P1059" t="s">
        <v>208</v>
      </c>
      <c r="Q1059" t="s">
        <v>209</v>
      </c>
    </row>
    <row r="1060" spans="1:17" x14ac:dyDescent="0.3">
      <c r="A1060" t="s">
        <v>2498</v>
      </c>
      <c r="C1060" t="s">
        <v>2499</v>
      </c>
      <c r="D1060" t="s">
        <v>2499</v>
      </c>
      <c r="E1060" s="5">
        <v>46271</v>
      </c>
      <c r="F1060" t="s">
        <v>204</v>
      </c>
      <c r="G1060" t="s">
        <v>220</v>
      </c>
      <c r="H1060">
        <v>1299</v>
      </c>
      <c r="I1060">
        <v>0</v>
      </c>
      <c r="J1060">
        <v>0</v>
      </c>
      <c r="K1060">
        <v>1299</v>
      </c>
      <c r="L1060" s="5">
        <v>46273</v>
      </c>
      <c r="M1060" t="s">
        <v>2163</v>
      </c>
      <c r="N1060" t="s">
        <v>207</v>
      </c>
      <c r="O1060" t="s">
        <v>2499</v>
      </c>
      <c r="P1060" t="s">
        <v>208</v>
      </c>
      <c r="Q1060" t="s">
        <v>209</v>
      </c>
    </row>
    <row r="1061" spans="1:17" x14ac:dyDescent="0.3">
      <c r="A1061" t="s">
        <v>2500</v>
      </c>
      <c r="C1061" t="s">
        <v>2501</v>
      </c>
      <c r="D1061" t="s">
        <v>2501</v>
      </c>
      <c r="E1061" s="5">
        <v>46271</v>
      </c>
      <c r="F1061" t="s">
        <v>204</v>
      </c>
      <c r="G1061" t="s">
        <v>220</v>
      </c>
      <c r="H1061">
        <v>5847</v>
      </c>
      <c r="I1061">
        <v>17.54</v>
      </c>
      <c r="J1061">
        <v>3.16</v>
      </c>
      <c r="K1061">
        <v>5826.3</v>
      </c>
      <c r="L1061" s="5">
        <v>46273</v>
      </c>
      <c r="M1061" t="s">
        <v>2163</v>
      </c>
      <c r="N1061" t="s">
        <v>207</v>
      </c>
      <c r="O1061" t="s">
        <v>2501</v>
      </c>
      <c r="P1061" t="s">
        <v>208</v>
      </c>
      <c r="Q1061" t="s">
        <v>209</v>
      </c>
    </row>
    <row r="1062" spans="1:17" x14ac:dyDescent="0.3">
      <c r="A1062" t="s">
        <v>2502</v>
      </c>
      <c r="C1062" t="s">
        <v>2503</v>
      </c>
      <c r="D1062" t="s">
        <v>2503</v>
      </c>
      <c r="E1062" s="5">
        <v>46271</v>
      </c>
      <c r="F1062" t="s">
        <v>204</v>
      </c>
      <c r="G1062" t="s">
        <v>220</v>
      </c>
      <c r="H1062">
        <v>1799</v>
      </c>
      <c r="I1062">
        <v>0</v>
      </c>
      <c r="J1062">
        <v>0</v>
      </c>
      <c r="K1062">
        <v>1799</v>
      </c>
      <c r="L1062" s="5">
        <v>46273</v>
      </c>
      <c r="M1062" t="s">
        <v>2163</v>
      </c>
      <c r="N1062" t="s">
        <v>207</v>
      </c>
      <c r="O1062" t="s">
        <v>2503</v>
      </c>
      <c r="P1062" t="s">
        <v>208</v>
      </c>
      <c r="Q1062" t="s">
        <v>209</v>
      </c>
    </row>
    <row r="1063" spans="1:17" x14ac:dyDescent="0.3">
      <c r="A1063" t="s">
        <v>2504</v>
      </c>
      <c r="C1063" t="s">
        <v>2505</v>
      </c>
      <c r="D1063" t="s">
        <v>2505</v>
      </c>
      <c r="E1063" s="5">
        <v>46271</v>
      </c>
      <c r="F1063" t="s">
        <v>204</v>
      </c>
      <c r="G1063" t="s">
        <v>213</v>
      </c>
      <c r="H1063">
        <v>3697</v>
      </c>
      <c r="I1063">
        <v>59.15</v>
      </c>
      <c r="J1063">
        <v>10.65</v>
      </c>
      <c r="K1063">
        <v>3627.2</v>
      </c>
      <c r="L1063" s="5">
        <v>46273</v>
      </c>
      <c r="M1063" t="s">
        <v>2163</v>
      </c>
      <c r="N1063" t="s">
        <v>207</v>
      </c>
      <c r="O1063" t="s">
        <v>2505</v>
      </c>
      <c r="P1063" t="s">
        <v>208</v>
      </c>
      <c r="Q1063" t="s">
        <v>209</v>
      </c>
    </row>
    <row r="1064" spans="1:17" x14ac:dyDescent="0.3">
      <c r="A1064" t="s">
        <v>2506</v>
      </c>
      <c r="C1064" t="s">
        <v>2507</v>
      </c>
      <c r="D1064" t="s">
        <v>2507</v>
      </c>
      <c r="E1064" s="5">
        <v>46271</v>
      </c>
      <c r="F1064" t="s">
        <v>204</v>
      </c>
      <c r="G1064" t="s">
        <v>213</v>
      </c>
      <c r="H1064">
        <v>4498</v>
      </c>
      <c r="I1064">
        <v>71.97</v>
      </c>
      <c r="J1064">
        <v>12.95</v>
      </c>
      <c r="K1064">
        <v>4413.08</v>
      </c>
      <c r="L1064" s="5">
        <v>46273</v>
      </c>
      <c r="M1064" t="s">
        <v>2163</v>
      </c>
      <c r="N1064" t="s">
        <v>207</v>
      </c>
      <c r="O1064" t="s">
        <v>2507</v>
      </c>
      <c r="P1064" t="s">
        <v>208</v>
      </c>
      <c r="Q1064" t="s">
        <v>209</v>
      </c>
    </row>
    <row r="1065" spans="1:17" x14ac:dyDescent="0.3">
      <c r="A1065" t="s">
        <v>2508</v>
      </c>
      <c r="C1065" t="s">
        <v>2509</v>
      </c>
      <c r="D1065" t="s">
        <v>2509</v>
      </c>
      <c r="E1065" s="5">
        <v>46271</v>
      </c>
      <c r="F1065" t="s">
        <v>204</v>
      </c>
      <c r="G1065" t="s">
        <v>220</v>
      </c>
      <c r="H1065">
        <v>4999</v>
      </c>
      <c r="I1065">
        <v>15</v>
      </c>
      <c r="J1065">
        <v>2.7</v>
      </c>
      <c r="K1065">
        <v>4981.3</v>
      </c>
      <c r="L1065" s="5">
        <v>46273</v>
      </c>
      <c r="M1065" t="s">
        <v>2163</v>
      </c>
      <c r="N1065" t="s">
        <v>207</v>
      </c>
      <c r="O1065" t="s">
        <v>2509</v>
      </c>
      <c r="P1065" t="s">
        <v>208</v>
      </c>
      <c r="Q1065" t="s">
        <v>209</v>
      </c>
    </row>
    <row r="1066" spans="1:17" x14ac:dyDescent="0.3">
      <c r="A1066" t="s">
        <v>2510</v>
      </c>
      <c r="C1066" t="s">
        <v>2511</v>
      </c>
      <c r="D1066" t="s">
        <v>2511</v>
      </c>
      <c r="E1066" s="5">
        <v>46271</v>
      </c>
      <c r="F1066" t="s">
        <v>204</v>
      </c>
      <c r="G1066" t="s">
        <v>220</v>
      </c>
      <c r="H1066">
        <v>2999</v>
      </c>
      <c r="I1066">
        <v>9</v>
      </c>
      <c r="J1066">
        <v>1.62</v>
      </c>
      <c r="K1066">
        <v>2988.38</v>
      </c>
      <c r="L1066" s="5">
        <v>46273</v>
      </c>
      <c r="M1066" t="s">
        <v>2163</v>
      </c>
      <c r="N1066" t="s">
        <v>207</v>
      </c>
      <c r="O1066" t="s">
        <v>2511</v>
      </c>
      <c r="P1066" t="s">
        <v>208</v>
      </c>
      <c r="Q1066" t="s">
        <v>209</v>
      </c>
    </row>
    <row r="1067" spans="1:17" x14ac:dyDescent="0.3">
      <c r="A1067" t="s">
        <v>2512</v>
      </c>
      <c r="C1067" t="s">
        <v>2513</v>
      </c>
      <c r="D1067" t="s">
        <v>2514</v>
      </c>
      <c r="E1067" s="5">
        <v>46271</v>
      </c>
      <c r="F1067" t="s">
        <v>204</v>
      </c>
      <c r="G1067" t="s">
        <v>213</v>
      </c>
      <c r="H1067">
        <v>349</v>
      </c>
      <c r="I1067">
        <v>6.28</v>
      </c>
      <c r="J1067">
        <v>1.1299999999999999</v>
      </c>
      <c r="K1067">
        <v>341.59</v>
      </c>
      <c r="L1067" s="5">
        <v>46273</v>
      </c>
      <c r="M1067" t="s">
        <v>2163</v>
      </c>
      <c r="N1067" t="s">
        <v>207</v>
      </c>
      <c r="O1067" t="s">
        <v>2514</v>
      </c>
      <c r="P1067" t="s">
        <v>208</v>
      </c>
      <c r="Q1067" t="s">
        <v>209</v>
      </c>
    </row>
    <row r="1068" spans="1:17" x14ac:dyDescent="0.3">
      <c r="A1068" t="s">
        <v>2515</v>
      </c>
      <c r="C1068" t="s">
        <v>2516</v>
      </c>
      <c r="D1068" t="s">
        <v>2517</v>
      </c>
      <c r="E1068" s="5">
        <v>46271</v>
      </c>
      <c r="F1068" t="s">
        <v>204</v>
      </c>
      <c r="G1068" t="s">
        <v>220</v>
      </c>
      <c r="H1068">
        <v>5998</v>
      </c>
      <c r="I1068">
        <v>17.989999999999998</v>
      </c>
      <c r="J1068">
        <v>3.24</v>
      </c>
      <c r="K1068">
        <v>5976.77</v>
      </c>
      <c r="L1068" s="5">
        <v>46273</v>
      </c>
      <c r="M1068" t="s">
        <v>2163</v>
      </c>
      <c r="N1068" t="s">
        <v>207</v>
      </c>
      <c r="O1068" t="s">
        <v>2517</v>
      </c>
      <c r="P1068" t="s">
        <v>208</v>
      </c>
      <c r="Q1068" t="s">
        <v>209</v>
      </c>
    </row>
    <row r="1069" spans="1:17" x14ac:dyDescent="0.3">
      <c r="A1069" t="s">
        <v>2518</v>
      </c>
      <c r="C1069" t="s">
        <v>2519</v>
      </c>
      <c r="D1069" t="s">
        <v>2519</v>
      </c>
      <c r="E1069" s="5">
        <v>46271</v>
      </c>
      <c r="F1069" t="s">
        <v>204</v>
      </c>
      <c r="G1069" t="s">
        <v>255</v>
      </c>
      <c r="H1069">
        <v>2499</v>
      </c>
      <c r="I1069">
        <v>29.99</v>
      </c>
      <c r="J1069">
        <v>5.4</v>
      </c>
      <c r="K1069">
        <v>2463.61</v>
      </c>
      <c r="L1069" s="5">
        <v>46273</v>
      </c>
      <c r="M1069" t="s">
        <v>2163</v>
      </c>
      <c r="N1069" t="s">
        <v>207</v>
      </c>
      <c r="O1069" t="s">
        <v>2519</v>
      </c>
      <c r="P1069" t="s">
        <v>208</v>
      </c>
      <c r="Q1069" t="s">
        <v>209</v>
      </c>
    </row>
    <row r="1070" spans="1:17" x14ac:dyDescent="0.3">
      <c r="A1070" t="s">
        <v>2520</v>
      </c>
      <c r="C1070" t="s">
        <v>2521</v>
      </c>
      <c r="D1070" t="s">
        <v>2521</v>
      </c>
      <c r="E1070" s="5">
        <v>46271</v>
      </c>
      <c r="F1070" t="s">
        <v>204</v>
      </c>
      <c r="G1070" t="s">
        <v>220</v>
      </c>
      <c r="H1070">
        <v>799</v>
      </c>
      <c r="I1070">
        <v>0</v>
      </c>
      <c r="J1070">
        <v>0</v>
      </c>
      <c r="K1070">
        <v>799</v>
      </c>
      <c r="L1070" s="5">
        <v>46273</v>
      </c>
      <c r="M1070" t="s">
        <v>2163</v>
      </c>
      <c r="N1070" t="s">
        <v>207</v>
      </c>
      <c r="O1070" t="s">
        <v>2521</v>
      </c>
      <c r="P1070" t="s">
        <v>208</v>
      </c>
      <c r="Q1070" t="s">
        <v>209</v>
      </c>
    </row>
    <row r="1071" spans="1:17" x14ac:dyDescent="0.3">
      <c r="A1071" t="s">
        <v>2522</v>
      </c>
      <c r="C1071" t="s">
        <v>2523</v>
      </c>
      <c r="D1071" t="s">
        <v>2523</v>
      </c>
      <c r="E1071" s="5">
        <v>46271</v>
      </c>
      <c r="F1071" t="s">
        <v>204</v>
      </c>
      <c r="G1071" t="s">
        <v>220</v>
      </c>
      <c r="H1071">
        <v>9298</v>
      </c>
      <c r="I1071">
        <v>27.89</v>
      </c>
      <c r="J1071">
        <v>5.0199999999999996</v>
      </c>
      <c r="K1071">
        <v>9265.09</v>
      </c>
      <c r="L1071" s="5">
        <v>46273</v>
      </c>
      <c r="M1071" t="s">
        <v>2163</v>
      </c>
      <c r="N1071" t="s">
        <v>207</v>
      </c>
      <c r="O1071" t="s">
        <v>2523</v>
      </c>
      <c r="P1071" t="s">
        <v>208</v>
      </c>
      <c r="Q1071" t="s">
        <v>209</v>
      </c>
    </row>
    <row r="1072" spans="1:17" x14ac:dyDescent="0.3">
      <c r="A1072" t="s">
        <v>2524</v>
      </c>
      <c r="C1072" t="s">
        <v>2525</v>
      </c>
      <c r="D1072" t="s">
        <v>2525</v>
      </c>
      <c r="E1072" s="5">
        <v>46271</v>
      </c>
      <c r="F1072" t="s">
        <v>204</v>
      </c>
      <c r="G1072" t="s">
        <v>220</v>
      </c>
      <c r="H1072">
        <v>2499</v>
      </c>
      <c r="I1072">
        <v>7.5</v>
      </c>
      <c r="J1072">
        <v>1.35</v>
      </c>
      <c r="K1072">
        <v>2490.15</v>
      </c>
      <c r="L1072" s="5">
        <v>46273</v>
      </c>
      <c r="M1072" t="s">
        <v>2163</v>
      </c>
      <c r="N1072" t="s">
        <v>207</v>
      </c>
      <c r="O1072" t="s">
        <v>2525</v>
      </c>
      <c r="P1072" t="s">
        <v>208</v>
      </c>
      <c r="Q1072" t="s">
        <v>209</v>
      </c>
    </row>
    <row r="1073" spans="1:17" x14ac:dyDescent="0.3">
      <c r="A1073" t="s">
        <v>2526</v>
      </c>
      <c r="C1073" t="s">
        <v>2527</v>
      </c>
      <c r="D1073" t="s">
        <v>2527</v>
      </c>
      <c r="E1073" s="5">
        <v>46271</v>
      </c>
      <c r="F1073" t="s">
        <v>204</v>
      </c>
      <c r="G1073" t="s">
        <v>220</v>
      </c>
      <c r="H1073">
        <v>3097</v>
      </c>
      <c r="I1073">
        <v>9.2899999999999991</v>
      </c>
      <c r="J1073">
        <v>1.67</v>
      </c>
      <c r="K1073">
        <v>3086.04</v>
      </c>
      <c r="L1073" s="5">
        <v>46273</v>
      </c>
      <c r="M1073" t="s">
        <v>2163</v>
      </c>
      <c r="N1073" t="s">
        <v>207</v>
      </c>
      <c r="O1073" t="s">
        <v>2527</v>
      </c>
      <c r="P1073" t="s">
        <v>208</v>
      </c>
      <c r="Q1073" t="s">
        <v>209</v>
      </c>
    </row>
    <row r="1074" spans="1:17" x14ac:dyDescent="0.3">
      <c r="A1074" t="s">
        <v>2528</v>
      </c>
      <c r="C1074" t="s">
        <v>2529</v>
      </c>
      <c r="D1074" t="s">
        <v>2529</v>
      </c>
      <c r="E1074" s="5">
        <v>46271</v>
      </c>
      <c r="F1074" t="s">
        <v>204</v>
      </c>
      <c r="G1074" t="s">
        <v>220</v>
      </c>
      <c r="H1074">
        <v>3797</v>
      </c>
      <c r="I1074">
        <v>11.39</v>
      </c>
      <c r="J1074">
        <v>2.0499999999999998</v>
      </c>
      <c r="K1074">
        <v>3783.56</v>
      </c>
      <c r="L1074" s="5">
        <v>46273</v>
      </c>
      <c r="M1074" t="s">
        <v>2163</v>
      </c>
      <c r="N1074" t="s">
        <v>207</v>
      </c>
      <c r="O1074" t="s">
        <v>2529</v>
      </c>
      <c r="P1074" t="s">
        <v>208</v>
      </c>
      <c r="Q1074" t="s">
        <v>209</v>
      </c>
    </row>
    <row r="1075" spans="1:17" x14ac:dyDescent="0.3">
      <c r="A1075" t="s">
        <v>2530</v>
      </c>
      <c r="C1075" t="s">
        <v>2531</v>
      </c>
      <c r="D1075" t="s">
        <v>2531</v>
      </c>
      <c r="E1075" s="5">
        <v>46271</v>
      </c>
      <c r="F1075" t="s">
        <v>204</v>
      </c>
      <c r="G1075" t="s">
        <v>220</v>
      </c>
      <c r="H1075">
        <v>599</v>
      </c>
      <c r="I1075">
        <v>0</v>
      </c>
      <c r="J1075">
        <v>0</v>
      </c>
      <c r="K1075">
        <v>599</v>
      </c>
      <c r="L1075" s="5">
        <v>46273</v>
      </c>
      <c r="M1075" t="s">
        <v>2163</v>
      </c>
      <c r="N1075" t="s">
        <v>207</v>
      </c>
      <c r="O1075" t="s">
        <v>2531</v>
      </c>
      <c r="P1075" t="s">
        <v>208</v>
      </c>
      <c r="Q1075" t="s">
        <v>209</v>
      </c>
    </row>
    <row r="1076" spans="1:17" x14ac:dyDescent="0.3">
      <c r="A1076" t="s">
        <v>2532</v>
      </c>
      <c r="C1076" t="s">
        <v>2533</v>
      </c>
      <c r="D1076" t="s">
        <v>2533</v>
      </c>
      <c r="E1076" s="5">
        <v>46271</v>
      </c>
      <c r="F1076" t="s">
        <v>204</v>
      </c>
      <c r="G1076" t="s">
        <v>205</v>
      </c>
      <c r="H1076">
        <v>3798</v>
      </c>
      <c r="I1076">
        <v>91.15</v>
      </c>
      <c r="J1076">
        <v>16.41</v>
      </c>
      <c r="K1076">
        <v>3690.44</v>
      </c>
      <c r="L1076" s="5">
        <v>46273</v>
      </c>
      <c r="M1076" t="s">
        <v>2163</v>
      </c>
      <c r="N1076" t="s">
        <v>207</v>
      </c>
      <c r="O1076" t="s">
        <v>2533</v>
      </c>
      <c r="P1076" t="s">
        <v>208</v>
      </c>
      <c r="Q1076" t="s">
        <v>209</v>
      </c>
    </row>
    <row r="1077" spans="1:17" x14ac:dyDescent="0.3">
      <c r="A1077" t="s">
        <v>2534</v>
      </c>
      <c r="C1077" t="s">
        <v>2535</v>
      </c>
      <c r="D1077" t="s">
        <v>2535</v>
      </c>
      <c r="E1077" s="5">
        <v>46271</v>
      </c>
      <c r="F1077" t="s">
        <v>204</v>
      </c>
      <c r="G1077" t="s">
        <v>220</v>
      </c>
      <c r="H1077">
        <v>3498</v>
      </c>
      <c r="I1077">
        <v>10.49</v>
      </c>
      <c r="J1077">
        <v>1.89</v>
      </c>
      <c r="K1077">
        <v>3485.62</v>
      </c>
      <c r="L1077" s="5">
        <v>46273</v>
      </c>
      <c r="M1077" t="s">
        <v>2163</v>
      </c>
      <c r="N1077" t="s">
        <v>207</v>
      </c>
      <c r="O1077" t="s">
        <v>2535</v>
      </c>
      <c r="P1077" t="s">
        <v>208</v>
      </c>
      <c r="Q1077" t="s">
        <v>209</v>
      </c>
    </row>
    <row r="1078" spans="1:17" x14ac:dyDescent="0.3">
      <c r="A1078" t="s">
        <v>2536</v>
      </c>
      <c r="C1078" t="s">
        <v>2537</v>
      </c>
      <c r="D1078" t="s">
        <v>2537</v>
      </c>
      <c r="E1078" s="5">
        <v>46271</v>
      </c>
      <c r="F1078" t="s">
        <v>204</v>
      </c>
      <c r="G1078" t="s">
        <v>220</v>
      </c>
      <c r="H1078">
        <v>3097</v>
      </c>
      <c r="I1078">
        <v>9.2899999999999991</v>
      </c>
      <c r="J1078">
        <v>1.67</v>
      </c>
      <c r="K1078">
        <v>3086.04</v>
      </c>
      <c r="L1078" s="5">
        <v>46273</v>
      </c>
      <c r="M1078" t="s">
        <v>2163</v>
      </c>
      <c r="N1078" t="s">
        <v>207</v>
      </c>
      <c r="O1078" t="s">
        <v>2537</v>
      </c>
      <c r="P1078" t="s">
        <v>208</v>
      </c>
      <c r="Q1078" t="s">
        <v>209</v>
      </c>
    </row>
    <row r="1079" spans="1:17" x14ac:dyDescent="0.3">
      <c r="A1079" t="s">
        <v>2538</v>
      </c>
      <c r="C1079" t="s">
        <v>2539</v>
      </c>
      <c r="D1079" t="s">
        <v>2539</v>
      </c>
      <c r="E1079" s="5">
        <v>46271</v>
      </c>
      <c r="F1079" t="s">
        <v>204</v>
      </c>
      <c r="G1079" t="s">
        <v>220</v>
      </c>
      <c r="H1079">
        <v>3348</v>
      </c>
      <c r="I1079">
        <v>10.039999999999999</v>
      </c>
      <c r="J1079">
        <v>1.81</v>
      </c>
      <c r="K1079">
        <v>3336.15</v>
      </c>
      <c r="L1079" s="5">
        <v>46273</v>
      </c>
      <c r="M1079" t="s">
        <v>2163</v>
      </c>
      <c r="N1079" t="s">
        <v>207</v>
      </c>
      <c r="O1079" t="s">
        <v>2539</v>
      </c>
      <c r="P1079" t="s">
        <v>208</v>
      </c>
      <c r="Q1079" t="s">
        <v>209</v>
      </c>
    </row>
    <row r="1080" spans="1:17" x14ac:dyDescent="0.3">
      <c r="A1080" t="s">
        <v>2540</v>
      </c>
      <c r="C1080" t="s">
        <v>2541</v>
      </c>
      <c r="D1080" t="s">
        <v>2541</v>
      </c>
      <c r="E1080" s="5">
        <v>46271</v>
      </c>
      <c r="F1080" t="s">
        <v>204</v>
      </c>
      <c r="G1080" t="s">
        <v>220</v>
      </c>
      <c r="H1080">
        <v>1499</v>
      </c>
      <c r="I1080">
        <v>0</v>
      </c>
      <c r="J1080">
        <v>0</v>
      </c>
      <c r="K1080">
        <v>1499</v>
      </c>
      <c r="L1080" s="5">
        <v>46273</v>
      </c>
      <c r="M1080" t="s">
        <v>2163</v>
      </c>
      <c r="N1080" t="s">
        <v>207</v>
      </c>
      <c r="O1080" t="s">
        <v>2541</v>
      </c>
      <c r="P1080" t="s">
        <v>208</v>
      </c>
      <c r="Q1080" t="s">
        <v>209</v>
      </c>
    </row>
    <row r="1081" spans="1:17" x14ac:dyDescent="0.3">
      <c r="A1081" t="s">
        <v>2542</v>
      </c>
      <c r="C1081" t="s">
        <v>2543</v>
      </c>
      <c r="D1081" t="s">
        <v>2543</v>
      </c>
      <c r="E1081" s="5">
        <v>46271</v>
      </c>
      <c r="F1081" t="s">
        <v>204</v>
      </c>
      <c r="G1081" t="s">
        <v>220</v>
      </c>
      <c r="H1081">
        <v>4999</v>
      </c>
      <c r="I1081">
        <v>15</v>
      </c>
      <c r="J1081">
        <v>2.7</v>
      </c>
      <c r="K1081">
        <v>4981.3</v>
      </c>
      <c r="L1081" s="5">
        <v>46273</v>
      </c>
      <c r="M1081" t="s">
        <v>2163</v>
      </c>
      <c r="N1081" t="s">
        <v>207</v>
      </c>
      <c r="O1081" t="s">
        <v>2543</v>
      </c>
      <c r="P1081" t="s">
        <v>208</v>
      </c>
      <c r="Q1081" t="s">
        <v>209</v>
      </c>
    </row>
    <row r="1082" spans="1:17" x14ac:dyDescent="0.3">
      <c r="A1082" t="s">
        <v>2544</v>
      </c>
      <c r="C1082" t="s">
        <v>2545</v>
      </c>
      <c r="D1082" t="s">
        <v>2545</v>
      </c>
      <c r="E1082" s="5">
        <v>46271</v>
      </c>
      <c r="F1082" t="s">
        <v>204</v>
      </c>
      <c r="G1082" t="s">
        <v>255</v>
      </c>
      <c r="H1082">
        <v>3499</v>
      </c>
      <c r="I1082">
        <v>41.99</v>
      </c>
      <c r="J1082">
        <v>7.56</v>
      </c>
      <c r="K1082">
        <v>3449.45</v>
      </c>
      <c r="L1082" s="5">
        <v>46273</v>
      </c>
      <c r="M1082" t="s">
        <v>2163</v>
      </c>
      <c r="N1082" t="s">
        <v>207</v>
      </c>
      <c r="O1082" t="s">
        <v>2545</v>
      </c>
      <c r="P1082" t="s">
        <v>208</v>
      </c>
      <c r="Q1082" t="s">
        <v>209</v>
      </c>
    </row>
    <row r="1083" spans="1:17" x14ac:dyDescent="0.3">
      <c r="A1083" t="s">
        <v>2546</v>
      </c>
      <c r="C1083" t="s">
        <v>2547</v>
      </c>
      <c r="D1083" t="s">
        <v>2547</v>
      </c>
      <c r="E1083" s="5">
        <v>46271</v>
      </c>
      <c r="F1083" t="s">
        <v>204</v>
      </c>
      <c r="G1083" t="s">
        <v>205</v>
      </c>
      <c r="H1083">
        <v>799</v>
      </c>
      <c r="I1083">
        <v>15.18</v>
      </c>
      <c r="J1083">
        <v>2.73</v>
      </c>
      <c r="K1083">
        <v>781.09</v>
      </c>
      <c r="L1083" s="5">
        <v>46273</v>
      </c>
      <c r="M1083" t="s">
        <v>2163</v>
      </c>
      <c r="N1083" t="s">
        <v>207</v>
      </c>
      <c r="O1083" t="s">
        <v>2547</v>
      </c>
      <c r="P1083" t="s">
        <v>208</v>
      </c>
      <c r="Q1083" t="s">
        <v>209</v>
      </c>
    </row>
    <row r="1084" spans="1:17" x14ac:dyDescent="0.3">
      <c r="A1084" t="s">
        <v>2548</v>
      </c>
      <c r="C1084" t="s">
        <v>2549</v>
      </c>
      <c r="D1084" t="s">
        <v>2549</v>
      </c>
      <c r="E1084" s="5">
        <v>46271</v>
      </c>
      <c r="F1084" t="s">
        <v>204</v>
      </c>
      <c r="G1084" t="s">
        <v>220</v>
      </c>
      <c r="H1084">
        <v>4999</v>
      </c>
      <c r="I1084">
        <v>15</v>
      </c>
      <c r="J1084">
        <v>2.7</v>
      </c>
      <c r="K1084">
        <v>4981.3</v>
      </c>
      <c r="L1084" s="5">
        <v>46273</v>
      </c>
      <c r="M1084" t="s">
        <v>2163</v>
      </c>
      <c r="N1084" t="s">
        <v>207</v>
      </c>
      <c r="O1084" t="s">
        <v>2549</v>
      </c>
      <c r="P1084" t="s">
        <v>208</v>
      </c>
      <c r="Q1084" t="s">
        <v>209</v>
      </c>
    </row>
    <row r="1085" spans="1:17" x14ac:dyDescent="0.3">
      <c r="A1085" t="s">
        <v>2550</v>
      </c>
      <c r="C1085" t="s">
        <v>2551</v>
      </c>
      <c r="D1085" t="s">
        <v>2551</v>
      </c>
      <c r="E1085" s="5">
        <v>46271</v>
      </c>
      <c r="F1085" t="s">
        <v>204</v>
      </c>
      <c r="G1085" t="s">
        <v>213</v>
      </c>
      <c r="H1085">
        <v>9798</v>
      </c>
      <c r="I1085">
        <v>156.77000000000001</v>
      </c>
      <c r="J1085">
        <v>28.22</v>
      </c>
      <c r="K1085">
        <v>9613.01</v>
      </c>
      <c r="L1085" s="5">
        <v>46273</v>
      </c>
      <c r="M1085" t="s">
        <v>2163</v>
      </c>
      <c r="N1085" t="s">
        <v>207</v>
      </c>
      <c r="O1085" t="s">
        <v>2551</v>
      </c>
      <c r="P1085" t="s">
        <v>208</v>
      </c>
      <c r="Q1085" t="s">
        <v>209</v>
      </c>
    </row>
    <row r="1086" spans="1:17" x14ac:dyDescent="0.3">
      <c r="A1086" t="s">
        <v>2552</v>
      </c>
      <c r="C1086" t="s">
        <v>2553</v>
      </c>
      <c r="D1086" t="s">
        <v>2553</v>
      </c>
      <c r="E1086" s="5">
        <v>46271</v>
      </c>
      <c r="F1086" t="s">
        <v>204</v>
      </c>
      <c r="G1086" t="s">
        <v>220</v>
      </c>
      <c r="H1086">
        <v>798</v>
      </c>
      <c r="I1086">
        <v>0</v>
      </c>
      <c r="J1086">
        <v>0</v>
      </c>
      <c r="K1086">
        <v>798</v>
      </c>
      <c r="L1086" s="5">
        <v>46273</v>
      </c>
      <c r="M1086" t="s">
        <v>2163</v>
      </c>
      <c r="N1086" t="s">
        <v>207</v>
      </c>
      <c r="O1086" t="s">
        <v>2553</v>
      </c>
      <c r="P1086" t="s">
        <v>208</v>
      </c>
      <c r="Q1086" t="s">
        <v>209</v>
      </c>
    </row>
    <row r="1087" spans="1:17" x14ac:dyDescent="0.3">
      <c r="A1087" t="s">
        <v>2554</v>
      </c>
      <c r="C1087" t="s">
        <v>2555</v>
      </c>
      <c r="D1087" t="s">
        <v>2555</v>
      </c>
      <c r="E1087" s="5">
        <v>46271</v>
      </c>
      <c r="F1087" t="s">
        <v>204</v>
      </c>
      <c r="G1087" t="s">
        <v>213</v>
      </c>
      <c r="H1087">
        <v>7999</v>
      </c>
      <c r="I1087">
        <v>127.98</v>
      </c>
      <c r="J1087">
        <v>23.04</v>
      </c>
      <c r="K1087">
        <v>7847.98</v>
      </c>
      <c r="L1087" s="5">
        <v>46273</v>
      </c>
      <c r="M1087" t="s">
        <v>2163</v>
      </c>
      <c r="N1087" t="s">
        <v>207</v>
      </c>
      <c r="O1087" t="s">
        <v>2555</v>
      </c>
      <c r="P1087" t="s">
        <v>208</v>
      </c>
      <c r="Q1087" t="s">
        <v>209</v>
      </c>
    </row>
    <row r="1088" spans="1:17" x14ac:dyDescent="0.3">
      <c r="A1088" t="s">
        <v>2556</v>
      </c>
      <c r="C1088" t="s">
        <v>2557</v>
      </c>
      <c r="D1088" t="s">
        <v>2558</v>
      </c>
      <c r="E1088" s="5">
        <v>46271</v>
      </c>
      <c r="F1088" t="s">
        <v>204</v>
      </c>
      <c r="G1088" t="s">
        <v>220</v>
      </c>
      <c r="H1088">
        <v>499</v>
      </c>
      <c r="I1088">
        <v>0</v>
      </c>
      <c r="J1088">
        <v>0</v>
      </c>
      <c r="K1088">
        <v>499</v>
      </c>
      <c r="L1088" s="5">
        <v>46273</v>
      </c>
      <c r="M1088" t="s">
        <v>2163</v>
      </c>
      <c r="N1088" t="s">
        <v>207</v>
      </c>
      <c r="O1088" t="s">
        <v>2558</v>
      </c>
      <c r="P1088" t="s">
        <v>208</v>
      </c>
      <c r="Q1088" t="s">
        <v>209</v>
      </c>
    </row>
    <row r="1089" spans="1:17" x14ac:dyDescent="0.3">
      <c r="A1089" t="s">
        <v>2559</v>
      </c>
      <c r="C1089" t="s">
        <v>2560</v>
      </c>
      <c r="D1089" t="s">
        <v>2561</v>
      </c>
      <c r="E1089" s="5">
        <v>46271</v>
      </c>
      <c r="F1089" t="s">
        <v>204</v>
      </c>
      <c r="G1089" t="s">
        <v>213</v>
      </c>
      <c r="H1089">
        <v>9097</v>
      </c>
      <c r="I1089">
        <v>145.55000000000001</v>
      </c>
      <c r="J1089">
        <v>26.2</v>
      </c>
      <c r="K1089">
        <v>8925.25</v>
      </c>
      <c r="L1089" s="5">
        <v>46273</v>
      </c>
      <c r="M1089" t="s">
        <v>2163</v>
      </c>
      <c r="N1089" t="s">
        <v>207</v>
      </c>
      <c r="O1089" t="s">
        <v>2561</v>
      </c>
      <c r="P1089" t="s">
        <v>208</v>
      </c>
      <c r="Q1089" t="s">
        <v>209</v>
      </c>
    </row>
    <row r="1090" spans="1:17" x14ac:dyDescent="0.3">
      <c r="A1090" t="s">
        <v>2562</v>
      </c>
      <c r="C1090" t="s">
        <v>2563</v>
      </c>
      <c r="D1090" t="s">
        <v>2564</v>
      </c>
      <c r="E1090" s="5">
        <v>46271</v>
      </c>
      <c r="F1090" t="s">
        <v>204</v>
      </c>
      <c r="G1090" t="s">
        <v>220</v>
      </c>
      <c r="H1090">
        <v>4298</v>
      </c>
      <c r="I1090">
        <v>12.89</v>
      </c>
      <c r="J1090">
        <v>2.3199999999999998</v>
      </c>
      <c r="K1090">
        <v>4282.79</v>
      </c>
      <c r="L1090" s="5">
        <v>46273</v>
      </c>
      <c r="M1090" t="s">
        <v>2163</v>
      </c>
      <c r="N1090" t="s">
        <v>207</v>
      </c>
      <c r="O1090" t="s">
        <v>2564</v>
      </c>
      <c r="P1090" t="s">
        <v>208</v>
      </c>
      <c r="Q1090" t="s">
        <v>209</v>
      </c>
    </row>
    <row r="1091" spans="1:17" x14ac:dyDescent="0.3">
      <c r="A1091" t="s">
        <v>2565</v>
      </c>
      <c r="C1091" t="s">
        <v>2566</v>
      </c>
      <c r="D1091" t="s">
        <v>2566</v>
      </c>
      <c r="E1091" s="5">
        <v>46271</v>
      </c>
      <c r="F1091" t="s">
        <v>204</v>
      </c>
      <c r="G1091" t="s">
        <v>255</v>
      </c>
      <c r="H1091">
        <v>999</v>
      </c>
      <c r="I1091">
        <v>14.99</v>
      </c>
      <c r="J1091">
        <v>2.7</v>
      </c>
      <c r="K1091">
        <v>981.31</v>
      </c>
      <c r="L1091" s="5">
        <v>46273</v>
      </c>
      <c r="M1091" t="s">
        <v>2163</v>
      </c>
      <c r="N1091" t="s">
        <v>207</v>
      </c>
      <c r="O1091" t="s">
        <v>2566</v>
      </c>
      <c r="P1091" t="s">
        <v>208</v>
      </c>
      <c r="Q1091" t="s">
        <v>488</v>
      </c>
    </row>
    <row r="1092" spans="1:17" x14ac:dyDescent="0.3">
      <c r="A1092" t="s">
        <v>2567</v>
      </c>
      <c r="B1092" t="s">
        <v>1356</v>
      </c>
      <c r="E1092" s="5">
        <v>46271</v>
      </c>
      <c r="F1092" t="s">
        <v>921</v>
      </c>
      <c r="G1092" t="s">
        <v>213</v>
      </c>
      <c r="H1092">
        <v>5998</v>
      </c>
      <c r="I1092">
        <v>0</v>
      </c>
      <c r="J1092">
        <v>0</v>
      </c>
      <c r="K1092">
        <v>-5998</v>
      </c>
      <c r="L1092" s="5">
        <v>46273</v>
      </c>
      <c r="M1092" t="s">
        <v>2163</v>
      </c>
      <c r="N1092" t="s">
        <v>207</v>
      </c>
      <c r="O1092" t="s">
        <v>1358</v>
      </c>
      <c r="P1092" t="s">
        <v>208</v>
      </c>
    </row>
    <row r="1093" spans="1:17" x14ac:dyDescent="0.3">
      <c r="A1093" t="s">
        <v>2568</v>
      </c>
      <c r="B1093" t="s">
        <v>1912</v>
      </c>
      <c r="E1093" s="5">
        <v>46271</v>
      </c>
      <c r="F1093" t="s">
        <v>921</v>
      </c>
      <c r="G1093" t="s">
        <v>220</v>
      </c>
      <c r="H1093">
        <v>3499</v>
      </c>
      <c r="I1093">
        <v>0</v>
      </c>
      <c r="J1093">
        <v>0</v>
      </c>
      <c r="K1093">
        <v>-3499</v>
      </c>
      <c r="L1093" s="5">
        <v>46273</v>
      </c>
      <c r="M1093" t="s">
        <v>2163</v>
      </c>
      <c r="N1093" t="s">
        <v>207</v>
      </c>
      <c r="O1093" t="s">
        <v>1913</v>
      </c>
      <c r="P1093" t="s">
        <v>208</v>
      </c>
    </row>
    <row r="1094" spans="1:17" x14ac:dyDescent="0.3">
      <c r="A1094" t="s">
        <v>2569</v>
      </c>
      <c r="B1094" t="s">
        <v>2000</v>
      </c>
      <c r="E1094" s="5">
        <v>46271</v>
      </c>
      <c r="F1094" t="s">
        <v>921</v>
      </c>
      <c r="G1094" t="s">
        <v>213</v>
      </c>
      <c r="H1094">
        <v>999</v>
      </c>
      <c r="I1094">
        <v>0</v>
      </c>
      <c r="J1094">
        <v>0</v>
      </c>
      <c r="K1094">
        <v>-999</v>
      </c>
      <c r="L1094" s="5">
        <v>46273</v>
      </c>
      <c r="M1094" t="s">
        <v>2163</v>
      </c>
      <c r="N1094" t="s">
        <v>207</v>
      </c>
      <c r="O1094" t="s">
        <v>2001</v>
      </c>
      <c r="P1094" t="s">
        <v>208</v>
      </c>
    </row>
    <row r="1095" spans="1:17" x14ac:dyDescent="0.3">
      <c r="A1095" t="s">
        <v>2570</v>
      </c>
      <c r="C1095" t="s">
        <v>2571</v>
      </c>
      <c r="D1095" t="s">
        <v>2571</v>
      </c>
      <c r="E1095" s="5">
        <v>46272</v>
      </c>
      <c r="F1095" t="s">
        <v>204</v>
      </c>
      <c r="G1095" t="s">
        <v>220</v>
      </c>
      <c r="H1095">
        <v>1598</v>
      </c>
      <c r="I1095">
        <v>0</v>
      </c>
      <c r="J1095">
        <v>0</v>
      </c>
      <c r="K1095">
        <v>1598</v>
      </c>
      <c r="L1095" s="5">
        <v>46274</v>
      </c>
      <c r="M1095" t="s">
        <v>2572</v>
      </c>
      <c r="N1095" t="s">
        <v>207</v>
      </c>
      <c r="O1095" t="s">
        <v>2571</v>
      </c>
      <c r="P1095" t="s">
        <v>208</v>
      </c>
      <c r="Q1095" t="s">
        <v>209</v>
      </c>
    </row>
    <row r="1096" spans="1:17" x14ac:dyDescent="0.3">
      <c r="A1096" t="s">
        <v>2573</v>
      </c>
      <c r="C1096" t="s">
        <v>2574</v>
      </c>
      <c r="D1096" t="s">
        <v>2574</v>
      </c>
      <c r="E1096" s="5">
        <v>46272</v>
      </c>
      <c r="F1096" t="s">
        <v>204</v>
      </c>
      <c r="G1096" t="s">
        <v>255</v>
      </c>
      <c r="H1096">
        <v>499</v>
      </c>
      <c r="I1096">
        <v>7.49</v>
      </c>
      <c r="J1096">
        <v>1.35</v>
      </c>
      <c r="K1096">
        <v>490.16</v>
      </c>
      <c r="L1096" s="5">
        <v>46274</v>
      </c>
      <c r="M1096" t="s">
        <v>2572</v>
      </c>
      <c r="N1096" t="s">
        <v>207</v>
      </c>
      <c r="O1096" t="s">
        <v>2574</v>
      </c>
      <c r="P1096" t="s">
        <v>208</v>
      </c>
      <c r="Q1096" t="s">
        <v>209</v>
      </c>
    </row>
    <row r="1097" spans="1:17" x14ac:dyDescent="0.3">
      <c r="A1097" t="s">
        <v>2575</v>
      </c>
      <c r="C1097" t="s">
        <v>2576</v>
      </c>
      <c r="D1097" t="s">
        <v>2576</v>
      </c>
      <c r="E1097" s="5">
        <v>46272</v>
      </c>
      <c r="F1097" t="s">
        <v>204</v>
      </c>
      <c r="G1097" t="s">
        <v>220</v>
      </c>
      <c r="H1097">
        <v>4999</v>
      </c>
      <c r="I1097">
        <v>15</v>
      </c>
      <c r="J1097">
        <v>2.7</v>
      </c>
      <c r="K1097">
        <v>4981.3</v>
      </c>
      <c r="L1097" s="5">
        <v>46274</v>
      </c>
      <c r="M1097" t="s">
        <v>2572</v>
      </c>
      <c r="N1097" t="s">
        <v>207</v>
      </c>
      <c r="O1097" t="s">
        <v>2576</v>
      </c>
      <c r="P1097" t="s">
        <v>208</v>
      </c>
      <c r="Q1097" t="s">
        <v>209</v>
      </c>
    </row>
    <row r="1098" spans="1:17" x14ac:dyDescent="0.3">
      <c r="A1098" t="s">
        <v>2577</v>
      </c>
      <c r="C1098" t="s">
        <v>2578</v>
      </c>
      <c r="D1098" t="s">
        <v>2578</v>
      </c>
      <c r="E1098" s="5">
        <v>46272</v>
      </c>
      <c r="F1098" t="s">
        <v>204</v>
      </c>
      <c r="G1098" t="s">
        <v>220</v>
      </c>
      <c r="H1098">
        <v>499</v>
      </c>
      <c r="I1098">
        <v>0</v>
      </c>
      <c r="J1098">
        <v>0</v>
      </c>
      <c r="K1098">
        <v>499</v>
      </c>
      <c r="L1098" s="5">
        <v>46274</v>
      </c>
      <c r="M1098" t="s">
        <v>2572</v>
      </c>
      <c r="N1098" t="s">
        <v>207</v>
      </c>
      <c r="O1098" t="s">
        <v>2578</v>
      </c>
      <c r="P1098" t="s">
        <v>208</v>
      </c>
      <c r="Q1098" t="s">
        <v>209</v>
      </c>
    </row>
    <row r="1099" spans="1:17" x14ac:dyDescent="0.3">
      <c r="A1099" t="s">
        <v>2579</v>
      </c>
      <c r="C1099" t="s">
        <v>2580</v>
      </c>
      <c r="D1099" t="s">
        <v>2581</v>
      </c>
      <c r="E1099" s="5">
        <v>46272</v>
      </c>
      <c r="F1099" t="s">
        <v>204</v>
      </c>
      <c r="G1099" t="s">
        <v>255</v>
      </c>
      <c r="H1099">
        <v>2499</v>
      </c>
      <c r="I1099">
        <v>29.99</v>
      </c>
      <c r="J1099">
        <v>5.4</v>
      </c>
      <c r="K1099">
        <v>2463.61</v>
      </c>
      <c r="L1099" s="5">
        <v>46274</v>
      </c>
      <c r="M1099" t="s">
        <v>2572</v>
      </c>
      <c r="N1099" t="s">
        <v>207</v>
      </c>
      <c r="O1099" t="s">
        <v>2581</v>
      </c>
      <c r="P1099" t="s">
        <v>208</v>
      </c>
      <c r="Q1099" t="s">
        <v>209</v>
      </c>
    </row>
    <row r="1100" spans="1:17" x14ac:dyDescent="0.3">
      <c r="A1100" t="s">
        <v>2582</v>
      </c>
      <c r="C1100" t="s">
        <v>2583</v>
      </c>
      <c r="D1100" t="s">
        <v>2584</v>
      </c>
      <c r="E1100" s="5">
        <v>46272</v>
      </c>
      <c r="F1100" t="s">
        <v>204</v>
      </c>
      <c r="G1100" t="s">
        <v>220</v>
      </c>
      <c r="H1100">
        <v>3998</v>
      </c>
      <c r="I1100">
        <v>11.99</v>
      </c>
      <c r="J1100">
        <v>2.16</v>
      </c>
      <c r="K1100">
        <v>3983.85</v>
      </c>
      <c r="L1100" s="5">
        <v>46274</v>
      </c>
      <c r="M1100" t="s">
        <v>2572</v>
      </c>
      <c r="N1100" t="s">
        <v>207</v>
      </c>
      <c r="O1100" t="s">
        <v>2584</v>
      </c>
      <c r="P1100" t="s">
        <v>208</v>
      </c>
      <c r="Q1100" t="s">
        <v>209</v>
      </c>
    </row>
    <row r="1101" spans="1:17" x14ac:dyDescent="0.3">
      <c r="A1101" t="s">
        <v>2585</v>
      </c>
      <c r="C1101" t="s">
        <v>2586</v>
      </c>
      <c r="D1101" t="s">
        <v>2586</v>
      </c>
      <c r="E1101" s="5">
        <v>46272</v>
      </c>
      <c r="F1101" t="s">
        <v>204</v>
      </c>
      <c r="G1101" t="s">
        <v>205</v>
      </c>
      <c r="H1101">
        <v>3499</v>
      </c>
      <c r="I1101">
        <v>83.98</v>
      </c>
      <c r="J1101">
        <v>15.12</v>
      </c>
      <c r="K1101">
        <v>3399.9</v>
      </c>
      <c r="L1101" s="5">
        <v>46274</v>
      </c>
      <c r="M1101" t="s">
        <v>2572</v>
      </c>
      <c r="N1101" t="s">
        <v>207</v>
      </c>
      <c r="O1101" t="s">
        <v>2586</v>
      </c>
      <c r="P1101" t="s">
        <v>208</v>
      </c>
      <c r="Q1101" t="s">
        <v>209</v>
      </c>
    </row>
    <row r="1102" spans="1:17" x14ac:dyDescent="0.3">
      <c r="A1102" t="s">
        <v>2587</v>
      </c>
      <c r="C1102" t="s">
        <v>2588</v>
      </c>
      <c r="D1102" t="s">
        <v>2588</v>
      </c>
      <c r="E1102" s="5">
        <v>46272</v>
      </c>
      <c r="F1102" t="s">
        <v>204</v>
      </c>
      <c r="G1102" t="s">
        <v>213</v>
      </c>
      <c r="H1102">
        <v>2499</v>
      </c>
      <c r="I1102">
        <v>39.979999999999997</v>
      </c>
      <c r="J1102">
        <v>7.2</v>
      </c>
      <c r="K1102">
        <v>2451.8200000000002</v>
      </c>
      <c r="L1102" s="5">
        <v>46274</v>
      </c>
      <c r="M1102" t="s">
        <v>2572</v>
      </c>
      <c r="N1102" t="s">
        <v>207</v>
      </c>
      <c r="O1102" t="s">
        <v>2588</v>
      </c>
      <c r="P1102" t="s">
        <v>208</v>
      </c>
      <c r="Q1102" t="s">
        <v>209</v>
      </c>
    </row>
    <row r="1103" spans="1:17" x14ac:dyDescent="0.3">
      <c r="A1103" t="s">
        <v>2589</v>
      </c>
      <c r="C1103" t="s">
        <v>2590</v>
      </c>
      <c r="D1103" t="s">
        <v>2591</v>
      </c>
      <c r="E1103" s="5">
        <v>46272</v>
      </c>
      <c r="F1103" t="s">
        <v>204</v>
      </c>
      <c r="G1103" t="s">
        <v>220</v>
      </c>
      <c r="H1103">
        <v>349</v>
      </c>
      <c r="I1103">
        <v>0</v>
      </c>
      <c r="J1103">
        <v>0</v>
      </c>
      <c r="K1103">
        <v>349</v>
      </c>
      <c r="L1103" s="5">
        <v>46274</v>
      </c>
      <c r="M1103" t="s">
        <v>2572</v>
      </c>
      <c r="N1103" t="s">
        <v>207</v>
      </c>
      <c r="O1103" t="s">
        <v>2591</v>
      </c>
      <c r="P1103" t="s">
        <v>208</v>
      </c>
      <c r="Q1103" t="s">
        <v>209</v>
      </c>
    </row>
    <row r="1104" spans="1:17" x14ac:dyDescent="0.3">
      <c r="A1104" t="s">
        <v>2592</v>
      </c>
      <c r="C1104" t="s">
        <v>2593</v>
      </c>
      <c r="D1104" t="s">
        <v>2593</v>
      </c>
      <c r="E1104" s="5">
        <v>46272</v>
      </c>
      <c r="F1104" t="s">
        <v>204</v>
      </c>
      <c r="G1104" t="s">
        <v>220</v>
      </c>
      <c r="H1104">
        <v>4298</v>
      </c>
      <c r="I1104">
        <v>12.89</v>
      </c>
      <c r="J1104">
        <v>2.3199999999999998</v>
      </c>
      <c r="K1104">
        <v>4282.79</v>
      </c>
      <c r="L1104" s="5">
        <v>46274</v>
      </c>
      <c r="M1104" t="s">
        <v>2572</v>
      </c>
      <c r="N1104" t="s">
        <v>207</v>
      </c>
      <c r="O1104" t="s">
        <v>2593</v>
      </c>
      <c r="P1104" t="s">
        <v>208</v>
      </c>
      <c r="Q1104" t="s">
        <v>209</v>
      </c>
    </row>
    <row r="1105" spans="1:17" x14ac:dyDescent="0.3">
      <c r="A1105" t="s">
        <v>2594</v>
      </c>
      <c r="C1105" t="s">
        <v>2595</v>
      </c>
      <c r="D1105" t="s">
        <v>2595</v>
      </c>
      <c r="E1105" s="5">
        <v>46272</v>
      </c>
      <c r="F1105" t="s">
        <v>204</v>
      </c>
      <c r="G1105" t="s">
        <v>255</v>
      </c>
      <c r="H1105">
        <v>7397</v>
      </c>
      <c r="I1105">
        <v>88.76</v>
      </c>
      <c r="J1105">
        <v>15.98</v>
      </c>
      <c r="K1105">
        <v>7292.26</v>
      </c>
      <c r="L1105" s="5">
        <v>46274</v>
      </c>
      <c r="M1105" t="s">
        <v>2572</v>
      </c>
      <c r="N1105" t="s">
        <v>207</v>
      </c>
      <c r="O1105" t="s">
        <v>2595</v>
      </c>
      <c r="P1105" t="s">
        <v>208</v>
      </c>
      <c r="Q1105" t="s">
        <v>209</v>
      </c>
    </row>
    <row r="1106" spans="1:17" x14ac:dyDescent="0.3">
      <c r="A1106" t="s">
        <v>2596</v>
      </c>
      <c r="C1106" t="s">
        <v>2597</v>
      </c>
      <c r="D1106" t="s">
        <v>2597</v>
      </c>
      <c r="E1106" s="5">
        <v>46272</v>
      </c>
      <c r="F1106" t="s">
        <v>204</v>
      </c>
      <c r="G1106" t="s">
        <v>220</v>
      </c>
      <c r="H1106">
        <v>5348</v>
      </c>
      <c r="I1106">
        <v>16.04</v>
      </c>
      <c r="J1106">
        <v>2.89</v>
      </c>
      <c r="K1106">
        <v>5329.07</v>
      </c>
      <c r="L1106" s="5">
        <v>46274</v>
      </c>
      <c r="M1106" t="s">
        <v>2572</v>
      </c>
      <c r="N1106" t="s">
        <v>207</v>
      </c>
      <c r="O1106" t="s">
        <v>2597</v>
      </c>
      <c r="P1106" t="s">
        <v>208</v>
      </c>
      <c r="Q1106" t="s">
        <v>209</v>
      </c>
    </row>
    <row r="1107" spans="1:17" x14ac:dyDescent="0.3">
      <c r="A1107" t="s">
        <v>2598</v>
      </c>
      <c r="C1107" t="s">
        <v>2599</v>
      </c>
      <c r="D1107" t="s">
        <v>2599</v>
      </c>
      <c r="E1107" s="5">
        <v>46272</v>
      </c>
      <c r="F1107" t="s">
        <v>204</v>
      </c>
      <c r="G1107" t="s">
        <v>220</v>
      </c>
      <c r="H1107">
        <v>7999</v>
      </c>
      <c r="I1107">
        <v>24</v>
      </c>
      <c r="J1107">
        <v>4.32</v>
      </c>
      <c r="K1107">
        <v>7970.68</v>
      </c>
      <c r="L1107" s="5">
        <v>46274</v>
      </c>
      <c r="M1107" t="s">
        <v>2572</v>
      </c>
      <c r="N1107" t="s">
        <v>207</v>
      </c>
      <c r="O1107" t="s">
        <v>2599</v>
      </c>
      <c r="P1107" t="s">
        <v>208</v>
      </c>
      <c r="Q1107" t="s">
        <v>209</v>
      </c>
    </row>
    <row r="1108" spans="1:17" x14ac:dyDescent="0.3">
      <c r="A1108" t="s">
        <v>2600</v>
      </c>
      <c r="C1108" t="s">
        <v>2601</v>
      </c>
      <c r="D1108" t="s">
        <v>2601</v>
      </c>
      <c r="E1108" s="5">
        <v>46272</v>
      </c>
      <c r="F1108" t="s">
        <v>204</v>
      </c>
      <c r="G1108" t="s">
        <v>205</v>
      </c>
      <c r="H1108">
        <v>1799</v>
      </c>
      <c r="I1108">
        <v>34.18</v>
      </c>
      <c r="J1108">
        <v>6.15</v>
      </c>
      <c r="K1108">
        <v>1758.67</v>
      </c>
      <c r="L1108" s="5">
        <v>46274</v>
      </c>
      <c r="M1108" t="s">
        <v>2572</v>
      </c>
      <c r="N1108" t="s">
        <v>207</v>
      </c>
      <c r="O1108" t="s">
        <v>2601</v>
      </c>
      <c r="P1108" t="s">
        <v>208</v>
      </c>
      <c r="Q1108" t="s">
        <v>209</v>
      </c>
    </row>
    <row r="1109" spans="1:17" x14ac:dyDescent="0.3">
      <c r="A1109" t="s">
        <v>2602</v>
      </c>
      <c r="C1109" t="s">
        <v>2603</v>
      </c>
      <c r="D1109" t="s">
        <v>2603</v>
      </c>
      <c r="E1109" s="5">
        <v>46272</v>
      </c>
      <c r="F1109" t="s">
        <v>204</v>
      </c>
      <c r="G1109" t="s">
        <v>220</v>
      </c>
      <c r="H1109">
        <v>2297</v>
      </c>
      <c r="I1109">
        <v>6.89</v>
      </c>
      <c r="J1109">
        <v>1.24</v>
      </c>
      <c r="K1109">
        <v>2288.87</v>
      </c>
      <c r="L1109" s="5">
        <v>46274</v>
      </c>
      <c r="M1109" t="s">
        <v>2572</v>
      </c>
      <c r="N1109" t="s">
        <v>207</v>
      </c>
      <c r="O1109" t="s">
        <v>2603</v>
      </c>
      <c r="P1109" t="s">
        <v>208</v>
      </c>
      <c r="Q1109" t="s">
        <v>209</v>
      </c>
    </row>
    <row r="1110" spans="1:17" x14ac:dyDescent="0.3">
      <c r="A1110" t="s">
        <v>2604</v>
      </c>
      <c r="C1110" t="s">
        <v>2605</v>
      </c>
      <c r="D1110" t="s">
        <v>2605</v>
      </c>
      <c r="E1110" s="5">
        <v>46272</v>
      </c>
      <c r="F1110" t="s">
        <v>204</v>
      </c>
      <c r="G1110" t="s">
        <v>213</v>
      </c>
      <c r="H1110">
        <v>499</v>
      </c>
      <c r="I1110">
        <v>8.98</v>
      </c>
      <c r="J1110">
        <v>1.62</v>
      </c>
      <c r="K1110">
        <v>488.4</v>
      </c>
      <c r="L1110" s="5">
        <v>46274</v>
      </c>
      <c r="M1110" t="s">
        <v>2572</v>
      </c>
      <c r="N1110" t="s">
        <v>207</v>
      </c>
      <c r="O1110" t="s">
        <v>2605</v>
      </c>
      <c r="P1110" t="s">
        <v>208</v>
      </c>
      <c r="Q1110" t="s">
        <v>209</v>
      </c>
    </row>
    <row r="1111" spans="1:17" x14ac:dyDescent="0.3">
      <c r="A1111" t="s">
        <v>2606</v>
      </c>
      <c r="C1111" t="s">
        <v>2607</v>
      </c>
      <c r="D1111" t="s">
        <v>2607</v>
      </c>
      <c r="E1111" s="5">
        <v>46272</v>
      </c>
      <c r="F1111" t="s">
        <v>204</v>
      </c>
      <c r="G1111" t="s">
        <v>220</v>
      </c>
      <c r="H1111">
        <v>7999</v>
      </c>
      <c r="I1111">
        <v>24</v>
      </c>
      <c r="J1111">
        <v>4.32</v>
      </c>
      <c r="K1111">
        <v>7970.68</v>
      </c>
      <c r="L1111" s="5">
        <v>46274</v>
      </c>
      <c r="M1111" t="s">
        <v>2572</v>
      </c>
      <c r="N1111" t="s">
        <v>207</v>
      </c>
      <c r="O1111" t="s">
        <v>2607</v>
      </c>
      <c r="P1111" t="s">
        <v>208</v>
      </c>
      <c r="Q1111" t="s">
        <v>209</v>
      </c>
    </row>
    <row r="1112" spans="1:17" x14ac:dyDescent="0.3">
      <c r="A1112" t="s">
        <v>2608</v>
      </c>
      <c r="C1112" t="s">
        <v>2609</v>
      </c>
      <c r="D1112" t="s">
        <v>2609</v>
      </c>
      <c r="E1112" s="5">
        <v>46272</v>
      </c>
      <c r="F1112" t="s">
        <v>204</v>
      </c>
      <c r="G1112" t="s">
        <v>220</v>
      </c>
      <c r="H1112">
        <v>3098</v>
      </c>
      <c r="I1112">
        <v>9.2899999999999991</v>
      </c>
      <c r="J1112">
        <v>1.67</v>
      </c>
      <c r="K1112">
        <v>3087.04</v>
      </c>
      <c r="L1112" s="5">
        <v>46274</v>
      </c>
      <c r="M1112" t="s">
        <v>2572</v>
      </c>
      <c r="N1112" t="s">
        <v>207</v>
      </c>
      <c r="O1112" t="s">
        <v>2609</v>
      </c>
      <c r="P1112" t="s">
        <v>208</v>
      </c>
      <c r="Q1112" t="s">
        <v>209</v>
      </c>
    </row>
    <row r="1113" spans="1:17" x14ac:dyDescent="0.3">
      <c r="A1113" t="s">
        <v>2610</v>
      </c>
      <c r="C1113" t="s">
        <v>2611</v>
      </c>
      <c r="D1113" t="s">
        <v>2611</v>
      </c>
      <c r="E1113" s="5">
        <v>46272</v>
      </c>
      <c r="F1113" t="s">
        <v>204</v>
      </c>
      <c r="G1113" t="s">
        <v>220</v>
      </c>
      <c r="H1113">
        <v>499</v>
      </c>
      <c r="I1113">
        <v>0</v>
      </c>
      <c r="J1113">
        <v>0</v>
      </c>
      <c r="K1113">
        <v>499</v>
      </c>
      <c r="L1113" s="5">
        <v>46274</v>
      </c>
      <c r="M1113" t="s">
        <v>2572</v>
      </c>
      <c r="N1113" t="s">
        <v>207</v>
      </c>
      <c r="O1113" t="s">
        <v>2611</v>
      </c>
      <c r="P1113" t="s">
        <v>208</v>
      </c>
      <c r="Q1113" t="s">
        <v>209</v>
      </c>
    </row>
    <row r="1114" spans="1:17" x14ac:dyDescent="0.3">
      <c r="A1114" t="s">
        <v>2612</v>
      </c>
      <c r="C1114" t="s">
        <v>2613</v>
      </c>
      <c r="D1114" t="s">
        <v>2613</v>
      </c>
      <c r="E1114" s="5">
        <v>46272</v>
      </c>
      <c r="F1114" t="s">
        <v>204</v>
      </c>
      <c r="G1114" t="s">
        <v>213</v>
      </c>
      <c r="H1114">
        <v>2298</v>
      </c>
      <c r="I1114">
        <v>36.770000000000003</v>
      </c>
      <c r="J1114">
        <v>6.62</v>
      </c>
      <c r="K1114">
        <v>2254.61</v>
      </c>
      <c r="L1114" s="5">
        <v>46274</v>
      </c>
      <c r="M1114" t="s">
        <v>2572</v>
      </c>
      <c r="N1114" t="s">
        <v>207</v>
      </c>
      <c r="O1114" t="s">
        <v>2613</v>
      </c>
      <c r="P1114" t="s">
        <v>208</v>
      </c>
      <c r="Q1114" t="s">
        <v>209</v>
      </c>
    </row>
    <row r="1115" spans="1:17" x14ac:dyDescent="0.3">
      <c r="A1115" t="s">
        <v>2614</v>
      </c>
      <c r="C1115" t="s">
        <v>2615</v>
      </c>
      <c r="D1115" t="s">
        <v>2615</v>
      </c>
      <c r="E1115" s="5">
        <v>46272</v>
      </c>
      <c r="F1115" t="s">
        <v>204</v>
      </c>
      <c r="G1115" t="s">
        <v>220</v>
      </c>
      <c r="H1115">
        <v>5998</v>
      </c>
      <c r="I1115">
        <v>17.989999999999998</v>
      </c>
      <c r="J1115">
        <v>3.24</v>
      </c>
      <c r="K1115">
        <v>5976.77</v>
      </c>
      <c r="L1115" s="5">
        <v>46274</v>
      </c>
      <c r="M1115" t="s">
        <v>2572</v>
      </c>
      <c r="N1115" t="s">
        <v>207</v>
      </c>
      <c r="O1115" t="s">
        <v>2615</v>
      </c>
      <c r="P1115" t="s">
        <v>208</v>
      </c>
      <c r="Q1115" t="s">
        <v>209</v>
      </c>
    </row>
    <row r="1116" spans="1:17" x14ac:dyDescent="0.3">
      <c r="A1116" t="s">
        <v>2616</v>
      </c>
      <c r="C1116" t="s">
        <v>2617</v>
      </c>
      <c r="D1116" t="s">
        <v>2617</v>
      </c>
      <c r="E1116" s="5">
        <v>46272</v>
      </c>
      <c r="F1116" t="s">
        <v>204</v>
      </c>
      <c r="G1116" t="s">
        <v>220</v>
      </c>
      <c r="H1116">
        <v>2998</v>
      </c>
      <c r="I1116">
        <v>8.99</v>
      </c>
      <c r="J1116">
        <v>1.62</v>
      </c>
      <c r="K1116">
        <v>2987.39</v>
      </c>
      <c r="L1116" s="5">
        <v>46274</v>
      </c>
      <c r="M1116" t="s">
        <v>2572</v>
      </c>
      <c r="N1116" t="s">
        <v>207</v>
      </c>
      <c r="O1116" t="s">
        <v>2617</v>
      </c>
      <c r="P1116" t="s">
        <v>208</v>
      </c>
      <c r="Q1116" t="s">
        <v>209</v>
      </c>
    </row>
    <row r="1117" spans="1:17" x14ac:dyDescent="0.3">
      <c r="A1117" t="s">
        <v>2618</v>
      </c>
      <c r="C1117" t="s">
        <v>2619</v>
      </c>
      <c r="D1117" t="s">
        <v>2619</v>
      </c>
      <c r="E1117" s="5">
        <v>46272</v>
      </c>
      <c r="F1117" t="s">
        <v>204</v>
      </c>
      <c r="G1117" t="s">
        <v>213</v>
      </c>
      <c r="H1117">
        <v>6297</v>
      </c>
      <c r="I1117">
        <v>100.75</v>
      </c>
      <c r="J1117">
        <v>18.14</v>
      </c>
      <c r="K1117">
        <v>6178.11</v>
      </c>
      <c r="L1117" s="5">
        <v>46274</v>
      </c>
      <c r="M1117" t="s">
        <v>2572</v>
      </c>
      <c r="N1117" t="s">
        <v>207</v>
      </c>
      <c r="O1117" t="s">
        <v>2619</v>
      </c>
      <c r="P1117" t="s">
        <v>208</v>
      </c>
      <c r="Q1117" t="s">
        <v>209</v>
      </c>
    </row>
    <row r="1118" spans="1:17" x14ac:dyDescent="0.3">
      <c r="A1118" t="s">
        <v>2620</v>
      </c>
      <c r="C1118" t="s">
        <v>2621</v>
      </c>
      <c r="D1118" t="s">
        <v>2621</v>
      </c>
      <c r="E1118" s="5">
        <v>46272</v>
      </c>
      <c r="F1118" t="s">
        <v>204</v>
      </c>
      <c r="G1118" t="s">
        <v>213</v>
      </c>
      <c r="H1118">
        <v>3397</v>
      </c>
      <c r="I1118">
        <v>54.35</v>
      </c>
      <c r="J1118">
        <v>9.7799999999999994</v>
      </c>
      <c r="K1118">
        <v>3332.87</v>
      </c>
      <c r="L1118" s="5">
        <v>46274</v>
      </c>
      <c r="M1118" t="s">
        <v>2572</v>
      </c>
      <c r="N1118" t="s">
        <v>207</v>
      </c>
      <c r="O1118" t="s">
        <v>2621</v>
      </c>
      <c r="P1118" t="s">
        <v>208</v>
      </c>
      <c r="Q1118" t="s">
        <v>209</v>
      </c>
    </row>
    <row r="1119" spans="1:17" x14ac:dyDescent="0.3">
      <c r="A1119" t="s">
        <v>2622</v>
      </c>
      <c r="C1119" t="s">
        <v>2623</v>
      </c>
      <c r="D1119" t="s">
        <v>2623</v>
      </c>
      <c r="E1119" s="5">
        <v>46272</v>
      </c>
      <c r="F1119" t="s">
        <v>204</v>
      </c>
      <c r="G1119" t="s">
        <v>220</v>
      </c>
      <c r="H1119">
        <v>3097</v>
      </c>
      <c r="I1119">
        <v>9.2899999999999991</v>
      </c>
      <c r="J1119">
        <v>1.67</v>
      </c>
      <c r="K1119">
        <v>3086.04</v>
      </c>
      <c r="L1119" s="5">
        <v>46274</v>
      </c>
      <c r="M1119" t="s">
        <v>2572</v>
      </c>
      <c r="N1119" t="s">
        <v>207</v>
      </c>
      <c r="O1119" t="s">
        <v>2623</v>
      </c>
      <c r="P1119" t="s">
        <v>208</v>
      </c>
      <c r="Q1119" t="s">
        <v>209</v>
      </c>
    </row>
    <row r="1120" spans="1:17" x14ac:dyDescent="0.3">
      <c r="A1120" t="s">
        <v>2624</v>
      </c>
      <c r="C1120" t="s">
        <v>2625</v>
      </c>
      <c r="D1120" t="s">
        <v>2625</v>
      </c>
      <c r="E1120" s="5">
        <v>46272</v>
      </c>
      <c r="F1120" t="s">
        <v>204</v>
      </c>
      <c r="G1120" t="s">
        <v>220</v>
      </c>
      <c r="H1120">
        <v>799</v>
      </c>
      <c r="I1120">
        <v>0</v>
      </c>
      <c r="J1120">
        <v>0</v>
      </c>
      <c r="K1120">
        <v>799</v>
      </c>
      <c r="L1120" s="5">
        <v>46274</v>
      </c>
      <c r="M1120" t="s">
        <v>2572</v>
      </c>
      <c r="N1120" t="s">
        <v>207</v>
      </c>
      <c r="O1120" t="s">
        <v>2625</v>
      </c>
      <c r="P1120" t="s">
        <v>208</v>
      </c>
      <c r="Q1120" t="s">
        <v>209</v>
      </c>
    </row>
    <row r="1121" spans="1:17" x14ac:dyDescent="0.3">
      <c r="A1121" t="s">
        <v>2626</v>
      </c>
      <c r="C1121" t="s">
        <v>2627</v>
      </c>
      <c r="D1121" t="s">
        <v>2627</v>
      </c>
      <c r="E1121" s="5">
        <v>46272</v>
      </c>
      <c r="F1121" t="s">
        <v>204</v>
      </c>
      <c r="G1121" t="s">
        <v>220</v>
      </c>
      <c r="H1121">
        <v>349</v>
      </c>
      <c r="I1121">
        <v>0</v>
      </c>
      <c r="J1121">
        <v>0</v>
      </c>
      <c r="K1121">
        <v>349</v>
      </c>
      <c r="L1121" s="5">
        <v>46274</v>
      </c>
      <c r="M1121" t="s">
        <v>2572</v>
      </c>
      <c r="N1121" t="s">
        <v>207</v>
      </c>
      <c r="O1121" t="s">
        <v>2627</v>
      </c>
      <c r="P1121" t="s">
        <v>208</v>
      </c>
      <c r="Q1121" t="s">
        <v>209</v>
      </c>
    </row>
    <row r="1122" spans="1:17" x14ac:dyDescent="0.3">
      <c r="A1122" t="s">
        <v>2628</v>
      </c>
      <c r="C1122" t="s">
        <v>2629</v>
      </c>
      <c r="D1122" t="s">
        <v>2629</v>
      </c>
      <c r="E1122" s="5">
        <v>46272</v>
      </c>
      <c r="F1122" t="s">
        <v>204</v>
      </c>
      <c r="G1122" t="s">
        <v>205</v>
      </c>
      <c r="H1122">
        <v>599</v>
      </c>
      <c r="I1122">
        <v>11.38</v>
      </c>
      <c r="J1122">
        <v>2.0499999999999998</v>
      </c>
      <c r="K1122">
        <v>585.57000000000005</v>
      </c>
      <c r="L1122" s="5">
        <v>46274</v>
      </c>
      <c r="M1122" t="s">
        <v>2572</v>
      </c>
      <c r="N1122" t="s">
        <v>207</v>
      </c>
      <c r="O1122" t="s">
        <v>2629</v>
      </c>
      <c r="P1122" t="s">
        <v>208</v>
      </c>
      <c r="Q1122" t="s">
        <v>209</v>
      </c>
    </row>
    <row r="1123" spans="1:17" x14ac:dyDescent="0.3">
      <c r="A1123" t="s">
        <v>2630</v>
      </c>
      <c r="C1123" t="s">
        <v>2631</v>
      </c>
      <c r="D1123" t="s">
        <v>2632</v>
      </c>
      <c r="E1123" s="5">
        <v>46272</v>
      </c>
      <c r="F1123" t="s">
        <v>204</v>
      </c>
      <c r="G1123" t="s">
        <v>220</v>
      </c>
      <c r="H1123">
        <v>5498</v>
      </c>
      <c r="I1123">
        <v>16.489999999999998</v>
      </c>
      <c r="J1123">
        <v>2.97</v>
      </c>
      <c r="K1123">
        <v>5478.54</v>
      </c>
      <c r="L1123" s="5">
        <v>46274</v>
      </c>
      <c r="M1123" t="s">
        <v>2572</v>
      </c>
      <c r="N1123" t="s">
        <v>207</v>
      </c>
      <c r="O1123" t="s">
        <v>2632</v>
      </c>
      <c r="P1123" t="s">
        <v>208</v>
      </c>
      <c r="Q1123" t="s">
        <v>209</v>
      </c>
    </row>
    <row r="1124" spans="1:17" x14ac:dyDescent="0.3">
      <c r="A1124" t="s">
        <v>2633</v>
      </c>
      <c r="C1124" t="s">
        <v>2634</v>
      </c>
      <c r="D1124" t="s">
        <v>2634</v>
      </c>
      <c r="E1124" s="5">
        <v>46272</v>
      </c>
      <c r="F1124" t="s">
        <v>204</v>
      </c>
      <c r="G1124" t="s">
        <v>255</v>
      </c>
      <c r="H1124">
        <v>4999</v>
      </c>
      <c r="I1124">
        <v>59.99</v>
      </c>
      <c r="J1124">
        <v>10.8</v>
      </c>
      <c r="K1124">
        <v>4928.21</v>
      </c>
      <c r="L1124" s="5">
        <v>46274</v>
      </c>
      <c r="M1124" t="s">
        <v>2572</v>
      </c>
      <c r="N1124" t="s">
        <v>207</v>
      </c>
      <c r="O1124" t="s">
        <v>2634</v>
      </c>
      <c r="P1124" t="s">
        <v>208</v>
      </c>
      <c r="Q1124" t="s">
        <v>209</v>
      </c>
    </row>
    <row r="1125" spans="1:17" x14ac:dyDescent="0.3">
      <c r="A1125" t="s">
        <v>2635</v>
      </c>
      <c r="C1125" t="s">
        <v>2636</v>
      </c>
      <c r="D1125" t="s">
        <v>2636</v>
      </c>
      <c r="E1125" s="5">
        <v>46272</v>
      </c>
      <c r="F1125" t="s">
        <v>204</v>
      </c>
      <c r="G1125" t="s">
        <v>220</v>
      </c>
      <c r="H1125">
        <v>4999</v>
      </c>
      <c r="I1125">
        <v>15</v>
      </c>
      <c r="J1125">
        <v>2.7</v>
      </c>
      <c r="K1125">
        <v>4981.3</v>
      </c>
      <c r="L1125" s="5">
        <v>46274</v>
      </c>
      <c r="M1125" t="s">
        <v>2572</v>
      </c>
      <c r="N1125" t="s">
        <v>207</v>
      </c>
      <c r="O1125" t="s">
        <v>2636</v>
      </c>
      <c r="P1125" t="s">
        <v>208</v>
      </c>
      <c r="Q1125" t="s">
        <v>209</v>
      </c>
    </row>
    <row r="1126" spans="1:17" x14ac:dyDescent="0.3">
      <c r="A1126" t="s">
        <v>2637</v>
      </c>
      <c r="C1126" t="s">
        <v>2638</v>
      </c>
      <c r="D1126" t="s">
        <v>2638</v>
      </c>
      <c r="E1126" s="5">
        <v>46272</v>
      </c>
      <c r="F1126" t="s">
        <v>204</v>
      </c>
      <c r="G1126" t="s">
        <v>213</v>
      </c>
      <c r="H1126">
        <v>349</v>
      </c>
      <c r="I1126">
        <v>6.28</v>
      </c>
      <c r="J1126">
        <v>1.1299999999999999</v>
      </c>
      <c r="K1126">
        <v>341.59</v>
      </c>
      <c r="L1126" s="5">
        <v>46274</v>
      </c>
      <c r="M1126" t="s">
        <v>2572</v>
      </c>
      <c r="N1126" t="s">
        <v>207</v>
      </c>
      <c r="O1126" t="s">
        <v>2638</v>
      </c>
      <c r="P1126" t="s">
        <v>208</v>
      </c>
      <c r="Q1126" t="s">
        <v>209</v>
      </c>
    </row>
    <row r="1127" spans="1:17" x14ac:dyDescent="0.3">
      <c r="A1127" t="s">
        <v>2639</v>
      </c>
      <c r="C1127" t="s">
        <v>2640</v>
      </c>
      <c r="D1127" t="s">
        <v>2640</v>
      </c>
      <c r="E1127" s="5">
        <v>46272</v>
      </c>
      <c r="F1127" t="s">
        <v>204</v>
      </c>
      <c r="G1127" t="s">
        <v>220</v>
      </c>
      <c r="H1127">
        <v>4999</v>
      </c>
      <c r="I1127">
        <v>15</v>
      </c>
      <c r="J1127">
        <v>2.7</v>
      </c>
      <c r="K1127">
        <v>4981.3</v>
      </c>
      <c r="L1127" s="5">
        <v>46274</v>
      </c>
      <c r="M1127" t="s">
        <v>2572</v>
      </c>
      <c r="N1127" t="s">
        <v>207</v>
      </c>
      <c r="O1127" t="s">
        <v>2640</v>
      </c>
      <c r="P1127" t="s">
        <v>208</v>
      </c>
      <c r="Q1127" t="s">
        <v>209</v>
      </c>
    </row>
    <row r="1128" spans="1:17" x14ac:dyDescent="0.3">
      <c r="A1128" t="s">
        <v>2641</v>
      </c>
      <c r="C1128" t="s">
        <v>2642</v>
      </c>
      <c r="D1128" t="s">
        <v>2642</v>
      </c>
      <c r="E1128" s="5">
        <v>46272</v>
      </c>
      <c r="F1128" t="s">
        <v>204</v>
      </c>
      <c r="G1128" t="s">
        <v>213</v>
      </c>
      <c r="H1128">
        <v>799</v>
      </c>
      <c r="I1128">
        <v>14.38</v>
      </c>
      <c r="J1128">
        <v>2.59</v>
      </c>
      <c r="K1128">
        <v>782.03</v>
      </c>
      <c r="L1128" s="5">
        <v>46274</v>
      </c>
      <c r="M1128" t="s">
        <v>2572</v>
      </c>
      <c r="N1128" t="s">
        <v>207</v>
      </c>
      <c r="O1128" t="s">
        <v>2642</v>
      </c>
      <c r="P1128" t="s">
        <v>208</v>
      </c>
      <c r="Q1128" t="s">
        <v>209</v>
      </c>
    </row>
    <row r="1129" spans="1:17" x14ac:dyDescent="0.3">
      <c r="A1129" t="s">
        <v>2643</v>
      </c>
      <c r="C1129" t="s">
        <v>2644</v>
      </c>
      <c r="D1129" t="s">
        <v>2644</v>
      </c>
      <c r="E1129" s="5">
        <v>46272</v>
      </c>
      <c r="F1129" t="s">
        <v>204</v>
      </c>
      <c r="G1129" t="s">
        <v>213</v>
      </c>
      <c r="H1129">
        <v>4798</v>
      </c>
      <c r="I1129">
        <v>76.77</v>
      </c>
      <c r="J1129">
        <v>13.82</v>
      </c>
      <c r="K1129">
        <v>4707.41</v>
      </c>
      <c r="L1129" s="5">
        <v>46274</v>
      </c>
      <c r="M1129" t="s">
        <v>2572</v>
      </c>
      <c r="N1129" t="s">
        <v>207</v>
      </c>
      <c r="O1129" t="s">
        <v>2644</v>
      </c>
      <c r="P1129" t="s">
        <v>208</v>
      </c>
      <c r="Q1129" t="s">
        <v>209</v>
      </c>
    </row>
    <row r="1130" spans="1:17" x14ac:dyDescent="0.3">
      <c r="A1130" t="s">
        <v>2645</v>
      </c>
      <c r="C1130" t="s">
        <v>2646</v>
      </c>
      <c r="D1130" t="s">
        <v>2647</v>
      </c>
      <c r="E1130" s="5">
        <v>46272</v>
      </c>
      <c r="F1130" t="s">
        <v>204</v>
      </c>
      <c r="G1130" t="s">
        <v>220</v>
      </c>
      <c r="H1130">
        <v>599</v>
      </c>
      <c r="I1130">
        <v>0</v>
      </c>
      <c r="J1130">
        <v>0</v>
      </c>
      <c r="K1130">
        <v>599</v>
      </c>
      <c r="L1130" s="5">
        <v>46274</v>
      </c>
      <c r="M1130" t="s">
        <v>2572</v>
      </c>
      <c r="N1130" t="s">
        <v>207</v>
      </c>
      <c r="O1130" t="s">
        <v>2647</v>
      </c>
      <c r="P1130" t="s">
        <v>208</v>
      </c>
      <c r="Q1130" t="s">
        <v>209</v>
      </c>
    </row>
    <row r="1131" spans="1:17" x14ac:dyDescent="0.3">
      <c r="A1131" t="s">
        <v>2648</v>
      </c>
      <c r="C1131" t="s">
        <v>2649</v>
      </c>
      <c r="D1131" t="s">
        <v>2650</v>
      </c>
      <c r="E1131" s="5">
        <v>46272</v>
      </c>
      <c r="F1131" t="s">
        <v>204</v>
      </c>
      <c r="G1131" t="s">
        <v>213</v>
      </c>
      <c r="H1131">
        <v>10997</v>
      </c>
      <c r="I1131">
        <v>175.95</v>
      </c>
      <c r="J1131">
        <v>31.67</v>
      </c>
      <c r="K1131">
        <v>10789.38</v>
      </c>
      <c r="L1131" s="5">
        <v>46274</v>
      </c>
      <c r="M1131" t="s">
        <v>2572</v>
      </c>
      <c r="N1131" t="s">
        <v>207</v>
      </c>
      <c r="O1131" t="s">
        <v>2650</v>
      </c>
      <c r="P1131" t="s">
        <v>208</v>
      </c>
      <c r="Q1131" t="s">
        <v>209</v>
      </c>
    </row>
    <row r="1132" spans="1:17" x14ac:dyDescent="0.3">
      <c r="A1132" t="s">
        <v>2651</v>
      </c>
      <c r="C1132" t="s">
        <v>2652</v>
      </c>
      <c r="D1132" t="s">
        <v>2653</v>
      </c>
      <c r="E1132" s="5">
        <v>46272</v>
      </c>
      <c r="F1132" t="s">
        <v>204</v>
      </c>
      <c r="G1132" t="s">
        <v>255</v>
      </c>
      <c r="H1132">
        <v>499</v>
      </c>
      <c r="I1132">
        <v>7.49</v>
      </c>
      <c r="J1132">
        <v>1.35</v>
      </c>
      <c r="K1132">
        <v>490.16</v>
      </c>
      <c r="L1132" s="5">
        <v>46274</v>
      </c>
      <c r="M1132" t="s">
        <v>2572</v>
      </c>
      <c r="N1132" t="s">
        <v>207</v>
      </c>
      <c r="O1132" t="s">
        <v>2653</v>
      </c>
      <c r="P1132" t="s">
        <v>208</v>
      </c>
      <c r="Q1132" t="s">
        <v>209</v>
      </c>
    </row>
    <row r="1133" spans="1:17" x14ac:dyDescent="0.3">
      <c r="A1133" t="s">
        <v>2654</v>
      </c>
      <c r="C1133" t="s">
        <v>2655</v>
      </c>
      <c r="D1133" t="s">
        <v>2655</v>
      </c>
      <c r="E1133" s="5">
        <v>46272</v>
      </c>
      <c r="F1133" t="s">
        <v>204</v>
      </c>
      <c r="G1133" t="s">
        <v>255</v>
      </c>
      <c r="H1133">
        <v>3798</v>
      </c>
      <c r="I1133">
        <v>45.58</v>
      </c>
      <c r="J1133">
        <v>8.1999999999999993</v>
      </c>
      <c r="K1133">
        <v>3744.22</v>
      </c>
      <c r="L1133" s="5">
        <v>46274</v>
      </c>
      <c r="M1133" t="s">
        <v>2572</v>
      </c>
      <c r="N1133" t="s">
        <v>207</v>
      </c>
      <c r="O1133" t="s">
        <v>2655</v>
      </c>
      <c r="P1133" t="s">
        <v>208</v>
      </c>
      <c r="Q1133" t="s">
        <v>209</v>
      </c>
    </row>
    <row r="1134" spans="1:17" x14ac:dyDescent="0.3">
      <c r="A1134" t="s">
        <v>2656</v>
      </c>
      <c r="C1134" t="s">
        <v>2657</v>
      </c>
      <c r="D1134" t="s">
        <v>2657</v>
      </c>
      <c r="E1134" s="5">
        <v>46272</v>
      </c>
      <c r="F1134" t="s">
        <v>204</v>
      </c>
      <c r="G1134" t="s">
        <v>220</v>
      </c>
      <c r="H1134">
        <v>2598</v>
      </c>
      <c r="I1134">
        <v>7.79</v>
      </c>
      <c r="J1134">
        <v>1.4</v>
      </c>
      <c r="K1134">
        <v>2588.81</v>
      </c>
      <c r="L1134" s="5">
        <v>46274</v>
      </c>
      <c r="M1134" t="s">
        <v>2572</v>
      </c>
      <c r="N1134" t="s">
        <v>207</v>
      </c>
      <c r="O1134" t="s">
        <v>2657</v>
      </c>
      <c r="P1134" t="s">
        <v>208</v>
      </c>
      <c r="Q1134" t="s">
        <v>209</v>
      </c>
    </row>
    <row r="1135" spans="1:17" x14ac:dyDescent="0.3">
      <c r="A1135" t="s">
        <v>2658</v>
      </c>
      <c r="C1135" t="s">
        <v>2659</v>
      </c>
      <c r="D1135" t="s">
        <v>2659</v>
      </c>
      <c r="E1135" s="5">
        <v>46272</v>
      </c>
      <c r="F1135" t="s">
        <v>204</v>
      </c>
      <c r="G1135" t="s">
        <v>213</v>
      </c>
      <c r="H1135">
        <v>7097</v>
      </c>
      <c r="I1135">
        <v>113.55</v>
      </c>
      <c r="J1135">
        <v>20.440000000000001</v>
      </c>
      <c r="K1135">
        <v>6963.01</v>
      </c>
      <c r="L1135" s="5">
        <v>46274</v>
      </c>
      <c r="M1135" t="s">
        <v>2572</v>
      </c>
      <c r="N1135" t="s">
        <v>207</v>
      </c>
      <c r="O1135" t="s">
        <v>2659</v>
      </c>
      <c r="P1135" t="s">
        <v>208</v>
      </c>
      <c r="Q1135" t="s">
        <v>209</v>
      </c>
    </row>
    <row r="1136" spans="1:17" x14ac:dyDescent="0.3">
      <c r="A1136" t="s">
        <v>2660</v>
      </c>
      <c r="C1136" t="s">
        <v>2661</v>
      </c>
      <c r="D1136" t="s">
        <v>2662</v>
      </c>
      <c r="E1136" s="5">
        <v>46272</v>
      </c>
      <c r="F1136" t="s">
        <v>204</v>
      </c>
      <c r="G1136" t="s">
        <v>220</v>
      </c>
      <c r="H1136">
        <v>799</v>
      </c>
      <c r="I1136">
        <v>0</v>
      </c>
      <c r="J1136">
        <v>0</v>
      </c>
      <c r="K1136">
        <v>799</v>
      </c>
      <c r="L1136" s="5">
        <v>46274</v>
      </c>
      <c r="M1136" t="s">
        <v>2572</v>
      </c>
      <c r="N1136" t="s">
        <v>207</v>
      </c>
      <c r="O1136" t="s">
        <v>2662</v>
      </c>
      <c r="P1136" t="s">
        <v>208</v>
      </c>
      <c r="Q1136" t="s">
        <v>209</v>
      </c>
    </row>
    <row r="1137" spans="1:17" x14ac:dyDescent="0.3">
      <c r="A1137" t="s">
        <v>2663</v>
      </c>
      <c r="C1137" t="s">
        <v>2664</v>
      </c>
      <c r="D1137" t="s">
        <v>2664</v>
      </c>
      <c r="E1137" s="5">
        <v>46272</v>
      </c>
      <c r="F1137" t="s">
        <v>204</v>
      </c>
      <c r="G1137" t="s">
        <v>220</v>
      </c>
      <c r="H1137">
        <v>299</v>
      </c>
      <c r="I1137">
        <v>0</v>
      </c>
      <c r="J1137">
        <v>0</v>
      </c>
      <c r="K1137">
        <v>299</v>
      </c>
      <c r="L1137" s="5">
        <v>46274</v>
      </c>
      <c r="M1137" t="s">
        <v>2572</v>
      </c>
      <c r="N1137" t="s">
        <v>207</v>
      </c>
      <c r="O1137" t="s">
        <v>2664</v>
      </c>
      <c r="P1137" t="s">
        <v>208</v>
      </c>
      <c r="Q1137" t="s">
        <v>209</v>
      </c>
    </row>
    <row r="1138" spans="1:17" x14ac:dyDescent="0.3">
      <c r="A1138" t="s">
        <v>2665</v>
      </c>
      <c r="C1138" t="s">
        <v>2666</v>
      </c>
      <c r="D1138" t="s">
        <v>2666</v>
      </c>
      <c r="E1138" s="5">
        <v>46272</v>
      </c>
      <c r="F1138" t="s">
        <v>204</v>
      </c>
      <c r="G1138" t="s">
        <v>213</v>
      </c>
      <c r="H1138">
        <v>8498</v>
      </c>
      <c r="I1138">
        <v>135.97</v>
      </c>
      <c r="J1138">
        <v>24.47</v>
      </c>
      <c r="K1138">
        <v>8337.56</v>
      </c>
      <c r="L1138" s="5">
        <v>46274</v>
      </c>
      <c r="M1138" t="s">
        <v>2572</v>
      </c>
      <c r="N1138" t="s">
        <v>207</v>
      </c>
      <c r="O1138" t="s">
        <v>2666</v>
      </c>
      <c r="P1138" t="s">
        <v>208</v>
      </c>
      <c r="Q1138" t="s">
        <v>209</v>
      </c>
    </row>
    <row r="1139" spans="1:17" x14ac:dyDescent="0.3">
      <c r="A1139" t="s">
        <v>2667</v>
      </c>
      <c r="C1139" t="s">
        <v>2668</v>
      </c>
      <c r="D1139" t="s">
        <v>2668</v>
      </c>
      <c r="E1139" s="5">
        <v>46272</v>
      </c>
      <c r="F1139" t="s">
        <v>204</v>
      </c>
      <c r="G1139" t="s">
        <v>213</v>
      </c>
      <c r="H1139">
        <v>3798</v>
      </c>
      <c r="I1139">
        <v>60.77</v>
      </c>
      <c r="J1139">
        <v>10.94</v>
      </c>
      <c r="K1139">
        <v>3726.29</v>
      </c>
      <c r="L1139" s="5">
        <v>46274</v>
      </c>
      <c r="M1139" t="s">
        <v>2572</v>
      </c>
      <c r="N1139" t="s">
        <v>207</v>
      </c>
      <c r="O1139" t="s">
        <v>2668</v>
      </c>
      <c r="P1139" t="s">
        <v>208</v>
      </c>
      <c r="Q1139" t="s">
        <v>209</v>
      </c>
    </row>
    <row r="1140" spans="1:17" x14ac:dyDescent="0.3">
      <c r="A1140" t="s">
        <v>2669</v>
      </c>
      <c r="C1140" t="s">
        <v>2670</v>
      </c>
      <c r="D1140" t="s">
        <v>2670</v>
      </c>
      <c r="E1140" s="5">
        <v>46272</v>
      </c>
      <c r="F1140" t="s">
        <v>204</v>
      </c>
      <c r="G1140" t="s">
        <v>213</v>
      </c>
      <c r="H1140">
        <v>1449</v>
      </c>
      <c r="I1140">
        <v>26.08</v>
      </c>
      <c r="J1140">
        <v>4.6900000000000004</v>
      </c>
      <c r="K1140">
        <v>1418.23</v>
      </c>
      <c r="L1140" s="5">
        <v>46274</v>
      </c>
      <c r="M1140" t="s">
        <v>2572</v>
      </c>
      <c r="N1140" t="s">
        <v>207</v>
      </c>
      <c r="O1140" t="s">
        <v>2670</v>
      </c>
      <c r="P1140" t="s">
        <v>208</v>
      </c>
      <c r="Q1140" t="s">
        <v>209</v>
      </c>
    </row>
    <row r="1141" spans="1:17" x14ac:dyDescent="0.3">
      <c r="A1141" t="s">
        <v>2671</v>
      </c>
      <c r="C1141" t="s">
        <v>2672</v>
      </c>
      <c r="D1141" t="s">
        <v>2672</v>
      </c>
      <c r="E1141" s="5">
        <v>46272</v>
      </c>
      <c r="F1141" t="s">
        <v>204</v>
      </c>
      <c r="G1141" t="s">
        <v>205</v>
      </c>
      <c r="H1141">
        <v>1499</v>
      </c>
      <c r="I1141">
        <v>28.48</v>
      </c>
      <c r="J1141">
        <v>5.13</v>
      </c>
      <c r="K1141">
        <v>1465.39</v>
      </c>
      <c r="L1141" s="5">
        <v>46274</v>
      </c>
      <c r="M1141" t="s">
        <v>2572</v>
      </c>
      <c r="N1141" t="s">
        <v>207</v>
      </c>
      <c r="O1141" t="s">
        <v>2672</v>
      </c>
      <c r="P1141" t="s">
        <v>208</v>
      </c>
      <c r="Q1141" t="s">
        <v>209</v>
      </c>
    </row>
    <row r="1142" spans="1:17" x14ac:dyDescent="0.3">
      <c r="A1142" t="s">
        <v>2673</v>
      </c>
      <c r="C1142" t="s">
        <v>2674</v>
      </c>
      <c r="D1142" t="s">
        <v>2675</v>
      </c>
      <c r="E1142" s="5">
        <v>46272</v>
      </c>
      <c r="F1142" t="s">
        <v>204</v>
      </c>
      <c r="G1142" t="s">
        <v>220</v>
      </c>
      <c r="H1142">
        <v>349</v>
      </c>
      <c r="I1142">
        <v>0</v>
      </c>
      <c r="J1142">
        <v>0</v>
      </c>
      <c r="K1142">
        <v>349</v>
      </c>
      <c r="L1142" s="5">
        <v>46274</v>
      </c>
      <c r="M1142" t="s">
        <v>2572</v>
      </c>
      <c r="N1142" t="s">
        <v>207</v>
      </c>
      <c r="O1142" t="s">
        <v>2675</v>
      </c>
      <c r="P1142" t="s">
        <v>208</v>
      </c>
      <c r="Q1142" t="s">
        <v>209</v>
      </c>
    </row>
    <row r="1143" spans="1:17" x14ac:dyDescent="0.3">
      <c r="A1143" t="s">
        <v>2676</v>
      </c>
      <c r="C1143" t="s">
        <v>2677</v>
      </c>
      <c r="D1143" t="s">
        <v>2677</v>
      </c>
      <c r="E1143" s="5">
        <v>46272</v>
      </c>
      <c r="F1143" t="s">
        <v>204</v>
      </c>
      <c r="G1143" t="s">
        <v>205</v>
      </c>
      <c r="H1143">
        <v>2247</v>
      </c>
      <c r="I1143">
        <v>53.93</v>
      </c>
      <c r="J1143">
        <v>9.7100000000000009</v>
      </c>
      <c r="K1143">
        <v>2183.36</v>
      </c>
      <c r="L1143" s="5">
        <v>46274</v>
      </c>
      <c r="M1143" t="s">
        <v>2572</v>
      </c>
      <c r="N1143" t="s">
        <v>207</v>
      </c>
      <c r="O1143" t="s">
        <v>2677</v>
      </c>
      <c r="P1143" t="s">
        <v>208</v>
      </c>
      <c r="Q1143" t="s">
        <v>209</v>
      </c>
    </row>
    <row r="1144" spans="1:17" x14ac:dyDescent="0.3">
      <c r="A1144" t="s">
        <v>2678</v>
      </c>
      <c r="C1144" t="s">
        <v>2679</v>
      </c>
      <c r="D1144" t="s">
        <v>2679</v>
      </c>
      <c r="E1144" s="5">
        <v>46272</v>
      </c>
      <c r="F1144" t="s">
        <v>204</v>
      </c>
      <c r="G1144" t="s">
        <v>220</v>
      </c>
      <c r="H1144">
        <v>1499</v>
      </c>
      <c r="I1144">
        <v>0</v>
      </c>
      <c r="J1144">
        <v>0</v>
      </c>
      <c r="K1144">
        <v>1499</v>
      </c>
      <c r="L1144" s="5">
        <v>46274</v>
      </c>
      <c r="M1144" t="s">
        <v>2572</v>
      </c>
      <c r="N1144" t="s">
        <v>207</v>
      </c>
      <c r="O1144" t="s">
        <v>2679</v>
      </c>
      <c r="P1144" t="s">
        <v>208</v>
      </c>
      <c r="Q1144" t="s">
        <v>209</v>
      </c>
    </row>
    <row r="1145" spans="1:17" x14ac:dyDescent="0.3">
      <c r="A1145" t="s">
        <v>2680</v>
      </c>
      <c r="C1145" t="s">
        <v>2681</v>
      </c>
      <c r="D1145" t="s">
        <v>2682</v>
      </c>
      <c r="E1145" s="5">
        <v>46272</v>
      </c>
      <c r="F1145" t="s">
        <v>204</v>
      </c>
      <c r="G1145" t="s">
        <v>220</v>
      </c>
      <c r="H1145">
        <v>11297</v>
      </c>
      <c r="I1145">
        <v>33.89</v>
      </c>
      <c r="J1145">
        <v>6.1</v>
      </c>
      <c r="K1145">
        <v>11257.01</v>
      </c>
      <c r="L1145" s="5">
        <v>46274</v>
      </c>
      <c r="M1145" t="s">
        <v>2572</v>
      </c>
      <c r="N1145" t="s">
        <v>207</v>
      </c>
      <c r="O1145" t="s">
        <v>2682</v>
      </c>
      <c r="P1145" t="s">
        <v>208</v>
      </c>
      <c r="Q1145" t="s">
        <v>209</v>
      </c>
    </row>
    <row r="1146" spans="1:17" x14ac:dyDescent="0.3">
      <c r="A1146" t="s">
        <v>2683</v>
      </c>
      <c r="C1146" t="s">
        <v>2684</v>
      </c>
      <c r="D1146" t="s">
        <v>2684</v>
      </c>
      <c r="E1146" s="5">
        <v>46272</v>
      </c>
      <c r="F1146" t="s">
        <v>204</v>
      </c>
      <c r="G1146" t="s">
        <v>220</v>
      </c>
      <c r="H1146">
        <v>10998</v>
      </c>
      <c r="I1146">
        <v>32.99</v>
      </c>
      <c r="J1146">
        <v>5.94</v>
      </c>
      <c r="K1146">
        <v>10959.07</v>
      </c>
      <c r="L1146" s="5">
        <v>46274</v>
      </c>
      <c r="M1146" t="s">
        <v>2572</v>
      </c>
      <c r="N1146" t="s">
        <v>207</v>
      </c>
      <c r="O1146" t="s">
        <v>2684</v>
      </c>
      <c r="P1146" t="s">
        <v>208</v>
      </c>
      <c r="Q1146" t="s">
        <v>209</v>
      </c>
    </row>
    <row r="1147" spans="1:17" x14ac:dyDescent="0.3">
      <c r="A1147" t="s">
        <v>2685</v>
      </c>
      <c r="C1147" t="s">
        <v>2686</v>
      </c>
      <c r="D1147" t="s">
        <v>2686</v>
      </c>
      <c r="E1147" s="5">
        <v>46272</v>
      </c>
      <c r="F1147" t="s">
        <v>204</v>
      </c>
      <c r="G1147" t="s">
        <v>220</v>
      </c>
      <c r="H1147">
        <v>1799</v>
      </c>
      <c r="I1147">
        <v>0</v>
      </c>
      <c r="J1147">
        <v>0</v>
      </c>
      <c r="K1147">
        <v>1799</v>
      </c>
      <c r="L1147" s="5">
        <v>46274</v>
      </c>
      <c r="M1147" t="s">
        <v>2572</v>
      </c>
      <c r="N1147" t="s">
        <v>207</v>
      </c>
      <c r="O1147" t="s">
        <v>2686</v>
      </c>
      <c r="P1147" t="s">
        <v>208</v>
      </c>
      <c r="Q1147" t="s">
        <v>209</v>
      </c>
    </row>
    <row r="1148" spans="1:17" x14ac:dyDescent="0.3">
      <c r="A1148" t="s">
        <v>2687</v>
      </c>
      <c r="C1148" t="s">
        <v>2688</v>
      </c>
      <c r="D1148" t="s">
        <v>2689</v>
      </c>
      <c r="E1148" s="5">
        <v>46272</v>
      </c>
      <c r="F1148" t="s">
        <v>204</v>
      </c>
      <c r="G1148" t="s">
        <v>220</v>
      </c>
      <c r="H1148">
        <v>8798</v>
      </c>
      <c r="I1148">
        <v>26.39</v>
      </c>
      <c r="J1148">
        <v>4.75</v>
      </c>
      <c r="K1148">
        <v>8766.86</v>
      </c>
      <c r="L1148" s="5">
        <v>46274</v>
      </c>
      <c r="M1148" t="s">
        <v>2572</v>
      </c>
      <c r="N1148" t="s">
        <v>207</v>
      </c>
      <c r="O1148" t="s">
        <v>2689</v>
      </c>
      <c r="P1148" t="s">
        <v>208</v>
      </c>
      <c r="Q1148" t="s">
        <v>209</v>
      </c>
    </row>
    <row r="1149" spans="1:17" x14ac:dyDescent="0.3">
      <c r="A1149" t="s">
        <v>2690</v>
      </c>
      <c r="C1149" t="s">
        <v>2691</v>
      </c>
      <c r="D1149" t="s">
        <v>2691</v>
      </c>
      <c r="E1149" s="5">
        <v>46272</v>
      </c>
      <c r="F1149" t="s">
        <v>204</v>
      </c>
      <c r="G1149" t="s">
        <v>220</v>
      </c>
      <c r="H1149">
        <v>3098</v>
      </c>
      <c r="I1149">
        <v>9.2899999999999991</v>
      </c>
      <c r="J1149">
        <v>1.67</v>
      </c>
      <c r="K1149">
        <v>3087.04</v>
      </c>
      <c r="L1149" s="5">
        <v>46274</v>
      </c>
      <c r="M1149" t="s">
        <v>2572</v>
      </c>
      <c r="N1149" t="s">
        <v>207</v>
      </c>
      <c r="O1149" t="s">
        <v>2691</v>
      </c>
      <c r="P1149" t="s">
        <v>208</v>
      </c>
      <c r="Q1149" t="s">
        <v>209</v>
      </c>
    </row>
    <row r="1150" spans="1:17" x14ac:dyDescent="0.3">
      <c r="A1150" t="s">
        <v>2692</v>
      </c>
      <c r="C1150" t="s">
        <v>2693</v>
      </c>
      <c r="D1150" t="s">
        <v>2694</v>
      </c>
      <c r="E1150" s="5">
        <v>46272</v>
      </c>
      <c r="F1150" t="s">
        <v>204</v>
      </c>
      <c r="G1150" t="s">
        <v>220</v>
      </c>
      <c r="H1150">
        <v>2499</v>
      </c>
      <c r="I1150">
        <v>7.5</v>
      </c>
      <c r="J1150">
        <v>1.35</v>
      </c>
      <c r="K1150">
        <v>2490.15</v>
      </c>
      <c r="L1150" s="5">
        <v>46274</v>
      </c>
      <c r="M1150" t="s">
        <v>2572</v>
      </c>
      <c r="N1150" t="s">
        <v>207</v>
      </c>
      <c r="O1150" t="s">
        <v>2694</v>
      </c>
      <c r="P1150" t="s">
        <v>208</v>
      </c>
      <c r="Q1150" t="s">
        <v>209</v>
      </c>
    </row>
    <row r="1151" spans="1:17" x14ac:dyDescent="0.3">
      <c r="A1151" t="s">
        <v>2695</v>
      </c>
      <c r="C1151" t="s">
        <v>2696</v>
      </c>
      <c r="D1151" t="s">
        <v>2696</v>
      </c>
      <c r="E1151" s="5">
        <v>46272</v>
      </c>
      <c r="F1151" t="s">
        <v>204</v>
      </c>
      <c r="G1151" t="s">
        <v>220</v>
      </c>
      <c r="H1151">
        <v>2298</v>
      </c>
      <c r="I1151">
        <v>6.89</v>
      </c>
      <c r="J1151">
        <v>1.24</v>
      </c>
      <c r="K1151">
        <v>2289.87</v>
      </c>
      <c r="L1151" s="5">
        <v>46274</v>
      </c>
      <c r="M1151" t="s">
        <v>2572</v>
      </c>
      <c r="N1151" t="s">
        <v>207</v>
      </c>
      <c r="O1151" t="s">
        <v>2696</v>
      </c>
      <c r="P1151" t="s">
        <v>208</v>
      </c>
      <c r="Q1151" t="s">
        <v>209</v>
      </c>
    </row>
    <row r="1152" spans="1:17" x14ac:dyDescent="0.3">
      <c r="A1152" t="s">
        <v>2697</v>
      </c>
      <c r="C1152" t="s">
        <v>2698</v>
      </c>
      <c r="D1152" t="s">
        <v>2699</v>
      </c>
      <c r="E1152" s="5">
        <v>46272</v>
      </c>
      <c r="F1152" t="s">
        <v>204</v>
      </c>
      <c r="G1152" t="s">
        <v>220</v>
      </c>
      <c r="H1152">
        <v>999</v>
      </c>
      <c r="I1152">
        <v>0</v>
      </c>
      <c r="J1152">
        <v>0</v>
      </c>
      <c r="K1152">
        <v>999</v>
      </c>
      <c r="L1152" s="5">
        <v>46274</v>
      </c>
      <c r="M1152" t="s">
        <v>2572</v>
      </c>
      <c r="N1152" t="s">
        <v>207</v>
      </c>
      <c r="O1152" t="s">
        <v>2699</v>
      </c>
      <c r="P1152" t="s">
        <v>208</v>
      </c>
      <c r="Q1152" t="s">
        <v>209</v>
      </c>
    </row>
    <row r="1153" spans="1:17" x14ac:dyDescent="0.3">
      <c r="A1153" t="s">
        <v>2700</v>
      </c>
      <c r="C1153" t="s">
        <v>2701</v>
      </c>
      <c r="D1153" t="s">
        <v>2701</v>
      </c>
      <c r="E1153" s="5">
        <v>46272</v>
      </c>
      <c r="F1153" t="s">
        <v>204</v>
      </c>
      <c r="G1153" t="s">
        <v>220</v>
      </c>
      <c r="H1153">
        <v>1348</v>
      </c>
      <c r="I1153">
        <v>0</v>
      </c>
      <c r="J1153">
        <v>0</v>
      </c>
      <c r="K1153">
        <v>1348</v>
      </c>
      <c r="L1153" s="5">
        <v>46274</v>
      </c>
      <c r="M1153" t="s">
        <v>2572</v>
      </c>
      <c r="N1153" t="s">
        <v>207</v>
      </c>
      <c r="O1153" t="s">
        <v>2701</v>
      </c>
      <c r="P1153" t="s">
        <v>208</v>
      </c>
      <c r="Q1153" t="s">
        <v>209</v>
      </c>
    </row>
    <row r="1154" spans="1:17" x14ac:dyDescent="0.3">
      <c r="A1154" t="s">
        <v>2702</v>
      </c>
      <c r="C1154" t="s">
        <v>2703</v>
      </c>
      <c r="D1154" t="s">
        <v>2703</v>
      </c>
      <c r="E1154" s="5">
        <v>46272</v>
      </c>
      <c r="F1154" t="s">
        <v>204</v>
      </c>
      <c r="G1154" t="s">
        <v>220</v>
      </c>
      <c r="H1154">
        <v>1499</v>
      </c>
      <c r="I1154">
        <v>0</v>
      </c>
      <c r="J1154">
        <v>0</v>
      </c>
      <c r="K1154">
        <v>1499</v>
      </c>
      <c r="L1154" s="5">
        <v>46274</v>
      </c>
      <c r="M1154" t="s">
        <v>2572</v>
      </c>
      <c r="N1154" t="s">
        <v>207</v>
      </c>
      <c r="O1154" t="s">
        <v>2703</v>
      </c>
      <c r="P1154" t="s">
        <v>208</v>
      </c>
      <c r="Q1154" t="s">
        <v>209</v>
      </c>
    </row>
    <row r="1155" spans="1:17" x14ac:dyDescent="0.3">
      <c r="A1155" t="s">
        <v>2704</v>
      </c>
      <c r="C1155" t="s">
        <v>2705</v>
      </c>
      <c r="D1155" t="s">
        <v>2705</v>
      </c>
      <c r="E1155" s="5">
        <v>46272</v>
      </c>
      <c r="F1155" t="s">
        <v>204</v>
      </c>
      <c r="G1155" t="s">
        <v>220</v>
      </c>
      <c r="H1155">
        <v>798</v>
      </c>
      <c r="I1155">
        <v>0</v>
      </c>
      <c r="J1155">
        <v>0</v>
      </c>
      <c r="K1155">
        <v>798</v>
      </c>
      <c r="L1155" s="5">
        <v>46274</v>
      </c>
      <c r="M1155" t="s">
        <v>2572</v>
      </c>
      <c r="N1155" t="s">
        <v>207</v>
      </c>
      <c r="O1155" t="s">
        <v>2705</v>
      </c>
      <c r="P1155" t="s">
        <v>208</v>
      </c>
      <c r="Q1155" t="s">
        <v>209</v>
      </c>
    </row>
    <row r="1156" spans="1:17" x14ac:dyDescent="0.3">
      <c r="A1156" t="s">
        <v>2706</v>
      </c>
      <c r="C1156" t="s">
        <v>2707</v>
      </c>
      <c r="D1156" t="s">
        <v>2707</v>
      </c>
      <c r="E1156" s="5">
        <v>46272</v>
      </c>
      <c r="F1156" t="s">
        <v>204</v>
      </c>
      <c r="G1156" t="s">
        <v>213</v>
      </c>
      <c r="H1156">
        <v>2598</v>
      </c>
      <c r="I1156">
        <v>41.57</v>
      </c>
      <c r="J1156">
        <v>7.48</v>
      </c>
      <c r="K1156">
        <v>2548.9499999999998</v>
      </c>
      <c r="L1156" s="5">
        <v>46274</v>
      </c>
      <c r="M1156" t="s">
        <v>2572</v>
      </c>
      <c r="N1156" t="s">
        <v>207</v>
      </c>
      <c r="O1156" t="s">
        <v>2707</v>
      </c>
      <c r="P1156" t="s">
        <v>208</v>
      </c>
      <c r="Q1156" t="s">
        <v>209</v>
      </c>
    </row>
    <row r="1157" spans="1:17" x14ac:dyDescent="0.3">
      <c r="A1157" t="s">
        <v>2708</v>
      </c>
      <c r="C1157" t="s">
        <v>2709</v>
      </c>
      <c r="D1157" t="s">
        <v>2710</v>
      </c>
      <c r="E1157" s="5">
        <v>46272</v>
      </c>
      <c r="F1157" t="s">
        <v>204</v>
      </c>
      <c r="G1157" t="s">
        <v>220</v>
      </c>
      <c r="H1157">
        <v>1299</v>
      </c>
      <c r="I1157">
        <v>0</v>
      </c>
      <c r="J1157">
        <v>0</v>
      </c>
      <c r="K1157">
        <v>1299</v>
      </c>
      <c r="L1157" s="5">
        <v>46274</v>
      </c>
      <c r="M1157" t="s">
        <v>2572</v>
      </c>
      <c r="N1157" t="s">
        <v>207</v>
      </c>
      <c r="O1157" t="s">
        <v>2710</v>
      </c>
      <c r="P1157" t="s">
        <v>208</v>
      </c>
      <c r="Q1157" t="s">
        <v>209</v>
      </c>
    </row>
    <row r="1158" spans="1:17" x14ac:dyDescent="0.3">
      <c r="A1158" t="s">
        <v>2711</v>
      </c>
      <c r="C1158" t="s">
        <v>2712</v>
      </c>
      <c r="D1158" t="s">
        <v>2712</v>
      </c>
      <c r="E1158" s="5">
        <v>46272</v>
      </c>
      <c r="F1158" t="s">
        <v>204</v>
      </c>
      <c r="G1158" t="s">
        <v>205</v>
      </c>
      <c r="H1158">
        <v>349</v>
      </c>
      <c r="I1158">
        <v>6.63</v>
      </c>
      <c r="J1158">
        <v>1.19</v>
      </c>
      <c r="K1158">
        <v>341.18</v>
      </c>
      <c r="L1158" s="5">
        <v>46274</v>
      </c>
      <c r="M1158" t="s">
        <v>2572</v>
      </c>
      <c r="N1158" t="s">
        <v>207</v>
      </c>
      <c r="O1158" t="s">
        <v>2712</v>
      </c>
      <c r="P1158" t="s">
        <v>208</v>
      </c>
      <c r="Q1158" t="s">
        <v>209</v>
      </c>
    </row>
    <row r="1159" spans="1:17" x14ac:dyDescent="0.3">
      <c r="A1159" t="s">
        <v>2713</v>
      </c>
      <c r="C1159" t="s">
        <v>2714</v>
      </c>
      <c r="D1159" t="s">
        <v>2715</v>
      </c>
      <c r="E1159" s="5">
        <v>46272</v>
      </c>
      <c r="F1159" t="s">
        <v>204</v>
      </c>
      <c r="G1159" t="s">
        <v>205</v>
      </c>
      <c r="H1159">
        <v>5498</v>
      </c>
      <c r="I1159">
        <v>93.47</v>
      </c>
      <c r="J1159">
        <v>16.82</v>
      </c>
      <c r="K1159">
        <v>5387.71</v>
      </c>
      <c r="L1159" s="5">
        <v>46274</v>
      </c>
      <c r="M1159" t="s">
        <v>2572</v>
      </c>
      <c r="N1159" t="s">
        <v>207</v>
      </c>
      <c r="O1159" t="s">
        <v>2715</v>
      </c>
      <c r="P1159" t="s">
        <v>208</v>
      </c>
      <c r="Q1159" t="s">
        <v>209</v>
      </c>
    </row>
    <row r="1160" spans="1:17" x14ac:dyDescent="0.3">
      <c r="A1160" t="s">
        <v>2716</v>
      </c>
      <c r="C1160" t="s">
        <v>2717</v>
      </c>
      <c r="D1160" t="s">
        <v>2717</v>
      </c>
      <c r="E1160" s="5">
        <v>46272</v>
      </c>
      <c r="F1160" t="s">
        <v>204</v>
      </c>
      <c r="G1160" t="s">
        <v>255</v>
      </c>
      <c r="H1160">
        <v>349</v>
      </c>
      <c r="I1160">
        <v>5.24</v>
      </c>
      <c r="J1160">
        <v>0.94</v>
      </c>
      <c r="K1160">
        <v>342.82</v>
      </c>
      <c r="L1160" s="5">
        <v>46274</v>
      </c>
      <c r="M1160" t="s">
        <v>2572</v>
      </c>
      <c r="N1160" t="s">
        <v>207</v>
      </c>
      <c r="O1160" t="s">
        <v>2717</v>
      </c>
      <c r="P1160" t="s">
        <v>208</v>
      </c>
      <c r="Q1160" t="s">
        <v>209</v>
      </c>
    </row>
    <row r="1161" spans="1:17" x14ac:dyDescent="0.3">
      <c r="A1161" t="s">
        <v>2718</v>
      </c>
      <c r="C1161" t="s">
        <v>2719</v>
      </c>
      <c r="D1161" t="s">
        <v>2719</v>
      </c>
      <c r="E1161" s="5">
        <v>46272</v>
      </c>
      <c r="F1161" t="s">
        <v>204</v>
      </c>
      <c r="G1161" t="s">
        <v>255</v>
      </c>
      <c r="H1161">
        <v>4798</v>
      </c>
      <c r="I1161">
        <v>57.58</v>
      </c>
      <c r="J1161">
        <v>10.36</v>
      </c>
      <c r="K1161">
        <v>4730.0600000000004</v>
      </c>
      <c r="L1161" s="5">
        <v>46274</v>
      </c>
      <c r="M1161" t="s">
        <v>2572</v>
      </c>
      <c r="N1161" t="s">
        <v>207</v>
      </c>
      <c r="O1161" t="s">
        <v>2719</v>
      </c>
      <c r="P1161" t="s">
        <v>208</v>
      </c>
      <c r="Q1161" t="s">
        <v>209</v>
      </c>
    </row>
    <row r="1162" spans="1:17" x14ac:dyDescent="0.3">
      <c r="A1162" t="s">
        <v>2720</v>
      </c>
      <c r="C1162" t="s">
        <v>2721</v>
      </c>
      <c r="D1162" t="s">
        <v>2722</v>
      </c>
      <c r="E1162" s="5">
        <v>46272</v>
      </c>
      <c r="F1162" t="s">
        <v>204</v>
      </c>
      <c r="G1162" t="s">
        <v>213</v>
      </c>
      <c r="H1162">
        <v>4298</v>
      </c>
      <c r="I1162">
        <v>68.77</v>
      </c>
      <c r="J1162">
        <v>12.38</v>
      </c>
      <c r="K1162">
        <v>4216.8500000000004</v>
      </c>
      <c r="L1162" s="5">
        <v>46274</v>
      </c>
      <c r="M1162" t="s">
        <v>2572</v>
      </c>
      <c r="N1162" t="s">
        <v>207</v>
      </c>
      <c r="O1162" t="s">
        <v>2722</v>
      </c>
      <c r="P1162" t="s">
        <v>208</v>
      </c>
      <c r="Q1162" t="s">
        <v>209</v>
      </c>
    </row>
    <row r="1163" spans="1:17" x14ac:dyDescent="0.3">
      <c r="A1163" t="s">
        <v>2723</v>
      </c>
      <c r="C1163" t="s">
        <v>2724</v>
      </c>
      <c r="D1163" t="s">
        <v>2724</v>
      </c>
      <c r="E1163" s="5">
        <v>46272</v>
      </c>
      <c r="F1163" t="s">
        <v>204</v>
      </c>
      <c r="G1163" t="s">
        <v>220</v>
      </c>
      <c r="H1163">
        <v>349</v>
      </c>
      <c r="I1163">
        <v>0</v>
      </c>
      <c r="J1163">
        <v>0</v>
      </c>
      <c r="K1163">
        <v>349</v>
      </c>
      <c r="L1163" s="5">
        <v>46274</v>
      </c>
      <c r="M1163" t="s">
        <v>2572</v>
      </c>
      <c r="N1163" t="s">
        <v>207</v>
      </c>
      <c r="O1163" t="s">
        <v>2724</v>
      </c>
      <c r="P1163" t="s">
        <v>208</v>
      </c>
      <c r="Q1163" t="s">
        <v>209</v>
      </c>
    </row>
    <row r="1164" spans="1:17" x14ac:dyDescent="0.3">
      <c r="A1164" t="s">
        <v>2725</v>
      </c>
      <c r="C1164" t="s">
        <v>2726</v>
      </c>
      <c r="D1164" t="s">
        <v>2726</v>
      </c>
      <c r="E1164" s="5">
        <v>46272</v>
      </c>
      <c r="F1164" t="s">
        <v>204</v>
      </c>
      <c r="G1164" t="s">
        <v>213</v>
      </c>
      <c r="H1164">
        <v>3947</v>
      </c>
      <c r="I1164">
        <v>63.15</v>
      </c>
      <c r="J1164">
        <v>11.37</v>
      </c>
      <c r="K1164">
        <v>3872.48</v>
      </c>
      <c r="L1164" s="5">
        <v>46274</v>
      </c>
      <c r="M1164" t="s">
        <v>2572</v>
      </c>
      <c r="N1164" t="s">
        <v>207</v>
      </c>
      <c r="O1164" t="s">
        <v>2726</v>
      </c>
      <c r="P1164" t="s">
        <v>208</v>
      </c>
      <c r="Q1164" t="s">
        <v>209</v>
      </c>
    </row>
    <row r="1165" spans="1:17" x14ac:dyDescent="0.3">
      <c r="A1165" t="s">
        <v>2727</v>
      </c>
      <c r="C1165" t="s">
        <v>2728</v>
      </c>
      <c r="D1165" t="s">
        <v>2728</v>
      </c>
      <c r="E1165" s="5">
        <v>46272</v>
      </c>
      <c r="F1165" t="s">
        <v>204</v>
      </c>
      <c r="G1165" t="s">
        <v>220</v>
      </c>
      <c r="H1165">
        <v>3097</v>
      </c>
      <c r="I1165">
        <v>9.2899999999999991</v>
      </c>
      <c r="J1165">
        <v>1.67</v>
      </c>
      <c r="K1165">
        <v>3086.04</v>
      </c>
      <c r="L1165" s="5">
        <v>46274</v>
      </c>
      <c r="M1165" t="s">
        <v>2572</v>
      </c>
      <c r="N1165" t="s">
        <v>207</v>
      </c>
      <c r="O1165" t="s">
        <v>2728</v>
      </c>
      <c r="P1165" t="s">
        <v>208</v>
      </c>
      <c r="Q1165" t="s">
        <v>209</v>
      </c>
    </row>
    <row r="1166" spans="1:17" x14ac:dyDescent="0.3">
      <c r="A1166" t="s">
        <v>2729</v>
      </c>
      <c r="C1166" t="s">
        <v>2730</v>
      </c>
      <c r="D1166" t="s">
        <v>2730</v>
      </c>
      <c r="E1166" s="5">
        <v>46272</v>
      </c>
      <c r="F1166" t="s">
        <v>204</v>
      </c>
      <c r="G1166" t="s">
        <v>255</v>
      </c>
      <c r="H1166">
        <v>999</v>
      </c>
      <c r="I1166">
        <v>14.99</v>
      </c>
      <c r="J1166">
        <v>2.7</v>
      </c>
      <c r="K1166">
        <v>981.31</v>
      </c>
      <c r="L1166" s="5">
        <v>46274</v>
      </c>
      <c r="M1166" t="s">
        <v>2572</v>
      </c>
      <c r="N1166" t="s">
        <v>207</v>
      </c>
      <c r="O1166" t="s">
        <v>2730</v>
      </c>
      <c r="P1166" t="s">
        <v>208</v>
      </c>
      <c r="Q1166" t="s">
        <v>209</v>
      </c>
    </row>
    <row r="1167" spans="1:17" x14ac:dyDescent="0.3">
      <c r="A1167" t="s">
        <v>2731</v>
      </c>
      <c r="C1167" t="s">
        <v>2732</v>
      </c>
      <c r="D1167" t="s">
        <v>2732</v>
      </c>
      <c r="E1167" s="5">
        <v>46272</v>
      </c>
      <c r="F1167" t="s">
        <v>204</v>
      </c>
      <c r="G1167" t="s">
        <v>255</v>
      </c>
      <c r="H1167">
        <v>1598</v>
      </c>
      <c r="I1167">
        <v>23.97</v>
      </c>
      <c r="J1167">
        <v>4.3099999999999996</v>
      </c>
      <c r="K1167">
        <v>1569.72</v>
      </c>
      <c r="L1167" s="5">
        <v>46274</v>
      </c>
      <c r="M1167" t="s">
        <v>2572</v>
      </c>
      <c r="N1167" t="s">
        <v>207</v>
      </c>
      <c r="O1167" t="s">
        <v>2732</v>
      </c>
      <c r="P1167" t="s">
        <v>208</v>
      </c>
      <c r="Q1167" t="s">
        <v>209</v>
      </c>
    </row>
    <row r="1168" spans="1:17" x14ac:dyDescent="0.3">
      <c r="A1168" t="s">
        <v>2733</v>
      </c>
      <c r="C1168" t="s">
        <v>2734</v>
      </c>
      <c r="D1168" t="s">
        <v>2734</v>
      </c>
      <c r="E1168" s="5">
        <v>46272</v>
      </c>
      <c r="F1168" t="s">
        <v>204</v>
      </c>
      <c r="G1168" t="s">
        <v>220</v>
      </c>
      <c r="H1168">
        <v>16797</v>
      </c>
      <c r="I1168">
        <v>50.39</v>
      </c>
      <c r="J1168">
        <v>9.07</v>
      </c>
      <c r="K1168">
        <v>16737.54</v>
      </c>
      <c r="L1168" s="5">
        <v>46274</v>
      </c>
      <c r="M1168" t="s">
        <v>2572</v>
      </c>
      <c r="N1168" t="s">
        <v>207</v>
      </c>
      <c r="O1168" t="s">
        <v>2734</v>
      </c>
      <c r="P1168" t="s">
        <v>208</v>
      </c>
      <c r="Q1168" t="s">
        <v>209</v>
      </c>
    </row>
    <row r="1169" spans="1:17" x14ac:dyDescent="0.3">
      <c r="A1169" t="s">
        <v>2735</v>
      </c>
      <c r="C1169" t="s">
        <v>2736</v>
      </c>
      <c r="D1169" t="s">
        <v>2736</v>
      </c>
      <c r="E1169" s="5">
        <v>46272</v>
      </c>
      <c r="F1169" t="s">
        <v>204</v>
      </c>
      <c r="G1169" t="s">
        <v>213</v>
      </c>
      <c r="H1169">
        <v>12297</v>
      </c>
      <c r="I1169">
        <v>196.75</v>
      </c>
      <c r="J1169">
        <v>35.42</v>
      </c>
      <c r="K1169">
        <v>12064.83</v>
      </c>
      <c r="L1169" s="5">
        <v>46274</v>
      </c>
      <c r="M1169" t="s">
        <v>2572</v>
      </c>
      <c r="N1169" t="s">
        <v>207</v>
      </c>
      <c r="O1169" t="s">
        <v>2736</v>
      </c>
      <c r="P1169" t="s">
        <v>208</v>
      </c>
      <c r="Q1169" t="s">
        <v>209</v>
      </c>
    </row>
    <row r="1170" spans="1:17" x14ac:dyDescent="0.3">
      <c r="A1170" t="s">
        <v>2737</v>
      </c>
      <c r="C1170" t="s">
        <v>2738</v>
      </c>
      <c r="D1170" t="s">
        <v>2739</v>
      </c>
      <c r="E1170" s="5">
        <v>46272</v>
      </c>
      <c r="F1170" t="s">
        <v>204</v>
      </c>
      <c r="G1170" t="s">
        <v>213</v>
      </c>
      <c r="H1170">
        <v>1799</v>
      </c>
      <c r="I1170">
        <v>32.380000000000003</v>
      </c>
      <c r="J1170">
        <v>5.83</v>
      </c>
      <c r="K1170">
        <v>1760.79</v>
      </c>
      <c r="L1170" s="5">
        <v>46274</v>
      </c>
      <c r="M1170" t="s">
        <v>2572</v>
      </c>
      <c r="N1170" t="s">
        <v>207</v>
      </c>
      <c r="O1170" t="s">
        <v>2739</v>
      </c>
      <c r="P1170" t="s">
        <v>208</v>
      </c>
      <c r="Q1170" t="s">
        <v>209</v>
      </c>
    </row>
    <row r="1171" spans="1:17" x14ac:dyDescent="0.3">
      <c r="A1171" t="s">
        <v>2740</v>
      </c>
      <c r="C1171" t="s">
        <v>2741</v>
      </c>
      <c r="D1171" t="s">
        <v>2741</v>
      </c>
      <c r="E1171" s="5">
        <v>46272</v>
      </c>
      <c r="F1171" t="s">
        <v>204</v>
      </c>
      <c r="G1171" t="s">
        <v>220</v>
      </c>
      <c r="H1171">
        <v>4999</v>
      </c>
      <c r="I1171">
        <v>15</v>
      </c>
      <c r="J1171">
        <v>2.7</v>
      </c>
      <c r="K1171">
        <v>4981.3</v>
      </c>
      <c r="L1171" s="5">
        <v>46274</v>
      </c>
      <c r="M1171" t="s">
        <v>2572</v>
      </c>
      <c r="N1171" t="s">
        <v>207</v>
      </c>
      <c r="O1171" t="s">
        <v>2741</v>
      </c>
      <c r="P1171" t="s">
        <v>208</v>
      </c>
      <c r="Q1171" t="s">
        <v>209</v>
      </c>
    </row>
    <row r="1172" spans="1:17" x14ac:dyDescent="0.3">
      <c r="A1172" t="s">
        <v>2742</v>
      </c>
      <c r="C1172" t="s">
        <v>2743</v>
      </c>
      <c r="D1172" t="s">
        <v>2743</v>
      </c>
      <c r="E1172" s="5">
        <v>46272</v>
      </c>
      <c r="F1172" t="s">
        <v>204</v>
      </c>
      <c r="G1172" t="s">
        <v>255</v>
      </c>
      <c r="H1172">
        <v>349</v>
      </c>
      <c r="I1172">
        <v>5.24</v>
      </c>
      <c r="J1172">
        <v>0.94</v>
      </c>
      <c r="K1172">
        <v>342.82</v>
      </c>
      <c r="L1172" s="5">
        <v>46274</v>
      </c>
      <c r="M1172" t="s">
        <v>2572</v>
      </c>
      <c r="N1172" t="s">
        <v>207</v>
      </c>
      <c r="O1172" t="s">
        <v>2743</v>
      </c>
      <c r="P1172" t="s">
        <v>208</v>
      </c>
      <c r="Q1172" t="s">
        <v>209</v>
      </c>
    </row>
    <row r="1173" spans="1:17" x14ac:dyDescent="0.3">
      <c r="A1173" t="s">
        <v>2744</v>
      </c>
      <c r="C1173" t="s">
        <v>2745</v>
      </c>
      <c r="D1173" t="s">
        <v>2746</v>
      </c>
      <c r="E1173" s="5">
        <v>46272</v>
      </c>
      <c r="F1173" t="s">
        <v>204</v>
      </c>
      <c r="G1173" t="s">
        <v>213</v>
      </c>
      <c r="H1173">
        <v>1799</v>
      </c>
      <c r="I1173">
        <v>32.380000000000003</v>
      </c>
      <c r="J1173">
        <v>5.83</v>
      </c>
      <c r="K1173">
        <v>1760.79</v>
      </c>
      <c r="L1173" s="5">
        <v>46274</v>
      </c>
      <c r="M1173" t="s">
        <v>2572</v>
      </c>
      <c r="N1173" t="s">
        <v>207</v>
      </c>
      <c r="O1173" t="s">
        <v>2746</v>
      </c>
      <c r="P1173" t="s">
        <v>208</v>
      </c>
      <c r="Q1173" t="s">
        <v>209</v>
      </c>
    </row>
    <row r="1174" spans="1:17" x14ac:dyDescent="0.3">
      <c r="A1174" t="s">
        <v>2747</v>
      </c>
      <c r="C1174" t="s">
        <v>2748</v>
      </c>
      <c r="D1174" t="s">
        <v>2748</v>
      </c>
      <c r="E1174" s="5">
        <v>46272</v>
      </c>
      <c r="F1174" t="s">
        <v>204</v>
      </c>
      <c r="G1174" t="s">
        <v>205</v>
      </c>
      <c r="H1174">
        <v>349</v>
      </c>
      <c r="I1174">
        <v>6.63</v>
      </c>
      <c r="J1174">
        <v>1.19</v>
      </c>
      <c r="K1174">
        <v>341.18</v>
      </c>
      <c r="L1174" s="5">
        <v>46274</v>
      </c>
      <c r="M1174" t="s">
        <v>2572</v>
      </c>
      <c r="N1174" t="s">
        <v>207</v>
      </c>
      <c r="O1174" t="s">
        <v>2748</v>
      </c>
      <c r="P1174" t="s">
        <v>208</v>
      </c>
      <c r="Q1174" t="s">
        <v>209</v>
      </c>
    </row>
    <row r="1175" spans="1:17" x14ac:dyDescent="0.3">
      <c r="A1175" t="s">
        <v>2749</v>
      </c>
      <c r="C1175" t="s">
        <v>2750</v>
      </c>
      <c r="D1175" t="s">
        <v>2750</v>
      </c>
      <c r="E1175" s="5">
        <v>46272</v>
      </c>
      <c r="F1175" t="s">
        <v>204</v>
      </c>
      <c r="G1175" t="s">
        <v>220</v>
      </c>
      <c r="H1175">
        <v>2098</v>
      </c>
      <c r="I1175">
        <v>6.29</v>
      </c>
      <c r="J1175">
        <v>1.1299999999999999</v>
      </c>
      <c r="K1175">
        <v>2090.58</v>
      </c>
      <c r="L1175" s="5">
        <v>46274</v>
      </c>
      <c r="M1175" t="s">
        <v>2572</v>
      </c>
      <c r="N1175" t="s">
        <v>207</v>
      </c>
      <c r="O1175" t="s">
        <v>2750</v>
      </c>
      <c r="P1175" t="s">
        <v>208</v>
      </c>
      <c r="Q1175" t="s">
        <v>209</v>
      </c>
    </row>
    <row r="1176" spans="1:17" x14ac:dyDescent="0.3">
      <c r="A1176" t="s">
        <v>2751</v>
      </c>
      <c r="C1176" t="s">
        <v>2752</v>
      </c>
      <c r="D1176" t="s">
        <v>2752</v>
      </c>
      <c r="E1176" s="5">
        <v>46272</v>
      </c>
      <c r="F1176" t="s">
        <v>204</v>
      </c>
      <c r="G1176" t="s">
        <v>213</v>
      </c>
      <c r="H1176">
        <v>2999</v>
      </c>
      <c r="I1176">
        <v>47.98</v>
      </c>
      <c r="J1176">
        <v>8.64</v>
      </c>
      <c r="K1176">
        <v>2942.38</v>
      </c>
      <c r="L1176" s="5">
        <v>46274</v>
      </c>
      <c r="M1176" t="s">
        <v>2572</v>
      </c>
      <c r="N1176" t="s">
        <v>207</v>
      </c>
      <c r="O1176" t="s">
        <v>2752</v>
      </c>
      <c r="P1176" t="s">
        <v>208</v>
      </c>
      <c r="Q1176" t="s">
        <v>209</v>
      </c>
    </row>
    <row r="1177" spans="1:17" x14ac:dyDescent="0.3">
      <c r="A1177" t="s">
        <v>2753</v>
      </c>
      <c r="C1177" t="s">
        <v>2754</v>
      </c>
      <c r="D1177" t="s">
        <v>2755</v>
      </c>
      <c r="E1177" s="5">
        <v>46272</v>
      </c>
      <c r="F1177" t="s">
        <v>204</v>
      </c>
      <c r="G1177" t="s">
        <v>205</v>
      </c>
      <c r="H1177">
        <v>799</v>
      </c>
      <c r="I1177">
        <v>15.18</v>
      </c>
      <c r="J1177">
        <v>2.73</v>
      </c>
      <c r="K1177">
        <v>781.09</v>
      </c>
      <c r="L1177" s="5">
        <v>46274</v>
      </c>
      <c r="M1177" t="s">
        <v>2572</v>
      </c>
      <c r="N1177" t="s">
        <v>207</v>
      </c>
      <c r="O1177" t="s">
        <v>2755</v>
      </c>
      <c r="P1177" t="s">
        <v>208</v>
      </c>
      <c r="Q1177" t="s">
        <v>209</v>
      </c>
    </row>
    <row r="1178" spans="1:17" x14ac:dyDescent="0.3">
      <c r="A1178" t="s">
        <v>2756</v>
      </c>
      <c r="C1178" t="s">
        <v>2757</v>
      </c>
      <c r="D1178" t="s">
        <v>2757</v>
      </c>
      <c r="E1178" s="5">
        <v>46272</v>
      </c>
      <c r="F1178" t="s">
        <v>204</v>
      </c>
      <c r="G1178" t="s">
        <v>213</v>
      </c>
      <c r="H1178">
        <v>5348</v>
      </c>
      <c r="I1178">
        <v>85.57</v>
      </c>
      <c r="J1178">
        <v>15.4</v>
      </c>
      <c r="K1178">
        <v>5247.03</v>
      </c>
      <c r="L1178" s="5">
        <v>46274</v>
      </c>
      <c r="M1178" t="s">
        <v>2572</v>
      </c>
      <c r="N1178" t="s">
        <v>207</v>
      </c>
      <c r="O1178" t="s">
        <v>2757</v>
      </c>
      <c r="P1178" t="s">
        <v>208</v>
      </c>
      <c r="Q1178" t="s">
        <v>209</v>
      </c>
    </row>
    <row r="1179" spans="1:17" x14ac:dyDescent="0.3">
      <c r="A1179" t="s">
        <v>2758</v>
      </c>
      <c r="C1179" t="s">
        <v>2759</v>
      </c>
      <c r="D1179" t="s">
        <v>2759</v>
      </c>
      <c r="E1179" s="5">
        <v>46272</v>
      </c>
      <c r="F1179" t="s">
        <v>204</v>
      </c>
      <c r="G1179" t="s">
        <v>220</v>
      </c>
      <c r="H1179">
        <v>1498</v>
      </c>
      <c r="I1179">
        <v>0</v>
      </c>
      <c r="J1179">
        <v>0</v>
      </c>
      <c r="K1179">
        <v>1498</v>
      </c>
      <c r="L1179" s="5">
        <v>46274</v>
      </c>
      <c r="M1179" t="s">
        <v>2572</v>
      </c>
      <c r="N1179" t="s">
        <v>207</v>
      </c>
      <c r="O1179" t="s">
        <v>2759</v>
      </c>
      <c r="P1179" t="s">
        <v>208</v>
      </c>
      <c r="Q1179" t="s">
        <v>209</v>
      </c>
    </row>
    <row r="1180" spans="1:17" x14ac:dyDescent="0.3">
      <c r="A1180" t="s">
        <v>2760</v>
      </c>
      <c r="C1180" t="s">
        <v>2761</v>
      </c>
      <c r="D1180" t="s">
        <v>2761</v>
      </c>
      <c r="E1180" s="5">
        <v>46272</v>
      </c>
      <c r="F1180" t="s">
        <v>204</v>
      </c>
      <c r="G1180" t="s">
        <v>205</v>
      </c>
      <c r="H1180">
        <v>4999</v>
      </c>
      <c r="I1180">
        <v>84.98</v>
      </c>
      <c r="J1180">
        <v>15.3</v>
      </c>
      <c r="K1180">
        <v>4898.72</v>
      </c>
      <c r="L1180" s="5">
        <v>46274</v>
      </c>
      <c r="M1180" t="s">
        <v>2572</v>
      </c>
      <c r="N1180" t="s">
        <v>207</v>
      </c>
      <c r="O1180" t="s">
        <v>2761</v>
      </c>
      <c r="P1180" t="s">
        <v>208</v>
      </c>
      <c r="Q1180" t="s">
        <v>209</v>
      </c>
    </row>
    <row r="1181" spans="1:17" x14ac:dyDescent="0.3">
      <c r="A1181" t="s">
        <v>2762</v>
      </c>
      <c r="C1181" t="s">
        <v>2763</v>
      </c>
      <c r="D1181" t="s">
        <v>2763</v>
      </c>
      <c r="E1181" s="5">
        <v>46272</v>
      </c>
      <c r="F1181" t="s">
        <v>204</v>
      </c>
      <c r="G1181" t="s">
        <v>220</v>
      </c>
      <c r="H1181">
        <v>8297</v>
      </c>
      <c r="I1181">
        <v>24.89</v>
      </c>
      <c r="J1181">
        <v>4.4800000000000004</v>
      </c>
      <c r="K1181">
        <v>8267.6299999999992</v>
      </c>
      <c r="L1181" s="5">
        <v>46274</v>
      </c>
      <c r="M1181" t="s">
        <v>2572</v>
      </c>
      <c r="N1181" t="s">
        <v>207</v>
      </c>
      <c r="O1181" t="s">
        <v>2763</v>
      </c>
      <c r="P1181" t="s">
        <v>208</v>
      </c>
      <c r="Q1181" t="s">
        <v>209</v>
      </c>
    </row>
    <row r="1182" spans="1:17" x14ac:dyDescent="0.3">
      <c r="A1182" t="s">
        <v>2764</v>
      </c>
      <c r="C1182" t="s">
        <v>2765</v>
      </c>
      <c r="D1182" t="s">
        <v>2765</v>
      </c>
      <c r="E1182" s="5">
        <v>46272</v>
      </c>
      <c r="F1182" t="s">
        <v>204</v>
      </c>
      <c r="G1182" t="s">
        <v>213</v>
      </c>
      <c r="H1182">
        <v>599</v>
      </c>
      <c r="I1182">
        <v>10.78</v>
      </c>
      <c r="J1182">
        <v>1.94</v>
      </c>
      <c r="K1182">
        <v>586.28</v>
      </c>
      <c r="L1182" s="5">
        <v>46274</v>
      </c>
      <c r="M1182" t="s">
        <v>2572</v>
      </c>
      <c r="N1182" t="s">
        <v>207</v>
      </c>
      <c r="O1182" t="s">
        <v>2765</v>
      </c>
      <c r="P1182" t="s">
        <v>208</v>
      </c>
      <c r="Q1182" t="s">
        <v>209</v>
      </c>
    </row>
    <row r="1183" spans="1:17" x14ac:dyDescent="0.3">
      <c r="A1183" t="s">
        <v>2766</v>
      </c>
      <c r="C1183" t="s">
        <v>2767</v>
      </c>
      <c r="D1183" t="s">
        <v>2767</v>
      </c>
      <c r="E1183" s="5">
        <v>46272</v>
      </c>
      <c r="F1183" t="s">
        <v>204</v>
      </c>
      <c r="G1183" t="s">
        <v>220</v>
      </c>
      <c r="H1183">
        <v>599</v>
      </c>
      <c r="I1183">
        <v>0</v>
      </c>
      <c r="J1183">
        <v>0</v>
      </c>
      <c r="K1183">
        <v>599</v>
      </c>
      <c r="L1183" s="5">
        <v>46274</v>
      </c>
      <c r="M1183" t="s">
        <v>2572</v>
      </c>
      <c r="N1183" t="s">
        <v>207</v>
      </c>
      <c r="O1183" t="s">
        <v>2767</v>
      </c>
      <c r="P1183" t="s">
        <v>208</v>
      </c>
      <c r="Q1183" t="s">
        <v>209</v>
      </c>
    </row>
    <row r="1184" spans="1:17" x14ac:dyDescent="0.3">
      <c r="A1184" t="s">
        <v>2768</v>
      </c>
      <c r="C1184" t="s">
        <v>2769</v>
      </c>
      <c r="D1184" t="s">
        <v>2769</v>
      </c>
      <c r="E1184" s="5">
        <v>46272</v>
      </c>
      <c r="F1184" t="s">
        <v>204</v>
      </c>
      <c r="G1184" t="s">
        <v>213</v>
      </c>
      <c r="H1184">
        <v>1799</v>
      </c>
      <c r="I1184">
        <v>32.380000000000003</v>
      </c>
      <c r="J1184">
        <v>5.83</v>
      </c>
      <c r="K1184">
        <v>1760.79</v>
      </c>
      <c r="L1184" s="5">
        <v>46274</v>
      </c>
      <c r="M1184" t="s">
        <v>2572</v>
      </c>
      <c r="N1184" t="s">
        <v>207</v>
      </c>
      <c r="O1184" t="s">
        <v>2769</v>
      </c>
      <c r="P1184" t="s">
        <v>208</v>
      </c>
      <c r="Q1184" t="s">
        <v>209</v>
      </c>
    </row>
    <row r="1185" spans="1:17" x14ac:dyDescent="0.3">
      <c r="A1185" t="s">
        <v>2770</v>
      </c>
      <c r="C1185" t="s">
        <v>2771</v>
      </c>
      <c r="D1185" t="s">
        <v>2771</v>
      </c>
      <c r="E1185" s="5">
        <v>46272</v>
      </c>
      <c r="F1185" t="s">
        <v>204</v>
      </c>
      <c r="G1185" t="s">
        <v>220</v>
      </c>
      <c r="H1185">
        <v>599</v>
      </c>
      <c r="I1185">
        <v>0</v>
      </c>
      <c r="J1185">
        <v>0</v>
      </c>
      <c r="K1185">
        <v>599</v>
      </c>
      <c r="L1185" s="5">
        <v>46274</v>
      </c>
      <c r="M1185" t="s">
        <v>2572</v>
      </c>
      <c r="N1185" t="s">
        <v>207</v>
      </c>
      <c r="O1185" t="s">
        <v>2771</v>
      </c>
      <c r="P1185" t="s">
        <v>208</v>
      </c>
      <c r="Q1185" t="s">
        <v>209</v>
      </c>
    </row>
    <row r="1186" spans="1:17" x14ac:dyDescent="0.3">
      <c r="A1186" t="s">
        <v>2772</v>
      </c>
      <c r="C1186" t="s">
        <v>2773</v>
      </c>
      <c r="D1186" t="s">
        <v>2773</v>
      </c>
      <c r="E1186" s="5">
        <v>46272</v>
      </c>
      <c r="F1186" t="s">
        <v>204</v>
      </c>
      <c r="G1186" t="s">
        <v>205</v>
      </c>
      <c r="H1186">
        <v>4298</v>
      </c>
      <c r="I1186">
        <v>73.069999999999993</v>
      </c>
      <c r="J1186">
        <v>13.15</v>
      </c>
      <c r="K1186">
        <v>4211.78</v>
      </c>
      <c r="L1186" s="5">
        <v>46274</v>
      </c>
      <c r="M1186" t="s">
        <v>2572</v>
      </c>
      <c r="N1186" t="s">
        <v>207</v>
      </c>
      <c r="O1186" t="s">
        <v>2773</v>
      </c>
      <c r="P1186" t="s">
        <v>208</v>
      </c>
      <c r="Q1186" t="s">
        <v>209</v>
      </c>
    </row>
    <row r="1187" spans="1:17" x14ac:dyDescent="0.3">
      <c r="A1187" t="s">
        <v>2774</v>
      </c>
      <c r="C1187" t="s">
        <v>2775</v>
      </c>
      <c r="D1187" t="s">
        <v>2775</v>
      </c>
      <c r="E1187" s="5">
        <v>46272</v>
      </c>
      <c r="F1187" t="s">
        <v>204</v>
      </c>
      <c r="G1187" t="s">
        <v>213</v>
      </c>
      <c r="H1187">
        <v>2999</v>
      </c>
      <c r="I1187">
        <v>47.98</v>
      </c>
      <c r="J1187">
        <v>8.64</v>
      </c>
      <c r="K1187">
        <v>2942.38</v>
      </c>
      <c r="L1187" s="5">
        <v>46274</v>
      </c>
      <c r="M1187" t="s">
        <v>2572</v>
      </c>
      <c r="N1187" t="s">
        <v>207</v>
      </c>
      <c r="O1187" t="s">
        <v>2775</v>
      </c>
      <c r="P1187" t="s">
        <v>208</v>
      </c>
      <c r="Q1187" t="s">
        <v>209</v>
      </c>
    </row>
    <row r="1188" spans="1:17" x14ac:dyDescent="0.3">
      <c r="A1188" t="s">
        <v>2776</v>
      </c>
      <c r="C1188" t="s">
        <v>2777</v>
      </c>
      <c r="D1188" t="s">
        <v>2777</v>
      </c>
      <c r="E1188" s="5">
        <v>46272</v>
      </c>
      <c r="F1188" t="s">
        <v>204</v>
      </c>
      <c r="G1188" t="s">
        <v>220</v>
      </c>
      <c r="H1188">
        <v>7999</v>
      </c>
      <c r="I1188">
        <v>24</v>
      </c>
      <c r="J1188">
        <v>4.32</v>
      </c>
      <c r="K1188">
        <v>7970.68</v>
      </c>
      <c r="L1188" s="5">
        <v>46274</v>
      </c>
      <c r="M1188" t="s">
        <v>2572</v>
      </c>
      <c r="N1188" t="s">
        <v>207</v>
      </c>
      <c r="O1188" t="s">
        <v>2777</v>
      </c>
      <c r="P1188" t="s">
        <v>208</v>
      </c>
      <c r="Q1188" t="s">
        <v>209</v>
      </c>
    </row>
    <row r="1189" spans="1:17" x14ac:dyDescent="0.3">
      <c r="A1189" t="s">
        <v>2778</v>
      </c>
      <c r="C1189" t="s">
        <v>2779</v>
      </c>
      <c r="D1189" t="s">
        <v>2779</v>
      </c>
      <c r="E1189" s="5">
        <v>46272</v>
      </c>
      <c r="F1189" t="s">
        <v>204</v>
      </c>
      <c r="G1189" t="s">
        <v>213</v>
      </c>
      <c r="H1189">
        <v>2999</v>
      </c>
      <c r="I1189">
        <v>47.98</v>
      </c>
      <c r="J1189">
        <v>8.64</v>
      </c>
      <c r="K1189">
        <v>2942.38</v>
      </c>
      <c r="L1189" s="5">
        <v>46274</v>
      </c>
      <c r="M1189" t="s">
        <v>2572</v>
      </c>
      <c r="N1189" t="s">
        <v>207</v>
      </c>
      <c r="O1189" t="s">
        <v>2779</v>
      </c>
      <c r="P1189" t="s">
        <v>208</v>
      </c>
      <c r="Q1189" t="s">
        <v>209</v>
      </c>
    </row>
    <row r="1190" spans="1:17" x14ac:dyDescent="0.3">
      <c r="A1190" t="s">
        <v>2780</v>
      </c>
      <c r="C1190" t="s">
        <v>2781</v>
      </c>
      <c r="D1190" t="s">
        <v>2782</v>
      </c>
      <c r="E1190" s="5">
        <v>46272</v>
      </c>
      <c r="F1190" t="s">
        <v>204</v>
      </c>
      <c r="G1190" t="s">
        <v>220</v>
      </c>
      <c r="H1190">
        <v>3397</v>
      </c>
      <c r="I1190">
        <v>10.19</v>
      </c>
      <c r="J1190">
        <v>1.83</v>
      </c>
      <c r="K1190">
        <v>3384.98</v>
      </c>
      <c r="L1190" s="5">
        <v>46274</v>
      </c>
      <c r="M1190" t="s">
        <v>2572</v>
      </c>
      <c r="N1190" t="s">
        <v>207</v>
      </c>
      <c r="O1190" t="s">
        <v>2782</v>
      </c>
      <c r="P1190" t="s">
        <v>208</v>
      </c>
      <c r="Q1190" t="s">
        <v>209</v>
      </c>
    </row>
    <row r="1191" spans="1:17" x14ac:dyDescent="0.3">
      <c r="A1191" t="s">
        <v>2783</v>
      </c>
      <c r="C1191" t="s">
        <v>2784</v>
      </c>
      <c r="D1191" t="s">
        <v>2784</v>
      </c>
      <c r="E1191" s="5">
        <v>46272</v>
      </c>
      <c r="F1191" t="s">
        <v>204</v>
      </c>
      <c r="G1191" t="s">
        <v>220</v>
      </c>
      <c r="H1191">
        <v>6298</v>
      </c>
      <c r="I1191">
        <v>18.89</v>
      </c>
      <c r="J1191">
        <v>3.4</v>
      </c>
      <c r="K1191">
        <v>6275.71</v>
      </c>
      <c r="L1191" s="5">
        <v>46274</v>
      </c>
      <c r="M1191" t="s">
        <v>2572</v>
      </c>
      <c r="N1191" t="s">
        <v>207</v>
      </c>
      <c r="O1191" t="s">
        <v>2784</v>
      </c>
      <c r="P1191" t="s">
        <v>208</v>
      </c>
      <c r="Q1191" t="s">
        <v>209</v>
      </c>
    </row>
    <row r="1192" spans="1:17" x14ac:dyDescent="0.3">
      <c r="A1192" t="s">
        <v>2785</v>
      </c>
      <c r="C1192" t="s">
        <v>2786</v>
      </c>
      <c r="D1192" t="s">
        <v>2786</v>
      </c>
      <c r="E1192" s="5">
        <v>46272</v>
      </c>
      <c r="F1192" t="s">
        <v>204</v>
      </c>
      <c r="G1192" t="s">
        <v>213</v>
      </c>
      <c r="H1192">
        <v>599</v>
      </c>
      <c r="I1192">
        <v>10.78</v>
      </c>
      <c r="J1192">
        <v>1.94</v>
      </c>
      <c r="K1192">
        <v>586.28</v>
      </c>
      <c r="L1192" s="5">
        <v>46274</v>
      </c>
      <c r="M1192" t="s">
        <v>2572</v>
      </c>
      <c r="N1192" t="s">
        <v>207</v>
      </c>
      <c r="O1192" t="s">
        <v>2786</v>
      </c>
      <c r="P1192" t="s">
        <v>208</v>
      </c>
      <c r="Q1192" t="s">
        <v>209</v>
      </c>
    </row>
    <row r="1193" spans="1:17" x14ac:dyDescent="0.3">
      <c r="A1193" t="s">
        <v>2787</v>
      </c>
      <c r="C1193" t="s">
        <v>2788</v>
      </c>
      <c r="D1193" t="s">
        <v>2789</v>
      </c>
      <c r="E1193" s="5">
        <v>46272</v>
      </c>
      <c r="F1193" t="s">
        <v>204</v>
      </c>
      <c r="G1193" t="s">
        <v>220</v>
      </c>
      <c r="H1193">
        <v>599</v>
      </c>
      <c r="I1193">
        <v>0</v>
      </c>
      <c r="J1193">
        <v>0</v>
      </c>
      <c r="K1193">
        <v>599</v>
      </c>
      <c r="L1193" s="5">
        <v>46274</v>
      </c>
      <c r="M1193" t="s">
        <v>2572</v>
      </c>
      <c r="N1193" t="s">
        <v>207</v>
      </c>
      <c r="O1193" t="s">
        <v>2789</v>
      </c>
      <c r="P1193" t="s">
        <v>208</v>
      </c>
      <c r="Q1193" t="s">
        <v>209</v>
      </c>
    </row>
    <row r="1194" spans="1:17" x14ac:dyDescent="0.3">
      <c r="A1194" t="s">
        <v>2790</v>
      </c>
      <c r="C1194" t="s">
        <v>2791</v>
      </c>
      <c r="D1194" t="s">
        <v>2791</v>
      </c>
      <c r="E1194" s="5">
        <v>46272</v>
      </c>
      <c r="F1194" t="s">
        <v>204</v>
      </c>
      <c r="G1194" t="s">
        <v>220</v>
      </c>
      <c r="H1194">
        <v>1598</v>
      </c>
      <c r="I1194">
        <v>0</v>
      </c>
      <c r="J1194">
        <v>0</v>
      </c>
      <c r="K1194">
        <v>1598</v>
      </c>
      <c r="L1194" s="5">
        <v>46274</v>
      </c>
      <c r="M1194" t="s">
        <v>2572</v>
      </c>
      <c r="N1194" t="s">
        <v>207</v>
      </c>
      <c r="O1194" t="s">
        <v>2791</v>
      </c>
      <c r="P1194" t="s">
        <v>208</v>
      </c>
      <c r="Q1194" t="s">
        <v>209</v>
      </c>
    </row>
    <row r="1195" spans="1:17" x14ac:dyDescent="0.3">
      <c r="A1195" t="s">
        <v>2792</v>
      </c>
      <c r="C1195" t="s">
        <v>2793</v>
      </c>
      <c r="D1195" t="s">
        <v>2793</v>
      </c>
      <c r="E1195" s="5">
        <v>46272</v>
      </c>
      <c r="F1195" t="s">
        <v>204</v>
      </c>
      <c r="G1195" t="s">
        <v>220</v>
      </c>
      <c r="H1195">
        <v>8998</v>
      </c>
      <c r="I1195">
        <v>26.99</v>
      </c>
      <c r="J1195">
        <v>4.8600000000000003</v>
      </c>
      <c r="K1195">
        <v>8966.15</v>
      </c>
      <c r="L1195" s="5">
        <v>46274</v>
      </c>
      <c r="M1195" t="s">
        <v>2572</v>
      </c>
      <c r="N1195" t="s">
        <v>207</v>
      </c>
      <c r="O1195" t="s">
        <v>2793</v>
      </c>
      <c r="P1195" t="s">
        <v>208</v>
      </c>
      <c r="Q1195" t="s">
        <v>209</v>
      </c>
    </row>
    <row r="1196" spans="1:17" x14ac:dyDescent="0.3">
      <c r="A1196" t="s">
        <v>2794</v>
      </c>
      <c r="C1196" t="s">
        <v>2795</v>
      </c>
      <c r="D1196" t="s">
        <v>2795</v>
      </c>
      <c r="E1196" s="5">
        <v>46272</v>
      </c>
      <c r="F1196" t="s">
        <v>204</v>
      </c>
      <c r="G1196" t="s">
        <v>220</v>
      </c>
      <c r="H1196">
        <v>4798</v>
      </c>
      <c r="I1196">
        <v>14.39</v>
      </c>
      <c r="J1196">
        <v>2.59</v>
      </c>
      <c r="K1196">
        <v>4781.0200000000004</v>
      </c>
      <c r="L1196" s="5">
        <v>46274</v>
      </c>
      <c r="M1196" t="s">
        <v>2572</v>
      </c>
      <c r="N1196" t="s">
        <v>207</v>
      </c>
      <c r="O1196" t="s">
        <v>2795</v>
      </c>
      <c r="P1196" t="s">
        <v>208</v>
      </c>
      <c r="Q1196" t="s">
        <v>209</v>
      </c>
    </row>
    <row r="1197" spans="1:17" x14ac:dyDescent="0.3">
      <c r="A1197" t="s">
        <v>2796</v>
      </c>
      <c r="C1197" t="s">
        <v>2797</v>
      </c>
      <c r="D1197" t="s">
        <v>2797</v>
      </c>
      <c r="E1197" s="5">
        <v>46272</v>
      </c>
      <c r="F1197" t="s">
        <v>204</v>
      </c>
      <c r="G1197" t="s">
        <v>213</v>
      </c>
      <c r="H1197">
        <v>1798</v>
      </c>
      <c r="I1197">
        <v>32.36</v>
      </c>
      <c r="J1197">
        <v>5.82</v>
      </c>
      <c r="K1197">
        <v>1759.82</v>
      </c>
      <c r="L1197" s="5">
        <v>46274</v>
      </c>
      <c r="M1197" t="s">
        <v>2572</v>
      </c>
      <c r="N1197" t="s">
        <v>207</v>
      </c>
      <c r="O1197" t="s">
        <v>2797</v>
      </c>
      <c r="P1197" t="s">
        <v>208</v>
      </c>
      <c r="Q1197" t="s">
        <v>209</v>
      </c>
    </row>
    <row r="1198" spans="1:17" x14ac:dyDescent="0.3">
      <c r="A1198" t="s">
        <v>2798</v>
      </c>
      <c r="C1198" t="s">
        <v>2799</v>
      </c>
      <c r="D1198" t="s">
        <v>2799</v>
      </c>
      <c r="E1198" s="5">
        <v>46272</v>
      </c>
      <c r="F1198" t="s">
        <v>204</v>
      </c>
      <c r="G1198" t="s">
        <v>213</v>
      </c>
      <c r="H1198">
        <v>4999</v>
      </c>
      <c r="I1198">
        <v>79.98</v>
      </c>
      <c r="J1198">
        <v>14.4</v>
      </c>
      <c r="K1198">
        <v>4904.62</v>
      </c>
      <c r="L1198" s="5">
        <v>46274</v>
      </c>
      <c r="M1198" t="s">
        <v>2572</v>
      </c>
      <c r="N1198" t="s">
        <v>207</v>
      </c>
      <c r="O1198" t="s">
        <v>2799</v>
      </c>
      <c r="P1198" t="s">
        <v>208</v>
      </c>
      <c r="Q1198" t="s">
        <v>209</v>
      </c>
    </row>
    <row r="1199" spans="1:17" x14ac:dyDescent="0.3">
      <c r="A1199" t="s">
        <v>2800</v>
      </c>
      <c r="C1199" t="s">
        <v>2801</v>
      </c>
      <c r="D1199" t="s">
        <v>2801</v>
      </c>
      <c r="E1199" s="5">
        <v>46272</v>
      </c>
      <c r="F1199" t="s">
        <v>204</v>
      </c>
      <c r="G1199" t="s">
        <v>220</v>
      </c>
      <c r="H1199">
        <v>4999</v>
      </c>
      <c r="I1199">
        <v>15</v>
      </c>
      <c r="J1199">
        <v>2.7</v>
      </c>
      <c r="K1199">
        <v>4981.3</v>
      </c>
      <c r="L1199" s="5">
        <v>46274</v>
      </c>
      <c r="M1199" t="s">
        <v>2572</v>
      </c>
      <c r="N1199" t="s">
        <v>207</v>
      </c>
      <c r="O1199" t="s">
        <v>2801</v>
      </c>
      <c r="P1199" t="s">
        <v>208</v>
      </c>
      <c r="Q1199" t="s">
        <v>209</v>
      </c>
    </row>
    <row r="1200" spans="1:17" x14ac:dyDescent="0.3">
      <c r="A1200" t="s">
        <v>2802</v>
      </c>
      <c r="C1200" t="s">
        <v>2803</v>
      </c>
      <c r="D1200" t="s">
        <v>2803</v>
      </c>
      <c r="E1200" s="5">
        <v>46272</v>
      </c>
      <c r="F1200" t="s">
        <v>204</v>
      </c>
      <c r="G1200" t="s">
        <v>220</v>
      </c>
      <c r="H1200">
        <v>349</v>
      </c>
      <c r="I1200">
        <v>0</v>
      </c>
      <c r="J1200">
        <v>0</v>
      </c>
      <c r="K1200">
        <v>349</v>
      </c>
      <c r="L1200" s="5">
        <v>46274</v>
      </c>
      <c r="M1200" t="s">
        <v>2572</v>
      </c>
      <c r="N1200" t="s">
        <v>207</v>
      </c>
      <c r="O1200" t="s">
        <v>2803</v>
      </c>
      <c r="P1200" t="s">
        <v>208</v>
      </c>
      <c r="Q1200" t="s">
        <v>209</v>
      </c>
    </row>
    <row r="1201" spans="1:17" x14ac:dyDescent="0.3">
      <c r="A1201" t="s">
        <v>2804</v>
      </c>
      <c r="C1201" t="s">
        <v>2805</v>
      </c>
      <c r="D1201" t="s">
        <v>2806</v>
      </c>
      <c r="E1201" s="5">
        <v>46272</v>
      </c>
      <c r="F1201" t="s">
        <v>204</v>
      </c>
      <c r="G1201" t="s">
        <v>213</v>
      </c>
      <c r="H1201">
        <v>3499</v>
      </c>
      <c r="I1201">
        <v>55.98</v>
      </c>
      <c r="J1201">
        <v>10.08</v>
      </c>
      <c r="K1201">
        <v>3432.94</v>
      </c>
      <c r="L1201" s="5">
        <v>46274</v>
      </c>
      <c r="M1201" t="s">
        <v>2572</v>
      </c>
      <c r="N1201" t="s">
        <v>207</v>
      </c>
      <c r="O1201" t="s">
        <v>2806</v>
      </c>
      <c r="P1201" t="s">
        <v>208</v>
      </c>
      <c r="Q1201" t="s">
        <v>209</v>
      </c>
    </row>
    <row r="1202" spans="1:17" x14ac:dyDescent="0.3">
      <c r="A1202" t="s">
        <v>2807</v>
      </c>
      <c r="C1202" t="s">
        <v>2808</v>
      </c>
      <c r="D1202" t="s">
        <v>2808</v>
      </c>
      <c r="E1202" s="5">
        <v>46272</v>
      </c>
      <c r="F1202" t="s">
        <v>204</v>
      </c>
      <c r="G1202" t="s">
        <v>205</v>
      </c>
      <c r="H1202">
        <v>3098</v>
      </c>
      <c r="I1202">
        <v>52.67</v>
      </c>
      <c r="J1202">
        <v>9.48</v>
      </c>
      <c r="K1202">
        <v>3035.85</v>
      </c>
      <c r="L1202" s="5">
        <v>46274</v>
      </c>
      <c r="M1202" t="s">
        <v>2572</v>
      </c>
      <c r="N1202" t="s">
        <v>207</v>
      </c>
      <c r="O1202" t="s">
        <v>2808</v>
      </c>
      <c r="P1202" t="s">
        <v>208</v>
      </c>
      <c r="Q1202" t="s">
        <v>209</v>
      </c>
    </row>
    <row r="1203" spans="1:17" x14ac:dyDescent="0.3">
      <c r="A1203" t="s">
        <v>2809</v>
      </c>
      <c r="C1203" t="s">
        <v>2810</v>
      </c>
      <c r="D1203" t="s">
        <v>2811</v>
      </c>
      <c r="E1203" s="5">
        <v>46272</v>
      </c>
      <c r="F1203" t="s">
        <v>204</v>
      </c>
      <c r="G1203" t="s">
        <v>220</v>
      </c>
      <c r="H1203">
        <v>3499</v>
      </c>
      <c r="I1203">
        <v>10.5</v>
      </c>
      <c r="J1203">
        <v>1.89</v>
      </c>
      <c r="K1203">
        <v>3486.61</v>
      </c>
      <c r="L1203" s="5">
        <v>46274</v>
      </c>
      <c r="M1203" t="s">
        <v>2572</v>
      </c>
      <c r="N1203" t="s">
        <v>207</v>
      </c>
      <c r="O1203" t="s">
        <v>2811</v>
      </c>
      <c r="P1203" t="s">
        <v>208</v>
      </c>
      <c r="Q1203" t="s">
        <v>209</v>
      </c>
    </row>
    <row r="1204" spans="1:17" x14ac:dyDescent="0.3">
      <c r="A1204" t="s">
        <v>2812</v>
      </c>
      <c r="C1204" t="s">
        <v>2813</v>
      </c>
      <c r="D1204" t="s">
        <v>2813</v>
      </c>
      <c r="E1204" s="5">
        <v>46272</v>
      </c>
      <c r="F1204" t="s">
        <v>204</v>
      </c>
      <c r="G1204" t="s">
        <v>205</v>
      </c>
      <c r="H1204">
        <v>2499</v>
      </c>
      <c r="I1204">
        <v>42.48</v>
      </c>
      <c r="J1204">
        <v>7.65</v>
      </c>
      <c r="K1204">
        <v>2448.87</v>
      </c>
      <c r="L1204" s="5">
        <v>46274</v>
      </c>
      <c r="M1204" t="s">
        <v>2572</v>
      </c>
      <c r="N1204" t="s">
        <v>207</v>
      </c>
      <c r="O1204" t="s">
        <v>2813</v>
      </c>
      <c r="P1204" t="s">
        <v>208</v>
      </c>
      <c r="Q1204" t="s">
        <v>209</v>
      </c>
    </row>
    <row r="1205" spans="1:17" x14ac:dyDescent="0.3">
      <c r="A1205" t="s">
        <v>2814</v>
      </c>
      <c r="C1205" t="s">
        <v>2815</v>
      </c>
      <c r="D1205" t="s">
        <v>2815</v>
      </c>
      <c r="E1205" s="5">
        <v>46272</v>
      </c>
      <c r="F1205" t="s">
        <v>204</v>
      </c>
      <c r="G1205" t="s">
        <v>213</v>
      </c>
      <c r="H1205">
        <v>4999</v>
      </c>
      <c r="I1205">
        <v>79.98</v>
      </c>
      <c r="J1205">
        <v>14.4</v>
      </c>
      <c r="K1205">
        <v>4904.62</v>
      </c>
      <c r="L1205" s="5">
        <v>46274</v>
      </c>
      <c r="M1205" t="s">
        <v>2572</v>
      </c>
      <c r="N1205" t="s">
        <v>207</v>
      </c>
      <c r="O1205" t="s">
        <v>2815</v>
      </c>
      <c r="P1205" t="s">
        <v>208</v>
      </c>
      <c r="Q1205" t="s">
        <v>209</v>
      </c>
    </row>
    <row r="1206" spans="1:17" x14ac:dyDescent="0.3">
      <c r="A1206" t="s">
        <v>2816</v>
      </c>
      <c r="C1206" t="s">
        <v>2817</v>
      </c>
      <c r="D1206" t="s">
        <v>2817</v>
      </c>
      <c r="E1206" s="5">
        <v>46272</v>
      </c>
      <c r="F1206" t="s">
        <v>204</v>
      </c>
      <c r="G1206" t="s">
        <v>213</v>
      </c>
      <c r="H1206">
        <v>2897</v>
      </c>
      <c r="I1206">
        <v>46.35</v>
      </c>
      <c r="J1206">
        <v>8.34</v>
      </c>
      <c r="K1206">
        <v>2842.31</v>
      </c>
      <c r="L1206" s="5">
        <v>46274</v>
      </c>
      <c r="M1206" t="s">
        <v>2572</v>
      </c>
      <c r="N1206" t="s">
        <v>207</v>
      </c>
      <c r="O1206" t="s">
        <v>2817</v>
      </c>
      <c r="P1206" t="s">
        <v>208</v>
      </c>
      <c r="Q1206" t="s">
        <v>209</v>
      </c>
    </row>
    <row r="1207" spans="1:17" x14ac:dyDescent="0.3">
      <c r="A1207" t="s">
        <v>2818</v>
      </c>
      <c r="C1207" t="s">
        <v>2819</v>
      </c>
      <c r="D1207" t="s">
        <v>2819</v>
      </c>
      <c r="E1207" s="5">
        <v>46272</v>
      </c>
      <c r="F1207" t="s">
        <v>204</v>
      </c>
      <c r="G1207" t="s">
        <v>220</v>
      </c>
      <c r="H1207">
        <v>9798</v>
      </c>
      <c r="I1207">
        <v>29.39</v>
      </c>
      <c r="J1207">
        <v>5.29</v>
      </c>
      <c r="K1207">
        <v>9763.32</v>
      </c>
      <c r="L1207" s="5">
        <v>46274</v>
      </c>
      <c r="M1207" t="s">
        <v>2572</v>
      </c>
      <c r="N1207" t="s">
        <v>207</v>
      </c>
      <c r="O1207" t="s">
        <v>2819</v>
      </c>
      <c r="P1207" t="s">
        <v>208</v>
      </c>
      <c r="Q1207" t="s">
        <v>209</v>
      </c>
    </row>
    <row r="1208" spans="1:17" x14ac:dyDescent="0.3">
      <c r="A1208" t="s">
        <v>2820</v>
      </c>
      <c r="C1208" t="s">
        <v>2821</v>
      </c>
      <c r="D1208" t="s">
        <v>2821</v>
      </c>
      <c r="E1208" s="5">
        <v>46272</v>
      </c>
      <c r="F1208" t="s">
        <v>204</v>
      </c>
      <c r="G1208" t="s">
        <v>213</v>
      </c>
      <c r="H1208">
        <v>499</v>
      </c>
      <c r="I1208">
        <v>8.98</v>
      </c>
      <c r="J1208">
        <v>1.62</v>
      </c>
      <c r="K1208">
        <v>488.4</v>
      </c>
      <c r="L1208" s="5">
        <v>46274</v>
      </c>
      <c r="M1208" t="s">
        <v>2572</v>
      </c>
      <c r="N1208" t="s">
        <v>207</v>
      </c>
      <c r="O1208" t="s">
        <v>2821</v>
      </c>
      <c r="P1208" t="s">
        <v>208</v>
      </c>
      <c r="Q1208" t="s">
        <v>209</v>
      </c>
    </row>
    <row r="1209" spans="1:17" x14ac:dyDescent="0.3">
      <c r="A1209" t="s">
        <v>2822</v>
      </c>
      <c r="C1209" t="s">
        <v>2823</v>
      </c>
      <c r="D1209" t="s">
        <v>2823</v>
      </c>
      <c r="E1209" s="5">
        <v>46272</v>
      </c>
      <c r="F1209" t="s">
        <v>204</v>
      </c>
      <c r="G1209" t="s">
        <v>220</v>
      </c>
      <c r="H1209">
        <v>7999</v>
      </c>
      <c r="I1209">
        <v>24</v>
      </c>
      <c r="J1209">
        <v>4.32</v>
      </c>
      <c r="K1209">
        <v>7970.68</v>
      </c>
      <c r="L1209" s="5">
        <v>46274</v>
      </c>
      <c r="M1209" t="s">
        <v>2572</v>
      </c>
      <c r="N1209" t="s">
        <v>207</v>
      </c>
      <c r="O1209" t="s">
        <v>2823</v>
      </c>
      <c r="P1209" t="s">
        <v>208</v>
      </c>
      <c r="Q1209" t="s">
        <v>209</v>
      </c>
    </row>
    <row r="1210" spans="1:17" x14ac:dyDescent="0.3">
      <c r="A1210" t="s">
        <v>2824</v>
      </c>
      <c r="C1210" t="s">
        <v>2825</v>
      </c>
      <c r="D1210" t="s">
        <v>2825</v>
      </c>
      <c r="E1210" s="5">
        <v>46272</v>
      </c>
      <c r="F1210" t="s">
        <v>204</v>
      </c>
      <c r="G1210" t="s">
        <v>220</v>
      </c>
      <c r="H1210">
        <v>6497</v>
      </c>
      <c r="I1210">
        <v>19.489999999999998</v>
      </c>
      <c r="J1210">
        <v>3.51</v>
      </c>
      <c r="K1210">
        <v>6474</v>
      </c>
      <c r="L1210" s="5">
        <v>46274</v>
      </c>
      <c r="M1210" t="s">
        <v>2572</v>
      </c>
      <c r="N1210" t="s">
        <v>207</v>
      </c>
      <c r="O1210" t="s">
        <v>2825</v>
      </c>
      <c r="P1210" t="s">
        <v>208</v>
      </c>
      <c r="Q1210" t="s">
        <v>209</v>
      </c>
    </row>
    <row r="1211" spans="1:17" x14ac:dyDescent="0.3">
      <c r="A1211" t="s">
        <v>2826</v>
      </c>
      <c r="C1211" t="s">
        <v>2827</v>
      </c>
      <c r="D1211" t="s">
        <v>2827</v>
      </c>
      <c r="E1211" s="5">
        <v>46272</v>
      </c>
      <c r="F1211" t="s">
        <v>204</v>
      </c>
      <c r="G1211" t="s">
        <v>205</v>
      </c>
      <c r="H1211">
        <v>4999</v>
      </c>
      <c r="I1211">
        <v>84.98</v>
      </c>
      <c r="J1211">
        <v>15.3</v>
      </c>
      <c r="K1211">
        <v>4898.72</v>
      </c>
      <c r="L1211" s="5">
        <v>46274</v>
      </c>
      <c r="M1211" t="s">
        <v>2572</v>
      </c>
      <c r="N1211" t="s">
        <v>207</v>
      </c>
      <c r="O1211" t="s">
        <v>2827</v>
      </c>
      <c r="P1211" t="s">
        <v>208</v>
      </c>
      <c r="Q1211" t="s">
        <v>209</v>
      </c>
    </row>
    <row r="1212" spans="1:17" x14ac:dyDescent="0.3">
      <c r="A1212" t="s">
        <v>2828</v>
      </c>
      <c r="C1212" t="s">
        <v>2829</v>
      </c>
      <c r="D1212" t="s">
        <v>2829</v>
      </c>
      <c r="E1212" s="5">
        <v>46272</v>
      </c>
      <c r="F1212" t="s">
        <v>204</v>
      </c>
      <c r="G1212" t="s">
        <v>220</v>
      </c>
      <c r="H1212">
        <v>349</v>
      </c>
      <c r="I1212">
        <v>0</v>
      </c>
      <c r="J1212">
        <v>0</v>
      </c>
      <c r="K1212">
        <v>349</v>
      </c>
      <c r="L1212" s="5">
        <v>46274</v>
      </c>
      <c r="M1212" t="s">
        <v>2572</v>
      </c>
      <c r="N1212" t="s">
        <v>207</v>
      </c>
      <c r="O1212" t="s">
        <v>2829</v>
      </c>
      <c r="P1212" t="s">
        <v>208</v>
      </c>
      <c r="Q1212" t="s">
        <v>209</v>
      </c>
    </row>
    <row r="1213" spans="1:17" x14ac:dyDescent="0.3">
      <c r="A1213" t="s">
        <v>2830</v>
      </c>
      <c r="C1213" t="s">
        <v>2831</v>
      </c>
      <c r="D1213" t="s">
        <v>2831</v>
      </c>
      <c r="E1213" s="5">
        <v>46272</v>
      </c>
      <c r="F1213" t="s">
        <v>204</v>
      </c>
      <c r="G1213" t="s">
        <v>220</v>
      </c>
      <c r="H1213">
        <v>2999</v>
      </c>
      <c r="I1213">
        <v>9</v>
      </c>
      <c r="J1213">
        <v>1.62</v>
      </c>
      <c r="K1213">
        <v>2988.38</v>
      </c>
      <c r="L1213" s="5">
        <v>46274</v>
      </c>
      <c r="M1213" t="s">
        <v>2572</v>
      </c>
      <c r="N1213" t="s">
        <v>207</v>
      </c>
      <c r="O1213" t="s">
        <v>2831</v>
      </c>
      <c r="P1213" t="s">
        <v>208</v>
      </c>
      <c r="Q1213" t="s">
        <v>209</v>
      </c>
    </row>
    <row r="1214" spans="1:17" x14ac:dyDescent="0.3">
      <c r="A1214" t="s">
        <v>2832</v>
      </c>
      <c r="C1214" t="s">
        <v>2833</v>
      </c>
      <c r="D1214" t="s">
        <v>2833</v>
      </c>
      <c r="E1214" s="5">
        <v>46272</v>
      </c>
      <c r="F1214" t="s">
        <v>204</v>
      </c>
      <c r="G1214" t="s">
        <v>255</v>
      </c>
      <c r="H1214">
        <v>11797</v>
      </c>
      <c r="I1214">
        <v>106.17</v>
      </c>
      <c r="J1214">
        <v>19.11</v>
      </c>
      <c r="K1214">
        <v>11671.72</v>
      </c>
      <c r="L1214" s="5">
        <v>46274</v>
      </c>
      <c r="M1214" t="s">
        <v>2572</v>
      </c>
      <c r="N1214" t="s">
        <v>207</v>
      </c>
      <c r="O1214" t="s">
        <v>2833</v>
      </c>
      <c r="P1214" t="s">
        <v>208</v>
      </c>
      <c r="Q1214" t="s">
        <v>209</v>
      </c>
    </row>
    <row r="1215" spans="1:17" x14ac:dyDescent="0.3">
      <c r="A1215" t="s">
        <v>2834</v>
      </c>
      <c r="C1215" t="s">
        <v>2835</v>
      </c>
      <c r="D1215" t="s">
        <v>2836</v>
      </c>
      <c r="E1215" s="5">
        <v>46272</v>
      </c>
      <c r="F1215" t="s">
        <v>204</v>
      </c>
      <c r="G1215" t="s">
        <v>205</v>
      </c>
      <c r="H1215">
        <v>3499</v>
      </c>
      <c r="I1215">
        <v>59.48</v>
      </c>
      <c r="J1215">
        <v>10.71</v>
      </c>
      <c r="K1215">
        <v>3428.81</v>
      </c>
      <c r="L1215" s="5">
        <v>46274</v>
      </c>
      <c r="M1215" t="s">
        <v>2572</v>
      </c>
      <c r="N1215" t="s">
        <v>207</v>
      </c>
      <c r="O1215" t="s">
        <v>2836</v>
      </c>
      <c r="P1215" t="s">
        <v>208</v>
      </c>
      <c r="Q1215" t="s">
        <v>209</v>
      </c>
    </row>
    <row r="1216" spans="1:17" x14ac:dyDescent="0.3">
      <c r="A1216" t="s">
        <v>2837</v>
      </c>
      <c r="C1216" t="s">
        <v>2838</v>
      </c>
      <c r="D1216" t="s">
        <v>2838</v>
      </c>
      <c r="E1216" s="5">
        <v>46272</v>
      </c>
      <c r="F1216" t="s">
        <v>204</v>
      </c>
      <c r="G1216" t="s">
        <v>220</v>
      </c>
      <c r="H1216">
        <v>1499</v>
      </c>
      <c r="I1216">
        <v>0</v>
      </c>
      <c r="J1216">
        <v>0</v>
      </c>
      <c r="K1216">
        <v>1499</v>
      </c>
      <c r="L1216" s="5">
        <v>46274</v>
      </c>
      <c r="M1216" t="s">
        <v>2572</v>
      </c>
      <c r="N1216" t="s">
        <v>207</v>
      </c>
      <c r="O1216" t="s">
        <v>2838</v>
      </c>
      <c r="P1216" t="s">
        <v>208</v>
      </c>
      <c r="Q1216" t="s">
        <v>209</v>
      </c>
    </row>
    <row r="1217" spans="1:17" x14ac:dyDescent="0.3">
      <c r="A1217" t="s">
        <v>2839</v>
      </c>
      <c r="C1217" t="s">
        <v>2840</v>
      </c>
      <c r="D1217" t="s">
        <v>2840</v>
      </c>
      <c r="E1217" s="5">
        <v>46272</v>
      </c>
      <c r="F1217" t="s">
        <v>204</v>
      </c>
      <c r="G1217" t="s">
        <v>220</v>
      </c>
      <c r="H1217">
        <v>2499</v>
      </c>
      <c r="I1217">
        <v>7.5</v>
      </c>
      <c r="J1217">
        <v>1.35</v>
      </c>
      <c r="K1217">
        <v>2490.15</v>
      </c>
      <c r="L1217" s="5">
        <v>46274</v>
      </c>
      <c r="M1217" t="s">
        <v>2572</v>
      </c>
      <c r="N1217" t="s">
        <v>207</v>
      </c>
      <c r="O1217" t="s">
        <v>2840</v>
      </c>
      <c r="P1217" t="s">
        <v>208</v>
      </c>
      <c r="Q1217" t="s">
        <v>209</v>
      </c>
    </row>
    <row r="1218" spans="1:17" x14ac:dyDescent="0.3">
      <c r="A1218" t="s">
        <v>2841</v>
      </c>
      <c r="C1218" t="s">
        <v>2842</v>
      </c>
      <c r="D1218" t="s">
        <v>2843</v>
      </c>
      <c r="E1218" s="5">
        <v>46272</v>
      </c>
      <c r="F1218" t="s">
        <v>204</v>
      </c>
      <c r="G1218" t="s">
        <v>220</v>
      </c>
      <c r="H1218">
        <v>4999</v>
      </c>
      <c r="I1218">
        <v>15</v>
      </c>
      <c r="J1218">
        <v>2.7</v>
      </c>
      <c r="K1218">
        <v>4981.3</v>
      </c>
      <c r="L1218" s="5">
        <v>46274</v>
      </c>
      <c r="M1218" t="s">
        <v>2572</v>
      </c>
      <c r="N1218" t="s">
        <v>207</v>
      </c>
      <c r="O1218" t="s">
        <v>2843</v>
      </c>
      <c r="P1218" t="s">
        <v>208</v>
      </c>
      <c r="Q1218" t="s">
        <v>209</v>
      </c>
    </row>
    <row r="1219" spans="1:17" x14ac:dyDescent="0.3">
      <c r="A1219" t="s">
        <v>2844</v>
      </c>
      <c r="C1219" t="s">
        <v>2845</v>
      </c>
      <c r="D1219" t="s">
        <v>2845</v>
      </c>
      <c r="E1219" s="5">
        <v>46272</v>
      </c>
      <c r="F1219" t="s">
        <v>204</v>
      </c>
      <c r="G1219" t="s">
        <v>213</v>
      </c>
      <c r="H1219">
        <v>3499</v>
      </c>
      <c r="I1219">
        <v>55.98</v>
      </c>
      <c r="J1219">
        <v>10.08</v>
      </c>
      <c r="K1219">
        <v>3432.94</v>
      </c>
      <c r="L1219" s="5">
        <v>46274</v>
      </c>
      <c r="M1219" t="s">
        <v>2572</v>
      </c>
      <c r="N1219" t="s">
        <v>207</v>
      </c>
      <c r="O1219" t="s">
        <v>2845</v>
      </c>
      <c r="P1219" t="s">
        <v>208</v>
      </c>
      <c r="Q1219" t="s">
        <v>209</v>
      </c>
    </row>
    <row r="1220" spans="1:17" x14ac:dyDescent="0.3">
      <c r="A1220" t="s">
        <v>2846</v>
      </c>
      <c r="C1220" t="s">
        <v>2847</v>
      </c>
      <c r="D1220" t="s">
        <v>2847</v>
      </c>
      <c r="E1220" s="5">
        <v>46272</v>
      </c>
      <c r="F1220" t="s">
        <v>204</v>
      </c>
      <c r="G1220" t="s">
        <v>220</v>
      </c>
      <c r="H1220">
        <v>1798</v>
      </c>
      <c r="I1220">
        <v>0</v>
      </c>
      <c r="J1220">
        <v>0</v>
      </c>
      <c r="K1220">
        <v>1798</v>
      </c>
      <c r="L1220" s="5">
        <v>46274</v>
      </c>
      <c r="M1220" t="s">
        <v>2572</v>
      </c>
      <c r="N1220" t="s">
        <v>207</v>
      </c>
      <c r="O1220" t="s">
        <v>2847</v>
      </c>
      <c r="P1220" t="s">
        <v>208</v>
      </c>
      <c r="Q1220" t="s">
        <v>209</v>
      </c>
    </row>
    <row r="1221" spans="1:17" x14ac:dyDescent="0.3">
      <c r="A1221" t="s">
        <v>2848</v>
      </c>
      <c r="C1221" t="s">
        <v>2849</v>
      </c>
      <c r="D1221" t="s">
        <v>2849</v>
      </c>
      <c r="E1221" s="5">
        <v>46272</v>
      </c>
      <c r="F1221" t="s">
        <v>204</v>
      </c>
      <c r="G1221" t="s">
        <v>213</v>
      </c>
      <c r="H1221">
        <v>11497</v>
      </c>
      <c r="I1221">
        <v>183.95</v>
      </c>
      <c r="J1221">
        <v>33.11</v>
      </c>
      <c r="K1221">
        <v>11279.94</v>
      </c>
      <c r="L1221" s="5">
        <v>46274</v>
      </c>
      <c r="M1221" t="s">
        <v>2572</v>
      </c>
      <c r="N1221" t="s">
        <v>207</v>
      </c>
      <c r="O1221" t="s">
        <v>2849</v>
      </c>
      <c r="P1221" t="s">
        <v>208</v>
      </c>
      <c r="Q1221" t="s">
        <v>209</v>
      </c>
    </row>
    <row r="1222" spans="1:17" x14ac:dyDescent="0.3">
      <c r="A1222" t="s">
        <v>2850</v>
      </c>
      <c r="C1222" t="s">
        <v>2851</v>
      </c>
      <c r="D1222" t="s">
        <v>2851</v>
      </c>
      <c r="E1222" s="5">
        <v>46272</v>
      </c>
      <c r="F1222" t="s">
        <v>204</v>
      </c>
      <c r="G1222" t="s">
        <v>205</v>
      </c>
      <c r="H1222">
        <v>6597</v>
      </c>
      <c r="I1222">
        <v>112.15</v>
      </c>
      <c r="J1222">
        <v>20.190000000000001</v>
      </c>
      <c r="K1222">
        <v>6464.66</v>
      </c>
      <c r="L1222" s="5">
        <v>46274</v>
      </c>
      <c r="M1222" t="s">
        <v>2572</v>
      </c>
      <c r="N1222" t="s">
        <v>207</v>
      </c>
      <c r="O1222" t="s">
        <v>2851</v>
      </c>
      <c r="P1222" t="s">
        <v>208</v>
      </c>
      <c r="Q1222" t="s">
        <v>209</v>
      </c>
    </row>
    <row r="1223" spans="1:17" x14ac:dyDescent="0.3">
      <c r="A1223" t="s">
        <v>2852</v>
      </c>
      <c r="C1223" t="s">
        <v>2853</v>
      </c>
      <c r="D1223" t="s">
        <v>2854</v>
      </c>
      <c r="E1223" s="5">
        <v>46272</v>
      </c>
      <c r="F1223" t="s">
        <v>204</v>
      </c>
      <c r="G1223" t="s">
        <v>220</v>
      </c>
      <c r="H1223">
        <v>5298</v>
      </c>
      <c r="I1223">
        <v>15.89</v>
      </c>
      <c r="J1223">
        <v>2.86</v>
      </c>
      <c r="K1223">
        <v>5279.25</v>
      </c>
      <c r="L1223" s="5">
        <v>46274</v>
      </c>
      <c r="M1223" t="s">
        <v>2572</v>
      </c>
      <c r="N1223" t="s">
        <v>207</v>
      </c>
      <c r="O1223" t="s">
        <v>2854</v>
      </c>
      <c r="P1223" t="s">
        <v>208</v>
      </c>
      <c r="Q1223" t="s">
        <v>209</v>
      </c>
    </row>
    <row r="1224" spans="1:17" x14ac:dyDescent="0.3">
      <c r="A1224" t="s">
        <v>2855</v>
      </c>
      <c r="C1224" t="s">
        <v>2856</v>
      </c>
      <c r="D1224" t="s">
        <v>2856</v>
      </c>
      <c r="E1224" s="5">
        <v>46272</v>
      </c>
      <c r="F1224" t="s">
        <v>204</v>
      </c>
      <c r="G1224" t="s">
        <v>220</v>
      </c>
      <c r="H1224">
        <v>599</v>
      </c>
      <c r="I1224">
        <v>0</v>
      </c>
      <c r="J1224">
        <v>0</v>
      </c>
      <c r="K1224">
        <v>599</v>
      </c>
      <c r="L1224" s="5">
        <v>46274</v>
      </c>
      <c r="M1224" t="s">
        <v>2572</v>
      </c>
      <c r="N1224" t="s">
        <v>207</v>
      </c>
      <c r="O1224" t="s">
        <v>2856</v>
      </c>
      <c r="P1224" t="s">
        <v>208</v>
      </c>
      <c r="Q1224" t="s">
        <v>209</v>
      </c>
    </row>
    <row r="1225" spans="1:17" x14ac:dyDescent="0.3">
      <c r="A1225" t="s">
        <v>2857</v>
      </c>
      <c r="C1225" t="s">
        <v>2858</v>
      </c>
      <c r="D1225" t="s">
        <v>2858</v>
      </c>
      <c r="E1225" s="5">
        <v>46272</v>
      </c>
      <c r="F1225" t="s">
        <v>204</v>
      </c>
      <c r="G1225" t="s">
        <v>220</v>
      </c>
      <c r="H1225">
        <v>1998</v>
      </c>
      <c r="I1225">
        <v>0</v>
      </c>
      <c r="J1225">
        <v>0</v>
      </c>
      <c r="K1225">
        <v>1998</v>
      </c>
      <c r="L1225" s="5">
        <v>46274</v>
      </c>
      <c r="M1225" t="s">
        <v>2572</v>
      </c>
      <c r="N1225" t="s">
        <v>207</v>
      </c>
      <c r="O1225" t="s">
        <v>2858</v>
      </c>
      <c r="P1225" t="s">
        <v>208</v>
      </c>
      <c r="Q1225" t="s">
        <v>209</v>
      </c>
    </row>
    <row r="1226" spans="1:17" x14ac:dyDescent="0.3">
      <c r="A1226" t="s">
        <v>2859</v>
      </c>
      <c r="C1226" t="s">
        <v>2860</v>
      </c>
      <c r="D1226" t="s">
        <v>2860</v>
      </c>
      <c r="E1226" s="5">
        <v>46272</v>
      </c>
      <c r="F1226" t="s">
        <v>204</v>
      </c>
      <c r="G1226" t="s">
        <v>213</v>
      </c>
      <c r="H1226">
        <v>5798</v>
      </c>
      <c r="I1226">
        <v>92.77</v>
      </c>
      <c r="J1226">
        <v>16.7</v>
      </c>
      <c r="K1226">
        <v>5688.53</v>
      </c>
      <c r="L1226" s="5">
        <v>46274</v>
      </c>
      <c r="M1226" t="s">
        <v>2572</v>
      </c>
      <c r="N1226" t="s">
        <v>207</v>
      </c>
      <c r="O1226" t="s">
        <v>2860</v>
      </c>
      <c r="P1226" t="s">
        <v>208</v>
      </c>
      <c r="Q1226" t="s">
        <v>209</v>
      </c>
    </row>
    <row r="1227" spans="1:17" x14ac:dyDescent="0.3">
      <c r="A1227" t="s">
        <v>2861</v>
      </c>
      <c r="C1227" t="s">
        <v>2862</v>
      </c>
      <c r="D1227" t="s">
        <v>2862</v>
      </c>
      <c r="E1227" s="5">
        <v>46272</v>
      </c>
      <c r="F1227" t="s">
        <v>204</v>
      </c>
      <c r="G1227" t="s">
        <v>220</v>
      </c>
      <c r="H1227">
        <v>6097</v>
      </c>
      <c r="I1227">
        <v>18.29</v>
      </c>
      <c r="J1227">
        <v>3.29</v>
      </c>
      <c r="K1227">
        <v>6075.42</v>
      </c>
      <c r="L1227" s="5">
        <v>46274</v>
      </c>
      <c r="M1227" t="s">
        <v>2572</v>
      </c>
      <c r="N1227" t="s">
        <v>207</v>
      </c>
      <c r="O1227" t="s">
        <v>2862</v>
      </c>
      <c r="P1227" t="s">
        <v>208</v>
      </c>
      <c r="Q1227" t="s">
        <v>209</v>
      </c>
    </row>
    <row r="1228" spans="1:17" x14ac:dyDescent="0.3">
      <c r="A1228" t="s">
        <v>2863</v>
      </c>
      <c r="C1228" t="s">
        <v>2864</v>
      </c>
      <c r="D1228" t="s">
        <v>2864</v>
      </c>
      <c r="E1228" s="5">
        <v>46272</v>
      </c>
      <c r="F1228" t="s">
        <v>204</v>
      </c>
      <c r="G1228" t="s">
        <v>220</v>
      </c>
      <c r="H1228">
        <v>3499</v>
      </c>
      <c r="I1228">
        <v>10.5</v>
      </c>
      <c r="J1228">
        <v>1.89</v>
      </c>
      <c r="K1228">
        <v>3486.61</v>
      </c>
      <c r="L1228" s="5">
        <v>46274</v>
      </c>
      <c r="M1228" t="s">
        <v>2572</v>
      </c>
      <c r="N1228" t="s">
        <v>207</v>
      </c>
      <c r="O1228" t="s">
        <v>2864</v>
      </c>
      <c r="P1228" t="s">
        <v>208</v>
      </c>
      <c r="Q1228" t="s">
        <v>209</v>
      </c>
    </row>
    <row r="1229" spans="1:17" x14ac:dyDescent="0.3">
      <c r="A1229" t="s">
        <v>2865</v>
      </c>
      <c r="C1229" t="s">
        <v>2866</v>
      </c>
      <c r="D1229" t="s">
        <v>2866</v>
      </c>
      <c r="E1229" s="5">
        <v>46272</v>
      </c>
      <c r="F1229" t="s">
        <v>204</v>
      </c>
      <c r="G1229" t="s">
        <v>220</v>
      </c>
      <c r="H1229">
        <v>499</v>
      </c>
      <c r="I1229">
        <v>0</v>
      </c>
      <c r="J1229">
        <v>0</v>
      </c>
      <c r="K1229">
        <v>499</v>
      </c>
      <c r="L1229" s="5">
        <v>46274</v>
      </c>
      <c r="M1229" t="s">
        <v>2572</v>
      </c>
      <c r="N1229" t="s">
        <v>207</v>
      </c>
      <c r="O1229" t="s">
        <v>2866</v>
      </c>
      <c r="P1229" t="s">
        <v>208</v>
      </c>
      <c r="Q1229" t="s">
        <v>209</v>
      </c>
    </row>
    <row r="1230" spans="1:17" x14ac:dyDescent="0.3">
      <c r="A1230" t="s">
        <v>2867</v>
      </c>
      <c r="C1230" t="s">
        <v>2868</v>
      </c>
      <c r="D1230" t="s">
        <v>2868</v>
      </c>
      <c r="E1230" s="5">
        <v>46272</v>
      </c>
      <c r="F1230" t="s">
        <v>204</v>
      </c>
      <c r="G1230" t="s">
        <v>220</v>
      </c>
      <c r="H1230">
        <v>1799</v>
      </c>
      <c r="I1230">
        <v>0</v>
      </c>
      <c r="J1230">
        <v>0</v>
      </c>
      <c r="K1230">
        <v>1799</v>
      </c>
      <c r="L1230" s="5">
        <v>46274</v>
      </c>
      <c r="M1230" t="s">
        <v>2572</v>
      </c>
      <c r="N1230" t="s">
        <v>207</v>
      </c>
      <c r="O1230" t="s">
        <v>2868</v>
      </c>
      <c r="P1230" t="s">
        <v>208</v>
      </c>
      <c r="Q1230" t="s">
        <v>209</v>
      </c>
    </row>
    <row r="1231" spans="1:17" x14ac:dyDescent="0.3">
      <c r="A1231" t="s">
        <v>2869</v>
      </c>
      <c r="C1231" t="s">
        <v>2870</v>
      </c>
      <c r="D1231" t="s">
        <v>2870</v>
      </c>
      <c r="E1231" s="5">
        <v>46272</v>
      </c>
      <c r="F1231" t="s">
        <v>204</v>
      </c>
      <c r="G1231" t="s">
        <v>255</v>
      </c>
      <c r="H1231">
        <v>3798</v>
      </c>
      <c r="I1231">
        <v>45.58</v>
      </c>
      <c r="J1231">
        <v>8.1999999999999993</v>
      </c>
      <c r="K1231">
        <v>3744.22</v>
      </c>
      <c r="L1231" s="5">
        <v>46274</v>
      </c>
      <c r="M1231" t="s">
        <v>2572</v>
      </c>
      <c r="N1231" t="s">
        <v>207</v>
      </c>
      <c r="O1231" t="s">
        <v>2870</v>
      </c>
      <c r="P1231" t="s">
        <v>208</v>
      </c>
      <c r="Q1231" t="s">
        <v>209</v>
      </c>
    </row>
    <row r="1232" spans="1:17" x14ac:dyDescent="0.3">
      <c r="A1232" t="s">
        <v>2871</v>
      </c>
      <c r="C1232" t="s">
        <v>2872</v>
      </c>
      <c r="D1232" t="s">
        <v>2872</v>
      </c>
      <c r="E1232" s="5">
        <v>46272</v>
      </c>
      <c r="F1232" t="s">
        <v>204</v>
      </c>
      <c r="G1232" t="s">
        <v>220</v>
      </c>
      <c r="H1232">
        <v>4999</v>
      </c>
      <c r="I1232">
        <v>15</v>
      </c>
      <c r="J1232">
        <v>2.7</v>
      </c>
      <c r="K1232">
        <v>4981.3</v>
      </c>
      <c r="L1232" s="5">
        <v>46274</v>
      </c>
      <c r="M1232" t="s">
        <v>2572</v>
      </c>
      <c r="N1232" t="s">
        <v>207</v>
      </c>
      <c r="O1232" t="s">
        <v>2872</v>
      </c>
      <c r="P1232" t="s">
        <v>208</v>
      </c>
      <c r="Q1232" t="s">
        <v>209</v>
      </c>
    </row>
    <row r="1233" spans="1:17" x14ac:dyDescent="0.3">
      <c r="A1233" t="s">
        <v>2873</v>
      </c>
      <c r="C1233" t="s">
        <v>2874</v>
      </c>
      <c r="D1233" t="s">
        <v>2874</v>
      </c>
      <c r="E1233" s="5">
        <v>46272</v>
      </c>
      <c r="F1233" t="s">
        <v>204</v>
      </c>
      <c r="G1233" t="s">
        <v>220</v>
      </c>
      <c r="H1233">
        <v>3098</v>
      </c>
      <c r="I1233">
        <v>9.2899999999999991</v>
      </c>
      <c r="J1233">
        <v>1.67</v>
      </c>
      <c r="K1233">
        <v>3087.04</v>
      </c>
      <c r="L1233" s="5">
        <v>46274</v>
      </c>
      <c r="M1233" t="s">
        <v>2572</v>
      </c>
      <c r="N1233" t="s">
        <v>207</v>
      </c>
      <c r="O1233" t="s">
        <v>2874</v>
      </c>
      <c r="P1233" t="s">
        <v>208</v>
      </c>
      <c r="Q1233" t="s">
        <v>209</v>
      </c>
    </row>
    <row r="1234" spans="1:17" x14ac:dyDescent="0.3">
      <c r="A1234" t="s">
        <v>2875</v>
      </c>
      <c r="C1234" t="s">
        <v>2876</v>
      </c>
      <c r="D1234" t="s">
        <v>2876</v>
      </c>
      <c r="E1234" s="5">
        <v>46272</v>
      </c>
      <c r="F1234" t="s">
        <v>204</v>
      </c>
      <c r="G1234" t="s">
        <v>205</v>
      </c>
      <c r="H1234">
        <v>7998</v>
      </c>
      <c r="I1234">
        <v>135.97</v>
      </c>
      <c r="J1234">
        <v>24.47</v>
      </c>
      <c r="K1234">
        <v>7837.56</v>
      </c>
      <c r="L1234" s="5">
        <v>46274</v>
      </c>
      <c r="M1234" t="s">
        <v>2572</v>
      </c>
      <c r="N1234" t="s">
        <v>207</v>
      </c>
      <c r="O1234" t="s">
        <v>2876</v>
      </c>
      <c r="P1234" t="s">
        <v>208</v>
      </c>
      <c r="Q1234" t="s">
        <v>209</v>
      </c>
    </row>
    <row r="1235" spans="1:17" x14ac:dyDescent="0.3">
      <c r="A1235" t="s">
        <v>2877</v>
      </c>
      <c r="C1235" t="s">
        <v>2878</v>
      </c>
      <c r="D1235" t="s">
        <v>2878</v>
      </c>
      <c r="E1235" s="5">
        <v>46272</v>
      </c>
      <c r="F1235" t="s">
        <v>204</v>
      </c>
      <c r="G1235" t="s">
        <v>220</v>
      </c>
      <c r="H1235">
        <v>1499</v>
      </c>
      <c r="I1235">
        <v>0</v>
      </c>
      <c r="J1235">
        <v>0</v>
      </c>
      <c r="K1235">
        <v>1499</v>
      </c>
      <c r="L1235" s="5">
        <v>46274</v>
      </c>
      <c r="M1235" t="s">
        <v>2572</v>
      </c>
      <c r="N1235" t="s">
        <v>207</v>
      </c>
      <c r="O1235" t="s">
        <v>2878</v>
      </c>
      <c r="P1235" t="s">
        <v>208</v>
      </c>
      <c r="Q1235" t="s">
        <v>209</v>
      </c>
    </row>
    <row r="1236" spans="1:17" x14ac:dyDescent="0.3">
      <c r="A1236" t="s">
        <v>2879</v>
      </c>
      <c r="C1236" t="s">
        <v>2880</v>
      </c>
      <c r="D1236" t="s">
        <v>2880</v>
      </c>
      <c r="E1236" s="5">
        <v>46272</v>
      </c>
      <c r="F1236" t="s">
        <v>204</v>
      </c>
      <c r="G1236" t="s">
        <v>213</v>
      </c>
      <c r="H1236">
        <v>5597</v>
      </c>
      <c r="I1236">
        <v>89.55</v>
      </c>
      <c r="J1236">
        <v>16.12</v>
      </c>
      <c r="K1236">
        <v>5491.33</v>
      </c>
      <c r="L1236" s="5">
        <v>46274</v>
      </c>
      <c r="M1236" t="s">
        <v>2572</v>
      </c>
      <c r="N1236" t="s">
        <v>207</v>
      </c>
      <c r="O1236" t="s">
        <v>2880</v>
      </c>
      <c r="P1236" t="s">
        <v>208</v>
      </c>
      <c r="Q1236" t="s">
        <v>209</v>
      </c>
    </row>
    <row r="1237" spans="1:17" x14ac:dyDescent="0.3">
      <c r="A1237" t="s">
        <v>2881</v>
      </c>
      <c r="C1237" t="s">
        <v>2882</v>
      </c>
      <c r="D1237" t="s">
        <v>2883</v>
      </c>
      <c r="E1237" s="5">
        <v>46272</v>
      </c>
      <c r="F1237" t="s">
        <v>204</v>
      </c>
      <c r="G1237" t="s">
        <v>205</v>
      </c>
      <c r="H1237">
        <v>1648</v>
      </c>
      <c r="I1237">
        <v>31.31</v>
      </c>
      <c r="J1237">
        <v>5.64</v>
      </c>
      <c r="K1237">
        <v>1611.05</v>
      </c>
      <c r="L1237" s="5">
        <v>46274</v>
      </c>
      <c r="M1237" t="s">
        <v>2572</v>
      </c>
      <c r="N1237" t="s">
        <v>207</v>
      </c>
      <c r="O1237" t="s">
        <v>2883</v>
      </c>
      <c r="P1237" t="s">
        <v>208</v>
      </c>
      <c r="Q1237" t="s">
        <v>209</v>
      </c>
    </row>
    <row r="1238" spans="1:17" x14ac:dyDescent="0.3">
      <c r="A1238" t="s">
        <v>2884</v>
      </c>
      <c r="C1238" t="s">
        <v>2885</v>
      </c>
      <c r="D1238" t="s">
        <v>2885</v>
      </c>
      <c r="E1238" s="5">
        <v>46272</v>
      </c>
      <c r="F1238" t="s">
        <v>204</v>
      </c>
      <c r="G1238" t="s">
        <v>220</v>
      </c>
      <c r="H1238">
        <v>349</v>
      </c>
      <c r="I1238">
        <v>0</v>
      </c>
      <c r="J1238">
        <v>0</v>
      </c>
      <c r="K1238">
        <v>349</v>
      </c>
      <c r="L1238" s="5">
        <v>46274</v>
      </c>
      <c r="M1238" t="s">
        <v>2572</v>
      </c>
      <c r="N1238" t="s">
        <v>207</v>
      </c>
      <c r="O1238" t="s">
        <v>2885</v>
      </c>
      <c r="P1238" t="s">
        <v>208</v>
      </c>
      <c r="Q1238" t="s">
        <v>209</v>
      </c>
    </row>
    <row r="1239" spans="1:17" x14ac:dyDescent="0.3">
      <c r="A1239" t="s">
        <v>2886</v>
      </c>
      <c r="C1239" t="s">
        <v>2887</v>
      </c>
      <c r="D1239" t="s">
        <v>2887</v>
      </c>
      <c r="E1239" s="5">
        <v>46272</v>
      </c>
      <c r="F1239" t="s">
        <v>204</v>
      </c>
      <c r="G1239" t="s">
        <v>213</v>
      </c>
      <c r="H1239">
        <v>7999</v>
      </c>
      <c r="I1239">
        <v>127.98</v>
      </c>
      <c r="J1239">
        <v>23.04</v>
      </c>
      <c r="K1239">
        <v>7847.98</v>
      </c>
      <c r="L1239" s="5">
        <v>46274</v>
      </c>
      <c r="M1239" t="s">
        <v>2572</v>
      </c>
      <c r="N1239" t="s">
        <v>207</v>
      </c>
      <c r="O1239" t="s">
        <v>2887</v>
      </c>
      <c r="P1239" t="s">
        <v>208</v>
      </c>
      <c r="Q1239" t="s">
        <v>209</v>
      </c>
    </row>
    <row r="1240" spans="1:17" x14ac:dyDescent="0.3">
      <c r="A1240" t="s">
        <v>2888</v>
      </c>
      <c r="C1240" t="s">
        <v>2889</v>
      </c>
      <c r="D1240" t="s">
        <v>2889</v>
      </c>
      <c r="E1240" s="5">
        <v>46272</v>
      </c>
      <c r="F1240" t="s">
        <v>204</v>
      </c>
      <c r="G1240" t="s">
        <v>213</v>
      </c>
      <c r="H1240">
        <v>499</v>
      </c>
      <c r="I1240">
        <v>8.98</v>
      </c>
      <c r="J1240">
        <v>1.62</v>
      </c>
      <c r="K1240">
        <v>488.4</v>
      </c>
      <c r="L1240" s="5">
        <v>46274</v>
      </c>
      <c r="M1240" t="s">
        <v>2572</v>
      </c>
      <c r="N1240" t="s">
        <v>207</v>
      </c>
      <c r="O1240" t="s">
        <v>2889</v>
      </c>
      <c r="P1240" t="s">
        <v>208</v>
      </c>
      <c r="Q1240" t="s">
        <v>209</v>
      </c>
    </row>
    <row r="1241" spans="1:17" x14ac:dyDescent="0.3">
      <c r="A1241" t="s">
        <v>2890</v>
      </c>
      <c r="C1241" t="s">
        <v>2891</v>
      </c>
      <c r="D1241" t="s">
        <v>2891</v>
      </c>
      <c r="E1241" s="5">
        <v>46272</v>
      </c>
      <c r="F1241" t="s">
        <v>204</v>
      </c>
      <c r="G1241" t="s">
        <v>220</v>
      </c>
      <c r="H1241">
        <v>599</v>
      </c>
      <c r="I1241">
        <v>0</v>
      </c>
      <c r="J1241">
        <v>0</v>
      </c>
      <c r="K1241">
        <v>599</v>
      </c>
      <c r="L1241" s="5">
        <v>46274</v>
      </c>
      <c r="M1241" t="s">
        <v>2572</v>
      </c>
      <c r="N1241" t="s">
        <v>207</v>
      </c>
      <c r="O1241" t="s">
        <v>2891</v>
      </c>
      <c r="P1241" t="s">
        <v>208</v>
      </c>
      <c r="Q1241" t="s">
        <v>209</v>
      </c>
    </row>
    <row r="1242" spans="1:17" x14ac:dyDescent="0.3">
      <c r="A1242" t="s">
        <v>2892</v>
      </c>
      <c r="C1242" t="s">
        <v>2893</v>
      </c>
      <c r="D1242" t="s">
        <v>2894</v>
      </c>
      <c r="E1242" s="5">
        <v>46272</v>
      </c>
      <c r="F1242" t="s">
        <v>204</v>
      </c>
      <c r="G1242" t="s">
        <v>205</v>
      </c>
      <c r="H1242">
        <v>6597</v>
      </c>
      <c r="I1242">
        <v>112.15</v>
      </c>
      <c r="J1242">
        <v>20.190000000000001</v>
      </c>
      <c r="K1242">
        <v>6464.66</v>
      </c>
      <c r="L1242" s="5">
        <v>46274</v>
      </c>
      <c r="M1242" t="s">
        <v>2572</v>
      </c>
      <c r="N1242" t="s">
        <v>207</v>
      </c>
      <c r="O1242" t="s">
        <v>2894</v>
      </c>
      <c r="P1242" t="s">
        <v>208</v>
      </c>
      <c r="Q1242" t="s">
        <v>209</v>
      </c>
    </row>
    <row r="1243" spans="1:17" x14ac:dyDescent="0.3">
      <c r="A1243" t="s">
        <v>2895</v>
      </c>
      <c r="C1243" t="s">
        <v>2896</v>
      </c>
      <c r="D1243" t="s">
        <v>2896</v>
      </c>
      <c r="E1243" s="5">
        <v>46272</v>
      </c>
      <c r="F1243" t="s">
        <v>204</v>
      </c>
      <c r="G1243" t="s">
        <v>220</v>
      </c>
      <c r="H1243">
        <v>1799</v>
      </c>
      <c r="I1243">
        <v>0</v>
      </c>
      <c r="J1243">
        <v>0</v>
      </c>
      <c r="K1243">
        <v>1799</v>
      </c>
      <c r="L1243" s="5">
        <v>46274</v>
      </c>
      <c r="M1243" t="s">
        <v>2572</v>
      </c>
      <c r="N1243" t="s">
        <v>207</v>
      </c>
      <c r="O1243" t="s">
        <v>2896</v>
      </c>
      <c r="P1243" t="s">
        <v>208</v>
      </c>
      <c r="Q1243" t="s">
        <v>209</v>
      </c>
    </row>
    <row r="1244" spans="1:17" x14ac:dyDescent="0.3">
      <c r="A1244" t="s">
        <v>2897</v>
      </c>
      <c r="C1244" t="s">
        <v>2898</v>
      </c>
      <c r="D1244" t="s">
        <v>2898</v>
      </c>
      <c r="E1244" s="5">
        <v>46272</v>
      </c>
      <c r="F1244" t="s">
        <v>204</v>
      </c>
      <c r="G1244" t="s">
        <v>205</v>
      </c>
      <c r="H1244">
        <v>349</v>
      </c>
      <c r="I1244">
        <v>6.63</v>
      </c>
      <c r="J1244">
        <v>1.19</v>
      </c>
      <c r="K1244">
        <v>341.18</v>
      </c>
      <c r="L1244" s="5">
        <v>46274</v>
      </c>
      <c r="M1244" t="s">
        <v>2572</v>
      </c>
      <c r="N1244" t="s">
        <v>207</v>
      </c>
      <c r="O1244" t="s">
        <v>2898</v>
      </c>
      <c r="P1244" t="s">
        <v>208</v>
      </c>
      <c r="Q1244" t="s">
        <v>209</v>
      </c>
    </row>
    <row r="1245" spans="1:17" x14ac:dyDescent="0.3">
      <c r="A1245" t="s">
        <v>2899</v>
      </c>
      <c r="C1245" t="s">
        <v>2900</v>
      </c>
      <c r="D1245" t="s">
        <v>2901</v>
      </c>
      <c r="E1245" s="5">
        <v>46272</v>
      </c>
      <c r="F1245" t="s">
        <v>204</v>
      </c>
      <c r="G1245" t="s">
        <v>220</v>
      </c>
      <c r="H1245">
        <v>1398</v>
      </c>
      <c r="I1245">
        <v>0</v>
      </c>
      <c r="J1245">
        <v>0</v>
      </c>
      <c r="K1245">
        <v>1398</v>
      </c>
      <c r="L1245" s="5">
        <v>46274</v>
      </c>
      <c r="M1245" t="s">
        <v>2572</v>
      </c>
      <c r="N1245" t="s">
        <v>207</v>
      </c>
      <c r="O1245" t="s">
        <v>2901</v>
      </c>
      <c r="P1245" t="s">
        <v>208</v>
      </c>
      <c r="Q1245" t="s">
        <v>209</v>
      </c>
    </row>
    <row r="1246" spans="1:17" x14ac:dyDescent="0.3">
      <c r="A1246" t="s">
        <v>2902</v>
      </c>
      <c r="C1246" t="s">
        <v>2903</v>
      </c>
      <c r="D1246" t="s">
        <v>2903</v>
      </c>
      <c r="E1246" s="5">
        <v>46272</v>
      </c>
      <c r="F1246" t="s">
        <v>204</v>
      </c>
      <c r="G1246" t="s">
        <v>220</v>
      </c>
      <c r="H1246">
        <v>4999</v>
      </c>
      <c r="I1246">
        <v>15</v>
      </c>
      <c r="J1246">
        <v>2.7</v>
      </c>
      <c r="K1246">
        <v>4981.3</v>
      </c>
      <c r="L1246" s="5">
        <v>46274</v>
      </c>
      <c r="M1246" t="s">
        <v>2572</v>
      </c>
      <c r="N1246" t="s">
        <v>207</v>
      </c>
      <c r="O1246" t="s">
        <v>2903</v>
      </c>
      <c r="P1246" t="s">
        <v>208</v>
      </c>
      <c r="Q1246" t="s">
        <v>209</v>
      </c>
    </row>
    <row r="1247" spans="1:17" x14ac:dyDescent="0.3">
      <c r="A1247" t="s">
        <v>2904</v>
      </c>
      <c r="C1247" t="s">
        <v>2905</v>
      </c>
      <c r="D1247" t="s">
        <v>2905</v>
      </c>
      <c r="E1247" s="5">
        <v>46272</v>
      </c>
      <c r="F1247" t="s">
        <v>204</v>
      </c>
      <c r="G1247" t="s">
        <v>220</v>
      </c>
      <c r="H1247">
        <v>8997</v>
      </c>
      <c r="I1247">
        <v>26.99</v>
      </c>
      <c r="J1247">
        <v>4.8600000000000003</v>
      </c>
      <c r="K1247">
        <v>8965.15</v>
      </c>
      <c r="L1247" s="5">
        <v>46274</v>
      </c>
      <c r="M1247" t="s">
        <v>2572</v>
      </c>
      <c r="N1247" t="s">
        <v>207</v>
      </c>
      <c r="O1247" t="s">
        <v>2905</v>
      </c>
      <c r="P1247" t="s">
        <v>208</v>
      </c>
      <c r="Q1247" t="s">
        <v>209</v>
      </c>
    </row>
    <row r="1248" spans="1:17" x14ac:dyDescent="0.3">
      <c r="A1248" t="s">
        <v>2906</v>
      </c>
      <c r="C1248" t="s">
        <v>2907</v>
      </c>
      <c r="D1248" t="s">
        <v>2907</v>
      </c>
      <c r="E1248" s="5">
        <v>46272</v>
      </c>
      <c r="F1248" t="s">
        <v>204</v>
      </c>
      <c r="G1248" t="s">
        <v>213</v>
      </c>
      <c r="H1248">
        <v>1299</v>
      </c>
      <c r="I1248">
        <v>23.38</v>
      </c>
      <c r="J1248">
        <v>4.21</v>
      </c>
      <c r="K1248">
        <v>1271.4100000000001</v>
      </c>
      <c r="L1248" s="5">
        <v>46274</v>
      </c>
      <c r="M1248" t="s">
        <v>2572</v>
      </c>
      <c r="N1248" t="s">
        <v>207</v>
      </c>
      <c r="O1248" t="s">
        <v>2907</v>
      </c>
      <c r="P1248" t="s">
        <v>208</v>
      </c>
      <c r="Q1248" t="s">
        <v>209</v>
      </c>
    </row>
    <row r="1249" spans="1:17" x14ac:dyDescent="0.3">
      <c r="A1249" t="s">
        <v>2908</v>
      </c>
      <c r="C1249" t="s">
        <v>2909</v>
      </c>
      <c r="D1249" t="s">
        <v>2909</v>
      </c>
      <c r="E1249" s="5">
        <v>46272</v>
      </c>
      <c r="F1249" t="s">
        <v>204</v>
      </c>
      <c r="G1249" t="s">
        <v>220</v>
      </c>
      <c r="H1249">
        <v>3998</v>
      </c>
      <c r="I1249">
        <v>11.99</v>
      </c>
      <c r="J1249">
        <v>2.16</v>
      </c>
      <c r="K1249">
        <v>3983.85</v>
      </c>
      <c r="L1249" s="5">
        <v>46274</v>
      </c>
      <c r="M1249" t="s">
        <v>2572</v>
      </c>
      <c r="N1249" t="s">
        <v>207</v>
      </c>
      <c r="O1249" t="s">
        <v>2909</v>
      </c>
      <c r="P1249" t="s">
        <v>208</v>
      </c>
      <c r="Q1249" t="s">
        <v>209</v>
      </c>
    </row>
    <row r="1250" spans="1:17" x14ac:dyDescent="0.3">
      <c r="A1250" t="s">
        <v>2910</v>
      </c>
      <c r="C1250" t="s">
        <v>2911</v>
      </c>
      <c r="D1250" t="s">
        <v>2912</v>
      </c>
      <c r="E1250" s="5">
        <v>46272</v>
      </c>
      <c r="F1250" t="s">
        <v>204</v>
      </c>
      <c r="G1250" t="s">
        <v>213</v>
      </c>
      <c r="H1250">
        <v>4999</v>
      </c>
      <c r="I1250">
        <v>79.98</v>
      </c>
      <c r="J1250">
        <v>14.4</v>
      </c>
      <c r="K1250">
        <v>4904.62</v>
      </c>
      <c r="L1250" s="5">
        <v>46274</v>
      </c>
      <c r="M1250" t="s">
        <v>2572</v>
      </c>
      <c r="N1250" t="s">
        <v>207</v>
      </c>
      <c r="O1250" t="s">
        <v>2912</v>
      </c>
      <c r="P1250" t="s">
        <v>208</v>
      </c>
      <c r="Q1250" t="s">
        <v>209</v>
      </c>
    </row>
    <row r="1251" spans="1:17" x14ac:dyDescent="0.3">
      <c r="A1251" t="s">
        <v>2913</v>
      </c>
      <c r="C1251" t="s">
        <v>2914</v>
      </c>
      <c r="D1251" t="s">
        <v>2914</v>
      </c>
      <c r="E1251" s="5">
        <v>46272</v>
      </c>
      <c r="F1251" t="s">
        <v>204</v>
      </c>
      <c r="G1251" t="s">
        <v>205</v>
      </c>
      <c r="H1251">
        <v>1499</v>
      </c>
      <c r="I1251">
        <v>28.48</v>
      </c>
      <c r="J1251">
        <v>5.13</v>
      </c>
      <c r="K1251">
        <v>1465.39</v>
      </c>
      <c r="L1251" s="5">
        <v>46274</v>
      </c>
      <c r="M1251" t="s">
        <v>2572</v>
      </c>
      <c r="N1251" t="s">
        <v>207</v>
      </c>
      <c r="O1251" t="s">
        <v>2914</v>
      </c>
      <c r="P1251" t="s">
        <v>208</v>
      </c>
      <c r="Q1251" t="s">
        <v>209</v>
      </c>
    </row>
    <row r="1252" spans="1:17" x14ac:dyDescent="0.3">
      <c r="A1252" t="s">
        <v>2915</v>
      </c>
      <c r="C1252" t="s">
        <v>2916</v>
      </c>
      <c r="D1252" t="s">
        <v>2917</v>
      </c>
      <c r="E1252" s="5">
        <v>46272</v>
      </c>
      <c r="F1252" t="s">
        <v>204</v>
      </c>
      <c r="G1252" t="s">
        <v>255</v>
      </c>
      <c r="H1252">
        <v>10497</v>
      </c>
      <c r="I1252">
        <v>94.47</v>
      </c>
      <c r="J1252">
        <v>17</v>
      </c>
      <c r="K1252">
        <v>10385.530000000001</v>
      </c>
      <c r="L1252" s="5">
        <v>46274</v>
      </c>
      <c r="M1252" t="s">
        <v>2572</v>
      </c>
      <c r="N1252" t="s">
        <v>207</v>
      </c>
      <c r="O1252" t="s">
        <v>2917</v>
      </c>
      <c r="P1252" t="s">
        <v>208</v>
      </c>
      <c r="Q1252" t="s">
        <v>209</v>
      </c>
    </row>
    <row r="1253" spans="1:17" x14ac:dyDescent="0.3">
      <c r="A1253" t="s">
        <v>2918</v>
      </c>
      <c r="C1253" t="s">
        <v>2919</v>
      </c>
      <c r="D1253" t="s">
        <v>2919</v>
      </c>
      <c r="E1253" s="5">
        <v>46272</v>
      </c>
      <c r="F1253" t="s">
        <v>204</v>
      </c>
      <c r="G1253" t="s">
        <v>213</v>
      </c>
      <c r="H1253">
        <v>1499</v>
      </c>
      <c r="I1253">
        <v>26.98</v>
      </c>
      <c r="J1253">
        <v>4.8600000000000003</v>
      </c>
      <c r="K1253">
        <v>1467.16</v>
      </c>
      <c r="L1253" s="5">
        <v>46274</v>
      </c>
      <c r="M1253" t="s">
        <v>2572</v>
      </c>
      <c r="N1253" t="s">
        <v>207</v>
      </c>
      <c r="O1253" t="s">
        <v>2919</v>
      </c>
      <c r="P1253" t="s">
        <v>208</v>
      </c>
      <c r="Q1253" t="s">
        <v>209</v>
      </c>
    </row>
    <row r="1254" spans="1:17" x14ac:dyDescent="0.3">
      <c r="A1254" t="s">
        <v>2920</v>
      </c>
      <c r="C1254" t="s">
        <v>2921</v>
      </c>
      <c r="D1254" t="s">
        <v>2921</v>
      </c>
      <c r="E1254" s="5">
        <v>46272</v>
      </c>
      <c r="F1254" t="s">
        <v>204</v>
      </c>
      <c r="G1254" t="s">
        <v>213</v>
      </c>
      <c r="H1254">
        <v>7999</v>
      </c>
      <c r="I1254">
        <v>127.98</v>
      </c>
      <c r="J1254">
        <v>23.04</v>
      </c>
      <c r="K1254">
        <v>7847.98</v>
      </c>
      <c r="L1254" s="5">
        <v>46274</v>
      </c>
      <c r="M1254" t="s">
        <v>2572</v>
      </c>
      <c r="N1254" t="s">
        <v>207</v>
      </c>
      <c r="O1254" t="s">
        <v>2921</v>
      </c>
      <c r="P1254" t="s">
        <v>208</v>
      </c>
      <c r="Q1254" t="s">
        <v>209</v>
      </c>
    </row>
    <row r="1255" spans="1:17" x14ac:dyDescent="0.3">
      <c r="A1255" t="s">
        <v>2922</v>
      </c>
      <c r="C1255" t="s">
        <v>2923</v>
      </c>
      <c r="D1255" t="s">
        <v>2923</v>
      </c>
      <c r="E1255" s="5">
        <v>46272</v>
      </c>
      <c r="F1255" t="s">
        <v>204</v>
      </c>
      <c r="G1255" t="s">
        <v>220</v>
      </c>
      <c r="H1255">
        <v>1799</v>
      </c>
      <c r="I1255">
        <v>0</v>
      </c>
      <c r="J1255">
        <v>0</v>
      </c>
      <c r="K1255">
        <v>1799</v>
      </c>
      <c r="L1255" s="5">
        <v>46274</v>
      </c>
      <c r="M1255" t="s">
        <v>2572</v>
      </c>
      <c r="N1255" t="s">
        <v>207</v>
      </c>
      <c r="O1255" t="s">
        <v>2923</v>
      </c>
      <c r="P1255" t="s">
        <v>208</v>
      </c>
      <c r="Q1255" t="s">
        <v>209</v>
      </c>
    </row>
    <row r="1256" spans="1:17" x14ac:dyDescent="0.3">
      <c r="A1256" t="s">
        <v>2924</v>
      </c>
      <c r="C1256" t="s">
        <v>2925</v>
      </c>
      <c r="D1256" t="s">
        <v>2925</v>
      </c>
      <c r="E1256" s="5">
        <v>46272</v>
      </c>
      <c r="F1256" t="s">
        <v>204</v>
      </c>
      <c r="G1256" t="s">
        <v>255</v>
      </c>
      <c r="H1256">
        <v>3499</v>
      </c>
      <c r="I1256">
        <v>41.99</v>
      </c>
      <c r="J1256">
        <v>7.56</v>
      </c>
      <c r="K1256">
        <v>3449.45</v>
      </c>
      <c r="L1256" s="5">
        <v>46274</v>
      </c>
      <c r="M1256" t="s">
        <v>2572</v>
      </c>
      <c r="N1256" t="s">
        <v>207</v>
      </c>
      <c r="O1256" t="s">
        <v>2925</v>
      </c>
      <c r="P1256" t="s">
        <v>208</v>
      </c>
      <c r="Q1256" t="s">
        <v>209</v>
      </c>
    </row>
    <row r="1257" spans="1:17" x14ac:dyDescent="0.3">
      <c r="A1257" t="s">
        <v>2926</v>
      </c>
      <c r="C1257" t="s">
        <v>2927</v>
      </c>
      <c r="D1257" t="s">
        <v>2927</v>
      </c>
      <c r="E1257" s="5">
        <v>46272</v>
      </c>
      <c r="F1257" t="s">
        <v>204</v>
      </c>
      <c r="G1257" t="s">
        <v>213</v>
      </c>
      <c r="H1257">
        <v>599</v>
      </c>
      <c r="I1257">
        <v>10.78</v>
      </c>
      <c r="J1257">
        <v>1.94</v>
      </c>
      <c r="K1257">
        <v>586.28</v>
      </c>
      <c r="L1257" s="5">
        <v>46274</v>
      </c>
      <c r="M1257" t="s">
        <v>2572</v>
      </c>
      <c r="N1257" t="s">
        <v>207</v>
      </c>
      <c r="O1257" t="s">
        <v>2927</v>
      </c>
      <c r="P1257" t="s">
        <v>208</v>
      </c>
      <c r="Q1257" t="s">
        <v>209</v>
      </c>
    </row>
    <row r="1258" spans="1:17" x14ac:dyDescent="0.3">
      <c r="A1258" t="s">
        <v>2928</v>
      </c>
      <c r="C1258" t="s">
        <v>2929</v>
      </c>
      <c r="D1258" t="s">
        <v>2930</v>
      </c>
      <c r="E1258" s="5">
        <v>46272</v>
      </c>
      <c r="F1258" t="s">
        <v>204</v>
      </c>
      <c r="G1258" t="s">
        <v>213</v>
      </c>
      <c r="H1258">
        <v>11498</v>
      </c>
      <c r="I1258">
        <v>183.97</v>
      </c>
      <c r="J1258">
        <v>33.11</v>
      </c>
      <c r="K1258">
        <v>11280.92</v>
      </c>
      <c r="L1258" s="5">
        <v>46274</v>
      </c>
      <c r="M1258" t="s">
        <v>2572</v>
      </c>
      <c r="N1258" t="s">
        <v>207</v>
      </c>
      <c r="O1258" t="s">
        <v>2930</v>
      </c>
      <c r="P1258" t="s">
        <v>208</v>
      </c>
      <c r="Q1258" t="s">
        <v>209</v>
      </c>
    </row>
    <row r="1259" spans="1:17" x14ac:dyDescent="0.3">
      <c r="A1259" t="s">
        <v>2931</v>
      </c>
      <c r="C1259" t="s">
        <v>2932</v>
      </c>
      <c r="D1259" t="s">
        <v>2932</v>
      </c>
      <c r="E1259" s="5">
        <v>46272</v>
      </c>
      <c r="F1259" t="s">
        <v>204</v>
      </c>
      <c r="G1259" t="s">
        <v>255</v>
      </c>
      <c r="H1259">
        <v>349</v>
      </c>
      <c r="I1259">
        <v>5.24</v>
      </c>
      <c r="J1259">
        <v>0.94</v>
      </c>
      <c r="K1259">
        <v>342.82</v>
      </c>
      <c r="L1259" s="5">
        <v>46274</v>
      </c>
      <c r="M1259" t="s">
        <v>2572</v>
      </c>
      <c r="N1259" t="s">
        <v>207</v>
      </c>
      <c r="O1259" t="s">
        <v>2932</v>
      </c>
      <c r="P1259" t="s">
        <v>208</v>
      </c>
      <c r="Q1259" t="s">
        <v>209</v>
      </c>
    </row>
    <row r="1260" spans="1:17" x14ac:dyDescent="0.3">
      <c r="A1260" t="s">
        <v>2933</v>
      </c>
      <c r="C1260" t="s">
        <v>2934</v>
      </c>
      <c r="D1260" t="s">
        <v>2934</v>
      </c>
      <c r="E1260" s="5">
        <v>46272</v>
      </c>
      <c r="F1260" t="s">
        <v>204</v>
      </c>
      <c r="G1260" t="s">
        <v>220</v>
      </c>
      <c r="H1260">
        <v>10147</v>
      </c>
      <c r="I1260">
        <v>30.44</v>
      </c>
      <c r="J1260">
        <v>5.48</v>
      </c>
      <c r="K1260">
        <v>10111.08</v>
      </c>
      <c r="L1260" s="5">
        <v>46274</v>
      </c>
      <c r="M1260" t="s">
        <v>2572</v>
      </c>
      <c r="N1260" t="s">
        <v>207</v>
      </c>
      <c r="O1260" t="s">
        <v>2934</v>
      </c>
      <c r="P1260" t="s">
        <v>208</v>
      </c>
      <c r="Q1260" t="s">
        <v>209</v>
      </c>
    </row>
    <row r="1261" spans="1:17" x14ac:dyDescent="0.3">
      <c r="A1261" t="s">
        <v>2935</v>
      </c>
      <c r="C1261" t="s">
        <v>2936</v>
      </c>
      <c r="D1261" t="s">
        <v>2936</v>
      </c>
      <c r="E1261" s="5">
        <v>46272</v>
      </c>
      <c r="F1261" t="s">
        <v>204</v>
      </c>
      <c r="G1261" t="s">
        <v>220</v>
      </c>
      <c r="H1261">
        <v>349</v>
      </c>
      <c r="I1261">
        <v>0</v>
      </c>
      <c r="J1261">
        <v>0</v>
      </c>
      <c r="K1261">
        <v>349</v>
      </c>
      <c r="L1261" s="5">
        <v>46274</v>
      </c>
      <c r="M1261" t="s">
        <v>2572</v>
      </c>
      <c r="N1261" t="s">
        <v>207</v>
      </c>
      <c r="O1261" t="s">
        <v>2936</v>
      </c>
      <c r="P1261" t="s">
        <v>208</v>
      </c>
      <c r="Q1261" t="s">
        <v>209</v>
      </c>
    </row>
    <row r="1262" spans="1:17" x14ac:dyDescent="0.3">
      <c r="A1262" t="s">
        <v>2937</v>
      </c>
      <c r="C1262" t="s">
        <v>2938</v>
      </c>
      <c r="D1262" t="s">
        <v>2938</v>
      </c>
      <c r="E1262" s="5">
        <v>46272</v>
      </c>
      <c r="F1262" t="s">
        <v>204</v>
      </c>
      <c r="G1262" t="s">
        <v>220</v>
      </c>
      <c r="H1262">
        <v>1799</v>
      </c>
      <c r="I1262">
        <v>0</v>
      </c>
      <c r="J1262">
        <v>0</v>
      </c>
      <c r="K1262">
        <v>1799</v>
      </c>
      <c r="L1262" s="5">
        <v>46274</v>
      </c>
      <c r="M1262" t="s">
        <v>2572</v>
      </c>
      <c r="N1262" t="s">
        <v>207</v>
      </c>
      <c r="O1262" t="s">
        <v>2938</v>
      </c>
      <c r="P1262" t="s">
        <v>208</v>
      </c>
      <c r="Q1262" t="s">
        <v>209</v>
      </c>
    </row>
    <row r="1263" spans="1:17" x14ac:dyDescent="0.3">
      <c r="A1263" t="s">
        <v>2939</v>
      </c>
      <c r="C1263" t="s">
        <v>2940</v>
      </c>
      <c r="D1263" t="s">
        <v>2940</v>
      </c>
      <c r="E1263" s="5">
        <v>46272</v>
      </c>
      <c r="F1263" t="s">
        <v>204</v>
      </c>
      <c r="G1263" t="s">
        <v>220</v>
      </c>
      <c r="H1263">
        <v>1799</v>
      </c>
      <c r="I1263">
        <v>0</v>
      </c>
      <c r="J1263">
        <v>0</v>
      </c>
      <c r="K1263">
        <v>1799</v>
      </c>
      <c r="L1263" s="5">
        <v>46274</v>
      </c>
      <c r="M1263" t="s">
        <v>2572</v>
      </c>
      <c r="N1263" t="s">
        <v>207</v>
      </c>
      <c r="O1263" t="s">
        <v>2940</v>
      </c>
      <c r="P1263" t="s">
        <v>208</v>
      </c>
      <c r="Q1263" t="s">
        <v>209</v>
      </c>
    </row>
    <row r="1264" spans="1:17" x14ac:dyDescent="0.3">
      <c r="A1264" t="s">
        <v>2941</v>
      </c>
      <c r="C1264" t="s">
        <v>2942</v>
      </c>
      <c r="D1264" t="s">
        <v>2942</v>
      </c>
      <c r="E1264" s="5">
        <v>46272</v>
      </c>
      <c r="F1264" t="s">
        <v>204</v>
      </c>
      <c r="G1264" t="s">
        <v>205</v>
      </c>
      <c r="H1264">
        <v>1799</v>
      </c>
      <c r="I1264">
        <v>34.18</v>
      </c>
      <c r="J1264">
        <v>6.15</v>
      </c>
      <c r="K1264">
        <v>1758.67</v>
      </c>
      <c r="L1264" s="5">
        <v>46274</v>
      </c>
      <c r="M1264" t="s">
        <v>2572</v>
      </c>
      <c r="N1264" t="s">
        <v>207</v>
      </c>
      <c r="O1264" t="s">
        <v>2942</v>
      </c>
      <c r="P1264" t="s">
        <v>208</v>
      </c>
      <c r="Q1264" t="s">
        <v>209</v>
      </c>
    </row>
    <row r="1265" spans="1:17" x14ac:dyDescent="0.3">
      <c r="A1265" t="s">
        <v>2943</v>
      </c>
      <c r="C1265" t="s">
        <v>2944</v>
      </c>
      <c r="D1265" t="s">
        <v>2944</v>
      </c>
      <c r="E1265" s="5">
        <v>46272</v>
      </c>
      <c r="F1265" t="s">
        <v>204</v>
      </c>
      <c r="G1265" t="s">
        <v>213</v>
      </c>
      <c r="H1265">
        <v>3998</v>
      </c>
      <c r="I1265">
        <v>63.97</v>
      </c>
      <c r="J1265">
        <v>11.51</v>
      </c>
      <c r="K1265">
        <v>3922.52</v>
      </c>
      <c r="L1265" s="5">
        <v>46274</v>
      </c>
      <c r="M1265" t="s">
        <v>2572</v>
      </c>
      <c r="N1265" t="s">
        <v>207</v>
      </c>
      <c r="O1265" t="s">
        <v>2944</v>
      </c>
      <c r="P1265" t="s">
        <v>208</v>
      </c>
      <c r="Q1265" t="s">
        <v>209</v>
      </c>
    </row>
    <row r="1266" spans="1:17" x14ac:dyDescent="0.3">
      <c r="A1266" t="s">
        <v>2945</v>
      </c>
      <c r="C1266" t="s">
        <v>2946</v>
      </c>
      <c r="D1266" t="s">
        <v>2946</v>
      </c>
      <c r="E1266" s="5">
        <v>46272</v>
      </c>
      <c r="F1266" t="s">
        <v>204</v>
      </c>
      <c r="G1266" t="s">
        <v>220</v>
      </c>
      <c r="H1266">
        <v>5998</v>
      </c>
      <c r="I1266">
        <v>17.989999999999998</v>
      </c>
      <c r="J1266">
        <v>3.24</v>
      </c>
      <c r="K1266">
        <v>5976.77</v>
      </c>
      <c r="L1266" s="5">
        <v>46274</v>
      </c>
      <c r="M1266" t="s">
        <v>2572</v>
      </c>
      <c r="N1266" t="s">
        <v>207</v>
      </c>
      <c r="O1266" t="s">
        <v>2946</v>
      </c>
      <c r="P1266" t="s">
        <v>208</v>
      </c>
      <c r="Q1266" t="s">
        <v>209</v>
      </c>
    </row>
    <row r="1267" spans="1:17" x14ac:dyDescent="0.3">
      <c r="A1267" t="s">
        <v>2947</v>
      </c>
      <c r="C1267" t="s">
        <v>2948</v>
      </c>
      <c r="D1267" t="s">
        <v>2948</v>
      </c>
      <c r="E1267" s="5">
        <v>46272</v>
      </c>
      <c r="F1267" t="s">
        <v>204</v>
      </c>
      <c r="G1267" t="s">
        <v>220</v>
      </c>
      <c r="H1267">
        <v>6498</v>
      </c>
      <c r="I1267">
        <v>19.489999999999998</v>
      </c>
      <c r="J1267">
        <v>3.51</v>
      </c>
      <c r="K1267">
        <v>6475</v>
      </c>
      <c r="L1267" s="5">
        <v>46274</v>
      </c>
      <c r="M1267" t="s">
        <v>2572</v>
      </c>
      <c r="N1267" t="s">
        <v>207</v>
      </c>
      <c r="O1267" t="s">
        <v>2948</v>
      </c>
      <c r="P1267" t="s">
        <v>208</v>
      </c>
      <c r="Q1267" t="s">
        <v>209</v>
      </c>
    </row>
    <row r="1268" spans="1:17" x14ac:dyDescent="0.3">
      <c r="A1268" t="s">
        <v>2949</v>
      </c>
      <c r="C1268" t="s">
        <v>2950</v>
      </c>
      <c r="D1268" t="s">
        <v>2951</v>
      </c>
      <c r="E1268" s="5">
        <v>46272</v>
      </c>
      <c r="F1268" t="s">
        <v>204</v>
      </c>
      <c r="G1268" t="s">
        <v>213</v>
      </c>
      <c r="H1268">
        <v>499</v>
      </c>
      <c r="I1268">
        <v>8.98</v>
      </c>
      <c r="J1268">
        <v>1.62</v>
      </c>
      <c r="K1268">
        <v>488.4</v>
      </c>
      <c r="L1268" s="5">
        <v>46274</v>
      </c>
      <c r="M1268" t="s">
        <v>2572</v>
      </c>
      <c r="N1268" t="s">
        <v>207</v>
      </c>
      <c r="O1268" t="s">
        <v>2951</v>
      </c>
      <c r="P1268" t="s">
        <v>208</v>
      </c>
      <c r="Q1268" t="s">
        <v>209</v>
      </c>
    </row>
    <row r="1269" spans="1:17" x14ac:dyDescent="0.3">
      <c r="A1269" t="s">
        <v>2952</v>
      </c>
      <c r="C1269" t="s">
        <v>2953</v>
      </c>
      <c r="D1269" t="s">
        <v>2953</v>
      </c>
      <c r="E1269" s="5">
        <v>46272</v>
      </c>
      <c r="F1269" t="s">
        <v>204</v>
      </c>
      <c r="G1269" t="s">
        <v>220</v>
      </c>
      <c r="H1269">
        <v>2499</v>
      </c>
      <c r="I1269">
        <v>7.5</v>
      </c>
      <c r="J1269">
        <v>1.35</v>
      </c>
      <c r="K1269">
        <v>2490.15</v>
      </c>
      <c r="L1269" s="5">
        <v>46274</v>
      </c>
      <c r="M1269" t="s">
        <v>2572</v>
      </c>
      <c r="N1269" t="s">
        <v>207</v>
      </c>
      <c r="O1269" t="s">
        <v>2953</v>
      </c>
      <c r="P1269" t="s">
        <v>208</v>
      </c>
      <c r="Q1269" t="s">
        <v>209</v>
      </c>
    </row>
    <row r="1270" spans="1:17" x14ac:dyDescent="0.3">
      <c r="A1270" t="s">
        <v>2954</v>
      </c>
      <c r="C1270" t="s">
        <v>2955</v>
      </c>
      <c r="D1270" t="s">
        <v>2955</v>
      </c>
      <c r="E1270" s="5">
        <v>46272</v>
      </c>
      <c r="F1270" t="s">
        <v>204</v>
      </c>
      <c r="G1270" t="s">
        <v>220</v>
      </c>
      <c r="H1270">
        <v>9297</v>
      </c>
      <c r="I1270">
        <v>27.89</v>
      </c>
      <c r="J1270">
        <v>5.0199999999999996</v>
      </c>
      <c r="K1270">
        <v>9264.09</v>
      </c>
      <c r="L1270" s="5">
        <v>46274</v>
      </c>
      <c r="M1270" t="s">
        <v>2572</v>
      </c>
      <c r="N1270" t="s">
        <v>207</v>
      </c>
      <c r="O1270" t="s">
        <v>2955</v>
      </c>
      <c r="P1270" t="s">
        <v>208</v>
      </c>
      <c r="Q1270" t="s">
        <v>209</v>
      </c>
    </row>
    <row r="1271" spans="1:17" x14ac:dyDescent="0.3">
      <c r="A1271" t="s">
        <v>2956</v>
      </c>
      <c r="C1271" t="s">
        <v>2957</v>
      </c>
      <c r="D1271" t="s">
        <v>2957</v>
      </c>
      <c r="E1271" s="5">
        <v>46272</v>
      </c>
      <c r="F1271" t="s">
        <v>204</v>
      </c>
      <c r="G1271" t="s">
        <v>255</v>
      </c>
      <c r="H1271">
        <v>1299</v>
      </c>
      <c r="I1271">
        <v>19.489999999999998</v>
      </c>
      <c r="J1271">
        <v>3.51</v>
      </c>
      <c r="K1271">
        <v>1276</v>
      </c>
      <c r="L1271" s="5">
        <v>46274</v>
      </c>
      <c r="M1271" t="s">
        <v>2572</v>
      </c>
      <c r="N1271" t="s">
        <v>207</v>
      </c>
      <c r="O1271" t="s">
        <v>2957</v>
      </c>
      <c r="P1271" t="s">
        <v>208</v>
      </c>
      <c r="Q1271" t="s">
        <v>488</v>
      </c>
    </row>
    <row r="1272" spans="1:17" x14ac:dyDescent="0.3">
      <c r="A1272" t="s">
        <v>2958</v>
      </c>
      <c r="B1272" t="s">
        <v>457</v>
      </c>
      <c r="E1272" s="5">
        <v>46272</v>
      </c>
      <c r="F1272" t="s">
        <v>921</v>
      </c>
      <c r="G1272" t="s">
        <v>220</v>
      </c>
      <c r="H1272">
        <v>2999</v>
      </c>
      <c r="I1272">
        <v>0</v>
      </c>
      <c r="J1272">
        <v>0</v>
      </c>
      <c r="K1272">
        <v>-2999</v>
      </c>
      <c r="L1272" s="5">
        <v>46274</v>
      </c>
      <c r="M1272" t="s">
        <v>2572</v>
      </c>
      <c r="N1272" t="s">
        <v>207</v>
      </c>
      <c r="O1272" t="s">
        <v>458</v>
      </c>
      <c r="P1272" t="s">
        <v>208</v>
      </c>
    </row>
    <row r="1273" spans="1:17" x14ac:dyDescent="0.3">
      <c r="A1273" t="s">
        <v>2959</v>
      </c>
      <c r="B1273" t="s">
        <v>2365</v>
      </c>
      <c r="E1273" s="5">
        <v>46272</v>
      </c>
      <c r="F1273" t="s">
        <v>921</v>
      </c>
      <c r="G1273" t="s">
        <v>220</v>
      </c>
      <c r="H1273">
        <v>8498</v>
      </c>
      <c r="I1273">
        <v>0</v>
      </c>
      <c r="J1273">
        <v>0</v>
      </c>
      <c r="K1273">
        <v>-8498</v>
      </c>
      <c r="L1273" s="5">
        <v>46274</v>
      </c>
      <c r="M1273" t="s">
        <v>2572</v>
      </c>
      <c r="N1273" t="s">
        <v>207</v>
      </c>
      <c r="O1273" t="s">
        <v>2366</v>
      </c>
      <c r="P1273" t="s">
        <v>208</v>
      </c>
    </row>
    <row r="1274" spans="1:17" x14ac:dyDescent="0.3">
      <c r="A1274" t="s">
        <v>2960</v>
      </c>
      <c r="B1274" t="s">
        <v>453</v>
      </c>
      <c r="E1274" s="5">
        <v>46272</v>
      </c>
      <c r="F1274" t="s">
        <v>921</v>
      </c>
      <c r="G1274" t="s">
        <v>213</v>
      </c>
      <c r="H1274">
        <v>2499</v>
      </c>
      <c r="I1274">
        <v>0</v>
      </c>
      <c r="J1274">
        <v>0</v>
      </c>
      <c r="K1274">
        <v>-2499</v>
      </c>
      <c r="L1274" s="5">
        <v>46274</v>
      </c>
      <c r="M1274" t="s">
        <v>2572</v>
      </c>
      <c r="N1274" t="s">
        <v>207</v>
      </c>
      <c r="O1274" t="s">
        <v>454</v>
      </c>
      <c r="P1274" t="s">
        <v>208</v>
      </c>
    </row>
    <row r="1275" spans="1:17" x14ac:dyDescent="0.3">
      <c r="A1275" t="s">
        <v>2961</v>
      </c>
      <c r="B1275" t="s">
        <v>614</v>
      </c>
      <c r="E1275" s="5">
        <v>46272</v>
      </c>
      <c r="F1275" t="s">
        <v>921</v>
      </c>
      <c r="G1275" t="s">
        <v>220</v>
      </c>
      <c r="H1275">
        <v>1798</v>
      </c>
      <c r="I1275">
        <v>0</v>
      </c>
      <c r="J1275">
        <v>0</v>
      </c>
      <c r="K1275">
        <v>-1798</v>
      </c>
      <c r="L1275" s="5">
        <v>46274</v>
      </c>
      <c r="M1275" t="s">
        <v>2572</v>
      </c>
      <c r="N1275" t="s">
        <v>207</v>
      </c>
      <c r="O1275" t="s">
        <v>615</v>
      </c>
      <c r="P1275" t="s">
        <v>208</v>
      </c>
    </row>
    <row r="1276" spans="1:17" x14ac:dyDescent="0.3">
      <c r="A1276" t="s">
        <v>2962</v>
      </c>
      <c r="B1276" t="s">
        <v>2562</v>
      </c>
      <c r="E1276" s="5">
        <v>46272</v>
      </c>
      <c r="F1276" t="s">
        <v>921</v>
      </c>
      <c r="G1276" t="s">
        <v>220</v>
      </c>
      <c r="H1276">
        <v>4298</v>
      </c>
      <c r="I1276">
        <v>0</v>
      </c>
      <c r="J1276">
        <v>0</v>
      </c>
      <c r="K1276">
        <v>-4298</v>
      </c>
      <c r="L1276" s="5">
        <v>46274</v>
      </c>
      <c r="M1276" t="s">
        <v>2572</v>
      </c>
      <c r="N1276" t="s">
        <v>207</v>
      </c>
      <c r="O1276" t="s">
        <v>2564</v>
      </c>
      <c r="P1276" t="s">
        <v>208</v>
      </c>
    </row>
    <row r="1277" spans="1:17" x14ac:dyDescent="0.3">
      <c r="A1277" t="s">
        <v>2963</v>
      </c>
      <c r="B1277" t="s">
        <v>1298</v>
      </c>
      <c r="E1277" s="5">
        <v>46272</v>
      </c>
      <c r="F1277" t="s">
        <v>921</v>
      </c>
      <c r="G1277" t="s">
        <v>220</v>
      </c>
      <c r="H1277">
        <v>799</v>
      </c>
      <c r="I1277">
        <v>0</v>
      </c>
      <c r="J1277">
        <v>0</v>
      </c>
      <c r="K1277">
        <v>-799</v>
      </c>
      <c r="L1277" s="5">
        <v>46274</v>
      </c>
      <c r="M1277" t="s">
        <v>2572</v>
      </c>
      <c r="N1277" t="s">
        <v>207</v>
      </c>
      <c r="O1277" t="s">
        <v>1300</v>
      </c>
      <c r="P1277" t="s">
        <v>208</v>
      </c>
    </row>
    <row r="1278" spans="1:17" x14ac:dyDescent="0.3">
      <c r="A1278" t="s">
        <v>2964</v>
      </c>
      <c r="B1278" t="s">
        <v>2268</v>
      </c>
      <c r="E1278" s="5">
        <v>46272</v>
      </c>
      <c r="F1278" t="s">
        <v>921</v>
      </c>
      <c r="G1278" t="s">
        <v>220</v>
      </c>
      <c r="H1278">
        <v>5097</v>
      </c>
      <c r="I1278">
        <v>0</v>
      </c>
      <c r="J1278">
        <v>0</v>
      </c>
      <c r="K1278">
        <v>-5097</v>
      </c>
      <c r="L1278" s="5">
        <v>46274</v>
      </c>
      <c r="M1278" t="s">
        <v>2572</v>
      </c>
      <c r="N1278" t="s">
        <v>207</v>
      </c>
      <c r="O1278" t="s">
        <v>2269</v>
      </c>
      <c r="P1278" t="s">
        <v>208</v>
      </c>
    </row>
    <row r="1279" spans="1:17" x14ac:dyDescent="0.3">
      <c r="A1279" t="s">
        <v>2965</v>
      </c>
      <c r="B1279" t="s">
        <v>1181</v>
      </c>
      <c r="E1279" s="5">
        <v>46272</v>
      </c>
      <c r="F1279" t="s">
        <v>921</v>
      </c>
      <c r="G1279" t="s">
        <v>213</v>
      </c>
      <c r="H1279">
        <v>3298</v>
      </c>
      <c r="I1279">
        <v>0</v>
      </c>
      <c r="J1279">
        <v>0</v>
      </c>
      <c r="K1279">
        <v>-3298</v>
      </c>
      <c r="L1279" s="5">
        <v>46274</v>
      </c>
      <c r="M1279" t="s">
        <v>2572</v>
      </c>
      <c r="N1279" t="s">
        <v>207</v>
      </c>
      <c r="O1279" t="s">
        <v>1183</v>
      </c>
      <c r="P1279" t="s">
        <v>208</v>
      </c>
    </row>
    <row r="1280" spans="1:17" x14ac:dyDescent="0.3">
      <c r="A1280" t="s">
        <v>2966</v>
      </c>
      <c r="B1280" t="s">
        <v>320</v>
      </c>
      <c r="E1280" s="5">
        <v>46272</v>
      </c>
      <c r="F1280" t="s">
        <v>921</v>
      </c>
      <c r="G1280" t="s">
        <v>213</v>
      </c>
      <c r="H1280">
        <v>1648</v>
      </c>
      <c r="I1280">
        <v>0</v>
      </c>
      <c r="J1280">
        <v>0</v>
      </c>
      <c r="K1280">
        <v>-1648</v>
      </c>
      <c r="L1280" s="5">
        <v>46274</v>
      </c>
      <c r="M1280" t="s">
        <v>2572</v>
      </c>
      <c r="N1280" t="s">
        <v>207</v>
      </c>
      <c r="O1280" t="s">
        <v>322</v>
      </c>
      <c r="P1280" t="s">
        <v>208</v>
      </c>
    </row>
    <row r="1281" spans="1:17" x14ac:dyDescent="0.3">
      <c r="A1281" t="s">
        <v>2967</v>
      </c>
      <c r="C1281" t="s">
        <v>2968</v>
      </c>
      <c r="D1281" t="s">
        <v>2968</v>
      </c>
      <c r="E1281" s="5">
        <v>46273</v>
      </c>
      <c r="F1281" t="s">
        <v>204</v>
      </c>
      <c r="G1281" t="s">
        <v>220</v>
      </c>
      <c r="H1281">
        <v>13997</v>
      </c>
      <c r="I1281">
        <v>41.99</v>
      </c>
      <c r="J1281">
        <v>7.56</v>
      </c>
      <c r="K1281">
        <v>13947.45</v>
      </c>
      <c r="L1281" s="5">
        <v>46275</v>
      </c>
      <c r="M1281" t="s">
        <v>2969</v>
      </c>
      <c r="N1281" t="s">
        <v>207</v>
      </c>
      <c r="O1281" t="s">
        <v>2968</v>
      </c>
      <c r="P1281" t="s">
        <v>208</v>
      </c>
      <c r="Q1281" t="s">
        <v>209</v>
      </c>
    </row>
    <row r="1282" spans="1:17" x14ac:dyDescent="0.3">
      <c r="A1282" t="s">
        <v>2970</v>
      </c>
      <c r="C1282" t="s">
        <v>2971</v>
      </c>
      <c r="D1282" t="s">
        <v>2971</v>
      </c>
      <c r="E1282" s="5">
        <v>46273</v>
      </c>
      <c r="F1282" t="s">
        <v>204</v>
      </c>
      <c r="G1282" t="s">
        <v>220</v>
      </c>
      <c r="H1282">
        <v>999</v>
      </c>
      <c r="I1282">
        <v>0</v>
      </c>
      <c r="J1282">
        <v>0</v>
      </c>
      <c r="K1282">
        <v>999</v>
      </c>
      <c r="L1282" s="5">
        <v>46275</v>
      </c>
      <c r="M1282" t="s">
        <v>2969</v>
      </c>
      <c r="N1282" t="s">
        <v>207</v>
      </c>
      <c r="O1282" t="s">
        <v>2971</v>
      </c>
      <c r="P1282" t="s">
        <v>208</v>
      </c>
      <c r="Q1282" t="s">
        <v>209</v>
      </c>
    </row>
    <row r="1283" spans="1:17" x14ac:dyDescent="0.3">
      <c r="A1283" t="s">
        <v>2972</v>
      </c>
      <c r="C1283" t="s">
        <v>2973</v>
      </c>
      <c r="D1283" t="s">
        <v>2973</v>
      </c>
      <c r="E1283" s="5">
        <v>46273</v>
      </c>
      <c r="F1283" t="s">
        <v>204</v>
      </c>
      <c r="G1283" t="s">
        <v>213</v>
      </c>
      <c r="H1283">
        <v>898</v>
      </c>
      <c r="I1283">
        <v>16.16</v>
      </c>
      <c r="J1283">
        <v>2.91</v>
      </c>
      <c r="K1283">
        <v>878.93</v>
      </c>
      <c r="L1283" s="5">
        <v>46275</v>
      </c>
      <c r="M1283" t="s">
        <v>2969</v>
      </c>
      <c r="N1283" t="s">
        <v>207</v>
      </c>
      <c r="O1283" t="s">
        <v>2973</v>
      </c>
      <c r="P1283" t="s">
        <v>208</v>
      </c>
      <c r="Q1283" t="s">
        <v>209</v>
      </c>
    </row>
    <row r="1284" spans="1:17" x14ac:dyDescent="0.3">
      <c r="A1284" t="s">
        <v>2974</v>
      </c>
      <c r="C1284" t="s">
        <v>2975</v>
      </c>
      <c r="D1284" t="s">
        <v>2975</v>
      </c>
      <c r="E1284" s="5">
        <v>46273</v>
      </c>
      <c r="F1284" t="s">
        <v>204</v>
      </c>
      <c r="G1284" t="s">
        <v>220</v>
      </c>
      <c r="H1284">
        <v>2499</v>
      </c>
      <c r="I1284">
        <v>7.5</v>
      </c>
      <c r="J1284">
        <v>1.35</v>
      </c>
      <c r="K1284">
        <v>2490.15</v>
      </c>
      <c r="L1284" s="5">
        <v>46275</v>
      </c>
      <c r="M1284" t="s">
        <v>2969</v>
      </c>
      <c r="N1284" t="s">
        <v>207</v>
      </c>
      <c r="O1284" t="s">
        <v>2975</v>
      </c>
      <c r="P1284" t="s">
        <v>208</v>
      </c>
      <c r="Q1284" t="s">
        <v>209</v>
      </c>
    </row>
    <row r="1285" spans="1:17" x14ac:dyDescent="0.3">
      <c r="A1285" t="s">
        <v>2976</v>
      </c>
      <c r="C1285" t="s">
        <v>2977</v>
      </c>
      <c r="D1285" t="s">
        <v>2977</v>
      </c>
      <c r="E1285" s="5">
        <v>46273</v>
      </c>
      <c r="F1285" t="s">
        <v>204</v>
      </c>
      <c r="G1285" t="s">
        <v>220</v>
      </c>
      <c r="H1285">
        <v>1499</v>
      </c>
      <c r="I1285">
        <v>0</v>
      </c>
      <c r="J1285">
        <v>0</v>
      </c>
      <c r="K1285">
        <v>1499</v>
      </c>
      <c r="L1285" s="5">
        <v>46275</v>
      </c>
      <c r="M1285" t="s">
        <v>2969</v>
      </c>
      <c r="N1285" t="s">
        <v>207</v>
      </c>
      <c r="O1285" t="s">
        <v>2977</v>
      </c>
      <c r="P1285" t="s">
        <v>208</v>
      </c>
      <c r="Q1285" t="s">
        <v>209</v>
      </c>
    </row>
    <row r="1286" spans="1:17" x14ac:dyDescent="0.3">
      <c r="A1286" t="s">
        <v>2978</v>
      </c>
      <c r="C1286" t="s">
        <v>2979</v>
      </c>
      <c r="D1286" t="s">
        <v>2979</v>
      </c>
      <c r="E1286" s="5">
        <v>46273</v>
      </c>
      <c r="F1286" t="s">
        <v>204</v>
      </c>
      <c r="G1286" t="s">
        <v>213</v>
      </c>
      <c r="H1286">
        <v>499</v>
      </c>
      <c r="I1286">
        <v>8.98</v>
      </c>
      <c r="J1286">
        <v>1.62</v>
      </c>
      <c r="K1286">
        <v>488.4</v>
      </c>
      <c r="L1286" s="5">
        <v>46275</v>
      </c>
      <c r="M1286" t="s">
        <v>2969</v>
      </c>
      <c r="N1286" t="s">
        <v>207</v>
      </c>
      <c r="O1286" t="s">
        <v>2979</v>
      </c>
      <c r="P1286" t="s">
        <v>208</v>
      </c>
      <c r="Q1286" t="s">
        <v>209</v>
      </c>
    </row>
    <row r="1287" spans="1:17" x14ac:dyDescent="0.3">
      <c r="A1287" t="s">
        <v>2980</v>
      </c>
      <c r="C1287" t="s">
        <v>2981</v>
      </c>
      <c r="D1287" t="s">
        <v>2981</v>
      </c>
      <c r="E1287" s="5">
        <v>46273</v>
      </c>
      <c r="F1287" t="s">
        <v>204</v>
      </c>
      <c r="G1287" t="s">
        <v>220</v>
      </c>
      <c r="H1287">
        <v>7999</v>
      </c>
      <c r="I1287">
        <v>24</v>
      </c>
      <c r="J1287">
        <v>4.32</v>
      </c>
      <c r="K1287">
        <v>7970.68</v>
      </c>
      <c r="L1287" s="5">
        <v>46275</v>
      </c>
      <c r="M1287" t="s">
        <v>2969</v>
      </c>
      <c r="N1287" t="s">
        <v>207</v>
      </c>
      <c r="O1287" t="s">
        <v>2981</v>
      </c>
      <c r="P1287" t="s">
        <v>208</v>
      </c>
      <c r="Q1287" t="s">
        <v>209</v>
      </c>
    </row>
    <row r="1288" spans="1:17" x14ac:dyDescent="0.3">
      <c r="A1288" t="s">
        <v>2982</v>
      </c>
      <c r="C1288" t="s">
        <v>2983</v>
      </c>
      <c r="D1288" t="s">
        <v>2983</v>
      </c>
      <c r="E1288" s="5">
        <v>46273</v>
      </c>
      <c r="F1288" t="s">
        <v>204</v>
      </c>
      <c r="G1288" t="s">
        <v>220</v>
      </c>
      <c r="H1288">
        <v>999</v>
      </c>
      <c r="I1288">
        <v>0</v>
      </c>
      <c r="J1288">
        <v>0</v>
      </c>
      <c r="K1288">
        <v>999</v>
      </c>
      <c r="L1288" s="5">
        <v>46275</v>
      </c>
      <c r="M1288" t="s">
        <v>2969</v>
      </c>
      <c r="N1288" t="s">
        <v>207</v>
      </c>
      <c r="O1288" t="s">
        <v>2983</v>
      </c>
      <c r="P1288" t="s">
        <v>208</v>
      </c>
      <c r="Q1288" t="s">
        <v>209</v>
      </c>
    </row>
    <row r="1289" spans="1:17" x14ac:dyDescent="0.3">
      <c r="A1289" t="s">
        <v>2984</v>
      </c>
      <c r="C1289" t="s">
        <v>2985</v>
      </c>
      <c r="D1289" t="s">
        <v>2985</v>
      </c>
      <c r="E1289" s="5">
        <v>46273</v>
      </c>
      <c r="F1289" t="s">
        <v>204</v>
      </c>
      <c r="G1289" t="s">
        <v>220</v>
      </c>
      <c r="H1289">
        <v>499</v>
      </c>
      <c r="I1289">
        <v>0</v>
      </c>
      <c r="J1289">
        <v>0</v>
      </c>
      <c r="K1289">
        <v>499</v>
      </c>
      <c r="L1289" s="5">
        <v>46275</v>
      </c>
      <c r="M1289" t="s">
        <v>2969</v>
      </c>
      <c r="N1289" t="s">
        <v>207</v>
      </c>
      <c r="O1289" t="s">
        <v>2985</v>
      </c>
      <c r="P1289" t="s">
        <v>208</v>
      </c>
      <c r="Q1289" t="s">
        <v>209</v>
      </c>
    </row>
    <row r="1290" spans="1:17" x14ac:dyDescent="0.3">
      <c r="A1290" t="s">
        <v>2986</v>
      </c>
      <c r="C1290" t="s">
        <v>2987</v>
      </c>
      <c r="D1290" t="s">
        <v>2987</v>
      </c>
      <c r="E1290" s="5">
        <v>46273</v>
      </c>
      <c r="F1290" t="s">
        <v>204</v>
      </c>
      <c r="G1290" t="s">
        <v>220</v>
      </c>
      <c r="H1290">
        <v>2499</v>
      </c>
      <c r="I1290">
        <v>7.5</v>
      </c>
      <c r="J1290">
        <v>1.35</v>
      </c>
      <c r="K1290">
        <v>2490.15</v>
      </c>
      <c r="L1290" s="5">
        <v>46275</v>
      </c>
      <c r="M1290" t="s">
        <v>2969</v>
      </c>
      <c r="N1290" t="s">
        <v>207</v>
      </c>
      <c r="O1290" t="s">
        <v>2987</v>
      </c>
      <c r="P1290" t="s">
        <v>208</v>
      </c>
      <c r="Q1290" t="s">
        <v>209</v>
      </c>
    </row>
    <row r="1291" spans="1:17" x14ac:dyDescent="0.3">
      <c r="A1291" t="s">
        <v>2988</v>
      </c>
      <c r="C1291" t="s">
        <v>2989</v>
      </c>
      <c r="D1291" t="s">
        <v>2989</v>
      </c>
      <c r="E1291" s="5">
        <v>46273</v>
      </c>
      <c r="F1291" t="s">
        <v>204</v>
      </c>
      <c r="G1291" t="s">
        <v>220</v>
      </c>
      <c r="H1291">
        <v>3098</v>
      </c>
      <c r="I1291">
        <v>9.2899999999999991</v>
      </c>
      <c r="J1291">
        <v>1.67</v>
      </c>
      <c r="K1291">
        <v>3087.04</v>
      </c>
      <c r="L1291" s="5">
        <v>46275</v>
      </c>
      <c r="M1291" t="s">
        <v>2969</v>
      </c>
      <c r="N1291" t="s">
        <v>207</v>
      </c>
      <c r="O1291" t="s">
        <v>2989</v>
      </c>
      <c r="P1291" t="s">
        <v>208</v>
      </c>
      <c r="Q1291" t="s">
        <v>209</v>
      </c>
    </row>
    <row r="1292" spans="1:17" x14ac:dyDescent="0.3">
      <c r="A1292" t="s">
        <v>2990</v>
      </c>
      <c r="C1292" t="s">
        <v>2991</v>
      </c>
      <c r="D1292" t="s">
        <v>2991</v>
      </c>
      <c r="E1292" s="5">
        <v>46273</v>
      </c>
      <c r="F1292" t="s">
        <v>204</v>
      </c>
      <c r="G1292" t="s">
        <v>220</v>
      </c>
      <c r="H1292">
        <v>799</v>
      </c>
      <c r="I1292">
        <v>0</v>
      </c>
      <c r="J1292">
        <v>0</v>
      </c>
      <c r="K1292">
        <v>799</v>
      </c>
      <c r="L1292" s="5">
        <v>46275</v>
      </c>
      <c r="M1292" t="s">
        <v>2969</v>
      </c>
      <c r="N1292" t="s">
        <v>207</v>
      </c>
      <c r="O1292" t="s">
        <v>2991</v>
      </c>
      <c r="P1292" t="s">
        <v>208</v>
      </c>
      <c r="Q1292" t="s">
        <v>209</v>
      </c>
    </row>
    <row r="1293" spans="1:17" x14ac:dyDescent="0.3">
      <c r="A1293" t="s">
        <v>2992</v>
      </c>
      <c r="C1293" t="s">
        <v>2993</v>
      </c>
      <c r="D1293" t="s">
        <v>2993</v>
      </c>
      <c r="E1293" s="5">
        <v>46273</v>
      </c>
      <c r="F1293" t="s">
        <v>204</v>
      </c>
      <c r="G1293" t="s">
        <v>220</v>
      </c>
      <c r="H1293">
        <v>2397</v>
      </c>
      <c r="I1293">
        <v>7.19</v>
      </c>
      <c r="J1293">
        <v>1.29</v>
      </c>
      <c r="K1293">
        <v>2388.52</v>
      </c>
      <c r="L1293" s="5">
        <v>46275</v>
      </c>
      <c r="M1293" t="s">
        <v>2969</v>
      </c>
      <c r="N1293" t="s">
        <v>207</v>
      </c>
      <c r="O1293" t="s">
        <v>2993</v>
      </c>
      <c r="P1293" t="s">
        <v>208</v>
      </c>
      <c r="Q1293" t="s">
        <v>209</v>
      </c>
    </row>
    <row r="1294" spans="1:17" x14ac:dyDescent="0.3">
      <c r="A1294" t="s">
        <v>2994</v>
      </c>
      <c r="C1294" t="s">
        <v>2995</v>
      </c>
      <c r="D1294" t="s">
        <v>2995</v>
      </c>
      <c r="E1294" s="5">
        <v>46273</v>
      </c>
      <c r="F1294" t="s">
        <v>204</v>
      </c>
      <c r="G1294" t="s">
        <v>213</v>
      </c>
      <c r="H1294">
        <v>599</v>
      </c>
      <c r="I1294">
        <v>10.78</v>
      </c>
      <c r="J1294">
        <v>1.94</v>
      </c>
      <c r="K1294">
        <v>586.28</v>
      </c>
      <c r="L1294" s="5">
        <v>46275</v>
      </c>
      <c r="M1294" t="s">
        <v>2969</v>
      </c>
      <c r="N1294" t="s">
        <v>207</v>
      </c>
      <c r="O1294" t="s">
        <v>2995</v>
      </c>
      <c r="P1294" t="s">
        <v>208</v>
      </c>
      <c r="Q1294" t="s">
        <v>209</v>
      </c>
    </row>
    <row r="1295" spans="1:17" x14ac:dyDescent="0.3">
      <c r="A1295" t="s">
        <v>2996</v>
      </c>
      <c r="C1295" t="s">
        <v>2997</v>
      </c>
      <c r="D1295" t="s">
        <v>2997</v>
      </c>
      <c r="E1295" s="5">
        <v>46273</v>
      </c>
      <c r="F1295" t="s">
        <v>204</v>
      </c>
      <c r="G1295" t="s">
        <v>213</v>
      </c>
      <c r="H1295">
        <v>3998</v>
      </c>
      <c r="I1295">
        <v>63.97</v>
      </c>
      <c r="J1295">
        <v>11.51</v>
      </c>
      <c r="K1295">
        <v>3922.52</v>
      </c>
      <c r="L1295" s="5">
        <v>46275</v>
      </c>
      <c r="M1295" t="s">
        <v>2969</v>
      </c>
      <c r="N1295" t="s">
        <v>207</v>
      </c>
      <c r="O1295" t="s">
        <v>2997</v>
      </c>
      <c r="P1295" t="s">
        <v>208</v>
      </c>
      <c r="Q1295" t="s">
        <v>209</v>
      </c>
    </row>
    <row r="1296" spans="1:17" x14ac:dyDescent="0.3">
      <c r="A1296" t="s">
        <v>2998</v>
      </c>
      <c r="C1296" t="s">
        <v>2999</v>
      </c>
      <c r="D1296" t="s">
        <v>2999</v>
      </c>
      <c r="E1296" s="5">
        <v>46273</v>
      </c>
      <c r="F1296" t="s">
        <v>204</v>
      </c>
      <c r="G1296" t="s">
        <v>205</v>
      </c>
      <c r="H1296">
        <v>3197</v>
      </c>
      <c r="I1296">
        <v>54.35</v>
      </c>
      <c r="J1296">
        <v>9.7799999999999994</v>
      </c>
      <c r="K1296">
        <v>3132.87</v>
      </c>
      <c r="L1296" s="5">
        <v>46275</v>
      </c>
      <c r="M1296" t="s">
        <v>2969</v>
      </c>
      <c r="N1296" t="s">
        <v>207</v>
      </c>
      <c r="O1296" t="s">
        <v>2999</v>
      </c>
      <c r="P1296" t="s">
        <v>208</v>
      </c>
      <c r="Q1296" t="s">
        <v>209</v>
      </c>
    </row>
    <row r="1297" spans="1:17" x14ac:dyDescent="0.3">
      <c r="A1297" t="s">
        <v>3000</v>
      </c>
      <c r="C1297" t="s">
        <v>3001</v>
      </c>
      <c r="D1297" t="s">
        <v>3001</v>
      </c>
      <c r="E1297" s="5">
        <v>46273</v>
      </c>
      <c r="F1297" t="s">
        <v>204</v>
      </c>
      <c r="G1297" t="s">
        <v>213</v>
      </c>
      <c r="H1297">
        <v>10997</v>
      </c>
      <c r="I1297">
        <v>175.95</v>
      </c>
      <c r="J1297">
        <v>31.67</v>
      </c>
      <c r="K1297">
        <v>10789.38</v>
      </c>
      <c r="L1297" s="5">
        <v>46275</v>
      </c>
      <c r="M1297" t="s">
        <v>2969</v>
      </c>
      <c r="N1297" t="s">
        <v>207</v>
      </c>
      <c r="O1297" t="s">
        <v>3001</v>
      </c>
      <c r="P1297" t="s">
        <v>208</v>
      </c>
      <c r="Q1297" t="s">
        <v>209</v>
      </c>
    </row>
    <row r="1298" spans="1:17" x14ac:dyDescent="0.3">
      <c r="A1298" t="s">
        <v>3002</v>
      </c>
      <c r="C1298" t="s">
        <v>3003</v>
      </c>
      <c r="D1298" t="s">
        <v>3003</v>
      </c>
      <c r="E1298" s="5">
        <v>46273</v>
      </c>
      <c r="F1298" t="s">
        <v>204</v>
      </c>
      <c r="G1298" t="s">
        <v>205</v>
      </c>
      <c r="H1298">
        <v>1299</v>
      </c>
      <c r="I1298">
        <v>24.68</v>
      </c>
      <c r="J1298">
        <v>4.4400000000000004</v>
      </c>
      <c r="K1298">
        <v>1269.8800000000001</v>
      </c>
      <c r="L1298" s="5">
        <v>46275</v>
      </c>
      <c r="M1298" t="s">
        <v>2969</v>
      </c>
      <c r="N1298" t="s">
        <v>207</v>
      </c>
      <c r="O1298" t="s">
        <v>3003</v>
      </c>
      <c r="P1298" t="s">
        <v>208</v>
      </c>
      <c r="Q1298" t="s">
        <v>209</v>
      </c>
    </row>
    <row r="1299" spans="1:17" x14ac:dyDescent="0.3">
      <c r="A1299" t="s">
        <v>3004</v>
      </c>
      <c r="C1299" t="s">
        <v>3005</v>
      </c>
      <c r="D1299" t="s">
        <v>3005</v>
      </c>
      <c r="E1299" s="5">
        <v>46273</v>
      </c>
      <c r="F1299" t="s">
        <v>204</v>
      </c>
      <c r="G1299" t="s">
        <v>213</v>
      </c>
      <c r="H1299">
        <v>2499</v>
      </c>
      <c r="I1299">
        <v>39.979999999999997</v>
      </c>
      <c r="J1299">
        <v>7.2</v>
      </c>
      <c r="K1299">
        <v>2451.8200000000002</v>
      </c>
      <c r="L1299" s="5">
        <v>46275</v>
      </c>
      <c r="M1299" t="s">
        <v>2969</v>
      </c>
      <c r="N1299" t="s">
        <v>207</v>
      </c>
      <c r="O1299" t="s">
        <v>3005</v>
      </c>
      <c r="P1299" t="s">
        <v>208</v>
      </c>
      <c r="Q1299" t="s">
        <v>209</v>
      </c>
    </row>
    <row r="1300" spans="1:17" x14ac:dyDescent="0.3">
      <c r="A1300" t="s">
        <v>3006</v>
      </c>
      <c r="C1300" t="s">
        <v>3007</v>
      </c>
      <c r="D1300" t="s">
        <v>3008</v>
      </c>
      <c r="E1300" s="5">
        <v>46273</v>
      </c>
      <c r="F1300" t="s">
        <v>204</v>
      </c>
      <c r="G1300" t="s">
        <v>220</v>
      </c>
      <c r="H1300">
        <v>5498</v>
      </c>
      <c r="I1300">
        <v>16.489999999999998</v>
      </c>
      <c r="J1300">
        <v>2.97</v>
      </c>
      <c r="K1300">
        <v>5478.54</v>
      </c>
      <c r="L1300" s="5">
        <v>46275</v>
      </c>
      <c r="M1300" t="s">
        <v>2969</v>
      </c>
      <c r="N1300" t="s">
        <v>207</v>
      </c>
      <c r="O1300" t="s">
        <v>3008</v>
      </c>
      <c r="P1300" t="s">
        <v>208</v>
      </c>
      <c r="Q1300" t="s">
        <v>209</v>
      </c>
    </row>
    <row r="1301" spans="1:17" x14ac:dyDescent="0.3">
      <c r="A1301" t="s">
        <v>3009</v>
      </c>
      <c r="C1301" t="s">
        <v>3010</v>
      </c>
      <c r="D1301" t="s">
        <v>3010</v>
      </c>
      <c r="E1301" s="5">
        <v>46273</v>
      </c>
      <c r="F1301" t="s">
        <v>204</v>
      </c>
      <c r="G1301" t="s">
        <v>213</v>
      </c>
      <c r="H1301">
        <v>999</v>
      </c>
      <c r="I1301">
        <v>17.98</v>
      </c>
      <c r="J1301">
        <v>3.24</v>
      </c>
      <c r="K1301">
        <v>977.78</v>
      </c>
      <c r="L1301" s="5">
        <v>46275</v>
      </c>
      <c r="M1301" t="s">
        <v>2969</v>
      </c>
      <c r="N1301" t="s">
        <v>207</v>
      </c>
      <c r="O1301" t="s">
        <v>3010</v>
      </c>
      <c r="P1301" t="s">
        <v>208</v>
      </c>
      <c r="Q1301" t="s">
        <v>209</v>
      </c>
    </row>
    <row r="1302" spans="1:17" x14ac:dyDescent="0.3">
      <c r="A1302" t="s">
        <v>3011</v>
      </c>
      <c r="C1302" t="s">
        <v>3012</v>
      </c>
      <c r="D1302" t="s">
        <v>3013</v>
      </c>
      <c r="E1302" s="5">
        <v>46273</v>
      </c>
      <c r="F1302" t="s">
        <v>204</v>
      </c>
      <c r="G1302" t="s">
        <v>220</v>
      </c>
      <c r="H1302">
        <v>5297</v>
      </c>
      <c r="I1302">
        <v>15.89</v>
      </c>
      <c r="J1302">
        <v>2.86</v>
      </c>
      <c r="K1302">
        <v>5278.25</v>
      </c>
      <c r="L1302" s="5">
        <v>46275</v>
      </c>
      <c r="M1302" t="s">
        <v>2969</v>
      </c>
      <c r="N1302" t="s">
        <v>207</v>
      </c>
      <c r="O1302" t="s">
        <v>3013</v>
      </c>
      <c r="P1302" t="s">
        <v>208</v>
      </c>
      <c r="Q1302" t="s">
        <v>209</v>
      </c>
    </row>
    <row r="1303" spans="1:17" x14ac:dyDescent="0.3">
      <c r="A1303" t="s">
        <v>3014</v>
      </c>
      <c r="C1303" t="s">
        <v>3015</v>
      </c>
      <c r="D1303" t="s">
        <v>3015</v>
      </c>
      <c r="E1303" s="5">
        <v>46273</v>
      </c>
      <c r="F1303" t="s">
        <v>204</v>
      </c>
      <c r="G1303" t="s">
        <v>220</v>
      </c>
      <c r="H1303">
        <v>698</v>
      </c>
      <c r="I1303">
        <v>0</v>
      </c>
      <c r="J1303">
        <v>0</v>
      </c>
      <c r="K1303">
        <v>698</v>
      </c>
      <c r="L1303" s="5">
        <v>46275</v>
      </c>
      <c r="M1303" t="s">
        <v>2969</v>
      </c>
      <c r="N1303" t="s">
        <v>207</v>
      </c>
      <c r="O1303" t="s">
        <v>3015</v>
      </c>
      <c r="P1303" t="s">
        <v>208</v>
      </c>
      <c r="Q1303" t="s">
        <v>209</v>
      </c>
    </row>
    <row r="1304" spans="1:17" x14ac:dyDescent="0.3">
      <c r="A1304" t="s">
        <v>3016</v>
      </c>
      <c r="C1304" t="s">
        <v>3017</v>
      </c>
      <c r="D1304" t="s">
        <v>3017</v>
      </c>
      <c r="E1304" s="5">
        <v>46273</v>
      </c>
      <c r="F1304" t="s">
        <v>204</v>
      </c>
      <c r="G1304" t="s">
        <v>220</v>
      </c>
      <c r="H1304">
        <v>799</v>
      </c>
      <c r="I1304">
        <v>0</v>
      </c>
      <c r="J1304">
        <v>0</v>
      </c>
      <c r="K1304">
        <v>799</v>
      </c>
      <c r="L1304" s="5">
        <v>46275</v>
      </c>
      <c r="M1304" t="s">
        <v>2969</v>
      </c>
      <c r="N1304" t="s">
        <v>207</v>
      </c>
      <c r="O1304" t="s">
        <v>3017</v>
      </c>
      <c r="P1304" t="s">
        <v>208</v>
      </c>
      <c r="Q1304" t="s">
        <v>209</v>
      </c>
    </row>
    <row r="1305" spans="1:17" x14ac:dyDescent="0.3">
      <c r="A1305" t="s">
        <v>3018</v>
      </c>
      <c r="C1305" t="s">
        <v>3019</v>
      </c>
      <c r="D1305" t="s">
        <v>3019</v>
      </c>
      <c r="E1305" s="5">
        <v>46273</v>
      </c>
      <c r="F1305" t="s">
        <v>204</v>
      </c>
      <c r="G1305" t="s">
        <v>205</v>
      </c>
      <c r="H1305">
        <v>1798</v>
      </c>
      <c r="I1305">
        <v>34.159999999999997</v>
      </c>
      <c r="J1305">
        <v>6.15</v>
      </c>
      <c r="K1305">
        <v>1757.69</v>
      </c>
      <c r="L1305" s="5">
        <v>46275</v>
      </c>
      <c r="M1305" t="s">
        <v>2969</v>
      </c>
      <c r="N1305" t="s">
        <v>207</v>
      </c>
      <c r="O1305" t="s">
        <v>3019</v>
      </c>
      <c r="P1305" t="s">
        <v>208</v>
      </c>
      <c r="Q1305" t="s">
        <v>209</v>
      </c>
    </row>
    <row r="1306" spans="1:17" x14ac:dyDescent="0.3">
      <c r="A1306" t="s">
        <v>3020</v>
      </c>
      <c r="C1306" t="s">
        <v>3021</v>
      </c>
      <c r="D1306" t="s">
        <v>3021</v>
      </c>
      <c r="E1306" s="5">
        <v>46273</v>
      </c>
      <c r="F1306" t="s">
        <v>204</v>
      </c>
      <c r="G1306" t="s">
        <v>220</v>
      </c>
      <c r="H1306">
        <v>1697</v>
      </c>
      <c r="I1306">
        <v>0</v>
      </c>
      <c r="J1306">
        <v>0</v>
      </c>
      <c r="K1306">
        <v>1697</v>
      </c>
      <c r="L1306" s="5">
        <v>46275</v>
      </c>
      <c r="M1306" t="s">
        <v>2969</v>
      </c>
      <c r="N1306" t="s">
        <v>207</v>
      </c>
      <c r="O1306" t="s">
        <v>3021</v>
      </c>
      <c r="P1306" t="s">
        <v>208</v>
      </c>
      <c r="Q1306" t="s">
        <v>209</v>
      </c>
    </row>
    <row r="1307" spans="1:17" x14ac:dyDescent="0.3">
      <c r="A1307" t="s">
        <v>3022</v>
      </c>
      <c r="C1307" t="s">
        <v>3023</v>
      </c>
      <c r="D1307" t="s">
        <v>3024</v>
      </c>
      <c r="E1307" s="5">
        <v>46273</v>
      </c>
      <c r="F1307" t="s">
        <v>204</v>
      </c>
      <c r="G1307" t="s">
        <v>213</v>
      </c>
      <c r="H1307">
        <v>8797</v>
      </c>
      <c r="I1307">
        <v>140.75</v>
      </c>
      <c r="J1307">
        <v>25.34</v>
      </c>
      <c r="K1307">
        <v>8630.91</v>
      </c>
      <c r="L1307" s="5">
        <v>46275</v>
      </c>
      <c r="M1307" t="s">
        <v>2969</v>
      </c>
      <c r="N1307" t="s">
        <v>207</v>
      </c>
      <c r="O1307" t="s">
        <v>3024</v>
      </c>
      <c r="P1307" t="s">
        <v>208</v>
      </c>
      <c r="Q1307" t="s">
        <v>209</v>
      </c>
    </row>
    <row r="1308" spans="1:17" x14ac:dyDescent="0.3">
      <c r="A1308" t="s">
        <v>3025</v>
      </c>
      <c r="C1308" t="s">
        <v>3026</v>
      </c>
      <c r="D1308" t="s">
        <v>3026</v>
      </c>
      <c r="E1308" s="5">
        <v>46273</v>
      </c>
      <c r="F1308" t="s">
        <v>204</v>
      </c>
      <c r="G1308" t="s">
        <v>220</v>
      </c>
      <c r="H1308">
        <v>2999</v>
      </c>
      <c r="I1308">
        <v>9</v>
      </c>
      <c r="J1308">
        <v>1.62</v>
      </c>
      <c r="K1308">
        <v>2988.38</v>
      </c>
      <c r="L1308" s="5">
        <v>46275</v>
      </c>
      <c r="M1308" t="s">
        <v>2969</v>
      </c>
      <c r="N1308" t="s">
        <v>207</v>
      </c>
      <c r="O1308" t="s">
        <v>3026</v>
      </c>
      <c r="P1308" t="s">
        <v>208</v>
      </c>
      <c r="Q1308" t="s">
        <v>209</v>
      </c>
    </row>
    <row r="1309" spans="1:17" x14ac:dyDescent="0.3">
      <c r="A1309" t="s">
        <v>3027</v>
      </c>
      <c r="C1309" t="s">
        <v>3028</v>
      </c>
      <c r="D1309" t="s">
        <v>3028</v>
      </c>
      <c r="E1309" s="5">
        <v>46273</v>
      </c>
      <c r="F1309" t="s">
        <v>204</v>
      </c>
      <c r="G1309" t="s">
        <v>220</v>
      </c>
      <c r="H1309">
        <v>1798</v>
      </c>
      <c r="I1309">
        <v>0</v>
      </c>
      <c r="J1309">
        <v>0</v>
      </c>
      <c r="K1309">
        <v>1798</v>
      </c>
      <c r="L1309" s="5">
        <v>46275</v>
      </c>
      <c r="M1309" t="s">
        <v>2969</v>
      </c>
      <c r="N1309" t="s">
        <v>207</v>
      </c>
      <c r="O1309" t="s">
        <v>3028</v>
      </c>
      <c r="P1309" t="s">
        <v>208</v>
      </c>
      <c r="Q1309" t="s">
        <v>209</v>
      </c>
    </row>
    <row r="1310" spans="1:17" x14ac:dyDescent="0.3">
      <c r="A1310" t="s">
        <v>3029</v>
      </c>
      <c r="C1310" t="s">
        <v>3030</v>
      </c>
      <c r="D1310" t="s">
        <v>3030</v>
      </c>
      <c r="E1310" s="5">
        <v>46273</v>
      </c>
      <c r="F1310" t="s">
        <v>204</v>
      </c>
      <c r="G1310" t="s">
        <v>220</v>
      </c>
      <c r="H1310">
        <v>599</v>
      </c>
      <c r="I1310">
        <v>0</v>
      </c>
      <c r="J1310">
        <v>0</v>
      </c>
      <c r="K1310">
        <v>599</v>
      </c>
      <c r="L1310" s="5">
        <v>46275</v>
      </c>
      <c r="M1310" t="s">
        <v>2969</v>
      </c>
      <c r="N1310" t="s">
        <v>207</v>
      </c>
      <c r="O1310" t="s">
        <v>3030</v>
      </c>
      <c r="P1310" t="s">
        <v>208</v>
      </c>
      <c r="Q1310" t="s">
        <v>209</v>
      </c>
    </row>
    <row r="1311" spans="1:17" x14ac:dyDescent="0.3">
      <c r="A1311" t="s">
        <v>3031</v>
      </c>
      <c r="C1311" t="s">
        <v>3032</v>
      </c>
      <c r="D1311" t="s">
        <v>3032</v>
      </c>
      <c r="E1311" s="5">
        <v>46273</v>
      </c>
      <c r="F1311" t="s">
        <v>204</v>
      </c>
      <c r="G1311" t="s">
        <v>220</v>
      </c>
      <c r="H1311">
        <v>6297</v>
      </c>
      <c r="I1311">
        <v>18.89</v>
      </c>
      <c r="J1311">
        <v>3.4</v>
      </c>
      <c r="K1311">
        <v>6274.71</v>
      </c>
      <c r="L1311" s="5">
        <v>46275</v>
      </c>
      <c r="M1311" t="s">
        <v>2969</v>
      </c>
      <c r="N1311" t="s">
        <v>207</v>
      </c>
      <c r="O1311" t="s">
        <v>3032</v>
      </c>
      <c r="P1311" t="s">
        <v>208</v>
      </c>
      <c r="Q1311" t="s">
        <v>209</v>
      </c>
    </row>
    <row r="1312" spans="1:17" x14ac:dyDescent="0.3">
      <c r="A1312" t="s">
        <v>3033</v>
      </c>
      <c r="C1312" t="s">
        <v>3034</v>
      </c>
      <c r="D1312" t="s">
        <v>3034</v>
      </c>
      <c r="E1312" s="5">
        <v>46273</v>
      </c>
      <c r="F1312" t="s">
        <v>204</v>
      </c>
      <c r="G1312" t="s">
        <v>220</v>
      </c>
      <c r="H1312">
        <v>5348</v>
      </c>
      <c r="I1312">
        <v>16.04</v>
      </c>
      <c r="J1312">
        <v>2.89</v>
      </c>
      <c r="K1312">
        <v>5329.07</v>
      </c>
      <c r="L1312" s="5">
        <v>46275</v>
      </c>
      <c r="M1312" t="s">
        <v>2969</v>
      </c>
      <c r="N1312" t="s">
        <v>207</v>
      </c>
      <c r="O1312" t="s">
        <v>3034</v>
      </c>
      <c r="P1312" t="s">
        <v>208</v>
      </c>
      <c r="Q1312" t="s">
        <v>209</v>
      </c>
    </row>
    <row r="1313" spans="1:17" x14ac:dyDescent="0.3">
      <c r="A1313" t="s">
        <v>3035</v>
      </c>
      <c r="C1313" t="s">
        <v>3036</v>
      </c>
      <c r="D1313" t="s">
        <v>3036</v>
      </c>
      <c r="E1313" s="5">
        <v>46273</v>
      </c>
      <c r="F1313" t="s">
        <v>204</v>
      </c>
      <c r="G1313" t="s">
        <v>255</v>
      </c>
      <c r="H1313">
        <v>1147</v>
      </c>
      <c r="I1313">
        <v>17.21</v>
      </c>
      <c r="J1313">
        <v>3.1</v>
      </c>
      <c r="K1313">
        <v>1126.69</v>
      </c>
      <c r="L1313" s="5">
        <v>46275</v>
      </c>
      <c r="M1313" t="s">
        <v>2969</v>
      </c>
      <c r="N1313" t="s">
        <v>207</v>
      </c>
      <c r="O1313" t="s">
        <v>3036</v>
      </c>
      <c r="P1313" t="s">
        <v>208</v>
      </c>
      <c r="Q1313" t="s">
        <v>209</v>
      </c>
    </row>
    <row r="1314" spans="1:17" x14ac:dyDescent="0.3">
      <c r="A1314" t="s">
        <v>3037</v>
      </c>
      <c r="C1314" t="s">
        <v>3038</v>
      </c>
      <c r="D1314" t="s">
        <v>3039</v>
      </c>
      <c r="E1314" s="5">
        <v>46273</v>
      </c>
      <c r="F1314" t="s">
        <v>204</v>
      </c>
      <c r="G1314" t="s">
        <v>205</v>
      </c>
      <c r="H1314">
        <v>349</v>
      </c>
      <c r="I1314">
        <v>6.63</v>
      </c>
      <c r="J1314">
        <v>1.19</v>
      </c>
      <c r="K1314">
        <v>341.18</v>
      </c>
      <c r="L1314" s="5">
        <v>46275</v>
      </c>
      <c r="M1314" t="s">
        <v>2969</v>
      </c>
      <c r="N1314" t="s">
        <v>207</v>
      </c>
      <c r="O1314" t="s">
        <v>3039</v>
      </c>
      <c r="P1314" t="s">
        <v>208</v>
      </c>
      <c r="Q1314" t="s">
        <v>209</v>
      </c>
    </row>
    <row r="1315" spans="1:17" x14ac:dyDescent="0.3">
      <c r="A1315" t="s">
        <v>3040</v>
      </c>
      <c r="C1315" t="s">
        <v>3041</v>
      </c>
      <c r="D1315" t="s">
        <v>3041</v>
      </c>
      <c r="E1315" s="5">
        <v>46273</v>
      </c>
      <c r="F1315" t="s">
        <v>204</v>
      </c>
      <c r="G1315" t="s">
        <v>213</v>
      </c>
      <c r="H1315">
        <v>8498</v>
      </c>
      <c r="I1315">
        <v>135.97</v>
      </c>
      <c r="J1315">
        <v>24.47</v>
      </c>
      <c r="K1315">
        <v>8337.56</v>
      </c>
      <c r="L1315" s="5">
        <v>46275</v>
      </c>
      <c r="M1315" t="s">
        <v>2969</v>
      </c>
      <c r="N1315" t="s">
        <v>207</v>
      </c>
      <c r="O1315" t="s">
        <v>3041</v>
      </c>
      <c r="P1315" t="s">
        <v>208</v>
      </c>
      <c r="Q1315" t="s">
        <v>209</v>
      </c>
    </row>
    <row r="1316" spans="1:17" x14ac:dyDescent="0.3">
      <c r="A1316" t="s">
        <v>3042</v>
      </c>
      <c r="C1316" t="s">
        <v>3043</v>
      </c>
      <c r="D1316" t="s">
        <v>3043</v>
      </c>
      <c r="E1316" s="5">
        <v>46273</v>
      </c>
      <c r="F1316" t="s">
        <v>204</v>
      </c>
      <c r="G1316" t="s">
        <v>220</v>
      </c>
      <c r="H1316">
        <v>2397</v>
      </c>
      <c r="I1316">
        <v>7.19</v>
      </c>
      <c r="J1316">
        <v>1.29</v>
      </c>
      <c r="K1316">
        <v>2388.52</v>
      </c>
      <c r="L1316" s="5">
        <v>46275</v>
      </c>
      <c r="M1316" t="s">
        <v>2969</v>
      </c>
      <c r="N1316" t="s">
        <v>207</v>
      </c>
      <c r="O1316" t="s">
        <v>3043</v>
      </c>
      <c r="P1316" t="s">
        <v>208</v>
      </c>
      <c r="Q1316" t="s">
        <v>209</v>
      </c>
    </row>
    <row r="1317" spans="1:17" x14ac:dyDescent="0.3">
      <c r="A1317" t="s">
        <v>3044</v>
      </c>
      <c r="C1317" t="s">
        <v>3045</v>
      </c>
      <c r="D1317" t="s">
        <v>3046</v>
      </c>
      <c r="E1317" s="5">
        <v>46273</v>
      </c>
      <c r="F1317" t="s">
        <v>204</v>
      </c>
      <c r="G1317" t="s">
        <v>213</v>
      </c>
      <c r="H1317">
        <v>799</v>
      </c>
      <c r="I1317">
        <v>14.38</v>
      </c>
      <c r="J1317">
        <v>2.59</v>
      </c>
      <c r="K1317">
        <v>782.03</v>
      </c>
      <c r="L1317" s="5">
        <v>46275</v>
      </c>
      <c r="M1317" t="s">
        <v>2969</v>
      </c>
      <c r="N1317" t="s">
        <v>207</v>
      </c>
      <c r="O1317" t="s">
        <v>3046</v>
      </c>
      <c r="P1317" t="s">
        <v>208</v>
      </c>
      <c r="Q1317" t="s">
        <v>209</v>
      </c>
    </row>
    <row r="1318" spans="1:17" x14ac:dyDescent="0.3">
      <c r="A1318" t="s">
        <v>3047</v>
      </c>
      <c r="C1318" t="s">
        <v>3048</v>
      </c>
      <c r="D1318" t="s">
        <v>3049</v>
      </c>
      <c r="E1318" s="5">
        <v>46273</v>
      </c>
      <c r="F1318" t="s">
        <v>204</v>
      </c>
      <c r="G1318" t="s">
        <v>220</v>
      </c>
      <c r="H1318">
        <v>2999</v>
      </c>
      <c r="I1318">
        <v>9</v>
      </c>
      <c r="J1318">
        <v>1.62</v>
      </c>
      <c r="K1318">
        <v>2988.38</v>
      </c>
      <c r="L1318" s="5">
        <v>46275</v>
      </c>
      <c r="M1318" t="s">
        <v>2969</v>
      </c>
      <c r="N1318" t="s">
        <v>207</v>
      </c>
      <c r="O1318" t="s">
        <v>3049</v>
      </c>
      <c r="P1318" t="s">
        <v>208</v>
      </c>
      <c r="Q1318" t="s">
        <v>209</v>
      </c>
    </row>
    <row r="1319" spans="1:17" x14ac:dyDescent="0.3">
      <c r="A1319" t="s">
        <v>3050</v>
      </c>
      <c r="C1319" t="s">
        <v>3051</v>
      </c>
      <c r="D1319" t="s">
        <v>3051</v>
      </c>
      <c r="E1319" s="5">
        <v>46273</v>
      </c>
      <c r="F1319" t="s">
        <v>204</v>
      </c>
      <c r="G1319" t="s">
        <v>220</v>
      </c>
      <c r="H1319">
        <v>3499</v>
      </c>
      <c r="I1319">
        <v>10.5</v>
      </c>
      <c r="J1319">
        <v>1.89</v>
      </c>
      <c r="K1319">
        <v>3486.61</v>
      </c>
      <c r="L1319" s="5">
        <v>46275</v>
      </c>
      <c r="M1319" t="s">
        <v>2969</v>
      </c>
      <c r="N1319" t="s">
        <v>207</v>
      </c>
      <c r="O1319" t="s">
        <v>3051</v>
      </c>
      <c r="P1319" t="s">
        <v>208</v>
      </c>
      <c r="Q1319" t="s">
        <v>209</v>
      </c>
    </row>
    <row r="1320" spans="1:17" x14ac:dyDescent="0.3">
      <c r="A1320" t="s">
        <v>3052</v>
      </c>
      <c r="C1320" t="s">
        <v>3053</v>
      </c>
      <c r="D1320" t="s">
        <v>3054</v>
      </c>
      <c r="E1320" s="5">
        <v>46273</v>
      </c>
      <c r="F1320" t="s">
        <v>204</v>
      </c>
      <c r="G1320" t="s">
        <v>220</v>
      </c>
      <c r="H1320">
        <v>2148</v>
      </c>
      <c r="I1320">
        <v>6.44</v>
      </c>
      <c r="J1320">
        <v>1.1599999999999999</v>
      </c>
      <c r="K1320">
        <v>2140.4</v>
      </c>
      <c r="L1320" s="5">
        <v>46275</v>
      </c>
      <c r="M1320" t="s">
        <v>2969</v>
      </c>
      <c r="N1320" t="s">
        <v>207</v>
      </c>
      <c r="O1320" t="s">
        <v>3054</v>
      </c>
      <c r="P1320" t="s">
        <v>208</v>
      </c>
      <c r="Q1320" t="s">
        <v>209</v>
      </c>
    </row>
    <row r="1321" spans="1:17" x14ac:dyDescent="0.3">
      <c r="A1321" t="s">
        <v>3055</v>
      </c>
      <c r="C1321" t="s">
        <v>3056</v>
      </c>
      <c r="D1321" t="s">
        <v>3056</v>
      </c>
      <c r="E1321" s="5">
        <v>46273</v>
      </c>
      <c r="F1321" t="s">
        <v>204</v>
      </c>
      <c r="G1321" t="s">
        <v>220</v>
      </c>
      <c r="H1321">
        <v>799</v>
      </c>
      <c r="I1321">
        <v>0</v>
      </c>
      <c r="J1321">
        <v>0</v>
      </c>
      <c r="K1321">
        <v>799</v>
      </c>
      <c r="L1321" s="5">
        <v>46275</v>
      </c>
      <c r="M1321" t="s">
        <v>2969</v>
      </c>
      <c r="N1321" t="s">
        <v>207</v>
      </c>
      <c r="O1321" t="s">
        <v>3056</v>
      </c>
      <c r="P1321" t="s">
        <v>208</v>
      </c>
      <c r="Q1321" t="s">
        <v>209</v>
      </c>
    </row>
    <row r="1322" spans="1:17" x14ac:dyDescent="0.3">
      <c r="A1322" t="s">
        <v>3057</v>
      </c>
      <c r="C1322" t="s">
        <v>3058</v>
      </c>
      <c r="D1322" t="s">
        <v>3058</v>
      </c>
      <c r="E1322" s="5">
        <v>46273</v>
      </c>
      <c r="F1322" t="s">
        <v>204</v>
      </c>
      <c r="G1322" t="s">
        <v>205</v>
      </c>
      <c r="H1322">
        <v>4397</v>
      </c>
      <c r="I1322">
        <v>74.75</v>
      </c>
      <c r="J1322">
        <v>13.46</v>
      </c>
      <c r="K1322">
        <v>4308.79</v>
      </c>
      <c r="L1322" s="5">
        <v>46275</v>
      </c>
      <c r="M1322" t="s">
        <v>2969</v>
      </c>
      <c r="N1322" t="s">
        <v>207</v>
      </c>
      <c r="O1322" t="s">
        <v>3058</v>
      </c>
      <c r="P1322" t="s">
        <v>208</v>
      </c>
      <c r="Q1322" t="s">
        <v>209</v>
      </c>
    </row>
    <row r="1323" spans="1:17" x14ac:dyDescent="0.3">
      <c r="A1323" t="s">
        <v>3059</v>
      </c>
      <c r="C1323" t="s">
        <v>3060</v>
      </c>
      <c r="D1323" t="s">
        <v>3060</v>
      </c>
      <c r="E1323" s="5">
        <v>46273</v>
      </c>
      <c r="F1323" t="s">
        <v>204</v>
      </c>
      <c r="G1323" t="s">
        <v>213</v>
      </c>
      <c r="H1323">
        <v>2798</v>
      </c>
      <c r="I1323">
        <v>44.77</v>
      </c>
      <c r="J1323">
        <v>8.06</v>
      </c>
      <c r="K1323">
        <v>2745.17</v>
      </c>
      <c r="L1323" s="5">
        <v>46275</v>
      </c>
      <c r="M1323" t="s">
        <v>2969</v>
      </c>
      <c r="N1323" t="s">
        <v>207</v>
      </c>
      <c r="O1323" t="s">
        <v>3060</v>
      </c>
      <c r="P1323" t="s">
        <v>208</v>
      </c>
      <c r="Q1323" t="s">
        <v>209</v>
      </c>
    </row>
    <row r="1324" spans="1:17" x14ac:dyDescent="0.3">
      <c r="A1324" t="s">
        <v>3061</v>
      </c>
      <c r="C1324" t="s">
        <v>3062</v>
      </c>
      <c r="D1324" t="s">
        <v>3062</v>
      </c>
      <c r="E1324" s="5">
        <v>46273</v>
      </c>
      <c r="F1324" t="s">
        <v>204</v>
      </c>
      <c r="G1324" t="s">
        <v>213</v>
      </c>
      <c r="H1324">
        <v>499</v>
      </c>
      <c r="I1324">
        <v>8.98</v>
      </c>
      <c r="J1324">
        <v>1.62</v>
      </c>
      <c r="K1324">
        <v>488.4</v>
      </c>
      <c r="L1324" s="5">
        <v>46275</v>
      </c>
      <c r="M1324" t="s">
        <v>2969</v>
      </c>
      <c r="N1324" t="s">
        <v>207</v>
      </c>
      <c r="O1324" t="s">
        <v>3062</v>
      </c>
      <c r="P1324" t="s">
        <v>208</v>
      </c>
      <c r="Q1324" t="s">
        <v>209</v>
      </c>
    </row>
    <row r="1325" spans="1:17" x14ac:dyDescent="0.3">
      <c r="A1325" t="s">
        <v>3063</v>
      </c>
      <c r="C1325" t="s">
        <v>3064</v>
      </c>
      <c r="D1325" t="s">
        <v>3064</v>
      </c>
      <c r="E1325" s="5">
        <v>46273</v>
      </c>
      <c r="F1325" t="s">
        <v>204</v>
      </c>
      <c r="G1325" t="s">
        <v>213</v>
      </c>
      <c r="H1325">
        <v>2499</v>
      </c>
      <c r="I1325">
        <v>39.979999999999997</v>
      </c>
      <c r="J1325">
        <v>7.2</v>
      </c>
      <c r="K1325">
        <v>2451.8200000000002</v>
      </c>
      <c r="L1325" s="5">
        <v>46275</v>
      </c>
      <c r="M1325" t="s">
        <v>2969</v>
      </c>
      <c r="N1325" t="s">
        <v>207</v>
      </c>
      <c r="O1325" t="s">
        <v>3064</v>
      </c>
      <c r="P1325" t="s">
        <v>208</v>
      </c>
      <c r="Q1325" t="s">
        <v>209</v>
      </c>
    </row>
    <row r="1326" spans="1:17" x14ac:dyDescent="0.3">
      <c r="A1326" t="s">
        <v>3065</v>
      </c>
      <c r="C1326" t="s">
        <v>3066</v>
      </c>
      <c r="D1326" t="s">
        <v>3066</v>
      </c>
      <c r="E1326" s="5">
        <v>46273</v>
      </c>
      <c r="F1326" t="s">
        <v>204</v>
      </c>
      <c r="G1326" t="s">
        <v>220</v>
      </c>
      <c r="H1326">
        <v>2298</v>
      </c>
      <c r="I1326">
        <v>6.89</v>
      </c>
      <c r="J1326">
        <v>1.24</v>
      </c>
      <c r="K1326">
        <v>2289.87</v>
      </c>
      <c r="L1326" s="5">
        <v>46275</v>
      </c>
      <c r="M1326" t="s">
        <v>2969</v>
      </c>
      <c r="N1326" t="s">
        <v>207</v>
      </c>
      <c r="O1326" t="s">
        <v>3066</v>
      </c>
      <c r="P1326" t="s">
        <v>208</v>
      </c>
      <c r="Q1326" t="s">
        <v>209</v>
      </c>
    </row>
    <row r="1327" spans="1:17" x14ac:dyDescent="0.3">
      <c r="A1327" t="s">
        <v>3067</v>
      </c>
      <c r="C1327" t="s">
        <v>3068</v>
      </c>
      <c r="D1327" t="s">
        <v>3068</v>
      </c>
      <c r="E1327" s="5">
        <v>46273</v>
      </c>
      <c r="F1327" t="s">
        <v>204</v>
      </c>
      <c r="G1327" t="s">
        <v>220</v>
      </c>
      <c r="H1327">
        <v>299</v>
      </c>
      <c r="I1327">
        <v>0</v>
      </c>
      <c r="J1327">
        <v>0</v>
      </c>
      <c r="K1327">
        <v>299</v>
      </c>
      <c r="L1327" s="5">
        <v>46275</v>
      </c>
      <c r="M1327" t="s">
        <v>2969</v>
      </c>
      <c r="N1327" t="s">
        <v>207</v>
      </c>
      <c r="O1327" t="s">
        <v>3068</v>
      </c>
      <c r="P1327" t="s">
        <v>208</v>
      </c>
      <c r="Q1327" t="s">
        <v>209</v>
      </c>
    </row>
    <row r="1328" spans="1:17" x14ac:dyDescent="0.3">
      <c r="A1328" t="s">
        <v>3069</v>
      </c>
      <c r="C1328" t="s">
        <v>3070</v>
      </c>
      <c r="D1328" t="s">
        <v>3070</v>
      </c>
      <c r="E1328" s="5">
        <v>46273</v>
      </c>
      <c r="F1328" t="s">
        <v>204</v>
      </c>
      <c r="G1328" t="s">
        <v>220</v>
      </c>
      <c r="H1328">
        <v>499</v>
      </c>
      <c r="I1328">
        <v>0</v>
      </c>
      <c r="J1328">
        <v>0</v>
      </c>
      <c r="K1328">
        <v>499</v>
      </c>
      <c r="L1328" s="5">
        <v>46275</v>
      </c>
      <c r="M1328" t="s">
        <v>2969</v>
      </c>
      <c r="N1328" t="s">
        <v>207</v>
      </c>
      <c r="O1328" t="s">
        <v>3070</v>
      </c>
      <c r="P1328" t="s">
        <v>208</v>
      </c>
      <c r="Q1328" t="s">
        <v>209</v>
      </c>
    </row>
    <row r="1329" spans="1:17" x14ac:dyDescent="0.3">
      <c r="A1329" t="s">
        <v>3071</v>
      </c>
      <c r="C1329" t="s">
        <v>3072</v>
      </c>
      <c r="D1329" t="s">
        <v>3072</v>
      </c>
      <c r="E1329" s="5">
        <v>46273</v>
      </c>
      <c r="F1329" t="s">
        <v>204</v>
      </c>
      <c r="G1329" t="s">
        <v>205</v>
      </c>
      <c r="H1329">
        <v>1348</v>
      </c>
      <c r="I1329">
        <v>25.61</v>
      </c>
      <c r="J1329">
        <v>4.6100000000000003</v>
      </c>
      <c r="K1329">
        <v>1317.78</v>
      </c>
      <c r="L1329" s="5">
        <v>46275</v>
      </c>
      <c r="M1329" t="s">
        <v>2969</v>
      </c>
      <c r="N1329" t="s">
        <v>207</v>
      </c>
      <c r="O1329" t="s">
        <v>3072</v>
      </c>
      <c r="P1329" t="s">
        <v>208</v>
      </c>
      <c r="Q1329" t="s">
        <v>209</v>
      </c>
    </row>
    <row r="1330" spans="1:17" x14ac:dyDescent="0.3">
      <c r="A1330" t="s">
        <v>3073</v>
      </c>
      <c r="C1330" t="s">
        <v>3074</v>
      </c>
      <c r="D1330" t="s">
        <v>3074</v>
      </c>
      <c r="E1330" s="5">
        <v>46273</v>
      </c>
      <c r="F1330" t="s">
        <v>204</v>
      </c>
      <c r="G1330" t="s">
        <v>220</v>
      </c>
      <c r="H1330">
        <v>4498</v>
      </c>
      <c r="I1330">
        <v>13.49</v>
      </c>
      <c r="J1330">
        <v>2.4300000000000002</v>
      </c>
      <c r="K1330">
        <v>4482.08</v>
      </c>
      <c r="L1330" s="5">
        <v>46275</v>
      </c>
      <c r="M1330" t="s">
        <v>2969</v>
      </c>
      <c r="N1330" t="s">
        <v>207</v>
      </c>
      <c r="O1330" t="s">
        <v>3074</v>
      </c>
      <c r="P1330" t="s">
        <v>208</v>
      </c>
      <c r="Q1330" t="s">
        <v>209</v>
      </c>
    </row>
    <row r="1331" spans="1:17" x14ac:dyDescent="0.3">
      <c r="A1331" t="s">
        <v>3075</v>
      </c>
      <c r="C1331" t="s">
        <v>3076</v>
      </c>
      <c r="D1331" t="s">
        <v>3077</v>
      </c>
      <c r="E1331" s="5">
        <v>46273</v>
      </c>
      <c r="F1331" t="s">
        <v>204</v>
      </c>
      <c r="G1331" t="s">
        <v>255</v>
      </c>
      <c r="H1331">
        <v>2999</v>
      </c>
      <c r="I1331">
        <v>35.99</v>
      </c>
      <c r="J1331">
        <v>6.48</v>
      </c>
      <c r="K1331">
        <v>2956.53</v>
      </c>
      <c r="L1331" s="5">
        <v>46275</v>
      </c>
      <c r="M1331" t="s">
        <v>2969</v>
      </c>
      <c r="N1331" t="s">
        <v>207</v>
      </c>
      <c r="O1331" t="s">
        <v>3077</v>
      </c>
      <c r="P1331" t="s">
        <v>208</v>
      </c>
      <c r="Q1331" t="s">
        <v>209</v>
      </c>
    </row>
    <row r="1332" spans="1:17" x14ac:dyDescent="0.3">
      <c r="A1332" t="s">
        <v>3078</v>
      </c>
      <c r="C1332" t="s">
        <v>3079</v>
      </c>
      <c r="D1332" t="s">
        <v>3079</v>
      </c>
      <c r="E1332" s="5">
        <v>46273</v>
      </c>
      <c r="F1332" t="s">
        <v>204</v>
      </c>
      <c r="G1332" t="s">
        <v>220</v>
      </c>
      <c r="H1332">
        <v>12297</v>
      </c>
      <c r="I1332">
        <v>36.89</v>
      </c>
      <c r="J1332">
        <v>6.64</v>
      </c>
      <c r="K1332">
        <v>12253.47</v>
      </c>
      <c r="L1332" s="5">
        <v>46275</v>
      </c>
      <c r="M1332" t="s">
        <v>2969</v>
      </c>
      <c r="N1332" t="s">
        <v>207</v>
      </c>
      <c r="O1332" t="s">
        <v>3079</v>
      </c>
      <c r="P1332" t="s">
        <v>208</v>
      </c>
      <c r="Q1332" t="s">
        <v>209</v>
      </c>
    </row>
    <row r="1333" spans="1:17" x14ac:dyDescent="0.3">
      <c r="A1333" t="s">
        <v>3080</v>
      </c>
      <c r="C1333" t="s">
        <v>3081</v>
      </c>
      <c r="D1333" t="s">
        <v>3081</v>
      </c>
      <c r="E1333" s="5">
        <v>46273</v>
      </c>
      <c r="F1333" t="s">
        <v>204</v>
      </c>
      <c r="G1333" t="s">
        <v>255</v>
      </c>
      <c r="H1333">
        <v>3499</v>
      </c>
      <c r="I1333">
        <v>41.99</v>
      </c>
      <c r="J1333">
        <v>7.56</v>
      </c>
      <c r="K1333">
        <v>3449.45</v>
      </c>
      <c r="L1333" s="5">
        <v>46275</v>
      </c>
      <c r="M1333" t="s">
        <v>2969</v>
      </c>
      <c r="N1333" t="s">
        <v>207</v>
      </c>
      <c r="O1333" t="s">
        <v>3081</v>
      </c>
      <c r="P1333" t="s">
        <v>208</v>
      </c>
      <c r="Q1333" t="s">
        <v>209</v>
      </c>
    </row>
    <row r="1334" spans="1:17" x14ac:dyDescent="0.3">
      <c r="A1334" t="s">
        <v>3082</v>
      </c>
      <c r="C1334" t="s">
        <v>3083</v>
      </c>
      <c r="D1334" t="s">
        <v>3083</v>
      </c>
      <c r="E1334" s="5">
        <v>46273</v>
      </c>
      <c r="F1334" t="s">
        <v>204</v>
      </c>
      <c r="G1334" t="s">
        <v>220</v>
      </c>
      <c r="H1334">
        <v>3499</v>
      </c>
      <c r="I1334">
        <v>10.5</v>
      </c>
      <c r="J1334">
        <v>1.89</v>
      </c>
      <c r="K1334">
        <v>3486.61</v>
      </c>
      <c r="L1334" s="5">
        <v>46275</v>
      </c>
      <c r="M1334" t="s">
        <v>2969</v>
      </c>
      <c r="N1334" t="s">
        <v>207</v>
      </c>
      <c r="O1334" t="s">
        <v>3083</v>
      </c>
      <c r="P1334" t="s">
        <v>208</v>
      </c>
      <c r="Q1334" t="s">
        <v>209</v>
      </c>
    </row>
    <row r="1335" spans="1:17" x14ac:dyDescent="0.3">
      <c r="A1335" t="s">
        <v>3084</v>
      </c>
      <c r="C1335" t="s">
        <v>3085</v>
      </c>
      <c r="D1335" t="s">
        <v>3085</v>
      </c>
      <c r="E1335" s="5">
        <v>46273</v>
      </c>
      <c r="F1335" t="s">
        <v>204</v>
      </c>
      <c r="G1335" t="s">
        <v>220</v>
      </c>
      <c r="H1335">
        <v>9497</v>
      </c>
      <c r="I1335">
        <v>28.49</v>
      </c>
      <c r="J1335">
        <v>5.13</v>
      </c>
      <c r="K1335">
        <v>9463.3799999999992</v>
      </c>
      <c r="L1335" s="5">
        <v>46275</v>
      </c>
      <c r="M1335" t="s">
        <v>2969</v>
      </c>
      <c r="N1335" t="s">
        <v>207</v>
      </c>
      <c r="O1335" t="s">
        <v>3085</v>
      </c>
      <c r="P1335" t="s">
        <v>208</v>
      </c>
      <c r="Q1335" t="s">
        <v>209</v>
      </c>
    </row>
    <row r="1336" spans="1:17" x14ac:dyDescent="0.3">
      <c r="A1336" t="s">
        <v>3086</v>
      </c>
      <c r="C1336" t="s">
        <v>3087</v>
      </c>
      <c r="D1336" t="s">
        <v>3088</v>
      </c>
      <c r="E1336" s="5">
        <v>46273</v>
      </c>
      <c r="F1336" t="s">
        <v>204</v>
      </c>
      <c r="G1336" t="s">
        <v>213</v>
      </c>
      <c r="H1336">
        <v>1499</v>
      </c>
      <c r="I1336">
        <v>26.98</v>
      </c>
      <c r="J1336">
        <v>4.8600000000000003</v>
      </c>
      <c r="K1336">
        <v>1467.16</v>
      </c>
      <c r="L1336" s="5">
        <v>46275</v>
      </c>
      <c r="M1336" t="s">
        <v>2969</v>
      </c>
      <c r="N1336" t="s">
        <v>207</v>
      </c>
      <c r="O1336" t="s">
        <v>3088</v>
      </c>
      <c r="P1336" t="s">
        <v>208</v>
      </c>
      <c r="Q1336" t="s">
        <v>209</v>
      </c>
    </row>
    <row r="1337" spans="1:17" x14ac:dyDescent="0.3">
      <c r="A1337" t="s">
        <v>3089</v>
      </c>
      <c r="C1337" t="s">
        <v>3090</v>
      </c>
      <c r="D1337" t="s">
        <v>3090</v>
      </c>
      <c r="E1337" s="5">
        <v>46273</v>
      </c>
      <c r="F1337" t="s">
        <v>204</v>
      </c>
      <c r="G1337" t="s">
        <v>205</v>
      </c>
      <c r="H1337">
        <v>2499</v>
      </c>
      <c r="I1337">
        <v>42.48</v>
      </c>
      <c r="J1337">
        <v>7.65</v>
      </c>
      <c r="K1337">
        <v>2448.87</v>
      </c>
      <c r="L1337" s="5">
        <v>46275</v>
      </c>
      <c r="M1337" t="s">
        <v>2969</v>
      </c>
      <c r="N1337" t="s">
        <v>207</v>
      </c>
      <c r="O1337" t="s">
        <v>3090</v>
      </c>
      <c r="P1337" t="s">
        <v>208</v>
      </c>
      <c r="Q1337" t="s">
        <v>209</v>
      </c>
    </row>
    <row r="1338" spans="1:17" x14ac:dyDescent="0.3">
      <c r="A1338" t="s">
        <v>3091</v>
      </c>
      <c r="C1338" t="s">
        <v>3092</v>
      </c>
      <c r="D1338" t="s">
        <v>3092</v>
      </c>
      <c r="E1338" s="5">
        <v>46273</v>
      </c>
      <c r="F1338" t="s">
        <v>204</v>
      </c>
      <c r="G1338" t="s">
        <v>220</v>
      </c>
      <c r="H1338">
        <v>10147</v>
      </c>
      <c r="I1338">
        <v>30.44</v>
      </c>
      <c r="J1338">
        <v>5.48</v>
      </c>
      <c r="K1338">
        <v>10111.08</v>
      </c>
      <c r="L1338" s="5">
        <v>46275</v>
      </c>
      <c r="M1338" t="s">
        <v>2969</v>
      </c>
      <c r="N1338" t="s">
        <v>207</v>
      </c>
      <c r="O1338" t="s">
        <v>3092</v>
      </c>
      <c r="P1338" t="s">
        <v>208</v>
      </c>
      <c r="Q1338" t="s">
        <v>209</v>
      </c>
    </row>
    <row r="1339" spans="1:17" x14ac:dyDescent="0.3">
      <c r="A1339" t="s">
        <v>3093</v>
      </c>
      <c r="C1339" t="s">
        <v>3094</v>
      </c>
      <c r="D1339" t="s">
        <v>3094</v>
      </c>
      <c r="E1339" s="5">
        <v>46273</v>
      </c>
      <c r="F1339" t="s">
        <v>204</v>
      </c>
      <c r="G1339" t="s">
        <v>220</v>
      </c>
      <c r="H1339">
        <v>599</v>
      </c>
      <c r="I1339">
        <v>0</v>
      </c>
      <c r="J1339">
        <v>0</v>
      </c>
      <c r="K1339">
        <v>599</v>
      </c>
      <c r="L1339" s="5">
        <v>46275</v>
      </c>
      <c r="M1339" t="s">
        <v>2969</v>
      </c>
      <c r="N1339" t="s">
        <v>207</v>
      </c>
      <c r="O1339" t="s">
        <v>3094</v>
      </c>
      <c r="P1339" t="s">
        <v>208</v>
      </c>
      <c r="Q1339" t="s">
        <v>209</v>
      </c>
    </row>
    <row r="1340" spans="1:17" x14ac:dyDescent="0.3">
      <c r="A1340" t="s">
        <v>3095</v>
      </c>
      <c r="C1340" t="s">
        <v>3096</v>
      </c>
      <c r="D1340" t="s">
        <v>3096</v>
      </c>
      <c r="E1340" s="5">
        <v>46273</v>
      </c>
      <c r="F1340" t="s">
        <v>204</v>
      </c>
      <c r="G1340" t="s">
        <v>213</v>
      </c>
      <c r="H1340">
        <v>2499</v>
      </c>
      <c r="I1340">
        <v>39.979999999999997</v>
      </c>
      <c r="J1340">
        <v>7.2</v>
      </c>
      <c r="K1340">
        <v>2451.8200000000002</v>
      </c>
      <c r="L1340" s="5">
        <v>46275</v>
      </c>
      <c r="M1340" t="s">
        <v>2969</v>
      </c>
      <c r="N1340" t="s">
        <v>207</v>
      </c>
      <c r="O1340" t="s">
        <v>3096</v>
      </c>
      <c r="P1340" t="s">
        <v>208</v>
      </c>
      <c r="Q1340" t="s">
        <v>209</v>
      </c>
    </row>
    <row r="1341" spans="1:17" x14ac:dyDescent="0.3">
      <c r="A1341" t="s">
        <v>3097</v>
      </c>
      <c r="C1341" t="s">
        <v>3098</v>
      </c>
      <c r="D1341" t="s">
        <v>3098</v>
      </c>
      <c r="E1341" s="5">
        <v>46273</v>
      </c>
      <c r="F1341" t="s">
        <v>204</v>
      </c>
      <c r="G1341" t="s">
        <v>205</v>
      </c>
      <c r="H1341">
        <v>4597</v>
      </c>
      <c r="I1341">
        <v>78.150000000000006</v>
      </c>
      <c r="J1341">
        <v>14.07</v>
      </c>
      <c r="K1341">
        <v>4504.78</v>
      </c>
      <c r="L1341" s="5">
        <v>46275</v>
      </c>
      <c r="M1341" t="s">
        <v>2969</v>
      </c>
      <c r="N1341" t="s">
        <v>207</v>
      </c>
      <c r="O1341" t="s">
        <v>3098</v>
      </c>
      <c r="P1341" t="s">
        <v>208</v>
      </c>
      <c r="Q1341" t="s">
        <v>209</v>
      </c>
    </row>
    <row r="1342" spans="1:17" x14ac:dyDescent="0.3">
      <c r="A1342" t="s">
        <v>3099</v>
      </c>
      <c r="C1342" t="s">
        <v>3100</v>
      </c>
      <c r="D1342" t="s">
        <v>3100</v>
      </c>
      <c r="E1342" s="5">
        <v>46273</v>
      </c>
      <c r="F1342" t="s">
        <v>204</v>
      </c>
      <c r="G1342" t="s">
        <v>220</v>
      </c>
      <c r="H1342">
        <v>599</v>
      </c>
      <c r="I1342">
        <v>0</v>
      </c>
      <c r="J1342">
        <v>0</v>
      </c>
      <c r="K1342">
        <v>599</v>
      </c>
      <c r="L1342" s="5">
        <v>46275</v>
      </c>
      <c r="M1342" t="s">
        <v>2969</v>
      </c>
      <c r="N1342" t="s">
        <v>207</v>
      </c>
      <c r="O1342" t="s">
        <v>3100</v>
      </c>
      <c r="P1342" t="s">
        <v>208</v>
      </c>
      <c r="Q1342" t="s">
        <v>209</v>
      </c>
    </row>
    <row r="1343" spans="1:17" x14ac:dyDescent="0.3">
      <c r="A1343" t="s">
        <v>3101</v>
      </c>
      <c r="C1343" t="s">
        <v>3102</v>
      </c>
      <c r="D1343" t="s">
        <v>3102</v>
      </c>
      <c r="E1343" s="5">
        <v>46273</v>
      </c>
      <c r="F1343" t="s">
        <v>204</v>
      </c>
      <c r="G1343" t="s">
        <v>213</v>
      </c>
      <c r="H1343">
        <v>2298</v>
      </c>
      <c r="I1343">
        <v>36.770000000000003</v>
      </c>
      <c r="J1343">
        <v>6.62</v>
      </c>
      <c r="K1343">
        <v>2254.61</v>
      </c>
      <c r="L1343" s="5">
        <v>46275</v>
      </c>
      <c r="M1343" t="s">
        <v>2969</v>
      </c>
      <c r="N1343" t="s">
        <v>207</v>
      </c>
      <c r="O1343" t="s">
        <v>3102</v>
      </c>
      <c r="P1343" t="s">
        <v>208</v>
      </c>
      <c r="Q1343" t="s">
        <v>209</v>
      </c>
    </row>
    <row r="1344" spans="1:17" x14ac:dyDescent="0.3">
      <c r="A1344" t="s">
        <v>3103</v>
      </c>
      <c r="C1344" t="s">
        <v>3104</v>
      </c>
      <c r="D1344" t="s">
        <v>3104</v>
      </c>
      <c r="E1344" s="5">
        <v>46273</v>
      </c>
      <c r="F1344" t="s">
        <v>204</v>
      </c>
      <c r="G1344" t="s">
        <v>220</v>
      </c>
      <c r="H1344">
        <v>599</v>
      </c>
      <c r="I1344">
        <v>0</v>
      </c>
      <c r="J1344">
        <v>0</v>
      </c>
      <c r="K1344">
        <v>599</v>
      </c>
      <c r="L1344" s="5">
        <v>46275</v>
      </c>
      <c r="M1344" t="s">
        <v>2969</v>
      </c>
      <c r="N1344" t="s">
        <v>207</v>
      </c>
      <c r="O1344" t="s">
        <v>3104</v>
      </c>
      <c r="P1344" t="s">
        <v>208</v>
      </c>
      <c r="Q1344" t="s">
        <v>209</v>
      </c>
    </row>
    <row r="1345" spans="1:17" x14ac:dyDescent="0.3">
      <c r="A1345" t="s">
        <v>3105</v>
      </c>
      <c r="C1345" t="s">
        <v>3106</v>
      </c>
      <c r="D1345" t="s">
        <v>3106</v>
      </c>
      <c r="E1345" s="5">
        <v>46273</v>
      </c>
      <c r="F1345" t="s">
        <v>204</v>
      </c>
      <c r="G1345" t="s">
        <v>213</v>
      </c>
      <c r="H1345">
        <v>8348</v>
      </c>
      <c r="I1345">
        <v>133.57</v>
      </c>
      <c r="J1345">
        <v>24.04</v>
      </c>
      <c r="K1345">
        <v>8190.39</v>
      </c>
      <c r="L1345" s="5">
        <v>46275</v>
      </c>
      <c r="M1345" t="s">
        <v>2969</v>
      </c>
      <c r="N1345" t="s">
        <v>207</v>
      </c>
      <c r="O1345" t="s">
        <v>3106</v>
      </c>
      <c r="P1345" t="s">
        <v>208</v>
      </c>
      <c r="Q1345" t="s">
        <v>209</v>
      </c>
    </row>
    <row r="1346" spans="1:17" x14ac:dyDescent="0.3">
      <c r="A1346" t="s">
        <v>3107</v>
      </c>
      <c r="C1346" t="s">
        <v>3108</v>
      </c>
      <c r="D1346" t="s">
        <v>3108</v>
      </c>
      <c r="E1346" s="5">
        <v>46273</v>
      </c>
      <c r="F1346" t="s">
        <v>204</v>
      </c>
      <c r="G1346" t="s">
        <v>220</v>
      </c>
      <c r="H1346">
        <v>7999</v>
      </c>
      <c r="I1346">
        <v>24</v>
      </c>
      <c r="J1346">
        <v>4.32</v>
      </c>
      <c r="K1346">
        <v>7970.68</v>
      </c>
      <c r="L1346" s="5">
        <v>46275</v>
      </c>
      <c r="M1346" t="s">
        <v>2969</v>
      </c>
      <c r="N1346" t="s">
        <v>207</v>
      </c>
      <c r="O1346" t="s">
        <v>3108</v>
      </c>
      <c r="P1346" t="s">
        <v>208</v>
      </c>
      <c r="Q1346" t="s">
        <v>209</v>
      </c>
    </row>
    <row r="1347" spans="1:17" x14ac:dyDescent="0.3">
      <c r="A1347" t="s">
        <v>3109</v>
      </c>
      <c r="C1347" t="s">
        <v>3110</v>
      </c>
      <c r="D1347" t="s">
        <v>3110</v>
      </c>
      <c r="E1347" s="5">
        <v>46273</v>
      </c>
      <c r="F1347" t="s">
        <v>204</v>
      </c>
      <c r="G1347" t="s">
        <v>220</v>
      </c>
      <c r="H1347">
        <v>12997</v>
      </c>
      <c r="I1347">
        <v>38.99</v>
      </c>
      <c r="J1347">
        <v>7.02</v>
      </c>
      <c r="K1347">
        <v>12950.99</v>
      </c>
      <c r="L1347" s="5">
        <v>46275</v>
      </c>
      <c r="M1347" t="s">
        <v>2969</v>
      </c>
      <c r="N1347" t="s">
        <v>207</v>
      </c>
      <c r="O1347" t="s">
        <v>3110</v>
      </c>
      <c r="P1347" t="s">
        <v>208</v>
      </c>
      <c r="Q1347" t="s">
        <v>209</v>
      </c>
    </row>
    <row r="1348" spans="1:17" x14ac:dyDescent="0.3">
      <c r="A1348" t="s">
        <v>3111</v>
      </c>
      <c r="C1348" t="s">
        <v>3112</v>
      </c>
      <c r="D1348" t="s">
        <v>3112</v>
      </c>
      <c r="E1348" s="5">
        <v>46273</v>
      </c>
      <c r="F1348" t="s">
        <v>204</v>
      </c>
      <c r="G1348" t="s">
        <v>255</v>
      </c>
      <c r="H1348">
        <v>7999</v>
      </c>
      <c r="I1348">
        <v>95.99</v>
      </c>
      <c r="J1348">
        <v>17.28</v>
      </c>
      <c r="K1348">
        <v>7885.73</v>
      </c>
      <c r="L1348" s="5">
        <v>46275</v>
      </c>
      <c r="M1348" t="s">
        <v>2969</v>
      </c>
      <c r="N1348" t="s">
        <v>207</v>
      </c>
      <c r="O1348" t="s">
        <v>3112</v>
      </c>
      <c r="P1348" t="s">
        <v>208</v>
      </c>
      <c r="Q1348" t="s">
        <v>209</v>
      </c>
    </row>
    <row r="1349" spans="1:17" x14ac:dyDescent="0.3">
      <c r="A1349" t="s">
        <v>3113</v>
      </c>
      <c r="C1349" t="s">
        <v>3114</v>
      </c>
      <c r="D1349" t="s">
        <v>3114</v>
      </c>
      <c r="E1349" s="5">
        <v>46273</v>
      </c>
      <c r="F1349" t="s">
        <v>204</v>
      </c>
      <c r="G1349" t="s">
        <v>255</v>
      </c>
      <c r="H1349">
        <v>9998</v>
      </c>
      <c r="I1349">
        <v>119.98</v>
      </c>
      <c r="J1349">
        <v>21.6</v>
      </c>
      <c r="K1349">
        <v>9856.42</v>
      </c>
      <c r="L1349" s="5">
        <v>46275</v>
      </c>
      <c r="M1349" t="s">
        <v>2969</v>
      </c>
      <c r="N1349" t="s">
        <v>207</v>
      </c>
      <c r="O1349" t="s">
        <v>3114</v>
      </c>
      <c r="P1349" t="s">
        <v>208</v>
      </c>
      <c r="Q1349" t="s">
        <v>209</v>
      </c>
    </row>
    <row r="1350" spans="1:17" x14ac:dyDescent="0.3">
      <c r="A1350" t="s">
        <v>3115</v>
      </c>
      <c r="C1350" t="s">
        <v>3116</v>
      </c>
      <c r="D1350" t="s">
        <v>3117</v>
      </c>
      <c r="E1350" s="5">
        <v>46273</v>
      </c>
      <c r="F1350" t="s">
        <v>204</v>
      </c>
      <c r="G1350" t="s">
        <v>220</v>
      </c>
      <c r="H1350">
        <v>3499</v>
      </c>
      <c r="I1350">
        <v>10.5</v>
      </c>
      <c r="J1350">
        <v>1.89</v>
      </c>
      <c r="K1350">
        <v>3486.61</v>
      </c>
      <c r="L1350" s="5">
        <v>46275</v>
      </c>
      <c r="M1350" t="s">
        <v>2969</v>
      </c>
      <c r="N1350" t="s">
        <v>207</v>
      </c>
      <c r="O1350" t="s">
        <v>3117</v>
      </c>
      <c r="P1350" t="s">
        <v>208</v>
      </c>
      <c r="Q1350" t="s">
        <v>209</v>
      </c>
    </row>
    <row r="1351" spans="1:17" x14ac:dyDescent="0.3">
      <c r="A1351" t="s">
        <v>3118</v>
      </c>
      <c r="C1351" t="s">
        <v>3119</v>
      </c>
      <c r="D1351" t="s">
        <v>3119</v>
      </c>
      <c r="E1351" s="5">
        <v>46273</v>
      </c>
      <c r="F1351" t="s">
        <v>204</v>
      </c>
      <c r="G1351" t="s">
        <v>213</v>
      </c>
      <c r="H1351">
        <v>1998</v>
      </c>
      <c r="I1351">
        <v>35.96</v>
      </c>
      <c r="J1351">
        <v>6.47</v>
      </c>
      <c r="K1351">
        <v>1955.57</v>
      </c>
      <c r="L1351" s="5">
        <v>46275</v>
      </c>
      <c r="M1351" t="s">
        <v>2969</v>
      </c>
      <c r="N1351" t="s">
        <v>207</v>
      </c>
      <c r="O1351" t="s">
        <v>3119</v>
      </c>
      <c r="P1351" t="s">
        <v>208</v>
      </c>
      <c r="Q1351" t="s">
        <v>209</v>
      </c>
    </row>
    <row r="1352" spans="1:17" x14ac:dyDescent="0.3">
      <c r="A1352" t="s">
        <v>3120</v>
      </c>
      <c r="C1352" t="s">
        <v>3121</v>
      </c>
      <c r="D1352" t="s">
        <v>3121</v>
      </c>
      <c r="E1352" s="5">
        <v>46273</v>
      </c>
      <c r="F1352" t="s">
        <v>204</v>
      </c>
      <c r="G1352" t="s">
        <v>220</v>
      </c>
      <c r="H1352">
        <v>1499</v>
      </c>
      <c r="I1352">
        <v>0</v>
      </c>
      <c r="J1352">
        <v>0</v>
      </c>
      <c r="K1352">
        <v>1499</v>
      </c>
      <c r="L1352" s="5">
        <v>46275</v>
      </c>
      <c r="M1352" t="s">
        <v>2969</v>
      </c>
      <c r="N1352" t="s">
        <v>207</v>
      </c>
      <c r="O1352" t="s">
        <v>3121</v>
      </c>
      <c r="P1352" t="s">
        <v>208</v>
      </c>
      <c r="Q1352" t="s">
        <v>209</v>
      </c>
    </row>
    <row r="1353" spans="1:17" x14ac:dyDescent="0.3">
      <c r="A1353" t="s">
        <v>3122</v>
      </c>
      <c r="C1353" t="s">
        <v>3123</v>
      </c>
      <c r="D1353" t="s">
        <v>3123</v>
      </c>
      <c r="E1353" s="5">
        <v>46273</v>
      </c>
      <c r="F1353" t="s">
        <v>204</v>
      </c>
      <c r="G1353" t="s">
        <v>220</v>
      </c>
      <c r="H1353">
        <v>2999</v>
      </c>
      <c r="I1353">
        <v>9</v>
      </c>
      <c r="J1353">
        <v>1.62</v>
      </c>
      <c r="K1353">
        <v>2988.38</v>
      </c>
      <c r="L1353" s="5">
        <v>46275</v>
      </c>
      <c r="M1353" t="s">
        <v>2969</v>
      </c>
      <c r="N1353" t="s">
        <v>207</v>
      </c>
      <c r="O1353" t="s">
        <v>3123</v>
      </c>
      <c r="P1353" t="s">
        <v>208</v>
      </c>
      <c r="Q1353" t="s">
        <v>209</v>
      </c>
    </row>
    <row r="1354" spans="1:17" x14ac:dyDescent="0.3">
      <c r="A1354" t="s">
        <v>3124</v>
      </c>
      <c r="C1354" t="s">
        <v>3125</v>
      </c>
      <c r="D1354" t="s">
        <v>3125</v>
      </c>
      <c r="E1354" s="5">
        <v>46273</v>
      </c>
      <c r="F1354" t="s">
        <v>204</v>
      </c>
      <c r="G1354" t="s">
        <v>220</v>
      </c>
      <c r="H1354">
        <v>1299</v>
      </c>
      <c r="I1354">
        <v>0</v>
      </c>
      <c r="J1354">
        <v>0</v>
      </c>
      <c r="K1354">
        <v>1299</v>
      </c>
      <c r="L1354" s="5">
        <v>46275</v>
      </c>
      <c r="M1354" t="s">
        <v>2969</v>
      </c>
      <c r="N1354" t="s">
        <v>207</v>
      </c>
      <c r="O1354" t="s">
        <v>3125</v>
      </c>
      <c r="P1354" t="s">
        <v>208</v>
      </c>
      <c r="Q1354" t="s">
        <v>209</v>
      </c>
    </row>
    <row r="1355" spans="1:17" x14ac:dyDescent="0.3">
      <c r="A1355" t="s">
        <v>3126</v>
      </c>
      <c r="C1355" t="s">
        <v>3127</v>
      </c>
      <c r="D1355" t="s">
        <v>3127</v>
      </c>
      <c r="E1355" s="5">
        <v>46273</v>
      </c>
      <c r="F1355" t="s">
        <v>204</v>
      </c>
      <c r="G1355" t="s">
        <v>220</v>
      </c>
      <c r="H1355">
        <v>799</v>
      </c>
      <c r="I1355">
        <v>0</v>
      </c>
      <c r="J1355">
        <v>0</v>
      </c>
      <c r="K1355">
        <v>799</v>
      </c>
      <c r="L1355" s="5">
        <v>46275</v>
      </c>
      <c r="M1355" t="s">
        <v>2969</v>
      </c>
      <c r="N1355" t="s">
        <v>207</v>
      </c>
      <c r="O1355" t="s">
        <v>3127</v>
      </c>
      <c r="P1355" t="s">
        <v>208</v>
      </c>
      <c r="Q1355" t="s">
        <v>209</v>
      </c>
    </row>
    <row r="1356" spans="1:17" x14ac:dyDescent="0.3">
      <c r="A1356" t="s">
        <v>3128</v>
      </c>
      <c r="C1356" t="s">
        <v>3129</v>
      </c>
      <c r="D1356" t="s">
        <v>3129</v>
      </c>
      <c r="E1356" s="5">
        <v>46273</v>
      </c>
      <c r="F1356" t="s">
        <v>204</v>
      </c>
      <c r="G1356" t="s">
        <v>220</v>
      </c>
      <c r="H1356">
        <v>7998</v>
      </c>
      <c r="I1356">
        <v>23.99</v>
      </c>
      <c r="J1356">
        <v>4.32</v>
      </c>
      <c r="K1356">
        <v>7969.69</v>
      </c>
      <c r="L1356" s="5">
        <v>46275</v>
      </c>
      <c r="M1356" t="s">
        <v>2969</v>
      </c>
      <c r="N1356" t="s">
        <v>207</v>
      </c>
      <c r="O1356" t="s">
        <v>3129</v>
      </c>
      <c r="P1356" t="s">
        <v>208</v>
      </c>
      <c r="Q1356" t="s">
        <v>209</v>
      </c>
    </row>
    <row r="1357" spans="1:17" x14ac:dyDescent="0.3">
      <c r="A1357" t="s">
        <v>3130</v>
      </c>
      <c r="C1357" t="s">
        <v>3131</v>
      </c>
      <c r="D1357" t="s">
        <v>3131</v>
      </c>
      <c r="E1357" s="5">
        <v>46273</v>
      </c>
      <c r="F1357" t="s">
        <v>204</v>
      </c>
      <c r="G1357" t="s">
        <v>205</v>
      </c>
      <c r="H1357">
        <v>4998</v>
      </c>
      <c r="I1357">
        <v>84.97</v>
      </c>
      <c r="J1357">
        <v>15.29</v>
      </c>
      <c r="K1357">
        <v>4897.74</v>
      </c>
      <c r="L1357" s="5">
        <v>46275</v>
      </c>
      <c r="M1357" t="s">
        <v>2969</v>
      </c>
      <c r="N1357" t="s">
        <v>207</v>
      </c>
      <c r="O1357" t="s">
        <v>3131</v>
      </c>
      <c r="P1357" t="s">
        <v>208</v>
      </c>
      <c r="Q1357" t="s">
        <v>209</v>
      </c>
    </row>
    <row r="1358" spans="1:17" x14ac:dyDescent="0.3">
      <c r="A1358" t="s">
        <v>3132</v>
      </c>
      <c r="C1358" t="s">
        <v>3133</v>
      </c>
      <c r="D1358" t="s">
        <v>3134</v>
      </c>
      <c r="E1358" s="5">
        <v>46273</v>
      </c>
      <c r="F1358" t="s">
        <v>204</v>
      </c>
      <c r="G1358" t="s">
        <v>220</v>
      </c>
      <c r="H1358">
        <v>8998</v>
      </c>
      <c r="I1358">
        <v>26.99</v>
      </c>
      <c r="J1358">
        <v>4.8600000000000003</v>
      </c>
      <c r="K1358">
        <v>8966.15</v>
      </c>
      <c r="L1358" s="5">
        <v>46275</v>
      </c>
      <c r="M1358" t="s">
        <v>2969</v>
      </c>
      <c r="N1358" t="s">
        <v>207</v>
      </c>
      <c r="O1358" t="s">
        <v>3134</v>
      </c>
      <c r="P1358" t="s">
        <v>208</v>
      </c>
      <c r="Q1358" t="s">
        <v>209</v>
      </c>
    </row>
    <row r="1359" spans="1:17" x14ac:dyDescent="0.3">
      <c r="A1359" t="s">
        <v>3135</v>
      </c>
      <c r="C1359" t="s">
        <v>3136</v>
      </c>
      <c r="D1359" t="s">
        <v>3136</v>
      </c>
      <c r="E1359" s="5">
        <v>46273</v>
      </c>
      <c r="F1359" t="s">
        <v>204</v>
      </c>
      <c r="G1359" t="s">
        <v>255</v>
      </c>
      <c r="H1359">
        <v>3098</v>
      </c>
      <c r="I1359">
        <v>37.18</v>
      </c>
      <c r="J1359">
        <v>6.69</v>
      </c>
      <c r="K1359">
        <v>3054.13</v>
      </c>
      <c r="L1359" s="5">
        <v>46275</v>
      </c>
      <c r="M1359" t="s">
        <v>2969</v>
      </c>
      <c r="N1359" t="s">
        <v>207</v>
      </c>
      <c r="O1359" t="s">
        <v>3136</v>
      </c>
      <c r="P1359" t="s">
        <v>208</v>
      </c>
      <c r="Q1359" t="s">
        <v>209</v>
      </c>
    </row>
    <row r="1360" spans="1:17" x14ac:dyDescent="0.3">
      <c r="A1360" t="s">
        <v>3137</v>
      </c>
      <c r="C1360" t="s">
        <v>3138</v>
      </c>
      <c r="D1360" t="s">
        <v>3139</v>
      </c>
      <c r="E1360" s="5">
        <v>46273</v>
      </c>
      <c r="F1360" t="s">
        <v>204</v>
      </c>
      <c r="G1360" t="s">
        <v>213</v>
      </c>
      <c r="H1360">
        <v>5498</v>
      </c>
      <c r="I1360">
        <v>87.97</v>
      </c>
      <c r="J1360">
        <v>15.83</v>
      </c>
      <c r="K1360">
        <v>5394.2</v>
      </c>
      <c r="L1360" s="5">
        <v>46275</v>
      </c>
      <c r="M1360" t="s">
        <v>2969</v>
      </c>
      <c r="N1360" t="s">
        <v>207</v>
      </c>
      <c r="O1360" t="s">
        <v>3139</v>
      </c>
      <c r="P1360" t="s">
        <v>208</v>
      </c>
      <c r="Q1360" t="s">
        <v>209</v>
      </c>
    </row>
    <row r="1361" spans="1:17" x14ac:dyDescent="0.3">
      <c r="A1361" t="s">
        <v>3140</v>
      </c>
      <c r="C1361" t="s">
        <v>3141</v>
      </c>
      <c r="D1361" t="s">
        <v>3141</v>
      </c>
      <c r="E1361" s="5">
        <v>46273</v>
      </c>
      <c r="F1361" t="s">
        <v>204</v>
      </c>
      <c r="G1361" t="s">
        <v>213</v>
      </c>
      <c r="H1361">
        <v>4097</v>
      </c>
      <c r="I1361">
        <v>65.55</v>
      </c>
      <c r="J1361">
        <v>11.8</v>
      </c>
      <c r="K1361">
        <v>4019.65</v>
      </c>
      <c r="L1361" s="5">
        <v>46275</v>
      </c>
      <c r="M1361" t="s">
        <v>2969</v>
      </c>
      <c r="N1361" t="s">
        <v>207</v>
      </c>
      <c r="O1361" t="s">
        <v>3141</v>
      </c>
      <c r="P1361" t="s">
        <v>208</v>
      </c>
      <c r="Q1361" t="s">
        <v>209</v>
      </c>
    </row>
    <row r="1362" spans="1:17" x14ac:dyDescent="0.3">
      <c r="A1362" t="s">
        <v>3142</v>
      </c>
      <c r="C1362" t="s">
        <v>3143</v>
      </c>
      <c r="D1362" t="s">
        <v>3143</v>
      </c>
      <c r="E1362" s="5">
        <v>46273</v>
      </c>
      <c r="F1362" t="s">
        <v>204</v>
      </c>
      <c r="G1362" t="s">
        <v>213</v>
      </c>
      <c r="H1362">
        <v>4999</v>
      </c>
      <c r="I1362">
        <v>79.98</v>
      </c>
      <c r="J1362">
        <v>14.4</v>
      </c>
      <c r="K1362">
        <v>4904.62</v>
      </c>
      <c r="L1362" s="5">
        <v>46275</v>
      </c>
      <c r="M1362" t="s">
        <v>2969</v>
      </c>
      <c r="N1362" t="s">
        <v>207</v>
      </c>
      <c r="O1362" t="s">
        <v>3143</v>
      </c>
      <c r="P1362" t="s">
        <v>208</v>
      </c>
      <c r="Q1362" t="s">
        <v>209</v>
      </c>
    </row>
    <row r="1363" spans="1:17" x14ac:dyDescent="0.3">
      <c r="A1363" t="s">
        <v>3144</v>
      </c>
      <c r="C1363" t="s">
        <v>3145</v>
      </c>
      <c r="D1363" t="s">
        <v>3145</v>
      </c>
      <c r="E1363" s="5">
        <v>46273</v>
      </c>
      <c r="F1363" t="s">
        <v>204</v>
      </c>
      <c r="G1363" t="s">
        <v>213</v>
      </c>
      <c r="H1363">
        <v>798</v>
      </c>
      <c r="I1363">
        <v>14.36</v>
      </c>
      <c r="J1363">
        <v>2.58</v>
      </c>
      <c r="K1363">
        <v>781.06</v>
      </c>
      <c r="L1363" s="5">
        <v>46275</v>
      </c>
      <c r="M1363" t="s">
        <v>2969</v>
      </c>
      <c r="N1363" t="s">
        <v>207</v>
      </c>
      <c r="O1363" t="s">
        <v>3145</v>
      </c>
      <c r="P1363" t="s">
        <v>208</v>
      </c>
      <c r="Q1363" t="s">
        <v>209</v>
      </c>
    </row>
    <row r="1364" spans="1:17" x14ac:dyDescent="0.3">
      <c r="A1364" t="s">
        <v>3146</v>
      </c>
      <c r="C1364" t="s">
        <v>3147</v>
      </c>
      <c r="D1364" t="s">
        <v>3147</v>
      </c>
      <c r="E1364" s="5">
        <v>46273</v>
      </c>
      <c r="F1364" t="s">
        <v>204</v>
      </c>
      <c r="G1364" t="s">
        <v>220</v>
      </c>
      <c r="H1364">
        <v>3098</v>
      </c>
      <c r="I1364">
        <v>9.2899999999999991</v>
      </c>
      <c r="J1364">
        <v>1.67</v>
      </c>
      <c r="K1364">
        <v>3087.04</v>
      </c>
      <c r="L1364" s="5">
        <v>46275</v>
      </c>
      <c r="M1364" t="s">
        <v>2969</v>
      </c>
      <c r="N1364" t="s">
        <v>207</v>
      </c>
      <c r="O1364" t="s">
        <v>3147</v>
      </c>
      <c r="P1364" t="s">
        <v>208</v>
      </c>
      <c r="Q1364" t="s">
        <v>209</v>
      </c>
    </row>
    <row r="1365" spans="1:17" x14ac:dyDescent="0.3">
      <c r="A1365" t="s">
        <v>3148</v>
      </c>
      <c r="C1365" t="s">
        <v>3149</v>
      </c>
      <c r="D1365" t="s">
        <v>3150</v>
      </c>
      <c r="E1365" s="5">
        <v>46273</v>
      </c>
      <c r="F1365" t="s">
        <v>204</v>
      </c>
      <c r="G1365" t="s">
        <v>205</v>
      </c>
      <c r="H1365">
        <v>2999</v>
      </c>
      <c r="I1365">
        <v>50.98</v>
      </c>
      <c r="J1365">
        <v>9.18</v>
      </c>
      <c r="K1365">
        <v>2938.84</v>
      </c>
      <c r="L1365" s="5">
        <v>46275</v>
      </c>
      <c r="M1365" t="s">
        <v>2969</v>
      </c>
      <c r="N1365" t="s">
        <v>207</v>
      </c>
      <c r="O1365" t="s">
        <v>3150</v>
      </c>
      <c r="P1365" t="s">
        <v>208</v>
      </c>
      <c r="Q1365" t="s">
        <v>209</v>
      </c>
    </row>
    <row r="1366" spans="1:17" x14ac:dyDescent="0.3">
      <c r="A1366" t="s">
        <v>3151</v>
      </c>
      <c r="C1366" t="s">
        <v>3152</v>
      </c>
      <c r="D1366" t="s">
        <v>3152</v>
      </c>
      <c r="E1366" s="5">
        <v>46273</v>
      </c>
      <c r="F1366" t="s">
        <v>204</v>
      </c>
      <c r="G1366" t="s">
        <v>255</v>
      </c>
      <c r="H1366">
        <v>15998</v>
      </c>
      <c r="I1366">
        <v>143.97999999999999</v>
      </c>
      <c r="J1366">
        <v>25.92</v>
      </c>
      <c r="K1366">
        <v>15828.1</v>
      </c>
      <c r="L1366" s="5">
        <v>46275</v>
      </c>
      <c r="M1366" t="s">
        <v>2969</v>
      </c>
      <c r="N1366" t="s">
        <v>207</v>
      </c>
      <c r="O1366" t="s">
        <v>3152</v>
      </c>
      <c r="P1366" t="s">
        <v>208</v>
      </c>
      <c r="Q1366" t="s">
        <v>209</v>
      </c>
    </row>
    <row r="1367" spans="1:17" x14ac:dyDescent="0.3">
      <c r="A1367" t="s">
        <v>3153</v>
      </c>
      <c r="C1367" t="s">
        <v>3154</v>
      </c>
      <c r="D1367" t="s">
        <v>3154</v>
      </c>
      <c r="E1367" s="5">
        <v>46273</v>
      </c>
      <c r="F1367" t="s">
        <v>204</v>
      </c>
      <c r="G1367" t="s">
        <v>205</v>
      </c>
      <c r="H1367">
        <v>4997</v>
      </c>
      <c r="I1367">
        <v>84.95</v>
      </c>
      <c r="J1367">
        <v>15.29</v>
      </c>
      <c r="K1367">
        <v>4896.76</v>
      </c>
      <c r="L1367" s="5">
        <v>46275</v>
      </c>
      <c r="M1367" t="s">
        <v>2969</v>
      </c>
      <c r="N1367" t="s">
        <v>207</v>
      </c>
      <c r="O1367" t="s">
        <v>3154</v>
      </c>
      <c r="P1367" t="s">
        <v>208</v>
      </c>
      <c r="Q1367" t="s">
        <v>209</v>
      </c>
    </row>
    <row r="1368" spans="1:17" x14ac:dyDescent="0.3">
      <c r="A1368" t="s">
        <v>3155</v>
      </c>
      <c r="C1368" t="s">
        <v>3156</v>
      </c>
      <c r="D1368" t="s">
        <v>3156</v>
      </c>
      <c r="E1368" s="5">
        <v>46273</v>
      </c>
      <c r="F1368" t="s">
        <v>204</v>
      </c>
      <c r="G1368" t="s">
        <v>255</v>
      </c>
      <c r="H1368">
        <v>4999</v>
      </c>
      <c r="I1368">
        <v>59.99</v>
      </c>
      <c r="J1368">
        <v>10.8</v>
      </c>
      <c r="K1368">
        <v>4928.21</v>
      </c>
      <c r="L1368" s="5">
        <v>46275</v>
      </c>
      <c r="M1368" t="s">
        <v>2969</v>
      </c>
      <c r="N1368" t="s">
        <v>207</v>
      </c>
      <c r="O1368" t="s">
        <v>3156</v>
      </c>
      <c r="P1368" t="s">
        <v>208</v>
      </c>
      <c r="Q1368" t="s">
        <v>209</v>
      </c>
    </row>
    <row r="1369" spans="1:17" x14ac:dyDescent="0.3">
      <c r="A1369" t="s">
        <v>3157</v>
      </c>
      <c r="C1369" t="s">
        <v>3158</v>
      </c>
      <c r="D1369" t="s">
        <v>3158</v>
      </c>
      <c r="E1369" s="5">
        <v>46273</v>
      </c>
      <c r="F1369" t="s">
        <v>204</v>
      </c>
      <c r="G1369" t="s">
        <v>220</v>
      </c>
      <c r="H1369">
        <v>8997</v>
      </c>
      <c r="I1369">
        <v>26.99</v>
      </c>
      <c r="J1369">
        <v>4.8600000000000003</v>
      </c>
      <c r="K1369">
        <v>8965.15</v>
      </c>
      <c r="L1369" s="5">
        <v>46275</v>
      </c>
      <c r="M1369" t="s">
        <v>2969</v>
      </c>
      <c r="N1369" t="s">
        <v>207</v>
      </c>
      <c r="O1369" t="s">
        <v>3158</v>
      </c>
      <c r="P1369" t="s">
        <v>208</v>
      </c>
      <c r="Q1369" t="s">
        <v>209</v>
      </c>
    </row>
    <row r="1370" spans="1:17" x14ac:dyDescent="0.3">
      <c r="A1370" t="s">
        <v>3159</v>
      </c>
      <c r="C1370" t="s">
        <v>3160</v>
      </c>
      <c r="D1370" t="s">
        <v>3161</v>
      </c>
      <c r="E1370" s="5">
        <v>46273</v>
      </c>
      <c r="F1370" t="s">
        <v>204</v>
      </c>
      <c r="G1370" t="s">
        <v>220</v>
      </c>
      <c r="H1370">
        <v>12297</v>
      </c>
      <c r="I1370">
        <v>36.89</v>
      </c>
      <c r="J1370">
        <v>6.64</v>
      </c>
      <c r="K1370">
        <v>12253.47</v>
      </c>
      <c r="L1370" s="5">
        <v>46275</v>
      </c>
      <c r="M1370" t="s">
        <v>2969</v>
      </c>
      <c r="N1370" t="s">
        <v>207</v>
      </c>
      <c r="O1370" t="s">
        <v>3161</v>
      </c>
      <c r="P1370" t="s">
        <v>208</v>
      </c>
      <c r="Q1370" t="s">
        <v>209</v>
      </c>
    </row>
    <row r="1371" spans="1:17" x14ac:dyDescent="0.3">
      <c r="A1371" t="s">
        <v>3162</v>
      </c>
      <c r="C1371" t="s">
        <v>3163</v>
      </c>
      <c r="D1371" t="s">
        <v>3163</v>
      </c>
      <c r="E1371" s="5">
        <v>46273</v>
      </c>
      <c r="F1371" t="s">
        <v>204</v>
      </c>
      <c r="G1371" t="s">
        <v>213</v>
      </c>
      <c r="H1371">
        <v>1499</v>
      </c>
      <c r="I1371">
        <v>26.98</v>
      </c>
      <c r="J1371">
        <v>4.8600000000000003</v>
      </c>
      <c r="K1371">
        <v>1467.16</v>
      </c>
      <c r="L1371" s="5">
        <v>46275</v>
      </c>
      <c r="M1371" t="s">
        <v>2969</v>
      </c>
      <c r="N1371" t="s">
        <v>207</v>
      </c>
      <c r="O1371" t="s">
        <v>3163</v>
      </c>
      <c r="P1371" t="s">
        <v>208</v>
      </c>
      <c r="Q1371" t="s">
        <v>209</v>
      </c>
    </row>
    <row r="1372" spans="1:17" x14ac:dyDescent="0.3">
      <c r="A1372" t="s">
        <v>3164</v>
      </c>
      <c r="C1372" t="s">
        <v>3165</v>
      </c>
      <c r="D1372" t="s">
        <v>3165</v>
      </c>
      <c r="E1372" s="5">
        <v>46273</v>
      </c>
      <c r="F1372" t="s">
        <v>204</v>
      </c>
      <c r="G1372" t="s">
        <v>220</v>
      </c>
      <c r="H1372">
        <v>848</v>
      </c>
      <c r="I1372">
        <v>0</v>
      </c>
      <c r="J1372">
        <v>0</v>
      </c>
      <c r="K1372">
        <v>848</v>
      </c>
      <c r="L1372" s="5">
        <v>46275</v>
      </c>
      <c r="M1372" t="s">
        <v>2969</v>
      </c>
      <c r="N1372" t="s">
        <v>207</v>
      </c>
      <c r="O1372" t="s">
        <v>3165</v>
      </c>
      <c r="P1372" t="s">
        <v>208</v>
      </c>
      <c r="Q1372" t="s">
        <v>209</v>
      </c>
    </row>
    <row r="1373" spans="1:17" x14ac:dyDescent="0.3">
      <c r="A1373" t="s">
        <v>3166</v>
      </c>
      <c r="C1373" t="s">
        <v>3167</v>
      </c>
      <c r="D1373" t="s">
        <v>3168</v>
      </c>
      <c r="E1373" s="5">
        <v>46273</v>
      </c>
      <c r="F1373" t="s">
        <v>204</v>
      </c>
      <c r="G1373" t="s">
        <v>213</v>
      </c>
      <c r="H1373">
        <v>6798</v>
      </c>
      <c r="I1373">
        <v>108.77</v>
      </c>
      <c r="J1373">
        <v>19.579999999999998</v>
      </c>
      <c r="K1373">
        <v>6669.65</v>
      </c>
      <c r="L1373" s="5">
        <v>46275</v>
      </c>
      <c r="M1373" t="s">
        <v>2969</v>
      </c>
      <c r="N1373" t="s">
        <v>207</v>
      </c>
      <c r="O1373" t="s">
        <v>3168</v>
      </c>
      <c r="P1373" t="s">
        <v>208</v>
      </c>
      <c r="Q1373" t="s">
        <v>209</v>
      </c>
    </row>
    <row r="1374" spans="1:17" x14ac:dyDescent="0.3">
      <c r="A1374" t="s">
        <v>3169</v>
      </c>
      <c r="C1374" t="s">
        <v>3170</v>
      </c>
      <c r="D1374" t="s">
        <v>3170</v>
      </c>
      <c r="E1374" s="5">
        <v>46273</v>
      </c>
      <c r="F1374" t="s">
        <v>204</v>
      </c>
      <c r="G1374" t="s">
        <v>213</v>
      </c>
      <c r="H1374">
        <v>2999</v>
      </c>
      <c r="I1374">
        <v>47.98</v>
      </c>
      <c r="J1374">
        <v>8.64</v>
      </c>
      <c r="K1374">
        <v>2942.38</v>
      </c>
      <c r="L1374" s="5">
        <v>46275</v>
      </c>
      <c r="M1374" t="s">
        <v>2969</v>
      </c>
      <c r="N1374" t="s">
        <v>207</v>
      </c>
      <c r="O1374" t="s">
        <v>3170</v>
      </c>
      <c r="P1374" t="s">
        <v>208</v>
      </c>
      <c r="Q1374" t="s">
        <v>209</v>
      </c>
    </row>
    <row r="1375" spans="1:17" x14ac:dyDescent="0.3">
      <c r="A1375" t="s">
        <v>3171</v>
      </c>
      <c r="C1375" t="s">
        <v>3172</v>
      </c>
      <c r="D1375" t="s">
        <v>3172</v>
      </c>
      <c r="E1375" s="5">
        <v>46273</v>
      </c>
      <c r="F1375" t="s">
        <v>204</v>
      </c>
      <c r="G1375" t="s">
        <v>220</v>
      </c>
      <c r="H1375">
        <v>3499</v>
      </c>
      <c r="I1375">
        <v>10.5</v>
      </c>
      <c r="J1375">
        <v>1.89</v>
      </c>
      <c r="K1375">
        <v>3486.61</v>
      </c>
      <c r="L1375" s="5">
        <v>46275</v>
      </c>
      <c r="M1375" t="s">
        <v>2969</v>
      </c>
      <c r="N1375" t="s">
        <v>207</v>
      </c>
      <c r="O1375" t="s">
        <v>3172</v>
      </c>
      <c r="P1375" t="s">
        <v>208</v>
      </c>
      <c r="Q1375" t="s">
        <v>209</v>
      </c>
    </row>
    <row r="1376" spans="1:17" x14ac:dyDescent="0.3">
      <c r="A1376" t="s">
        <v>3173</v>
      </c>
      <c r="C1376" t="s">
        <v>3174</v>
      </c>
      <c r="D1376" t="s">
        <v>3174</v>
      </c>
      <c r="E1376" s="5">
        <v>46273</v>
      </c>
      <c r="F1376" t="s">
        <v>204</v>
      </c>
      <c r="G1376" t="s">
        <v>205</v>
      </c>
      <c r="H1376">
        <v>3347</v>
      </c>
      <c r="I1376">
        <v>56.9</v>
      </c>
      <c r="J1376">
        <v>10.24</v>
      </c>
      <c r="K1376">
        <v>3279.86</v>
      </c>
      <c r="L1376" s="5">
        <v>46275</v>
      </c>
      <c r="M1376" t="s">
        <v>2969</v>
      </c>
      <c r="N1376" t="s">
        <v>207</v>
      </c>
      <c r="O1376" t="s">
        <v>3174</v>
      </c>
      <c r="P1376" t="s">
        <v>208</v>
      </c>
      <c r="Q1376" t="s">
        <v>209</v>
      </c>
    </row>
    <row r="1377" spans="1:17" x14ac:dyDescent="0.3">
      <c r="A1377" t="s">
        <v>3175</v>
      </c>
      <c r="C1377" t="s">
        <v>3176</v>
      </c>
      <c r="D1377" t="s">
        <v>3177</v>
      </c>
      <c r="E1377" s="5">
        <v>46273</v>
      </c>
      <c r="F1377" t="s">
        <v>204</v>
      </c>
      <c r="G1377" t="s">
        <v>205</v>
      </c>
      <c r="H1377">
        <v>3098</v>
      </c>
      <c r="I1377">
        <v>52.67</v>
      </c>
      <c r="J1377">
        <v>9.48</v>
      </c>
      <c r="K1377">
        <v>3035.85</v>
      </c>
      <c r="L1377" s="5">
        <v>46275</v>
      </c>
      <c r="M1377" t="s">
        <v>2969</v>
      </c>
      <c r="N1377" t="s">
        <v>207</v>
      </c>
      <c r="O1377" t="s">
        <v>3177</v>
      </c>
      <c r="P1377" t="s">
        <v>208</v>
      </c>
      <c r="Q1377" t="s">
        <v>209</v>
      </c>
    </row>
    <row r="1378" spans="1:17" x14ac:dyDescent="0.3">
      <c r="A1378" t="s">
        <v>3178</v>
      </c>
      <c r="C1378" t="s">
        <v>3179</v>
      </c>
      <c r="D1378" t="s">
        <v>3179</v>
      </c>
      <c r="E1378" s="5">
        <v>46273</v>
      </c>
      <c r="F1378" t="s">
        <v>204</v>
      </c>
      <c r="G1378" t="s">
        <v>220</v>
      </c>
      <c r="H1378">
        <v>2998</v>
      </c>
      <c r="I1378">
        <v>8.99</v>
      </c>
      <c r="J1378">
        <v>1.62</v>
      </c>
      <c r="K1378">
        <v>2987.39</v>
      </c>
      <c r="L1378" s="5">
        <v>46275</v>
      </c>
      <c r="M1378" t="s">
        <v>2969</v>
      </c>
      <c r="N1378" t="s">
        <v>207</v>
      </c>
      <c r="O1378" t="s">
        <v>3179</v>
      </c>
      <c r="P1378" t="s">
        <v>208</v>
      </c>
      <c r="Q1378" t="s">
        <v>209</v>
      </c>
    </row>
    <row r="1379" spans="1:17" x14ac:dyDescent="0.3">
      <c r="A1379" t="s">
        <v>3180</v>
      </c>
      <c r="C1379" t="s">
        <v>3181</v>
      </c>
      <c r="D1379" t="s">
        <v>3181</v>
      </c>
      <c r="E1379" s="5">
        <v>46273</v>
      </c>
      <c r="F1379" t="s">
        <v>204</v>
      </c>
      <c r="G1379" t="s">
        <v>220</v>
      </c>
      <c r="H1379">
        <v>349</v>
      </c>
      <c r="I1379">
        <v>0</v>
      </c>
      <c r="J1379">
        <v>0</v>
      </c>
      <c r="K1379">
        <v>349</v>
      </c>
      <c r="L1379" s="5">
        <v>46275</v>
      </c>
      <c r="M1379" t="s">
        <v>2969</v>
      </c>
      <c r="N1379" t="s">
        <v>207</v>
      </c>
      <c r="O1379" t="s">
        <v>3181</v>
      </c>
      <c r="P1379" t="s">
        <v>208</v>
      </c>
      <c r="Q1379" t="s">
        <v>209</v>
      </c>
    </row>
    <row r="1380" spans="1:17" x14ac:dyDescent="0.3">
      <c r="A1380" t="s">
        <v>3182</v>
      </c>
      <c r="C1380" t="s">
        <v>3183</v>
      </c>
      <c r="D1380" t="s">
        <v>3183</v>
      </c>
      <c r="E1380" s="5">
        <v>46273</v>
      </c>
      <c r="F1380" t="s">
        <v>204</v>
      </c>
      <c r="G1380" t="s">
        <v>220</v>
      </c>
      <c r="H1380">
        <v>1798</v>
      </c>
      <c r="I1380">
        <v>0</v>
      </c>
      <c r="J1380">
        <v>0</v>
      </c>
      <c r="K1380">
        <v>1798</v>
      </c>
      <c r="L1380" s="5">
        <v>46275</v>
      </c>
      <c r="M1380" t="s">
        <v>2969</v>
      </c>
      <c r="N1380" t="s">
        <v>207</v>
      </c>
      <c r="O1380" t="s">
        <v>3183</v>
      </c>
      <c r="P1380" t="s">
        <v>208</v>
      </c>
      <c r="Q1380" t="s">
        <v>209</v>
      </c>
    </row>
    <row r="1381" spans="1:17" x14ac:dyDescent="0.3">
      <c r="A1381" t="s">
        <v>3184</v>
      </c>
      <c r="C1381" t="s">
        <v>3185</v>
      </c>
      <c r="D1381" t="s">
        <v>3185</v>
      </c>
      <c r="E1381" s="5">
        <v>46273</v>
      </c>
      <c r="F1381" t="s">
        <v>204</v>
      </c>
      <c r="G1381" t="s">
        <v>220</v>
      </c>
      <c r="H1381">
        <v>11498</v>
      </c>
      <c r="I1381">
        <v>34.49</v>
      </c>
      <c r="J1381">
        <v>6.21</v>
      </c>
      <c r="K1381">
        <v>11457.3</v>
      </c>
      <c r="L1381" s="5">
        <v>46275</v>
      </c>
      <c r="M1381" t="s">
        <v>2969</v>
      </c>
      <c r="N1381" t="s">
        <v>207</v>
      </c>
      <c r="O1381" t="s">
        <v>3185</v>
      </c>
      <c r="P1381" t="s">
        <v>208</v>
      </c>
      <c r="Q1381" t="s">
        <v>209</v>
      </c>
    </row>
    <row r="1382" spans="1:17" x14ac:dyDescent="0.3">
      <c r="A1382" t="s">
        <v>3186</v>
      </c>
      <c r="C1382" t="s">
        <v>3187</v>
      </c>
      <c r="D1382" t="s">
        <v>3188</v>
      </c>
      <c r="E1382" s="5">
        <v>46273</v>
      </c>
      <c r="F1382" t="s">
        <v>204</v>
      </c>
      <c r="G1382" t="s">
        <v>220</v>
      </c>
      <c r="H1382">
        <v>2498</v>
      </c>
      <c r="I1382">
        <v>7.49</v>
      </c>
      <c r="J1382">
        <v>1.35</v>
      </c>
      <c r="K1382">
        <v>2489.16</v>
      </c>
      <c r="L1382" s="5">
        <v>46275</v>
      </c>
      <c r="M1382" t="s">
        <v>2969</v>
      </c>
      <c r="N1382" t="s">
        <v>207</v>
      </c>
      <c r="O1382" t="s">
        <v>3188</v>
      </c>
      <c r="P1382" t="s">
        <v>208</v>
      </c>
      <c r="Q1382" t="s">
        <v>209</v>
      </c>
    </row>
    <row r="1383" spans="1:17" x14ac:dyDescent="0.3">
      <c r="A1383" t="s">
        <v>3189</v>
      </c>
      <c r="C1383" t="s">
        <v>3190</v>
      </c>
      <c r="D1383" t="s">
        <v>3191</v>
      </c>
      <c r="E1383" s="5">
        <v>46273</v>
      </c>
      <c r="F1383" t="s">
        <v>204</v>
      </c>
      <c r="G1383" t="s">
        <v>220</v>
      </c>
      <c r="H1383">
        <v>2499</v>
      </c>
      <c r="I1383">
        <v>7.5</v>
      </c>
      <c r="J1383">
        <v>1.35</v>
      </c>
      <c r="K1383">
        <v>2490.15</v>
      </c>
      <c r="L1383" s="5">
        <v>46275</v>
      </c>
      <c r="M1383" t="s">
        <v>2969</v>
      </c>
      <c r="N1383" t="s">
        <v>207</v>
      </c>
      <c r="O1383" t="s">
        <v>3191</v>
      </c>
      <c r="P1383" t="s">
        <v>208</v>
      </c>
      <c r="Q1383" t="s">
        <v>209</v>
      </c>
    </row>
    <row r="1384" spans="1:17" x14ac:dyDescent="0.3">
      <c r="A1384" t="s">
        <v>3192</v>
      </c>
      <c r="C1384" t="s">
        <v>3193</v>
      </c>
      <c r="D1384" t="s">
        <v>3193</v>
      </c>
      <c r="E1384" s="5">
        <v>46273</v>
      </c>
      <c r="F1384" t="s">
        <v>204</v>
      </c>
      <c r="G1384" t="s">
        <v>220</v>
      </c>
      <c r="H1384">
        <v>1447</v>
      </c>
      <c r="I1384">
        <v>0</v>
      </c>
      <c r="J1384">
        <v>0</v>
      </c>
      <c r="K1384">
        <v>1447</v>
      </c>
      <c r="L1384" s="5">
        <v>46275</v>
      </c>
      <c r="M1384" t="s">
        <v>2969</v>
      </c>
      <c r="N1384" t="s">
        <v>207</v>
      </c>
      <c r="O1384" t="s">
        <v>3193</v>
      </c>
      <c r="P1384" t="s">
        <v>208</v>
      </c>
      <c r="Q1384" t="s">
        <v>209</v>
      </c>
    </row>
    <row r="1385" spans="1:17" x14ac:dyDescent="0.3">
      <c r="A1385" t="s">
        <v>3194</v>
      </c>
      <c r="C1385" t="s">
        <v>3195</v>
      </c>
      <c r="D1385" t="s">
        <v>3195</v>
      </c>
      <c r="E1385" s="5">
        <v>46273</v>
      </c>
      <c r="F1385" t="s">
        <v>204</v>
      </c>
      <c r="G1385" t="s">
        <v>220</v>
      </c>
      <c r="H1385">
        <v>299</v>
      </c>
      <c r="I1385">
        <v>0</v>
      </c>
      <c r="J1385">
        <v>0</v>
      </c>
      <c r="K1385">
        <v>299</v>
      </c>
      <c r="L1385" s="5">
        <v>46275</v>
      </c>
      <c r="M1385" t="s">
        <v>2969</v>
      </c>
      <c r="N1385" t="s">
        <v>207</v>
      </c>
      <c r="O1385" t="s">
        <v>3195</v>
      </c>
      <c r="P1385" t="s">
        <v>208</v>
      </c>
      <c r="Q1385" t="s">
        <v>209</v>
      </c>
    </row>
    <row r="1386" spans="1:17" x14ac:dyDescent="0.3">
      <c r="A1386" t="s">
        <v>3196</v>
      </c>
      <c r="C1386" t="s">
        <v>3197</v>
      </c>
      <c r="D1386" t="s">
        <v>3197</v>
      </c>
      <c r="E1386" s="5">
        <v>46273</v>
      </c>
      <c r="F1386" t="s">
        <v>204</v>
      </c>
      <c r="G1386" t="s">
        <v>213</v>
      </c>
      <c r="H1386">
        <v>3598</v>
      </c>
      <c r="I1386">
        <v>57.57</v>
      </c>
      <c r="J1386">
        <v>10.36</v>
      </c>
      <c r="K1386">
        <v>3530.07</v>
      </c>
      <c r="L1386" s="5">
        <v>46275</v>
      </c>
      <c r="M1386" t="s">
        <v>2969</v>
      </c>
      <c r="N1386" t="s">
        <v>207</v>
      </c>
      <c r="O1386" t="s">
        <v>3197</v>
      </c>
      <c r="P1386" t="s">
        <v>208</v>
      </c>
      <c r="Q1386" t="s">
        <v>209</v>
      </c>
    </row>
    <row r="1387" spans="1:17" x14ac:dyDescent="0.3">
      <c r="A1387" t="s">
        <v>3198</v>
      </c>
      <c r="C1387" t="s">
        <v>3199</v>
      </c>
      <c r="D1387" t="s">
        <v>3199</v>
      </c>
      <c r="E1387" s="5">
        <v>46273</v>
      </c>
      <c r="F1387" t="s">
        <v>204</v>
      </c>
      <c r="G1387" t="s">
        <v>220</v>
      </c>
      <c r="H1387">
        <v>1799</v>
      </c>
      <c r="I1387">
        <v>0</v>
      </c>
      <c r="J1387">
        <v>0</v>
      </c>
      <c r="K1387">
        <v>1799</v>
      </c>
      <c r="L1387" s="5">
        <v>46275</v>
      </c>
      <c r="M1387" t="s">
        <v>2969</v>
      </c>
      <c r="N1387" t="s">
        <v>207</v>
      </c>
      <c r="O1387" t="s">
        <v>3199</v>
      </c>
      <c r="P1387" t="s">
        <v>208</v>
      </c>
      <c r="Q1387" t="s">
        <v>209</v>
      </c>
    </row>
    <row r="1388" spans="1:17" x14ac:dyDescent="0.3">
      <c r="A1388" t="s">
        <v>3200</v>
      </c>
      <c r="C1388" t="s">
        <v>3201</v>
      </c>
      <c r="D1388" t="s">
        <v>3201</v>
      </c>
      <c r="E1388" s="5">
        <v>46273</v>
      </c>
      <c r="F1388" t="s">
        <v>204</v>
      </c>
      <c r="G1388" t="s">
        <v>220</v>
      </c>
      <c r="H1388">
        <v>4798</v>
      </c>
      <c r="I1388">
        <v>14.39</v>
      </c>
      <c r="J1388">
        <v>2.59</v>
      </c>
      <c r="K1388">
        <v>4781.0200000000004</v>
      </c>
      <c r="L1388" s="5">
        <v>46275</v>
      </c>
      <c r="M1388" t="s">
        <v>2969</v>
      </c>
      <c r="N1388" t="s">
        <v>207</v>
      </c>
      <c r="O1388" t="s">
        <v>3201</v>
      </c>
      <c r="P1388" t="s">
        <v>208</v>
      </c>
      <c r="Q1388" t="s">
        <v>209</v>
      </c>
    </row>
    <row r="1389" spans="1:17" x14ac:dyDescent="0.3">
      <c r="A1389" t="s">
        <v>3202</v>
      </c>
      <c r="C1389" t="s">
        <v>3203</v>
      </c>
      <c r="D1389" t="s">
        <v>3203</v>
      </c>
      <c r="E1389" s="5">
        <v>46273</v>
      </c>
      <c r="F1389" t="s">
        <v>204</v>
      </c>
      <c r="G1389" t="s">
        <v>213</v>
      </c>
      <c r="H1389">
        <v>3798</v>
      </c>
      <c r="I1389">
        <v>60.77</v>
      </c>
      <c r="J1389">
        <v>10.94</v>
      </c>
      <c r="K1389">
        <v>3726.29</v>
      </c>
      <c r="L1389" s="5">
        <v>46275</v>
      </c>
      <c r="M1389" t="s">
        <v>2969</v>
      </c>
      <c r="N1389" t="s">
        <v>207</v>
      </c>
      <c r="O1389" t="s">
        <v>3203</v>
      </c>
      <c r="P1389" t="s">
        <v>208</v>
      </c>
      <c r="Q1389" t="s">
        <v>209</v>
      </c>
    </row>
    <row r="1390" spans="1:17" x14ac:dyDescent="0.3">
      <c r="A1390" t="s">
        <v>3204</v>
      </c>
      <c r="C1390" t="s">
        <v>3205</v>
      </c>
      <c r="D1390" t="s">
        <v>3205</v>
      </c>
      <c r="E1390" s="5">
        <v>46273</v>
      </c>
      <c r="F1390" t="s">
        <v>204</v>
      </c>
      <c r="G1390" t="s">
        <v>255</v>
      </c>
      <c r="H1390">
        <v>5998</v>
      </c>
      <c r="I1390">
        <v>71.98</v>
      </c>
      <c r="J1390">
        <v>12.96</v>
      </c>
      <c r="K1390">
        <v>5913.06</v>
      </c>
      <c r="L1390" s="5">
        <v>46275</v>
      </c>
      <c r="M1390" t="s">
        <v>2969</v>
      </c>
      <c r="N1390" t="s">
        <v>207</v>
      </c>
      <c r="O1390" t="s">
        <v>3205</v>
      </c>
      <c r="P1390" t="s">
        <v>208</v>
      </c>
      <c r="Q1390" t="s">
        <v>209</v>
      </c>
    </row>
    <row r="1391" spans="1:17" x14ac:dyDescent="0.3">
      <c r="A1391" t="s">
        <v>3206</v>
      </c>
      <c r="C1391" t="s">
        <v>3207</v>
      </c>
      <c r="D1391" t="s">
        <v>3207</v>
      </c>
      <c r="E1391" s="5">
        <v>46273</v>
      </c>
      <c r="F1391" t="s">
        <v>204</v>
      </c>
      <c r="G1391" t="s">
        <v>213</v>
      </c>
      <c r="H1391">
        <v>7999</v>
      </c>
      <c r="I1391">
        <v>127.98</v>
      </c>
      <c r="J1391">
        <v>23.04</v>
      </c>
      <c r="K1391">
        <v>7847.98</v>
      </c>
      <c r="L1391" s="5">
        <v>46275</v>
      </c>
      <c r="M1391" t="s">
        <v>2969</v>
      </c>
      <c r="N1391" t="s">
        <v>207</v>
      </c>
      <c r="O1391" t="s">
        <v>3207</v>
      </c>
      <c r="P1391" t="s">
        <v>208</v>
      </c>
      <c r="Q1391" t="s">
        <v>209</v>
      </c>
    </row>
    <row r="1392" spans="1:17" x14ac:dyDescent="0.3">
      <c r="A1392" t="s">
        <v>3208</v>
      </c>
      <c r="C1392" t="s">
        <v>3209</v>
      </c>
      <c r="D1392" t="s">
        <v>3210</v>
      </c>
      <c r="E1392" s="5">
        <v>46273</v>
      </c>
      <c r="F1392" t="s">
        <v>204</v>
      </c>
      <c r="G1392" t="s">
        <v>220</v>
      </c>
      <c r="H1392">
        <v>4097</v>
      </c>
      <c r="I1392">
        <v>12.29</v>
      </c>
      <c r="J1392">
        <v>2.21</v>
      </c>
      <c r="K1392">
        <v>4082.5</v>
      </c>
      <c r="L1392" s="5">
        <v>46275</v>
      </c>
      <c r="M1392" t="s">
        <v>2969</v>
      </c>
      <c r="N1392" t="s">
        <v>207</v>
      </c>
      <c r="O1392" t="s">
        <v>3210</v>
      </c>
      <c r="P1392" t="s">
        <v>208</v>
      </c>
      <c r="Q1392" t="s">
        <v>209</v>
      </c>
    </row>
    <row r="1393" spans="1:17" x14ac:dyDescent="0.3">
      <c r="A1393" t="s">
        <v>3211</v>
      </c>
      <c r="C1393" t="s">
        <v>3212</v>
      </c>
      <c r="D1393" t="s">
        <v>3212</v>
      </c>
      <c r="E1393" s="5">
        <v>46273</v>
      </c>
      <c r="F1393" t="s">
        <v>204</v>
      </c>
      <c r="G1393" t="s">
        <v>220</v>
      </c>
      <c r="H1393">
        <v>2497</v>
      </c>
      <c r="I1393">
        <v>7.49</v>
      </c>
      <c r="J1393">
        <v>1.35</v>
      </c>
      <c r="K1393">
        <v>2488.16</v>
      </c>
      <c r="L1393" s="5">
        <v>46275</v>
      </c>
      <c r="M1393" t="s">
        <v>2969</v>
      </c>
      <c r="N1393" t="s">
        <v>207</v>
      </c>
      <c r="O1393" t="s">
        <v>3212</v>
      </c>
      <c r="P1393" t="s">
        <v>208</v>
      </c>
      <c r="Q1393" t="s">
        <v>209</v>
      </c>
    </row>
    <row r="1394" spans="1:17" x14ac:dyDescent="0.3">
      <c r="A1394" t="s">
        <v>3213</v>
      </c>
      <c r="C1394" t="s">
        <v>3214</v>
      </c>
      <c r="D1394" t="s">
        <v>3214</v>
      </c>
      <c r="E1394" s="5">
        <v>46273</v>
      </c>
      <c r="F1394" t="s">
        <v>204</v>
      </c>
      <c r="G1394" t="s">
        <v>205</v>
      </c>
      <c r="H1394">
        <v>10998</v>
      </c>
      <c r="I1394">
        <v>186.97</v>
      </c>
      <c r="J1394">
        <v>33.65</v>
      </c>
      <c r="K1394">
        <v>10777.38</v>
      </c>
      <c r="L1394" s="5">
        <v>46275</v>
      </c>
      <c r="M1394" t="s">
        <v>2969</v>
      </c>
      <c r="N1394" t="s">
        <v>207</v>
      </c>
      <c r="O1394" t="s">
        <v>3214</v>
      </c>
      <c r="P1394" t="s">
        <v>208</v>
      </c>
      <c r="Q1394" t="s">
        <v>209</v>
      </c>
    </row>
    <row r="1395" spans="1:17" x14ac:dyDescent="0.3">
      <c r="A1395" t="s">
        <v>3215</v>
      </c>
      <c r="C1395" t="s">
        <v>3216</v>
      </c>
      <c r="D1395" t="s">
        <v>3217</v>
      </c>
      <c r="E1395" s="5">
        <v>46273</v>
      </c>
      <c r="F1395" t="s">
        <v>204</v>
      </c>
      <c r="G1395" t="s">
        <v>205</v>
      </c>
      <c r="H1395">
        <v>5798</v>
      </c>
      <c r="I1395">
        <v>98.57</v>
      </c>
      <c r="J1395">
        <v>17.739999999999998</v>
      </c>
      <c r="K1395">
        <v>5681.69</v>
      </c>
      <c r="L1395" s="5">
        <v>46275</v>
      </c>
      <c r="M1395" t="s">
        <v>2969</v>
      </c>
      <c r="N1395" t="s">
        <v>207</v>
      </c>
      <c r="O1395" t="s">
        <v>3217</v>
      </c>
      <c r="P1395" t="s">
        <v>208</v>
      </c>
      <c r="Q1395" t="s">
        <v>209</v>
      </c>
    </row>
    <row r="1396" spans="1:17" x14ac:dyDescent="0.3">
      <c r="A1396" t="s">
        <v>3218</v>
      </c>
      <c r="C1396" t="s">
        <v>3219</v>
      </c>
      <c r="D1396" t="s">
        <v>3219</v>
      </c>
      <c r="E1396" s="5">
        <v>46273</v>
      </c>
      <c r="F1396" t="s">
        <v>204</v>
      </c>
      <c r="G1396" t="s">
        <v>220</v>
      </c>
      <c r="H1396">
        <v>10097</v>
      </c>
      <c r="I1396">
        <v>30.29</v>
      </c>
      <c r="J1396">
        <v>5.45</v>
      </c>
      <c r="K1396">
        <v>10061.26</v>
      </c>
      <c r="L1396" s="5">
        <v>46275</v>
      </c>
      <c r="M1396" t="s">
        <v>2969</v>
      </c>
      <c r="N1396" t="s">
        <v>207</v>
      </c>
      <c r="O1396" t="s">
        <v>3219</v>
      </c>
      <c r="P1396" t="s">
        <v>208</v>
      </c>
      <c r="Q1396" t="s">
        <v>209</v>
      </c>
    </row>
    <row r="1397" spans="1:17" x14ac:dyDescent="0.3">
      <c r="A1397" t="s">
        <v>3220</v>
      </c>
      <c r="C1397" t="s">
        <v>3221</v>
      </c>
      <c r="D1397" t="s">
        <v>3221</v>
      </c>
      <c r="E1397" s="5">
        <v>46273</v>
      </c>
      <c r="F1397" t="s">
        <v>204</v>
      </c>
      <c r="G1397" t="s">
        <v>213</v>
      </c>
      <c r="H1397">
        <v>999</v>
      </c>
      <c r="I1397">
        <v>17.98</v>
      </c>
      <c r="J1397">
        <v>3.24</v>
      </c>
      <c r="K1397">
        <v>977.78</v>
      </c>
      <c r="L1397" s="5">
        <v>46275</v>
      </c>
      <c r="M1397" t="s">
        <v>2969</v>
      </c>
      <c r="N1397" t="s">
        <v>207</v>
      </c>
      <c r="O1397" t="s">
        <v>3221</v>
      </c>
      <c r="P1397" t="s">
        <v>208</v>
      </c>
      <c r="Q1397" t="s">
        <v>209</v>
      </c>
    </row>
    <row r="1398" spans="1:17" x14ac:dyDescent="0.3">
      <c r="A1398" t="s">
        <v>3222</v>
      </c>
      <c r="C1398" t="s">
        <v>3223</v>
      </c>
      <c r="D1398" t="s">
        <v>3224</v>
      </c>
      <c r="E1398" s="5">
        <v>46273</v>
      </c>
      <c r="F1398" t="s">
        <v>204</v>
      </c>
      <c r="G1398" t="s">
        <v>220</v>
      </c>
      <c r="H1398">
        <v>5998</v>
      </c>
      <c r="I1398">
        <v>17.989999999999998</v>
      </c>
      <c r="J1398">
        <v>3.24</v>
      </c>
      <c r="K1398">
        <v>5976.77</v>
      </c>
      <c r="L1398" s="5">
        <v>46275</v>
      </c>
      <c r="M1398" t="s">
        <v>2969</v>
      </c>
      <c r="N1398" t="s">
        <v>207</v>
      </c>
      <c r="O1398" t="s">
        <v>3224</v>
      </c>
      <c r="P1398" t="s">
        <v>208</v>
      </c>
      <c r="Q1398" t="s">
        <v>209</v>
      </c>
    </row>
    <row r="1399" spans="1:17" x14ac:dyDescent="0.3">
      <c r="A1399" t="s">
        <v>3225</v>
      </c>
      <c r="C1399" t="s">
        <v>3226</v>
      </c>
      <c r="D1399" t="s">
        <v>3227</v>
      </c>
      <c r="E1399" s="5">
        <v>46273</v>
      </c>
      <c r="F1399" t="s">
        <v>204</v>
      </c>
      <c r="G1399" t="s">
        <v>213</v>
      </c>
      <c r="H1399">
        <v>4999</v>
      </c>
      <c r="I1399">
        <v>79.98</v>
      </c>
      <c r="J1399">
        <v>14.4</v>
      </c>
      <c r="K1399">
        <v>4904.62</v>
      </c>
      <c r="L1399" s="5">
        <v>46275</v>
      </c>
      <c r="M1399" t="s">
        <v>2969</v>
      </c>
      <c r="N1399" t="s">
        <v>207</v>
      </c>
      <c r="O1399" t="s">
        <v>3227</v>
      </c>
      <c r="P1399" t="s">
        <v>208</v>
      </c>
      <c r="Q1399" t="s">
        <v>209</v>
      </c>
    </row>
    <row r="1400" spans="1:17" x14ac:dyDescent="0.3">
      <c r="A1400" t="s">
        <v>3228</v>
      </c>
      <c r="C1400" t="s">
        <v>3229</v>
      </c>
      <c r="D1400" t="s">
        <v>3229</v>
      </c>
      <c r="E1400" s="5">
        <v>46273</v>
      </c>
      <c r="F1400" t="s">
        <v>204</v>
      </c>
      <c r="G1400" t="s">
        <v>220</v>
      </c>
      <c r="H1400">
        <v>4999</v>
      </c>
      <c r="I1400">
        <v>15</v>
      </c>
      <c r="J1400">
        <v>2.7</v>
      </c>
      <c r="K1400">
        <v>4981.3</v>
      </c>
      <c r="L1400" s="5">
        <v>46275</v>
      </c>
      <c r="M1400" t="s">
        <v>2969</v>
      </c>
      <c r="N1400" t="s">
        <v>207</v>
      </c>
      <c r="O1400" t="s">
        <v>3229</v>
      </c>
      <c r="P1400" t="s">
        <v>208</v>
      </c>
      <c r="Q1400" t="s">
        <v>209</v>
      </c>
    </row>
    <row r="1401" spans="1:17" x14ac:dyDescent="0.3">
      <c r="A1401" t="s">
        <v>3230</v>
      </c>
      <c r="C1401" t="s">
        <v>3231</v>
      </c>
      <c r="D1401" t="s">
        <v>3231</v>
      </c>
      <c r="E1401" s="5">
        <v>46273</v>
      </c>
      <c r="F1401" t="s">
        <v>204</v>
      </c>
      <c r="G1401" t="s">
        <v>255</v>
      </c>
      <c r="H1401">
        <v>2397</v>
      </c>
      <c r="I1401">
        <v>28.76</v>
      </c>
      <c r="J1401">
        <v>5.18</v>
      </c>
      <c r="K1401">
        <v>2363.06</v>
      </c>
      <c r="L1401" s="5">
        <v>46275</v>
      </c>
      <c r="M1401" t="s">
        <v>2969</v>
      </c>
      <c r="N1401" t="s">
        <v>207</v>
      </c>
      <c r="O1401" t="s">
        <v>3231</v>
      </c>
      <c r="P1401" t="s">
        <v>208</v>
      </c>
      <c r="Q1401" t="s">
        <v>209</v>
      </c>
    </row>
    <row r="1402" spans="1:17" x14ac:dyDescent="0.3">
      <c r="A1402" t="s">
        <v>3232</v>
      </c>
      <c r="C1402" t="s">
        <v>3233</v>
      </c>
      <c r="D1402" t="s">
        <v>3233</v>
      </c>
      <c r="E1402" s="5">
        <v>46273</v>
      </c>
      <c r="F1402" t="s">
        <v>204</v>
      </c>
      <c r="G1402" t="s">
        <v>255</v>
      </c>
      <c r="H1402">
        <v>11498</v>
      </c>
      <c r="I1402">
        <v>103.48</v>
      </c>
      <c r="J1402">
        <v>18.63</v>
      </c>
      <c r="K1402">
        <v>11375.89</v>
      </c>
      <c r="L1402" s="5">
        <v>46275</v>
      </c>
      <c r="M1402" t="s">
        <v>2969</v>
      </c>
      <c r="N1402" t="s">
        <v>207</v>
      </c>
      <c r="O1402" t="s">
        <v>3233</v>
      </c>
      <c r="P1402" t="s">
        <v>208</v>
      </c>
      <c r="Q1402" t="s">
        <v>209</v>
      </c>
    </row>
    <row r="1403" spans="1:17" x14ac:dyDescent="0.3">
      <c r="A1403" t="s">
        <v>3234</v>
      </c>
      <c r="C1403" t="s">
        <v>3235</v>
      </c>
      <c r="D1403" t="s">
        <v>3235</v>
      </c>
      <c r="E1403" s="5">
        <v>46273</v>
      </c>
      <c r="F1403" t="s">
        <v>204</v>
      </c>
      <c r="G1403" t="s">
        <v>220</v>
      </c>
      <c r="H1403">
        <v>3499</v>
      </c>
      <c r="I1403">
        <v>10.5</v>
      </c>
      <c r="J1403">
        <v>1.89</v>
      </c>
      <c r="K1403">
        <v>3486.61</v>
      </c>
      <c r="L1403" s="5">
        <v>46275</v>
      </c>
      <c r="M1403" t="s">
        <v>2969</v>
      </c>
      <c r="N1403" t="s">
        <v>207</v>
      </c>
      <c r="O1403" t="s">
        <v>3235</v>
      </c>
      <c r="P1403" t="s">
        <v>208</v>
      </c>
      <c r="Q1403" t="s">
        <v>209</v>
      </c>
    </row>
    <row r="1404" spans="1:17" x14ac:dyDescent="0.3">
      <c r="A1404" t="s">
        <v>3236</v>
      </c>
      <c r="C1404" t="s">
        <v>3237</v>
      </c>
      <c r="D1404" t="s">
        <v>3237</v>
      </c>
      <c r="E1404" s="5">
        <v>46273</v>
      </c>
      <c r="F1404" t="s">
        <v>204</v>
      </c>
      <c r="G1404" t="s">
        <v>220</v>
      </c>
      <c r="H1404">
        <v>1299</v>
      </c>
      <c r="I1404">
        <v>0</v>
      </c>
      <c r="J1404">
        <v>0</v>
      </c>
      <c r="K1404">
        <v>1299</v>
      </c>
      <c r="L1404" s="5">
        <v>46275</v>
      </c>
      <c r="M1404" t="s">
        <v>2969</v>
      </c>
      <c r="N1404" t="s">
        <v>207</v>
      </c>
      <c r="O1404" t="s">
        <v>3237</v>
      </c>
      <c r="P1404" t="s">
        <v>208</v>
      </c>
      <c r="Q1404" t="s">
        <v>209</v>
      </c>
    </row>
    <row r="1405" spans="1:17" x14ac:dyDescent="0.3">
      <c r="A1405" t="s">
        <v>3238</v>
      </c>
      <c r="C1405" t="s">
        <v>3239</v>
      </c>
      <c r="D1405" t="s">
        <v>3239</v>
      </c>
      <c r="E1405" s="5">
        <v>46273</v>
      </c>
      <c r="F1405" t="s">
        <v>204</v>
      </c>
      <c r="G1405" t="s">
        <v>220</v>
      </c>
      <c r="H1405">
        <v>5348</v>
      </c>
      <c r="I1405">
        <v>16.04</v>
      </c>
      <c r="J1405">
        <v>2.89</v>
      </c>
      <c r="K1405">
        <v>5329.07</v>
      </c>
      <c r="L1405" s="5">
        <v>46275</v>
      </c>
      <c r="M1405" t="s">
        <v>2969</v>
      </c>
      <c r="N1405" t="s">
        <v>207</v>
      </c>
      <c r="O1405" t="s">
        <v>3239</v>
      </c>
      <c r="P1405" t="s">
        <v>208</v>
      </c>
      <c r="Q1405" t="s">
        <v>209</v>
      </c>
    </row>
    <row r="1406" spans="1:17" x14ac:dyDescent="0.3">
      <c r="A1406" t="s">
        <v>3240</v>
      </c>
      <c r="C1406" t="s">
        <v>3241</v>
      </c>
      <c r="D1406" t="s">
        <v>3242</v>
      </c>
      <c r="E1406" s="5">
        <v>46273</v>
      </c>
      <c r="F1406" t="s">
        <v>204</v>
      </c>
      <c r="G1406" t="s">
        <v>213</v>
      </c>
      <c r="H1406">
        <v>2999</v>
      </c>
      <c r="I1406">
        <v>47.98</v>
      </c>
      <c r="J1406">
        <v>8.64</v>
      </c>
      <c r="K1406">
        <v>2942.38</v>
      </c>
      <c r="L1406" s="5">
        <v>46275</v>
      </c>
      <c r="M1406" t="s">
        <v>2969</v>
      </c>
      <c r="N1406" t="s">
        <v>207</v>
      </c>
      <c r="O1406" t="s">
        <v>3242</v>
      </c>
      <c r="P1406" t="s">
        <v>208</v>
      </c>
      <c r="Q1406" t="s">
        <v>209</v>
      </c>
    </row>
    <row r="1407" spans="1:17" x14ac:dyDescent="0.3">
      <c r="A1407" t="s">
        <v>3243</v>
      </c>
      <c r="C1407" t="s">
        <v>3244</v>
      </c>
      <c r="D1407" t="s">
        <v>3244</v>
      </c>
      <c r="E1407" s="5">
        <v>46273</v>
      </c>
      <c r="F1407" t="s">
        <v>204</v>
      </c>
      <c r="G1407" t="s">
        <v>205</v>
      </c>
      <c r="H1407">
        <v>7999</v>
      </c>
      <c r="I1407">
        <v>135.97999999999999</v>
      </c>
      <c r="J1407">
        <v>24.48</v>
      </c>
      <c r="K1407">
        <v>7838.54</v>
      </c>
      <c r="L1407" s="5">
        <v>46275</v>
      </c>
      <c r="M1407" t="s">
        <v>2969</v>
      </c>
      <c r="N1407" t="s">
        <v>207</v>
      </c>
      <c r="O1407" t="s">
        <v>3244</v>
      </c>
      <c r="P1407" t="s">
        <v>208</v>
      </c>
      <c r="Q1407" t="s">
        <v>209</v>
      </c>
    </row>
    <row r="1408" spans="1:17" x14ac:dyDescent="0.3">
      <c r="A1408" t="s">
        <v>3245</v>
      </c>
      <c r="C1408" t="s">
        <v>3246</v>
      </c>
      <c r="D1408" t="s">
        <v>3246</v>
      </c>
      <c r="E1408" s="5">
        <v>46273</v>
      </c>
      <c r="F1408" t="s">
        <v>204</v>
      </c>
      <c r="G1408" t="s">
        <v>213</v>
      </c>
      <c r="H1408">
        <v>2999</v>
      </c>
      <c r="I1408">
        <v>47.98</v>
      </c>
      <c r="J1408">
        <v>8.64</v>
      </c>
      <c r="K1408">
        <v>2942.38</v>
      </c>
      <c r="L1408" s="5">
        <v>46275</v>
      </c>
      <c r="M1408" t="s">
        <v>2969</v>
      </c>
      <c r="N1408" t="s">
        <v>207</v>
      </c>
      <c r="O1408" t="s">
        <v>3246</v>
      </c>
      <c r="P1408" t="s">
        <v>208</v>
      </c>
      <c r="Q1408" t="s">
        <v>209</v>
      </c>
    </row>
    <row r="1409" spans="1:17" x14ac:dyDescent="0.3">
      <c r="A1409" t="s">
        <v>3247</v>
      </c>
      <c r="C1409" t="s">
        <v>3248</v>
      </c>
      <c r="D1409" t="s">
        <v>3248</v>
      </c>
      <c r="E1409" s="5">
        <v>46273</v>
      </c>
      <c r="F1409" t="s">
        <v>204</v>
      </c>
      <c r="G1409" t="s">
        <v>220</v>
      </c>
      <c r="H1409">
        <v>2597</v>
      </c>
      <c r="I1409">
        <v>7.79</v>
      </c>
      <c r="J1409">
        <v>1.4</v>
      </c>
      <c r="K1409">
        <v>2587.81</v>
      </c>
      <c r="L1409" s="5">
        <v>46275</v>
      </c>
      <c r="M1409" t="s">
        <v>2969</v>
      </c>
      <c r="N1409" t="s">
        <v>207</v>
      </c>
      <c r="O1409" t="s">
        <v>3248</v>
      </c>
      <c r="P1409" t="s">
        <v>208</v>
      </c>
      <c r="Q1409" t="s">
        <v>209</v>
      </c>
    </row>
    <row r="1410" spans="1:17" x14ac:dyDescent="0.3">
      <c r="A1410" t="s">
        <v>3249</v>
      </c>
      <c r="C1410" t="s">
        <v>3250</v>
      </c>
      <c r="D1410" t="s">
        <v>3250</v>
      </c>
      <c r="E1410" s="5">
        <v>46273</v>
      </c>
      <c r="F1410" t="s">
        <v>204</v>
      </c>
      <c r="G1410" t="s">
        <v>220</v>
      </c>
      <c r="H1410">
        <v>4297</v>
      </c>
      <c r="I1410">
        <v>12.89</v>
      </c>
      <c r="J1410">
        <v>2.3199999999999998</v>
      </c>
      <c r="K1410">
        <v>4281.79</v>
      </c>
      <c r="L1410" s="5">
        <v>46275</v>
      </c>
      <c r="M1410" t="s">
        <v>2969</v>
      </c>
      <c r="N1410" t="s">
        <v>207</v>
      </c>
      <c r="O1410" t="s">
        <v>3250</v>
      </c>
      <c r="P1410" t="s">
        <v>208</v>
      </c>
      <c r="Q1410" t="s">
        <v>209</v>
      </c>
    </row>
    <row r="1411" spans="1:17" x14ac:dyDescent="0.3">
      <c r="A1411" t="s">
        <v>3251</v>
      </c>
      <c r="C1411" t="s">
        <v>3252</v>
      </c>
      <c r="D1411" t="s">
        <v>3252</v>
      </c>
      <c r="E1411" s="5">
        <v>46273</v>
      </c>
      <c r="F1411" t="s">
        <v>204</v>
      </c>
      <c r="G1411" t="s">
        <v>220</v>
      </c>
      <c r="H1411">
        <v>6498</v>
      </c>
      <c r="I1411">
        <v>19.489999999999998</v>
      </c>
      <c r="J1411">
        <v>3.51</v>
      </c>
      <c r="K1411">
        <v>6475</v>
      </c>
      <c r="L1411" s="5">
        <v>46275</v>
      </c>
      <c r="M1411" t="s">
        <v>2969</v>
      </c>
      <c r="N1411" t="s">
        <v>207</v>
      </c>
      <c r="O1411" t="s">
        <v>3252</v>
      </c>
      <c r="P1411" t="s">
        <v>208</v>
      </c>
      <c r="Q1411" t="s">
        <v>209</v>
      </c>
    </row>
    <row r="1412" spans="1:17" x14ac:dyDescent="0.3">
      <c r="A1412" t="s">
        <v>3253</v>
      </c>
      <c r="C1412" t="s">
        <v>3254</v>
      </c>
      <c r="D1412" t="s">
        <v>3255</v>
      </c>
      <c r="E1412" s="5">
        <v>46273</v>
      </c>
      <c r="F1412" t="s">
        <v>204</v>
      </c>
      <c r="G1412" t="s">
        <v>220</v>
      </c>
      <c r="H1412">
        <v>1499</v>
      </c>
      <c r="I1412">
        <v>0</v>
      </c>
      <c r="J1412">
        <v>0</v>
      </c>
      <c r="K1412">
        <v>1499</v>
      </c>
      <c r="L1412" s="5">
        <v>46275</v>
      </c>
      <c r="M1412" t="s">
        <v>2969</v>
      </c>
      <c r="N1412" t="s">
        <v>207</v>
      </c>
      <c r="O1412" t="s">
        <v>3255</v>
      </c>
      <c r="P1412" t="s">
        <v>208</v>
      </c>
      <c r="Q1412" t="s">
        <v>209</v>
      </c>
    </row>
    <row r="1413" spans="1:17" x14ac:dyDescent="0.3">
      <c r="A1413" t="s">
        <v>3256</v>
      </c>
      <c r="C1413" t="s">
        <v>3255</v>
      </c>
      <c r="D1413" t="s">
        <v>3255</v>
      </c>
      <c r="E1413" s="5">
        <v>46273</v>
      </c>
      <c r="F1413" t="s">
        <v>204</v>
      </c>
      <c r="G1413" t="s">
        <v>220</v>
      </c>
      <c r="H1413">
        <v>1499</v>
      </c>
      <c r="I1413">
        <v>0</v>
      </c>
      <c r="J1413">
        <v>0</v>
      </c>
      <c r="K1413">
        <v>1499</v>
      </c>
      <c r="L1413" s="5">
        <v>46275</v>
      </c>
      <c r="M1413" t="s">
        <v>2969</v>
      </c>
      <c r="N1413" t="s">
        <v>207</v>
      </c>
      <c r="O1413" t="s">
        <v>3255</v>
      </c>
      <c r="P1413" t="s">
        <v>208</v>
      </c>
      <c r="Q1413" t="s">
        <v>209</v>
      </c>
    </row>
    <row r="1414" spans="1:17" x14ac:dyDescent="0.3">
      <c r="A1414" t="s">
        <v>3257</v>
      </c>
      <c r="C1414" t="s">
        <v>3258</v>
      </c>
      <c r="D1414" t="s">
        <v>3258</v>
      </c>
      <c r="E1414" s="5">
        <v>46273</v>
      </c>
      <c r="F1414" t="s">
        <v>204</v>
      </c>
      <c r="G1414" t="s">
        <v>220</v>
      </c>
      <c r="H1414">
        <v>799</v>
      </c>
      <c r="I1414">
        <v>0</v>
      </c>
      <c r="J1414">
        <v>0</v>
      </c>
      <c r="K1414">
        <v>799</v>
      </c>
      <c r="L1414" s="5">
        <v>46275</v>
      </c>
      <c r="M1414" t="s">
        <v>2969</v>
      </c>
      <c r="N1414" t="s">
        <v>207</v>
      </c>
      <c r="O1414" t="s">
        <v>3258</v>
      </c>
      <c r="P1414" t="s">
        <v>208</v>
      </c>
      <c r="Q1414" t="s">
        <v>209</v>
      </c>
    </row>
    <row r="1415" spans="1:17" x14ac:dyDescent="0.3">
      <c r="A1415" t="s">
        <v>3259</v>
      </c>
      <c r="C1415" t="s">
        <v>3260</v>
      </c>
      <c r="D1415" t="s">
        <v>3260</v>
      </c>
      <c r="E1415" s="5">
        <v>46273</v>
      </c>
      <c r="F1415" t="s">
        <v>204</v>
      </c>
      <c r="G1415" t="s">
        <v>213</v>
      </c>
      <c r="H1415">
        <v>4999</v>
      </c>
      <c r="I1415">
        <v>79.98</v>
      </c>
      <c r="J1415">
        <v>14.4</v>
      </c>
      <c r="K1415">
        <v>4904.62</v>
      </c>
      <c r="L1415" s="5">
        <v>46275</v>
      </c>
      <c r="M1415" t="s">
        <v>2969</v>
      </c>
      <c r="N1415" t="s">
        <v>207</v>
      </c>
      <c r="O1415" t="s">
        <v>3260</v>
      </c>
      <c r="P1415" t="s">
        <v>208</v>
      </c>
      <c r="Q1415" t="s">
        <v>209</v>
      </c>
    </row>
    <row r="1416" spans="1:17" x14ac:dyDescent="0.3">
      <c r="A1416" t="s">
        <v>3261</v>
      </c>
      <c r="C1416" t="s">
        <v>3262</v>
      </c>
      <c r="D1416" t="s">
        <v>3262</v>
      </c>
      <c r="E1416" s="5">
        <v>46273</v>
      </c>
      <c r="F1416" t="s">
        <v>204</v>
      </c>
      <c r="G1416" t="s">
        <v>205</v>
      </c>
      <c r="H1416">
        <v>5798</v>
      </c>
      <c r="I1416">
        <v>98.57</v>
      </c>
      <c r="J1416">
        <v>17.739999999999998</v>
      </c>
      <c r="K1416">
        <v>5681.69</v>
      </c>
      <c r="L1416" s="5">
        <v>46275</v>
      </c>
      <c r="M1416" t="s">
        <v>2969</v>
      </c>
      <c r="N1416" t="s">
        <v>207</v>
      </c>
      <c r="O1416" t="s">
        <v>3262</v>
      </c>
      <c r="P1416" t="s">
        <v>208</v>
      </c>
      <c r="Q1416" t="s">
        <v>209</v>
      </c>
    </row>
    <row r="1417" spans="1:17" x14ac:dyDescent="0.3">
      <c r="A1417" t="s">
        <v>3263</v>
      </c>
      <c r="C1417" t="s">
        <v>3264</v>
      </c>
      <c r="D1417" t="s">
        <v>3264</v>
      </c>
      <c r="E1417" s="5">
        <v>46273</v>
      </c>
      <c r="F1417" t="s">
        <v>204</v>
      </c>
      <c r="G1417" t="s">
        <v>220</v>
      </c>
      <c r="H1417">
        <v>3998</v>
      </c>
      <c r="I1417">
        <v>11.99</v>
      </c>
      <c r="J1417">
        <v>2.16</v>
      </c>
      <c r="K1417">
        <v>3983.85</v>
      </c>
      <c r="L1417" s="5">
        <v>46275</v>
      </c>
      <c r="M1417" t="s">
        <v>2969</v>
      </c>
      <c r="N1417" t="s">
        <v>207</v>
      </c>
      <c r="O1417" t="s">
        <v>3264</v>
      </c>
      <c r="P1417" t="s">
        <v>208</v>
      </c>
      <c r="Q1417" t="s">
        <v>209</v>
      </c>
    </row>
    <row r="1418" spans="1:17" x14ac:dyDescent="0.3">
      <c r="A1418" t="s">
        <v>3265</v>
      </c>
      <c r="C1418" t="s">
        <v>3266</v>
      </c>
      <c r="D1418" t="s">
        <v>3266</v>
      </c>
      <c r="E1418" s="5">
        <v>46273</v>
      </c>
      <c r="F1418" t="s">
        <v>204</v>
      </c>
      <c r="G1418" t="s">
        <v>220</v>
      </c>
      <c r="H1418">
        <v>799</v>
      </c>
      <c r="I1418">
        <v>0</v>
      </c>
      <c r="J1418">
        <v>0</v>
      </c>
      <c r="K1418">
        <v>799</v>
      </c>
      <c r="L1418" s="5">
        <v>46275</v>
      </c>
      <c r="M1418" t="s">
        <v>2969</v>
      </c>
      <c r="N1418" t="s">
        <v>207</v>
      </c>
      <c r="O1418" t="s">
        <v>3266</v>
      </c>
      <c r="P1418" t="s">
        <v>208</v>
      </c>
      <c r="Q1418" t="s">
        <v>209</v>
      </c>
    </row>
    <row r="1419" spans="1:17" x14ac:dyDescent="0.3">
      <c r="A1419" t="s">
        <v>3267</v>
      </c>
      <c r="C1419" t="s">
        <v>3268</v>
      </c>
      <c r="D1419" t="s">
        <v>3268</v>
      </c>
      <c r="E1419" s="5">
        <v>46273</v>
      </c>
      <c r="F1419" t="s">
        <v>204</v>
      </c>
      <c r="G1419" t="s">
        <v>213</v>
      </c>
      <c r="H1419">
        <v>599</v>
      </c>
      <c r="I1419">
        <v>10.78</v>
      </c>
      <c r="J1419">
        <v>1.94</v>
      </c>
      <c r="K1419">
        <v>586.28</v>
      </c>
      <c r="L1419" s="5">
        <v>46275</v>
      </c>
      <c r="M1419" t="s">
        <v>2969</v>
      </c>
      <c r="N1419" t="s">
        <v>207</v>
      </c>
      <c r="O1419" t="s">
        <v>3268</v>
      </c>
      <c r="P1419" t="s">
        <v>208</v>
      </c>
      <c r="Q1419" t="s">
        <v>209</v>
      </c>
    </row>
    <row r="1420" spans="1:17" x14ac:dyDescent="0.3">
      <c r="A1420" t="s">
        <v>3269</v>
      </c>
      <c r="C1420" t="s">
        <v>3270</v>
      </c>
      <c r="D1420" t="s">
        <v>3271</v>
      </c>
      <c r="E1420" s="5">
        <v>46273</v>
      </c>
      <c r="F1420" t="s">
        <v>204</v>
      </c>
      <c r="G1420" t="s">
        <v>213</v>
      </c>
      <c r="H1420">
        <v>2499</v>
      </c>
      <c r="I1420">
        <v>39.979999999999997</v>
      </c>
      <c r="J1420">
        <v>7.2</v>
      </c>
      <c r="K1420">
        <v>2451.8200000000002</v>
      </c>
      <c r="L1420" s="5">
        <v>46275</v>
      </c>
      <c r="M1420" t="s">
        <v>2969</v>
      </c>
      <c r="N1420" t="s">
        <v>207</v>
      </c>
      <c r="O1420" t="s">
        <v>3271</v>
      </c>
      <c r="P1420" t="s">
        <v>208</v>
      </c>
      <c r="Q1420" t="s">
        <v>209</v>
      </c>
    </row>
    <row r="1421" spans="1:17" x14ac:dyDescent="0.3">
      <c r="A1421" t="s">
        <v>3272</v>
      </c>
      <c r="C1421" t="s">
        <v>3273</v>
      </c>
      <c r="D1421" t="s">
        <v>3273</v>
      </c>
      <c r="E1421" s="5">
        <v>46273</v>
      </c>
      <c r="F1421" t="s">
        <v>204</v>
      </c>
      <c r="G1421" t="s">
        <v>220</v>
      </c>
      <c r="H1421">
        <v>6097</v>
      </c>
      <c r="I1421">
        <v>18.29</v>
      </c>
      <c r="J1421">
        <v>3.29</v>
      </c>
      <c r="K1421">
        <v>6075.42</v>
      </c>
      <c r="L1421" s="5">
        <v>46275</v>
      </c>
      <c r="M1421" t="s">
        <v>2969</v>
      </c>
      <c r="N1421" t="s">
        <v>207</v>
      </c>
      <c r="O1421" t="s">
        <v>3273</v>
      </c>
      <c r="P1421" t="s">
        <v>208</v>
      </c>
      <c r="Q1421" t="s">
        <v>209</v>
      </c>
    </row>
    <row r="1422" spans="1:17" x14ac:dyDescent="0.3">
      <c r="A1422" t="s">
        <v>3274</v>
      </c>
      <c r="C1422" t="s">
        <v>3275</v>
      </c>
      <c r="D1422" t="s">
        <v>3275</v>
      </c>
      <c r="E1422" s="5">
        <v>46273</v>
      </c>
      <c r="F1422" t="s">
        <v>204</v>
      </c>
      <c r="G1422" t="s">
        <v>220</v>
      </c>
      <c r="H1422">
        <v>2999</v>
      </c>
      <c r="I1422">
        <v>9</v>
      </c>
      <c r="J1422">
        <v>1.62</v>
      </c>
      <c r="K1422">
        <v>2988.38</v>
      </c>
      <c r="L1422" s="5">
        <v>46275</v>
      </c>
      <c r="M1422" t="s">
        <v>2969</v>
      </c>
      <c r="N1422" t="s">
        <v>207</v>
      </c>
      <c r="O1422" t="s">
        <v>3275</v>
      </c>
      <c r="P1422" t="s">
        <v>208</v>
      </c>
      <c r="Q1422" t="s">
        <v>209</v>
      </c>
    </row>
    <row r="1423" spans="1:17" x14ac:dyDescent="0.3">
      <c r="A1423" t="s">
        <v>3276</v>
      </c>
      <c r="C1423" t="s">
        <v>3277</v>
      </c>
      <c r="D1423" t="s">
        <v>3277</v>
      </c>
      <c r="E1423" s="5">
        <v>46273</v>
      </c>
      <c r="F1423" t="s">
        <v>204</v>
      </c>
      <c r="G1423" t="s">
        <v>213</v>
      </c>
      <c r="H1423">
        <v>8298</v>
      </c>
      <c r="I1423">
        <v>132.77000000000001</v>
      </c>
      <c r="J1423">
        <v>23.9</v>
      </c>
      <c r="K1423">
        <v>8141.33</v>
      </c>
      <c r="L1423" s="5">
        <v>46275</v>
      </c>
      <c r="M1423" t="s">
        <v>2969</v>
      </c>
      <c r="N1423" t="s">
        <v>207</v>
      </c>
      <c r="O1423" t="s">
        <v>3277</v>
      </c>
      <c r="P1423" t="s">
        <v>208</v>
      </c>
      <c r="Q1423" t="s">
        <v>209</v>
      </c>
    </row>
    <row r="1424" spans="1:17" x14ac:dyDescent="0.3">
      <c r="A1424" t="s">
        <v>3278</v>
      </c>
      <c r="C1424" t="s">
        <v>3279</v>
      </c>
      <c r="D1424" t="s">
        <v>3279</v>
      </c>
      <c r="E1424" s="5">
        <v>46273</v>
      </c>
      <c r="F1424" t="s">
        <v>204</v>
      </c>
      <c r="G1424" t="s">
        <v>220</v>
      </c>
      <c r="H1424">
        <v>4998</v>
      </c>
      <c r="I1424">
        <v>14.99</v>
      </c>
      <c r="J1424">
        <v>2.7</v>
      </c>
      <c r="K1424">
        <v>4980.3100000000004</v>
      </c>
      <c r="L1424" s="5">
        <v>46275</v>
      </c>
      <c r="M1424" t="s">
        <v>2969</v>
      </c>
      <c r="N1424" t="s">
        <v>207</v>
      </c>
      <c r="O1424" t="s">
        <v>3279</v>
      </c>
      <c r="P1424" t="s">
        <v>208</v>
      </c>
      <c r="Q1424" t="s">
        <v>209</v>
      </c>
    </row>
    <row r="1425" spans="1:17" x14ac:dyDescent="0.3">
      <c r="A1425" t="s">
        <v>3280</v>
      </c>
      <c r="C1425" t="s">
        <v>3281</v>
      </c>
      <c r="D1425" t="s">
        <v>3281</v>
      </c>
      <c r="E1425" s="5">
        <v>46273</v>
      </c>
      <c r="F1425" t="s">
        <v>204</v>
      </c>
      <c r="G1425" t="s">
        <v>220</v>
      </c>
      <c r="H1425">
        <v>999</v>
      </c>
      <c r="I1425">
        <v>0</v>
      </c>
      <c r="J1425">
        <v>0</v>
      </c>
      <c r="K1425">
        <v>999</v>
      </c>
      <c r="L1425" s="5">
        <v>46275</v>
      </c>
      <c r="M1425" t="s">
        <v>2969</v>
      </c>
      <c r="N1425" t="s">
        <v>207</v>
      </c>
      <c r="O1425" t="s">
        <v>3281</v>
      </c>
      <c r="P1425" t="s">
        <v>208</v>
      </c>
      <c r="Q1425" t="s">
        <v>209</v>
      </c>
    </row>
    <row r="1426" spans="1:17" x14ac:dyDescent="0.3">
      <c r="A1426" t="s">
        <v>3282</v>
      </c>
      <c r="C1426" t="s">
        <v>3283</v>
      </c>
      <c r="D1426" t="s">
        <v>3284</v>
      </c>
      <c r="E1426" s="5">
        <v>46273</v>
      </c>
      <c r="F1426" t="s">
        <v>204</v>
      </c>
      <c r="G1426" t="s">
        <v>213</v>
      </c>
      <c r="H1426">
        <v>4999</v>
      </c>
      <c r="I1426">
        <v>79.98</v>
      </c>
      <c r="J1426">
        <v>14.4</v>
      </c>
      <c r="K1426">
        <v>4904.62</v>
      </c>
      <c r="L1426" s="5">
        <v>46275</v>
      </c>
      <c r="M1426" t="s">
        <v>2969</v>
      </c>
      <c r="N1426" t="s">
        <v>207</v>
      </c>
      <c r="O1426" t="s">
        <v>3284</v>
      </c>
      <c r="P1426" t="s">
        <v>208</v>
      </c>
      <c r="Q1426" t="s">
        <v>209</v>
      </c>
    </row>
    <row r="1427" spans="1:17" x14ac:dyDescent="0.3">
      <c r="A1427" t="s">
        <v>3285</v>
      </c>
      <c r="C1427" t="s">
        <v>3286</v>
      </c>
      <c r="D1427" t="s">
        <v>3286</v>
      </c>
      <c r="E1427" s="5">
        <v>46273</v>
      </c>
      <c r="F1427" t="s">
        <v>204</v>
      </c>
      <c r="G1427" t="s">
        <v>220</v>
      </c>
      <c r="H1427">
        <v>1499</v>
      </c>
      <c r="I1427">
        <v>0</v>
      </c>
      <c r="J1427">
        <v>0</v>
      </c>
      <c r="K1427">
        <v>1499</v>
      </c>
      <c r="L1427" s="5">
        <v>46275</v>
      </c>
      <c r="M1427" t="s">
        <v>2969</v>
      </c>
      <c r="N1427" t="s">
        <v>207</v>
      </c>
      <c r="O1427" t="s">
        <v>3286</v>
      </c>
      <c r="P1427" t="s">
        <v>208</v>
      </c>
      <c r="Q1427" t="s">
        <v>209</v>
      </c>
    </row>
    <row r="1428" spans="1:17" x14ac:dyDescent="0.3">
      <c r="A1428" t="s">
        <v>3287</v>
      </c>
      <c r="C1428" t="s">
        <v>3288</v>
      </c>
      <c r="D1428" t="s">
        <v>3289</v>
      </c>
      <c r="E1428" s="5">
        <v>46273</v>
      </c>
      <c r="F1428" t="s">
        <v>204</v>
      </c>
      <c r="G1428" t="s">
        <v>220</v>
      </c>
      <c r="H1428">
        <v>6797</v>
      </c>
      <c r="I1428">
        <v>20.39</v>
      </c>
      <c r="J1428">
        <v>3.67</v>
      </c>
      <c r="K1428">
        <v>6772.94</v>
      </c>
      <c r="L1428" s="5">
        <v>46275</v>
      </c>
      <c r="M1428" t="s">
        <v>2969</v>
      </c>
      <c r="N1428" t="s">
        <v>207</v>
      </c>
      <c r="O1428" t="s">
        <v>3289</v>
      </c>
      <c r="P1428" t="s">
        <v>208</v>
      </c>
      <c r="Q1428" t="s">
        <v>209</v>
      </c>
    </row>
    <row r="1429" spans="1:17" x14ac:dyDescent="0.3">
      <c r="A1429" t="s">
        <v>3290</v>
      </c>
      <c r="C1429" t="s">
        <v>3291</v>
      </c>
      <c r="D1429" t="s">
        <v>3291</v>
      </c>
      <c r="E1429" s="5">
        <v>46273</v>
      </c>
      <c r="F1429" t="s">
        <v>204</v>
      </c>
      <c r="G1429" t="s">
        <v>205</v>
      </c>
      <c r="H1429">
        <v>1798</v>
      </c>
      <c r="I1429">
        <v>34.159999999999997</v>
      </c>
      <c r="J1429">
        <v>6.15</v>
      </c>
      <c r="K1429">
        <v>1757.69</v>
      </c>
      <c r="L1429" s="5">
        <v>46275</v>
      </c>
      <c r="M1429" t="s">
        <v>2969</v>
      </c>
      <c r="N1429" t="s">
        <v>207</v>
      </c>
      <c r="O1429" t="s">
        <v>3291</v>
      </c>
      <c r="P1429" t="s">
        <v>208</v>
      </c>
      <c r="Q1429" t="s">
        <v>209</v>
      </c>
    </row>
    <row r="1430" spans="1:17" x14ac:dyDescent="0.3">
      <c r="A1430" t="s">
        <v>3292</v>
      </c>
      <c r="C1430" t="s">
        <v>3293</v>
      </c>
      <c r="D1430" t="s">
        <v>3293</v>
      </c>
      <c r="E1430" s="5">
        <v>46273</v>
      </c>
      <c r="F1430" t="s">
        <v>204</v>
      </c>
      <c r="G1430" t="s">
        <v>220</v>
      </c>
      <c r="H1430">
        <v>2447</v>
      </c>
      <c r="I1430">
        <v>7.34</v>
      </c>
      <c r="J1430">
        <v>1.32</v>
      </c>
      <c r="K1430">
        <v>2438.34</v>
      </c>
      <c r="L1430" s="5">
        <v>46275</v>
      </c>
      <c r="M1430" t="s">
        <v>2969</v>
      </c>
      <c r="N1430" t="s">
        <v>207</v>
      </c>
      <c r="O1430" t="s">
        <v>3293</v>
      </c>
      <c r="P1430" t="s">
        <v>208</v>
      </c>
      <c r="Q1430" t="s">
        <v>209</v>
      </c>
    </row>
    <row r="1431" spans="1:17" x14ac:dyDescent="0.3">
      <c r="A1431" t="s">
        <v>3294</v>
      </c>
      <c r="C1431" t="s">
        <v>3295</v>
      </c>
      <c r="D1431" t="s">
        <v>3295</v>
      </c>
      <c r="E1431" s="5">
        <v>46273</v>
      </c>
      <c r="F1431" t="s">
        <v>204</v>
      </c>
      <c r="G1431" t="s">
        <v>220</v>
      </c>
      <c r="H1431">
        <v>11347</v>
      </c>
      <c r="I1431">
        <v>34.04</v>
      </c>
      <c r="J1431">
        <v>6.13</v>
      </c>
      <c r="K1431">
        <v>11306.83</v>
      </c>
      <c r="L1431" s="5">
        <v>46275</v>
      </c>
      <c r="M1431" t="s">
        <v>2969</v>
      </c>
      <c r="N1431" t="s">
        <v>207</v>
      </c>
      <c r="O1431" t="s">
        <v>3295</v>
      </c>
      <c r="P1431" t="s">
        <v>208</v>
      </c>
      <c r="Q1431" t="s">
        <v>209</v>
      </c>
    </row>
    <row r="1432" spans="1:17" x14ac:dyDescent="0.3">
      <c r="A1432" t="s">
        <v>3296</v>
      </c>
      <c r="C1432" t="s">
        <v>3297</v>
      </c>
      <c r="D1432" t="s">
        <v>3297</v>
      </c>
      <c r="E1432" s="5">
        <v>46273</v>
      </c>
      <c r="F1432" t="s">
        <v>204</v>
      </c>
      <c r="G1432" t="s">
        <v>213</v>
      </c>
      <c r="H1432">
        <v>799</v>
      </c>
      <c r="I1432">
        <v>14.38</v>
      </c>
      <c r="J1432">
        <v>2.59</v>
      </c>
      <c r="K1432">
        <v>782.03</v>
      </c>
      <c r="L1432" s="5">
        <v>46275</v>
      </c>
      <c r="M1432" t="s">
        <v>2969</v>
      </c>
      <c r="N1432" t="s">
        <v>207</v>
      </c>
      <c r="O1432" t="s">
        <v>3297</v>
      </c>
      <c r="P1432" t="s">
        <v>208</v>
      </c>
      <c r="Q1432" t="s">
        <v>209</v>
      </c>
    </row>
    <row r="1433" spans="1:17" x14ac:dyDescent="0.3">
      <c r="A1433" t="s">
        <v>3298</v>
      </c>
      <c r="C1433" t="s">
        <v>3299</v>
      </c>
      <c r="D1433" t="s">
        <v>3299</v>
      </c>
      <c r="E1433" s="5">
        <v>46273</v>
      </c>
      <c r="F1433" t="s">
        <v>204</v>
      </c>
      <c r="G1433" t="s">
        <v>213</v>
      </c>
      <c r="H1433">
        <v>2999</v>
      </c>
      <c r="I1433">
        <v>47.98</v>
      </c>
      <c r="J1433">
        <v>8.64</v>
      </c>
      <c r="K1433">
        <v>2942.38</v>
      </c>
      <c r="L1433" s="5">
        <v>46275</v>
      </c>
      <c r="M1433" t="s">
        <v>2969</v>
      </c>
      <c r="N1433" t="s">
        <v>207</v>
      </c>
      <c r="O1433" t="s">
        <v>3299</v>
      </c>
      <c r="P1433" t="s">
        <v>208</v>
      </c>
      <c r="Q1433" t="s">
        <v>209</v>
      </c>
    </row>
    <row r="1434" spans="1:17" x14ac:dyDescent="0.3">
      <c r="A1434" t="s">
        <v>3300</v>
      </c>
      <c r="C1434" t="s">
        <v>3301</v>
      </c>
      <c r="D1434" t="s">
        <v>3301</v>
      </c>
      <c r="E1434" s="5">
        <v>46273</v>
      </c>
      <c r="F1434" t="s">
        <v>204</v>
      </c>
      <c r="G1434" t="s">
        <v>205</v>
      </c>
      <c r="H1434">
        <v>599</v>
      </c>
      <c r="I1434">
        <v>11.38</v>
      </c>
      <c r="J1434">
        <v>2.0499999999999998</v>
      </c>
      <c r="K1434">
        <v>585.57000000000005</v>
      </c>
      <c r="L1434" s="5">
        <v>46275</v>
      </c>
      <c r="M1434" t="s">
        <v>2969</v>
      </c>
      <c r="N1434" t="s">
        <v>207</v>
      </c>
      <c r="O1434" t="s">
        <v>3301</v>
      </c>
      <c r="P1434" t="s">
        <v>208</v>
      </c>
      <c r="Q1434" t="s">
        <v>209</v>
      </c>
    </row>
    <row r="1435" spans="1:17" x14ac:dyDescent="0.3">
      <c r="A1435" t="s">
        <v>3302</v>
      </c>
      <c r="C1435" t="s">
        <v>3303</v>
      </c>
      <c r="D1435" t="s">
        <v>3304</v>
      </c>
      <c r="E1435" s="5">
        <v>46273</v>
      </c>
      <c r="F1435" t="s">
        <v>204</v>
      </c>
      <c r="G1435" t="s">
        <v>220</v>
      </c>
      <c r="H1435">
        <v>1798</v>
      </c>
      <c r="I1435">
        <v>0</v>
      </c>
      <c r="J1435">
        <v>0</v>
      </c>
      <c r="K1435">
        <v>1798</v>
      </c>
      <c r="L1435" s="5">
        <v>46275</v>
      </c>
      <c r="M1435" t="s">
        <v>2969</v>
      </c>
      <c r="N1435" t="s">
        <v>207</v>
      </c>
      <c r="O1435" t="s">
        <v>3304</v>
      </c>
      <c r="P1435" t="s">
        <v>208</v>
      </c>
      <c r="Q1435" t="s">
        <v>209</v>
      </c>
    </row>
    <row r="1436" spans="1:17" x14ac:dyDescent="0.3">
      <c r="A1436" t="s">
        <v>3305</v>
      </c>
      <c r="C1436" t="s">
        <v>3306</v>
      </c>
      <c r="D1436" t="s">
        <v>3306</v>
      </c>
      <c r="E1436" s="5">
        <v>46273</v>
      </c>
      <c r="F1436" t="s">
        <v>204</v>
      </c>
      <c r="G1436" t="s">
        <v>220</v>
      </c>
      <c r="H1436">
        <v>4999</v>
      </c>
      <c r="I1436">
        <v>15</v>
      </c>
      <c r="J1436">
        <v>2.7</v>
      </c>
      <c r="K1436">
        <v>4981.3</v>
      </c>
      <c r="L1436" s="5">
        <v>46275</v>
      </c>
      <c r="M1436" t="s">
        <v>2969</v>
      </c>
      <c r="N1436" t="s">
        <v>207</v>
      </c>
      <c r="O1436" t="s">
        <v>3306</v>
      </c>
      <c r="P1436" t="s">
        <v>208</v>
      </c>
      <c r="Q1436" t="s">
        <v>209</v>
      </c>
    </row>
    <row r="1437" spans="1:17" x14ac:dyDescent="0.3">
      <c r="A1437" t="s">
        <v>3307</v>
      </c>
      <c r="C1437" t="s">
        <v>3308</v>
      </c>
      <c r="D1437" t="s">
        <v>3309</v>
      </c>
      <c r="E1437" s="5">
        <v>46273</v>
      </c>
      <c r="F1437" t="s">
        <v>204</v>
      </c>
      <c r="G1437" t="s">
        <v>220</v>
      </c>
      <c r="H1437">
        <v>13497</v>
      </c>
      <c r="I1437">
        <v>40.49</v>
      </c>
      <c r="J1437">
        <v>7.29</v>
      </c>
      <c r="K1437">
        <v>13449.22</v>
      </c>
      <c r="L1437" s="5">
        <v>46275</v>
      </c>
      <c r="M1437" t="s">
        <v>2969</v>
      </c>
      <c r="N1437" t="s">
        <v>207</v>
      </c>
      <c r="O1437" t="s">
        <v>3309</v>
      </c>
      <c r="P1437" t="s">
        <v>208</v>
      </c>
      <c r="Q1437" t="s">
        <v>209</v>
      </c>
    </row>
    <row r="1438" spans="1:17" x14ac:dyDescent="0.3">
      <c r="A1438" t="s">
        <v>3310</v>
      </c>
      <c r="C1438" t="s">
        <v>3311</v>
      </c>
      <c r="D1438" t="s">
        <v>3311</v>
      </c>
      <c r="E1438" s="5">
        <v>46273</v>
      </c>
      <c r="F1438" t="s">
        <v>204</v>
      </c>
      <c r="G1438" t="s">
        <v>213</v>
      </c>
      <c r="H1438">
        <v>3098</v>
      </c>
      <c r="I1438">
        <v>49.57</v>
      </c>
      <c r="J1438">
        <v>8.92</v>
      </c>
      <c r="K1438">
        <v>3039.51</v>
      </c>
      <c r="L1438" s="5">
        <v>46275</v>
      </c>
      <c r="M1438" t="s">
        <v>2969</v>
      </c>
      <c r="N1438" t="s">
        <v>207</v>
      </c>
      <c r="O1438" t="s">
        <v>3311</v>
      </c>
      <c r="P1438" t="s">
        <v>208</v>
      </c>
      <c r="Q1438" t="s">
        <v>209</v>
      </c>
    </row>
    <row r="1439" spans="1:17" x14ac:dyDescent="0.3">
      <c r="A1439" t="s">
        <v>3312</v>
      </c>
      <c r="C1439" t="s">
        <v>3313</v>
      </c>
      <c r="D1439" t="s">
        <v>3314</v>
      </c>
      <c r="E1439" s="5">
        <v>46273</v>
      </c>
      <c r="F1439" t="s">
        <v>204</v>
      </c>
      <c r="G1439" t="s">
        <v>205</v>
      </c>
      <c r="H1439">
        <v>1799</v>
      </c>
      <c r="I1439">
        <v>34.18</v>
      </c>
      <c r="J1439">
        <v>6.15</v>
      </c>
      <c r="K1439">
        <v>1758.67</v>
      </c>
      <c r="L1439" s="5">
        <v>46275</v>
      </c>
      <c r="M1439" t="s">
        <v>2969</v>
      </c>
      <c r="N1439" t="s">
        <v>207</v>
      </c>
      <c r="O1439" t="s">
        <v>3314</v>
      </c>
      <c r="P1439" t="s">
        <v>208</v>
      </c>
      <c r="Q1439" t="s">
        <v>209</v>
      </c>
    </row>
    <row r="1440" spans="1:17" x14ac:dyDescent="0.3">
      <c r="A1440" t="s">
        <v>3315</v>
      </c>
      <c r="C1440" t="s">
        <v>3316</v>
      </c>
      <c r="D1440" t="s">
        <v>3316</v>
      </c>
      <c r="E1440" s="5">
        <v>46273</v>
      </c>
      <c r="F1440" t="s">
        <v>204</v>
      </c>
      <c r="G1440" t="s">
        <v>205</v>
      </c>
      <c r="H1440">
        <v>599</v>
      </c>
      <c r="I1440">
        <v>11.38</v>
      </c>
      <c r="J1440">
        <v>2.0499999999999998</v>
      </c>
      <c r="K1440">
        <v>585.57000000000005</v>
      </c>
      <c r="L1440" s="5">
        <v>46275</v>
      </c>
      <c r="M1440" t="s">
        <v>2969</v>
      </c>
      <c r="N1440" t="s">
        <v>207</v>
      </c>
      <c r="O1440" t="s">
        <v>3316</v>
      </c>
      <c r="P1440" t="s">
        <v>208</v>
      </c>
      <c r="Q1440" t="s">
        <v>209</v>
      </c>
    </row>
    <row r="1441" spans="1:17" x14ac:dyDescent="0.3">
      <c r="A1441" t="s">
        <v>3317</v>
      </c>
      <c r="C1441" t="s">
        <v>3318</v>
      </c>
      <c r="D1441" t="s">
        <v>3318</v>
      </c>
      <c r="E1441" s="5">
        <v>46273</v>
      </c>
      <c r="F1441" t="s">
        <v>204</v>
      </c>
      <c r="G1441" t="s">
        <v>213</v>
      </c>
      <c r="H1441">
        <v>3499</v>
      </c>
      <c r="I1441">
        <v>55.98</v>
      </c>
      <c r="J1441">
        <v>10.08</v>
      </c>
      <c r="K1441">
        <v>3432.94</v>
      </c>
      <c r="L1441" s="5">
        <v>46275</v>
      </c>
      <c r="M1441" t="s">
        <v>2969</v>
      </c>
      <c r="N1441" t="s">
        <v>207</v>
      </c>
      <c r="O1441" t="s">
        <v>3318</v>
      </c>
      <c r="P1441" t="s">
        <v>208</v>
      </c>
      <c r="Q1441" t="s">
        <v>209</v>
      </c>
    </row>
    <row r="1442" spans="1:17" x14ac:dyDescent="0.3">
      <c r="A1442" t="s">
        <v>3319</v>
      </c>
      <c r="C1442" t="s">
        <v>3320</v>
      </c>
      <c r="D1442" t="s">
        <v>3320</v>
      </c>
      <c r="E1442" s="5">
        <v>46273</v>
      </c>
      <c r="F1442" t="s">
        <v>204</v>
      </c>
      <c r="G1442" t="s">
        <v>213</v>
      </c>
      <c r="H1442">
        <v>2499</v>
      </c>
      <c r="I1442">
        <v>39.979999999999997</v>
      </c>
      <c r="J1442">
        <v>7.2</v>
      </c>
      <c r="K1442">
        <v>2451.8200000000002</v>
      </c>
      <c r="L1442" s="5">
        <v>46275</v>
      </c>
      <c r="M1442" t="s">
        <v>2969</v>
      </c>
      <c r="N1442" t="s">
        <v>207</v>
      </c>
      <c r="O1442" t="s">
        <v>3320</v>
      </c>
      <c r="P1442" t="s">
        <v>208</v>
      </c>
      <c r="Q1442" t="s">
        <v>209</v>
      </c>
    </row>
    <row r="1443" spans="1:17" x14ac:dyDescent="0.3">
      <c r="A1443" t="s">
        <v>3321</v>
      </c>
      <c r="C1443" t="s">
        <v>3322</v>
      </c>
      <c r="D1443" t="s">
        <v>3322</v>
      </c>
      <c r="E1443" s="5">
        <v>46273</v>
      </c>
      <c r="F1443" t="s">
        <v>204</v>
      </c>
      <c r="G1443" t="s">
        <v>220</v>
      </c>
      <c r="H1443">
        <v>5298</v>
      </c>
      <c r="I1443">
        <v>15.89</v>
      </c>
      <c r="J1443">
        <v>2.86</v>
      </c>
      <c r="K1443">
        <v>5279.25</v>
      </c>
      <c r="L1443" s="5">
        <v>46275</v>
      </c>
      <c r="M1443" t="s">
        <v>2969</v>
      </c>
      <c r="N1443" t="s">
        <v>207</v>
      </c>
      <c r="O1443" t="s">
        <v>3322</v>
      </c>
      <c r="P1443" t="s">
        <v>208</v>
      </c>
      <c r="Q1443" t="s">
        <v>209</v>
      </c>
    </row>
    <row r="1444" spans="1:17" x14ac:dyDescent="0.3">
      <c r="A1444" t="s">
        <v>3323</v>
      </c>
      <c r="C1444" t="s">
        <v>3324</v>
      </c>
      <c r="D1444" t="s">
        <v>3324</v>
      </c>
      <c r="E1444" s="5">
        <v>46273</v>
      </c>
      <c r="F1444" t="s">
        <v>204</v>
      </c>
      <c r="G1444" t="s">
        <v>220</v>
      </c>
      <c r="H1444">
        <v>1148</v>
      </c>
      <c r="I1444">
        <v>0</v>
      </c>
      <c r="J1444">
        <v>0</v>
      </c>
      <c r="K1444">
        <v>1148</v>
      </c>
      <c r="L1444" s="5">
        <v>46275</v>
      </c>
      <c r="M1444" t="s">
        <v>2969</v>
      </c>
      <c r="N1444" t="s">
        <v>207</v>
      </c>
      <c r="O1444" t="s">
        <v>3324</v>
      </c>
      <c r="P1444" t="s">
        <v>208</v>
      </c>
      <c r="Q1444" t="s">
        <v>209</v>
      </c>
    </row>
    <row r="1445" spans="1:17" x14ac:dyDescent="0.3">
      <c r="A1445" t="s">
        <v>3325</v>
      </c>
      <c r="C1445" t="s">
        <v>3326</v>
      </c>
      <c r="D1445" t="s">
        <v>3326</v>
      </c>
      <c r="E1445" s="5">
        <v>46273</v>
      </c>
      <c r="F1445" t="s">
        <v>204</v>
      </c>
      <c r="G1445" t="s">
        <v>205</v>
      </c>
      <c r="H1445">
        <v>999</v>
      </c>
      <c r="I1445">
        <v>18.98</v>
      </c>
      <c r="J1445">
        <v>3.42</v>
      </c>
      <c r="K1445">
        <v>976.6</v>
      </c>
      <c r="L1445" s="5">
        <v>46275</v>
      </c>
      <c r="M1445" t="s">
        <v>2969</v>
      </c>
      <c r="N1445" t="s">
        <v>207</v>
      </c>
      <c r="O1445" t="s">
        <v>3326</v>
      </c>
      <c r="P1445" t="s">
        <v>208</v>
      </c>
      <c r="Q1445" t="s">
        <v>209</v>
      </c>
    </row>
    <row r="1446" spans="1:17" x14ac:dyDescent="0.3">
      <c r="A1446" t="s">
        <v>3327</v>
      </c>
      <c r="C1446" t="s">
        <v>3328</v>
      </c>
      <c r="D1446" t="s">
        <v>3328</v>
      </c>
      <c r="E1446" s="5">
        <v>46273</v>
      </c>
      <c r="F1446" t="s">
        <v>204</v>
      </c>
      <c r="G1446" t="s">
        <v>213</v>
      </c>
      <c r="H1446">
        <v>499</v>
      </c>
      <c r="I1446">
        <v>8.98</v>
      </c>
      <c r="J1446">
        <v>1.62</v>
      </c>
      <c r="K1446">
        <v>488.4</v>
      </c>
      <c r="L1446" s="5">
        <v>46275</v>
      </c>
      <c r="M1446" t="s">
        <v>2969</v>
      </c>
      <c r="N1446" t="s">
        <v>207</v>
      </c>
      <c r="O1446" t="s">
        <v>3328</v>
      </c>
      <c r="P1446" t="s">
        <v>208</v>
      </c>
      <c r="Q1446" t="s">
        <v>209</v>
      </c>
    </row>
    <row r="1447" spans="1:17" x14ac:dyDescent="0.3">
      <c r="A1447" t="s">
        <v>3329</v>
      </c>
      <c r="C1447" t="s">
        <v>3330</v>
      </c>
      <c r="D1447" t="s">
        <v>3330</v>
      </c>
      <c r="E1447" s="5">
        <v>46273</v>
      </c>
      <c r="F1447" t="s">
        <v>204</v>
      </c>
      <c r="G1447" t="s">
        <v>220</v>
      </c>
      <c r="H1447">
        <v>4999</v>
      </c>
      <c r="I1447">
        <v>15</v>
      </c>
      <c r="J1447">
        <v>2.7</v>
      </c>
      <c r="K1447">
        <v>4981.3</v>
      </c>
      <c r="L1447" s="5">
        <v>46275</v>
      </c>
      <c r="M1447" t="s">
        <v>2969</v>
      </c>
      <c r="N1447" t="s">
        <v>207</v>
      </c>
      <c r="O1447" t="s">
        <v>3330</v>
      </c>
      <c r="P1447" t="s">
        <v>208</v>
      </c>
      <c r="Q1447" t="s">
        <v>209</v>
      </c>
    </row>
    <row r="1448" spans="1:17" x14ac:dyDescent="0.3">
      <c r="A1448" t="s">
        <v>3331</v>
      </c>
      <c r="C1448" t="s">
        <v>3332</v>
      </c>
      <c r="D1448" t="s">
        <v>3332</v>
      </c>
      <c r="E1448" s="5">
        <v>46273</v>
      </c>
      <c r="F1448" t="s">
        <v>204</v>
      </c>
      <c r="G1448" t="s">
        <v>220</v>
      </c>
      <c r="H1448">
        <v>3499</v>
      </c>
      <c r="I1448">
        <v>10.5</v>
      </c>
      <c r="J1448">
        <v>1.89</v>
      </c>
      <c r="K1448">
        <v>3486.61</v>
      </c>
      <c r="L1448" s="5">
        <v>46275</v>
      </c>
      <c r="M1448" t="s">
        <v>2969</v>
      </c>
      <c r="N1448" t="s">
        <v>207</v>
      </c>
      <c r="O1448" t="s">
        <v>3332</v>
      </c>
      <c r="P1448" t="s">
        <v>208</v>
      </c>
      <c r="Q1448" t="s">
        <v>209</v>
      </c>
    </row>
    <row r="1449" spans="1:17" x14ac:dyDescent="0.3">
      <c r="A1449" t="s">
        <v>3333</v>
      </c>
      <c r="C1449" t="s">
        <v>3334</v>
      </c>
      <c r="D1449" t="s">
        <v>3334</v>
      </c>
      <c r="E1449" s="5">
        <v>46273</v>
      </c>
      <c r="F1449" t="s">
        <v>204</v>
      </c>
      <c r="G1449" t="s">
        <v>220</v>
      </c>
      <c r="H1449">
        <v>2999</v>
      </c>
      <c r="I1449">
        <v>9</v>
      </c>
      <c r="J1449">
        <v>1.62</v>
      </c>
      <c r="K1449">
        <v>2988.38</v>
      </c>
      <c r="L1449" s="5">
        <v>46275</v>
      </c>
      <c r="M1449" t="s">
        <v>2969</v>
      </c>
      <c r="N1449" t="s">
        <v>207</v>
      </c>
      <c r="O1449" t="s">
        <v>3334</v>
      </c>
      <c r="P1449" t="s">
        <v>208</v>
      </c>
      <c r="Q1449" t="s">
        <v>209</v>
      </c>
    </row>
    <row r="1450" spans="1:17" x14ac:dyDescent="0.3">
      <c r="A1450" t="s">
        <v>3335</v>
      </c>
      <c r="C1450" t="s">
        <v>3336</v>
      </c>
      <c r="D1450" t="s">
        <v>3337</v>
      </c>
      <c r="E1450" s="5">
        <v>46273</v>
      </c>
      <c r="F1450" t="s">
        <v>204</v>
      </c>
      <c r="G1450" t="s">
        <v>220</v>
      </c>
      <c r="H1450">
        <v>1848</v>
      </c>
      <c r="I1450">
        <v>0</v>
      </c>
      <c r="J1450">
        <v>0</v>
      </c>
      <c r="K1450">
        <v>1848</v>
      </c>
      <c r="L1450" s="5">
        <v>46275</v>
      </c>
      <c r="M1450" t="s">
        <v>2969</v>
      </c>
      <c r="N1450" t="s">
        <v>207</v>
      </c>
      <c r="O1450" t="s">
        <v>3337</v>
      </c>
      <c r="P1450" t="s">
        <v>208</v>
      </c>
      <c r="Q1450" t="s">
        <v>209</v>
      </c>
    </row>
    <row r="1451" spans="1:17" x14ac:dyDescent="0.3">
      <c r="A1451" t="s">
        <v>3338</v>
      </c>
      <c r="C1451" t="s">
        <v>3339</v>
      </c>
      <c r="D1451" t="s">
        <v>3339</v>
      </c>
      <c r="E1451" s="5">
        <v>46273</v>
      </c>
      <c r="F1451" t="s">
        <v>204</v>
      </c>
      <c r="G1451" t="s">
        <v>213</v>
      </c>
      <c r="H1451">
        <v>1499</v>
      </c>
      <c r="I1451">
        <v>26.98</v>
      </c>
      <c r="J1451">
        <v>4.8600000000000003</v>
      </c>
      <c r="K1451">
        <v>1467.16</v>
      </c>
      <c r="L1451" s="5">
        <v>46275</v>
      </c>
      <c r="M1451" t="s">
        <v>2969</v>
      </c>
      <c r="N1451" t="s">
        <v>207</v>
      </c>
      <c r="O1451" t="s">
        <v>3339</v>
      </c>
      <c r="P1451" t="s">
        <v>208</v>
      </c>
      <c r="Q1451" t="s">
        <v>209</v>
      </c>
    </row>
    <row r="1452" spans="1:17" x14ac:dyDescent="0.3">
      <c r="A1452" t="s">
        <v>3340</v>
      </c>
      <c r="C1452" t="s">
        <v>3341</v>
      </c>
      <c r="D1452" t="s">
        <v>3341</v>
      </c>
      <c r="E1452" s="5">
        <v>46273</v>
      </c>
      <c r="F1452" t="s">
        <v>204</v>
      </c>
      <c r="G1452" t="s">
        <v>213</v>
      </c>
      <c r="H1452">
        <v>1299</v>
      </c>
      <c r="I1452">
        <v>23.38</v>
      </c>
      <c r="J1452">
        <v>4.21</v>
      </c>
      <c r="K1452">
        <v>1271.4100000000001</v>
      </c>
      <c r="L1452" s="5">
        <v>46275</v>
      </c>
      <c r="M1452" t="s">
        <v>2969</v>
      </c>
      <c r="N1452" t="s">
        <v>207</v>
      </c>
      <c r="O1452" t="s">
        <v>3341</v>
      </c>
      <c r="P1452" t="s">
        <v>208</v>
      </c>
      <c r="Q1452" t="s">
        <v>209</v>
      </c>
    </row>
    <row r="1453" spans="1:17" x14ac:dyDescent="0.3">
      <c r="A1453" t="s">
        <v>3342</v>
      </c>
      <c r="C1453" t="s">
        <v>3343</v>
      </c>
      <c r="D1453" t="s">
        <v>3344</v>
      </c>
      <c r="E1453" s="5">
        <v>46273</v>
      </c>
      <c r="F1453" t="s">
        <v>204</v>
      </c>
      <c r="G1453" t="s">
        <v>213</v>
      </c>
      <c r="H1453">
        <v>5847</v>
      </c>
      <c r="I1453">
        <v>93.55</v>
      </c>
      <c r="J1453">
        <v>16.84</v>
      </c>
      <c r="K1453">
        <v>5736.61</v>
      </c>
      <c r="L1453" s="5">
        <v>46275</v>
      </c>
      <c r="M1453" t="s">
        <v>2969</v>
      </c>
      <c r="N1453" t="s">
        <v>207</v>
      </c>
      <c r="O1453" t="s">
        <v>3344</v>
      </c>
      <c r="P1453" t="s">
        <v>208</v>
      </c>
      <c r="Q1453" t="s">
        <v>209</v>
      </c>
    </row>
    <row r="1454" spans="1:17" x14ac:dyDescent="0.3">
      <c r="A1454" t="s">
        <v>3345</v>
      </c>
      <c r="C1454" t="s">
        <v>3346</v>
      </c>
      <c r="D1454" t="s">
        <v>3347</v>
      </c>
      <c r="E1454" s="5">
        <v>46273</v>
      </c>
      <c r="F1454" t="s">
        <v>204</v>
      </c>
      <c r="G1454" t="s">
        <v>213</v>
      </c>
      <c r="H1454">
        <v>1799</v>
      </c>
      <c r="I1454">
        <v>32.380000000000003</v>
      </c>
      <c r="J1454">
        <v>5.83</v>
      </c>
      <c r="K1454">
        <v>1760.79</v>
      </c>
      <c r="L1454" s="5">
        <v>46275</v>
      </c>
      <c r="M1454" t="s">
        <v>2969</v>
      </c>
      <c r="N1454" t="s">
        <v>207</v>
      </c>
      <c r="O1454" t="s">
        <v>3347</v>
      </c>
      <c r="P1454" t="s">
        <v>208</v>
      </c>
      <c r="Q1454" t="s">
        <v>209</v>
      </c>
    </row>
    <row r="1455" spans="1:17" x14ac:dyDescent="0.3">
      <c r="A1455" t="s">
        <v>3348</v>
      </c>
      <c r="C1455" t="s">
        <v>3349</v>
      </c>
      <c r="D1455" t="s">
        <v>3350</v>
      </c>
      <c r="E1455" s="5">
        <v>46273</v>
      </c>
      <c r="F1455" t="s">
        <v>204</v>
      </c>
      <c r="G1455" t="s">
        <v>220</v>
      </c>
      <c r="H1455">
        <v>7999</v>
      </c>
      <c r="I1455">
        <v>24</v>
      </c>
      <c r="J1455">
        <v>4.32</v>
      </c>
      <c r="K1455">
        <v>7970.68</v>
      </c>
      <c r="L1455" s="5">
        <v>46275</v>
      </c>
      <c r="M1455" t="s">
        <v>2969</v>
      </c>
      <c r="N1455" t="s">
        <v>207</v>
      </c>
      <c r="O1455" t="s">
        <v>3350</v>
      </c>
      <c r="P1455" t="s">
        <v>208</v>
      </c>
      <c r="Q1455" t="s">
        <v>209</v>
      </c>
    </row>
    <row r="1456" spans="1:17" x14ac:dyDescent="0.3">
      <c r="A1456" t="s">
        <v>3351</v>
      </c>
      <c r="C1456" t="s">
        <v>3352</v>
      </c>
      <c r="D1456" t="s">
        <v>3353</v>
      </c>
      <c r="E1456" s="5">
        <v>46273</v>
      </c>
      <c r="F1456" t="s">
        <v>204</v>
      </c>
      <c r="G1456" t="s">
        <v>220</v>
      </c>
      <c r="H1456">
        <v>2999</v>
      </c>
      <c r="I1456">
        <v>9</v>
      </c>
      <c r="J1456">
        <v>1.62</v>
      </c>
      <c r="K1456">
        <v>2988.38</v>
      </c>
      <c r="L1456" s="5">
        <v>46275</v>
      </c>
      <c r="M1456" t="s">
        <v>2969</v>
      </c>
      <c r="N1456" t="s">
        <v>207</v>
      </c>
      <c r="O1456" t="s">
        <v>3353</v>
      </c>
      <c r="P1456" t="s">
        <v>208</v>
      </c>
      <c r="Q1456" t="s">
        <v>209</v>
      </c>
    </row>
    <row r="1457" spans="1:17" x14ac:dyDescent="0.3">
      <c r="A1457" t="s">
        <v>3354</v>
      </c>
      <c r="C1457" t="s">
        <v>3355</v>
      </c>
      <c r="D1457" t="s">
        <v>3355</v>
      </c>
      <c r="E1457" s="5">
        <v>46273</v>
      </c>
      <c r="F1457" t="s">
        <v>204</v>
      </c>
      <c r="G1457" t="s">
        <v>213</v>
      </c>
      <c r="H1457">
        <v>1299</v>
      </c>
      <c r="I1457">
        <v>23.38</v>
      </c>
      <c r="J1457">
        <v>4.21</v>
      </c>
      <c r="K1457">
        <v>1271.4100000000001</v>
      </c>
      <c r="L1457" s="5">
        <v>46275</v>
      </c>
      <c r="M1457" t="s">
        <v>2969</v>
      </c>
      <c r="N1457" t="s">
        <v>207</v>
      </c>
      <c r="O1457" t="s">
        <v>3355</v>
      </c>
      <c r="P1457" t="s">
        <v>208</v>
      </c>
      <c r="Q1457" t="s">
        <v>209</v>
      </c>
    </row>
    <row r="1458" spans="1:17" x14ac:dyDescent="0.3">
      <c r="A1458" t="s">
        <v>3356</v>
      </c>
      <c r="C1458" t="s">
        <v>3357</v>
      </c>
      <c r="D1458" t="s">
        <v>3357</v>
      </c>
      <c r="E1458" s="5">
        <v>46273</v>
      </c>
      <c r="F1458" t="s">
        <v>204</v>
      </c>
      <c r="G1458" t="s">
        <v>220</v>
      </c>
      <c r="H1458">
        <v>349</v>
      </c>
      <c r="I1458">
        <v>0</v>
      </c>
      <c r="J1458">
        <v>0</v>
      </c>
      <c r="K1458">
        <v>349</v>
      </c>
      <c r="L1458" s="5">
        <v>46275</v>
      </c>
      <c r="M1458" t="s">
        <v>2969</v>
      </c>
      <c r="N1458" t="s">
        <v>207</v>
      </c>
      <c r="O1458" t="s">
        <v>3357</v>
      </c>
      <c r="P1458" t="s">
        <v>208</v>
      </c>
      <c r="Q1458" t="s">
        <v>209</v>
      </c>
    </row>
    <row r="1459" spans="1:17" x14ac:dyDescent="0.3">
      <c r="A1459" t="s">
        <v>3358</v>
      </c>
      <c r="C1459" t="s">
        <v>3359</v>
      </c>
      <c r="D1459" t="s">
        <v>3359</v>
      </c>
      <c r="E1459" s="5">
        <v>46273</v>
      </c>
      <c r="F1459" t="s">
        <v>204</v>
      </c>
      <c r="G1459" t="s">
        <v>220</v>
      </c>
      <c r="H1459">
        <v>2098</v>
      </c>
      <c r="I1459">
        <v>6.29</v>
      </c>
      <c r="J1459">
        <v>1.1299999999999999</v>
      </c>
      <c r="K1459">
        <v>2090.58</v>
      </c>
      <c r="L1459" s="5">
        <v>46275</v>
      </c>
      <c r="M1459" t="s">
        <v>2969</v>
      </c>
      <c r="N1459" t="s">
        <v>207</v>
      </c>
      <c r="O1459" t="s">
        <v>3359</v>
      </c>
      <c r="P1459" t="s">
        <v>208</v>
      </c>
      <c r="Q1459" t="s">
        <v>209</v>
      </c>
    </row>
    <row r="1460" spans="1:17" x14ac:dyDescent="0.3">
      <c r="A1460" t="s">
        <v>3360</v>
      </c>
      <c r="C1460" t="s">
        <v>3361</v>
      </c>
      <c r="D1460" t="s">
        <v>3361</v>
      </c>
      <c r="E1460" s="5">
        <v>46273</v>
      </c>
      <c r="F1460" t="s">
        <v>204</v>
      </c>
      <c r="G1460" t="s">
        <v>220</v>
      </c>
      <c r="H1460">
        <v>3098</v>
      </c>
      <c r="I1460">
        <v>9.2899999999999991</v>
      </c>
      <c r="J1460">
        <v>1.67</v>
      </c>
      <c r="K1460">
        <v>3087.04</v>
      </c>
      <c r="L1460" s="5">
        <v>46275</v>
      </c>
      <c r="M1460" t="s">
        <v>2969</v>
      </c>
      <c r="N1460" t="s">
        <v>207</v>
      </c>
      <c r="O1460" t="s">
        <v>3361</v>
      </c>
      <c r="P1460" t="s">
        <v>208</v>
      </c>
      <c r="Q1460" t="s">
        <v>209</v>
      </c>
    </row>
    <row r="1461" spans="1:17" x14ac:dyDescent="0.3">
      <c r="A1461" t="s">
        <v>3362</v>
      </c>
      <c r="C1461" t="s">
        <v>3363</v>
      </c>
      <c r="D1461" t="s">
        <v>3364</v>
      </c>
      <c r="E1461" s="5">
        <v>46273</v>
      </c>
      <c r="F1461" t="s">
        <v>204</v>
      </c>
      <c r="G1461" t="s">
        <v>220</v>
      </c>
      <c r="H1461">
        <v>7999</v>
      </c>
      <c r="I1461">
        <v>24</v>
      </c>
      <c r="J1461">
        <v>4.32</v>
      </c>
      <c r="K1461">
        <v>7970.68</v>
      </c>
      <c r="L1461" s="5">
        <v>46275</v>
      </c>
      <c r="M1461" t="s">
        <v>2969</v>
      </c>
      <c r="N1461" t="s">
        <v>207</v>
      </c>
      <c r="O1461" t="s">
        <v>3364</v>
      </c>
      <c r="P1461" t="s">
        <v>208</v>
      </c>
      <c r="Q1461" t="s">
        <v>209</v>
      </c>
    </row>
    <row r="1462" spans="1:17" x14ac:dyDescent="0.3">
      <c r="A1462" t="s">
        <v>3365</v>
      </c>
      <c r="C1462" t="s">
        <v>3366</v>
      </c>
      <c r="D1462" t="s">
        <v>3366</v>
      </c>
      <c r="E1462" s="5">
        <v>46273</v>
      </c>
      <c r="F1462" t="s">
        <v>204</v>
      </c>
      <c r="G1462" t="s">
        <v>220</v>
      </c>
      <c r="H1462">
        <v>2798</v>
      </c>
      <c r="I1462">
        <v>8.39</v>
      </c>
      <c r="J1462">
        <v>1.51</v>
      </c>
      <c r="K1462">
        <v>2788.1</v>
      </c>
      <c r="L1462" s="5">
        <v>46275</v>
      </c>
      <c r="M1462" t="s">
        <v>2969</v>
      </c>
      <c r="N1462" t="s">
        <v>207</v>
      </c>
      <c r="O1462" t="s">
        <v>3366</v>
      </c>
      <c r="P1462" t="s">
        <v>208</v>
      </c>
      <c r="Q1462" t="s">
        <v>209</v>
      </c>
    </row>
    <row r="1463" spans="1:17" x14ac:dyDescent="0.3">
      <c r="A1463" t="s">
        <v>3367</v>
      </c>
      <c r="C1463" t="s">
        <v>3368</v>
      </c>
      <c r="D1463" t="s">
        <v>3368</v>
      </c>
      <c r="E1463" s="5">
        <v>46273</v>
      </c>
      <c r="F1463" t="s">
        <v>204</v>
      </c>
      <c r="G1463" t="s">
        <v>255</v>
      </c>
      <c r="H1463">
        <v>299</v>
      </c>
      <c r="I1463">
        <v>4.49</v>
      </c>
      <c r="J1463">
        <v>0.81</v>
      </c>
      <c r="K1463">
        <v>293.7</v>
      </c>
      <c r="L1463" s="5">
        <v>46275</v>
      </c>
      <c r="M1463" t="s">
        <v>2969</v>
      </c>
      <c r="N1463" t="s">
        <v>207</v>
      </c>
      <c r="O1463" t="s">
        <v>3368</v>
      </c>
      <c r="P1463" t="s">
        <v>208</v>
      </c>
      <c r="Q1463" t="s">
        <v>209</v>
      </c>
    </row>
    <row r="1464" spans="1:17" x14ac:dyDescent="0.3">
      <c r="A1464" t="s">
        <v>3369</v>
      </c>
      <c r="C1464" t="s">
        <v>3370</v>
      </c>
      <c r="D1464" t="s">
        <v>3370</v>
      </c>
      <c r="E1464" s="5">
        <v>46273</v>
      </c>
      <c r="F1464" t="s">
        <v>204</v>
      </c>
      <c r="G1464" t="s">
        <v>220</v>
      </c>
      <c r="H1464">
        <v>7999</v>
      </c>
      <c r="I1464">
        <v>24</v>
      </c>
      <c r="J1464">
        <v>4.32</v>
      </c>
      <c r="K1464">
        <v>7970.68</v>
      </c>
      <c r="L1464" s="5">
        <v>46275</v>
      </c>
      <c r="M1464" t="s">
        <v>2969</v>
      </c>
      <c r="N1464" t="s">
        <v>207</v>
      </c>
      <c r="O1464" t="s">
        <v>3370</v>
      </c>
      <c r="P1464" t="s">
        <v>208</v>
      </c>
      <c r="Q1464" t="s">
        <v>209</v>
      </c>
    </row>
    <row r="1465" spans="1:17" x14ac:dyDescent="0.3">
      <c r="A1465" t="s">
        <v>3371</v>
      </c>
      <c r="C1465" t="s">
        <v>3372</v>
      </c>
      <c r="D1465" t="s">
        <v>3372</v>
      </c>
      <c r="E1465" s="5">
        <v>46273</v>
      </c>
      <c r="F1465" t="s">
        <v>204</v>
      </c>
      <c r="G1465" t="s">
        <v>220</v>
      </c>
      <c r="H1465">
        <v>799</v>
      </c>
      <c r="I1465">
        <v>0</v>
      </c>
      <c r="J1465">
        <v>0</v>
      </c>
      <c r="K1465">
        <v>799</v>
      </c>
      <c r="L1465" s="5">
        <v>46275</v>
      </c>
      <c r="M1465" t="s">
        <v>2969</v>
      </c>
      <c r="N1465" t="s">
        <v>207</v>
      </c>
      <c r="O1465" t="s">
        <v>3372</v>
      </c>
      <c r="P1465" t="s">
        <v>208</v>
      </c>
      <c r="Q1465" t="s">
        <v>209</v>
      </c>
    </row>
    <row r="1466" spans="1:17" x14ac:dyDescent="0.3">
      <c r="A1466" t="s">
        <v>3373</v>
      </c>
      <c r="C1466" t="s">
        <v>3374</v>
      </c>
      <c r="D1466" t="s">
        <v>3375</v>
      </c>
      <c r="E1466" s="5">
        <v>46273</v>
      </c>
      <c r="F1466" t="s">
        <v>204</v>
      </c>
      <c r="G1466" t="s">
        <v>220</v>
      </c>
      <c r="H1466">
        <v>999</v>
      </c>
      <c r="I1466">
        <v>0</v>
      </c>
      <c r="J1466">
        <v>0</v>
      </c>
      <c r="K1466">
        <v>999</v>
      </c>
      <c r="L1466" s="5">
        <v>46275</v>
      </c>
      <c r="M1466" t="s">
        <v>2969</v>
      </c>
      <c r="N1466" t="s">
        <v>207</v>
      </c>
      <c r="O1466" t="s">
        <v>3375</v>
      </c>
      <c r="P1466" t="s">
        <v>208</v>
      </c>
      <c r="Q1466" t="s">
        <v>209</v>
      </c>
    </row>
    <row r="1467" spans="1:17" x14ac:dyDescent="0.3">
      <c r="A1467" t="s">
        <v>3376</v>
      </c>
      <c r="C1467" t="s">
        <v>3377</v>
      </c>
      <c r="D1467" t="s">
        <v>3378</v>
      </c>
      <c r="E1467" s="5">
        <v>46273</v>
      </c>
      <c r="F1467" t="s">
        <v>204</v>
      </c>
      <c r="G1467" t="s">
        <v>220</v>
      </c>
      <c r="H1467">
        <v>3499</v>
      </c>
      <c r="I1467">
        <v>10.5</v>
      </c>
      <c r="J1467">
        <v>1.89</v>
      </c>
      <c r="K1467">
        <v>3486.61</v>
      </c>
      <c r="L1467" s="5">
        <v>46275</v>
      </c>
      <c r="M1467" t="s">
        <v>2969</v>
      </c>
      <c r="N1467" t="s">
        <v>207</v>
      </c>
      <c r="O1467" t="s">
        <v>3378</v>
      </c>
      <c r="P1467" t="s">
        <v>208</v>
      </c>
      <c r="Q1467" t="s">
        <v>209</v>
      </c>
    </row>
    <row r="1468" spans="1:17" x14ac:dyDescent="0.3">
      <c r="A1468" t="s">
        <v>3379</v>
      </c>
      <c r="C1468" t="s">
        <v>3380</v>
      </c>
      <c r="D1468" t="s">
        <v>3380</v>
      </c>
      <c r="E1468" s="5">
        <v>46273</v>
      </c>
      <c r="F1468" t="s">
        <v>204</v>
      </c>
      <c r="G1468" t="s">
        <v>220</v>
      </c>
      <c r="H1468">
        <v>1499</v>
      </c>
      <c r="I1468">
        <v>0</v>
      </c>
      <c r="J1468">
        <v>0</v>
      </c>
      <c r="K1468">
        <v>1499</v>
      </c>
      <c r="L1468" s="5">
        <v>46275</v>
      </c>
      <c r="M1468" t="s">
        <v>2969</v>
      </c>
      <c r="N1468" t="s">
        <v>207</v>
      </c>
      <c r="O1468" t="s">
        <v>3380</v>
      </c>
      <c r="P1468" t="s">
        <v>208</v>
      </c>
      <c r="Q1468" t="s">
        <v>209</v>
      </c>
    </row>
    <row r="1469" spans="1:17" x14ac:dyDescent="0.3">
      <c r="A1469" t="s">
        <v>3381</v>
      </c>
      <c r="C1469" t="s">
        <v>3382</v>
      </c>
      <c r="D1469" t="s">
        <v>3382</v>
      </c>
      <c r="E1469" s="5">
        <v>46273</v>
      </c>
      <c r="F1469" t="s">
        <v>204</v>
      </c>
      <c r="G1469" t="s">
        <v>255</v>
      </c>
      <c r="H1469">
        <v>2798</v>
      </c>
      <c r="I1469">
        <v>33.58</v>
      </c>
      <c r="J1469">
        <v>6.04</v>
      </c>
      <c r="K1469">
        <v>2758.38</v>
      </c>
      <c r="L1469" s="5">
        <v>46275</v>
      </c>
      <c r="M1469" t="s">
        <v>2969</v>
      </c>
      <c r="N1469" t="s">
        <v>207</v>
      </c>
      <c r="O1469" t="s">
        <v>3382</v>
      </c>
      <c r="P1469" t="s">
        <v>208</v>
      </c>
      <c r="Q1469" t="s">
        <v>209</v>
      </c>
    </row>
    <row r="1470" spans="1:17" x14ac:dyDescent="0.3">
      <c r="A1470" t="s">
        <v>3383</v>
      </c>
      <c r="C1470" t="s">
        <v>3384</v>
      </c>
      <c r="D1470" t="s">
        <v>3385</v>
      </c>
      <c r="E1470" s="5">
        <v>46273</v>
      </c>
      <c r="F1470" t="s">
        <v>204</v>
      </c>
      <c r="G1470" t="s">
        <v>213</v>
      </c>
      <c r="H1470">
        <v>499</v>
      </c>
      <c r="I1470">
        <v>8.98</v>
      </c>
      <c r="J1470">
        <v>1.62</v>
      </c>
      <c r="K1470">
        <v>488.4</v>
      </c>
      <c r="L1470" s="5">
        <v>46275</v>
      </c>
      <c r="M1470" t="s">
        <v>2969</v>
      </c>
      <c r="N1470" t="s">
        <v>207</v>
      </c>
      <c r="O1470" t="s">
        <v>3385</v>
      </c>
      <c r="P1470" t="s">
        <v>208</v>
      </c>
      <c r="Q1470" t="s">
        <v>209</v>
      </c>
    </row>
    <row r="1471" spans="1:17" x14ac:dyDescent="0.3">
      <c r="A1471" t="s">
        <v>3386</v>
      </c>
      <c r="C1471" t="s">
        <v>3387</v>
      </c>
      <c r="D1471" t="s">
        <v>3387</v>
      </c>
      <c r="E1471" s="5">
        <v>46273</v>
      </c>
      <c r="F1471" t="s">
        <v>204</v>
      </c>
      <c r="G1471" t="s">
        <v>213</v>
      </c>
      <c r="H1471">
        <v>799</v>
      </c>
      <c r="I1471">
        <v>14.38</v>
      </c>
      <c r="J1471">
        <v>2.59</v>
      </c>
      <c r="K1471">
        <v>782.03</v>
      </c>
      <c r="L1471" s="5">
        <v>46275</v>
      </c>
      <c r="M1471" t="s">
        <v>2969</v>
      </c>
      <c r="N1471" t="s">
        <v>207</v>
      </c>
      <c r="O1471" t="s">
        <v>3387</v>
      </c>
      <c r="P1471" t="s">
        <v>208</v>
      </c>
      <c r="Q1471" t="s">
        <v>209</v>
      </c>
    </row>
    <row r="1472" spans="1:17" x14ac:dyDescent="0.3">
      <c r="A1472" t="s">
        <v>3388</v>
      </c>
      <c r="C1472" t="s">
        <v>3389</v>
      </c>
      <c r="D1472" t="s">
        <v>3389</v>
      </c>
      <c r="E1472" s="5">
        <v>46273</v>
      </c>
      <c r="F1472" t="s">
        <v>204</v>
      </c>
      <c r="G1472" t="s">
        <v>255</v>
      </c>
      <c r="H1472">
        <v>799</v>
      </c>
      <c r="I1472">
        <v>11.99</v>
      </c>
      <c r="J1472">
        <v>2.16</v>
      </c>
      <c r="K1472">
        <v>784.85</v>
      </c>
      <c r="L1472" s="5">
        <v>46275</v>
      </c>
      <c r="M1472" t="s">
        <v>2969</v>
      </c>
      <c r="N1472" t="s">
        <v>207</v>
      </c>
      <c r="O1472" t="s">
        <v>3389</v>
      </c>
      <c r="P1472" t="s">
        <v>208</v>
      </c>
      <c r="Q1472" t="s">
        <v>209</v>
      </c>
    </row>
    <row r="1473" spans="1:17" x14ac:dyDescent="0.3">
      <c r="A1473" t="s">
        <v>3390</v>
      </c>
      <c r="C1473" t="s">
        <v>3391</v>
      </c>
      <c r="D1473" t="s">
        <v>3391</v>
      </c>
      <c r="E1473" s="5">
        <v>46273</v>
      </c>
      <c r="F1473" t="s">
        <v>204</v>
      </c>
      <c r="G1473" t="s">
        <v>220</v>
      </c>
      <c r="H1473">
        <v>299</v>
      </c>
      <c r="I1473">
        <v>0</v>
      </c>
      <c r="J1473">
        <v>0</v>
      </c>
      <c r="K1473">
        <v>299</v>
      </c>
      <c r="L1473" s="5">
        <v>46275</v>
      </c>
      <c r="M1473" t="s">
        <v>2969</v>
      </c>
      <c r="N1473" t="s">
        <v>207</v>
      </c>
      <c r="O1473" t="s">
        <v>3391</v>
      </c>
      <c r="P1473" t="s">
        <v>208</v>
      </c>
      <c r="Q1473" t="s">
        <v>209</v>
      </c>
    </row>
    <row r="1474" spans="1:17" x14ac:dyDescent="0.3">
      <c r="A1474" t="s">
        <v>3392</v>
      </c>
      <c r="C1474" t="s">
        <v>3393</v>
      </c>
      <c r="D1474" t="s">
        <v>3393</v>
      </c>
      <c r="E1474" s="5">
        <v>46273</v>
      </c>
      <c r="F1474" t="s">
        <v>204</v>
      </c>
      <c r="G1474" t="s">
        <v>205</v>
      </c>
      <c r="H1474">
        <v>599</v>
      </c>
      <c r="I1474">
        <v>11.38</v>
      </c>
      <c r="J1474">
        <v>2.0499999999999998</v>
      </c>
      <c r="K1474">
        <v>585.57000000000005</v>
      </c>
      <c r="L1474" s="5">
        <v>46275</v>
      </c>
      <c r="M1474" t="s">
        <v>2969</v>
      </c>
      <c r="N1474" t="s">
        <v>207</v>
      </c>
      <c r="O1474" t="s">
        <v>3393</v>
      </c>
      <c r="P1474" t="s">
        <v>208</v>
      </c>
      <c r="Q1474" t="s">
        <v>209</v>
      </c>
    </row>
    <row r="1475" spans="1:17" x14ac:dyDescent="0.3">
      <c r="A1475" t="s">
        <v>3394</v>
      </c>
      <c r="C1475" t="s">
        <v>3395</v>
      </c>
      <c r="D1475" t="s">
        <v>3395</v>
      </c>
      <c r="E1475" s="5">
        <v>46273</v>
      </c>
      <c r="F1475" t="s">
        <v>204</v>
      </c>
      <c r="G1475" t="s">
        <v>220</v>
      </c>
      <c r="H1475">
        <v>2098</v>
      </c>
      <c r="I1475">
        <v>6.29</v>
      </c>
      <c r="J1475">
        <v>1.1299999999999999</v>
      </c>
      <c r="K1475">
        <v>2090.58</v>
      </c>
      <c r="L1475" s="5">
        <v>46275</v>
      </c>
      <c r="M1475" t="s">
        <v>2969</v>
      </c>
      <c r="N1475" t="s">
        <v>207</v>
      </c>
      <c r="O1475" t="s">
        <v>3395</v>
      </c>
      <c r="P1475" t="s">
        <v>208</v>
      </c>
      <c r="Q1475" t="s">
        <v>209</v>
      </c>
    </row>
    <row r="1476" spans="1:17" x14ac:dyDescent="0.3">
      <c r="A1476" t="s">
        <v>3396</v>
      </c>
      <c r="C1476" t="s">
        <v>3397</v>
      </c>
      <c r="D1476" t="s">
        <v>3398</v>
      </c>
      <c r="E1476" s="5">
        <v>46273</v>
      </c>
      <c r="F1476" t="s">
        <v>204</v>
      </c>
      <c r="G1476" t="s">
        <v>255</v>
      </c>
      <c r="H1476">
        <v>4998</v>
      </c>
      <c r="I1476">
        <v>59.98</v>
      </c>
      <c r="J1476">
        <v>10.8</v>
      </c>
      <c r="K1476">
        <v>4927.22</v>
      </c>
      <c r="L1476" s="5">
        <v>46275</v>
      </c>
      <c r="M1476" t="s">
        <v>2969</v>
      </c>
      <c r="N1476" t="s">
        <v>207</v>
      </c>
      <c r="O1476" t="s">
        <v>3398</v>
      </c>
      <c r="P1476" t="s">
        <v>208</v>
      </c>
      <c r="Q1476" t="s">
        <v>209</v>
      </c>
    </row>
    <row r="1477" spans="1:17" x14ac:dyDescent="0.3">
      <c r="A1477" t="s">
        <v>3399</v>
      </c>
      <c r="C1477" t="s">
        <v>3400</v>
      </c>
      <c r="D1477" t="s">
        <v>3400</v>
      </c>
      <c r="E1477" s="5">
        <v>46273</v>
      </c>
      <c r="F1477" t="s">
        <v>204</v>
      </c>
      <c r="G1477" t="s">
        <v>213</v>
      </c>
      <c r="H1477">
        <v>10847</v>
      </c>
      <c r="I1477">
        <v>173.55</v>
      </c>
      <c r="J1477">
        <v>31.24</v>
      </c>
      <c r="K1477">
        <v>10642.21</v>
      </c>
      <c r="L1477" s="5">
        <v>46275</v>
      </c>
      <c r="M1477" t="s">
        <v>2969</v>
      </c>
      <c r="N1477" t="s">
        <v>207</v>
      </c>
      <c r="O1477" t="s">
        <v>3400</v>
      </c>
      <c r="P1477" t="s">
        <v>208</v>
      </c>
      <c r="Q1477" t="s">
        <v>209</v>
      </c>
    </row>
    <row r="1478" spans="1:17" x14ac:dyDescent="0.3">
      <c r="A1478" t="s">
        <v>3401</v>
      </c>
      <c r="C1478" t="s">
        <v>3402</v>
      </c>
      <c r="D1478" t="s">
        <v>3402</v>
      </c>
      <c r="E1478" s="5">
        <v>46273</v>
      </c>
      <c r="F1478" t="s">
        <v>204</v>
      </c>
      <c r="G1478" t="s">
        <v>220</v>
      </c>
      <c r="H1478">
        <v>11597</v>
      </c>
      <c r="I1478">
        <v>34.79</v>
      </c>
      <c r="J1478">
        <v>6.26</v>
      </c>
      <c r="K1478">
        <v>11555.95</v>
      </c>
      <c r="L1478" s="5">
        <v>46275</v>
      </c>
      <c r="M1478" t="s">
        <v>2969</v>
      </c>
      <c r="N1478" t="s">
        <v>207</v>
      </c>
      <c r="O1478" t="s">
        <v>3402</v>
      </c>
      <c r="P1478" t="s">
        <v>208</v>
      </c>
      <c r="Q1478" t="s">
        <v>209</v>
      </c>
    </row>
    <row r="1479" spans="1:17" x14ac:dyDescent="0.3">
      <c r="A1479" t="s">
        <v>3403</v>
      </c>
      <c r="C1479" t="s">
        <v>3404</v>
      </c>
      <c r="D1479" t="s">
        <v>3404</v>
      </c>
      <c r="E1479" s="5">
        <v>46273</v>
      </c>
      <c r="F1479" t="s">
        <v>204</v>
      </c>
      <c r="G1479" t="s">
        <v>220</v>
      </c>
      <c r="H1479">
        <v>999</v>
      </c>
      <c r="I1479">
        <v>0</v>
      </c>
      <c r="J1479">
        <v>0</v>
      </c>
      <c r="K1479">
        <v>999</v>
      </c>
      <c r="L1479" s="5">
        <v>46275</v>
      </c>
      <c r="M1479" t="s">
        <v>2969</v>
      </c>
      <c r="N1479" t="s">
        <v>207</v>
      </c>
      <c r="O1479" t="s">
        <v>3404</v>
      </c>
      <c r="P1479" t="s">
        <v>208</v>
      </c>
      <c r="Q1479" t="s">
        <v>209</v>
      </c>
    </row>
    <row r="1480" spans="1:17" x14ac:dyDescent="0.3">
      <c r="A1480" t="s">
        <v>3405</v>
      </c>
      <c r="C1480" t="s">
        <v>3406</v>
      </c>
      <c r="D1480" t="s">
        <v>3406</v>
      </c>
      <c r="E1480" s="5">
        <v>46273</v>
      </c>
      <c r="F1480" t="s">
        <v>204</v>
      </c>
      <c r="G1480" t="s">
        <v>220</v>
      </c>
      <c r="H1480">
        <v>4798</v>
      </c>
      <c r="I1480">
        <v>14.39</v>
      </c>
      <c r="J1480">
        <v>2.59</v>
      </c>
      <c r="K1480">
        <v>4781.0200000000004</v>
      </c>
      <c r="L1480" s="5">
        <v>46275</v>
      </c>
      <c r="M1480" t="s">
        <v>2969</v>
      </c>
      <c r="N1480" t="s">
        <v>207</v>
      </c>
      <c r="O1480" t="s">
        <v>3406</v>
      </c>
      <c r="P1480" t="s">
        <v>208</v>
      </c>
      <c r="Q1480" t="s">
        <v>209</v>
      </c>
    </row>
    <row r="1481" spans="1:17" x14ac:dyDescent="0.3">
      <c r="A1481" t="s">
        <v>3407</v>
      </c>
      <c r="C1481" t="s">
        <v>3408</v>
      </c>
      <c r="D1481" t="s">
        <v>3408</v>
      </c>
      <c r="E1481" s="5">
        <v>46273</v>
      </c>
      <c r="F1481" t="s">
        <v>204</v>
      </c>
      <c r="G1481" t="s">
        <v>220</v>
      </c>
      <c r="H1481">
        <v>7999</v>
      </c>
      <c r="I1481">
        <v>24</v>
      </c>
      <c r="J1481">
        <v>4.32</v>
      </c>
      <c r="K1481">
        <v>7970.68</v>
      </c>
      <c r="L1481" s="5">
        <v>46275</v>
      </c>
      <c r="M1481" t="s">
        <v>2969</v>
      </c>
      <c r="N1481" t="s">
        <v>207</v>
      </c>
      <c r="O1481" t="s">
        <v>3408</v>
      </c>
      <c r="P1481" t="s">
        <v>208</v>
      </c>
      <c r="Q1481" t="s">
        <v>209</v>
      </c>
    </row>
    <row r="1482" spans="1:17" x14ac:dyDescent="0.3">
      <c r="A1482" t="s">
        <v>3409</v>
      </c>
      <c r="C1482" t="s">
        <v>3410</v>
      </c>
      <c r="D1482" t="s">
        <v>3410</v>
      </c>
      <c r="E1482" s="5">
        <v>46273</v>
      </c>
      <c r="F1482" t="s">
        <v>204</v>
      </c>
      <c r="G1482" t="s">
        <v>220</v>
      </c>
      <c r="H1482">
        <v>1499</v>
      </c>
      <c r="I1482">
        <v>0</v>
      </c>
      <c r="J1482">
        <v>0</v>
      </c>
      <c r="K1482">
        <v>1499</v>
      </c>
      <c r="L1482" s="5">
        <v>46275</v>
      </c>
      <c r="M1482" t="s">
        <v>2969</v>
      </c>
      <c r="N1482" t="s">
        <v>207</v>
      </c>
      <c r="O1482" t="s">
        <v>3410</v>
      </c>
      <c r="P1482" t="s">
        <v>208</v>
      </c>
      <c r="Q1482" t="s">
        <v>209</v>
      </c>
    </row>
    <row r="1483" spans="1:17" x14ac:dyDescent="0.3">
      <c r="A1483" t="s">
        <v>3411</v>
      </c>
      <c r="C1483" t="s">
        <v>3412</v>
      </c>
      <c r="D1483" t="s">
        <v>3412</v>
      </c>
      <c r="E1483" s="5">
        <v>46273</v>
      </c>
      <c r="F1483" t="s">
        <v>204</v>
      </c>
      <c r="G1483" t="s">
        <v>213</v>
      </c>
      <c r="H1483">
        <v>1799</v>
      </c>
      <c r="I1483">
        <v>32.380000000000003</v>
      </c>
      <c r="J1483">
        <v>5.83</v>
      </c>
      <c r="K1483">
        <v>1760.79</v>
      </c>
      <c r="L1483" s="5">
        <v>46275</v>
      </c>
      <c r="M1483" t="s">
        <v>2969</v>
      </c>
      <c r="N1483" t="s">
        <v>207</v>
      </c>
      <c r="O1483" t="s">
        <v>3412</v>
      </c>
      <c r="P1483" t="s">
        <v>208</v>
      </c>
      <c r="Q1483" t="s">
        <v>488</v>
      </c>
    </row>
    <row r="1484" spans="1:17" x14ac:dyDescent="0.3">
      <c r="A1484" t="s">
        <v>3413</v>
      </c>
      <c r="B1484" t="s">
        <v>1066</v>
      </c>
      <c r="E1484" s="5">
        <v>46273</v>
      </c>
      <c r="F1484" t="s">
        <v>921</v>
      </c>
      <c r="G1484" t="s">
        <v>220</v>
      </c>
      <c r="H1484">
        <v>698</v>
      </c>
      <c r="I1484">
        <v>0</v>
      </c>
      <c r="J1484">
        <v>0</v>
      </c>
      <c r="K1484">
        <v>-698</v>
      </c>
      <c r="L1484" s="5">
        <v>46275</v>
      </c>
      <c r="M1484" t="s">
        <v>2969</v>
      </c>
      <c r="N1484" t="s">
        <v>207</v>
      </c>
      <c r="O1484" t="s">
        <v>1067</v>
      </c>
      <c r="P1484" t="s">
        <v>208</v>
      </c>
    </row>
    <row r="1485" spans="1:17" x14ac:dyDescent="0.3">
      <c r="A1485" t="s">
        <v>3414</v>
      </c>
      <c r="B1485" t="s">
        <v>2460</v>
      </c>
      <c r="E1485" s="5">
        <v>46273</v>
      </c>
      <c r="F1485" t="s">
        <v>921</v>
      </c>
      <c r="G1485" t="s">
        <v>220</v>
      </c>
      <c r="H1485">
        <v>3798</v>
      </c>
      <c r="I1485">
        <v>0</v>
      </c>
      <c r="J1485">
        <v>0</v>
      </c>
      <c r="K1485">
        <v>-3798</v>
      </c>
      <c r="L1485" s="5">
        <v>46275</v>
      </c>
      <c r="M1485" t="s">
        <v>2969</v>
      </c>
      <c r="N1485" t="s">
        <v>207</v>
      </c>
      <c r="O1485" t="s">
        <v>2461</v>
      </c>
      <c r="P1485" t="s">
        <v>208</v>
      </c>
    </row>
    <row r="1486" spans="1:17" x14ac:dyDescent="0.3">
      <c r="A1486" t="s">
        <v>3415</v>
      </c>
      <c r="B1486" t="s">
        <v>2089</v>
      </c>
      <c r="E1486" s="5">
        <v>46273</v>
      </c>
      <c r="F1486" t="s">
        <v>921</v>
      </c>
      <c r="G1486" t="s">
        <v>220</v>
      </c>
      <c r="H1486">
        <v>1799</v>
      </c>
      <c r="I1486">
        <v>0</v>
      </c>
      <c r="J1486">
        <v>0</v>
      </c>
      <c r="K1486">
        <v>-1799</v>
      </c>
      <c r="L1486" s="5">
        <v>46275</v>
      </c>
      <c r="M1486" t="s">
        <v>2969</v>
      </c>
      <c r="N1486" t="s">
        <v>207</v>
      </c>
      <c r="O1486" t="s">
        <v>2090</v>
      </c>
      <c r="P1486" t="s">
        <v>208</v>
      </c>
    </row>
    <row r="1487" spans="1:17" x14ac:dyDescent="0.3">
      <c r="A1487" t="s">
        <v>3416</v>
      </c>
      <c r="B1487" t="s">
        <v>2494</v>
      </c>
      <c r="E1487" s="5">
        <v>46273</v>
      </c>
      <c r="F1487" t="s">
        <v>921</v>
      </c>
      <c r="G1487" t="s">
        <v>220</v>
      </c>
      <c r="H1487">
        <v>7999</v>
      </c>
      <c r="I1487">
        <v>0</v>
      </c>
      <c r="J1487">
        <v>0</v>
      </c>
      <c r="K1487">
        <v>-7999</v>
      </c>
      <c r="L1487" s="5">
        <v>46275</v>
      </c>
      <c r="M1487" t="s">
        <v>2969</v>
      </c>
      <c r="N1487" t="s">
        <v>207</v>
      </c>
      <c r="O1487" t="s">
        <v>2495</v>
      </c>
      <c r="P1487" t="s">
        <v>208</v>
      </c>
    </row>
    <row r="1488" spans="1:17" x14ac:dyDescent="0.3">
      <c r="A1488" t="s">
        <v>3417</v>
      </c>
      <c r="B1488" t="s">
        <v>1375</v>
      </c>
      <c r="E1488" s="5">
        <v>46273</v>
      </c>
      <c r="F1488" t="s">
        <v>921</v>
      </c>
      <c r="G1488" t="s">
        <v>255</v>
      </c>
      <c r="H1488">
        <v>2999</v>
      </c>
      <c r="I1488">
        <v>0</v>
      </c>
      <c r="J1488">
        <v>0</v>
      </c>
      <c r="K1488">
        <v>-2999</v>
      </c>
      <c r="L1488" s="5">
        <v>46275</v>
      </c>
      <c r="M1488" t="s">
        <v>2969</v>
      </c>
      <c r="N1488" t="s">
        <v>207</v>
      </c>
      <c r="O1488" t="s">
        <v>1376</v>
      </c>
      <c r="P1488" t="s">
        <v>208</v>
      </c>
    </row>
    <row r="1489" spans="1:17" x14ac:dyDescent="0.3">
      <c r="A1489" t="s">
        <v>3418</v>
      </c>
      <c r="B1489" t="s">
        <v>2330</v>
      </c>
      <c r="E1489" s="5">
        <v>46273</v>
      </c>
      <c r="F1489" t="s">
        <v>921</v>
      </c>
      <c r="G1489" t="s">
        <v>213</v>
      </c>
      <c r="H1489">
        <v>3298</v>
      </c>
      <c r="I1489">
        <v>0</v>
      </c>
      <c r="J1489">
        <v>0</v>
      </c>
      <c r="K1489">
        <v>-3298</v>
      </c>
      <c r="L1489" s="5">
        <v>46275</v>
      </c>
      <c r="M1489" t="s">
        <v>2969</v>
      </c>
      <c r="N1489" t="s">
        <v>207</v>
      </c>
      <c r="O1489" t="s">
        <v>2331</v>
      </c>
      <c r="P1489" t="s">
        <v>208</v>
      </c>
    </row>
    <row r="1490" spans="1:17" x14ac:dyDescent="0.3">
      <c r="A1490" t="s">
        <v>3419</v>
      </c>
      <c r="B1490" t="s">
        <v>1886</v>
      </c>
      <c r="E1490" s="5">
        <v>46273</v>
      </c>
      <c r="F1490" t="s">
        <v>921</v>
      </c>
      <c r="G1490" t="s">
        <v>220</v>
      </c>
      <c r="H1490">
        <v>1647</v>
      </c>
      <c r="I1490">
        <v>0</v>
      </c>
      <c r="J1490">
        <v>0</v>
      </c>
      <c r="K1490">
        <v>-1647</v>
      </c>
      <c r="L1490" s="5">
        <v>46275</v>
      </c>
      <c r="M1490" t="s">
        <v>2969</v>
      </c>
      <c r="N1490" t="s">
        <v>207</v>
      </c>
      <c r="O1490" t="s">
        <v>1887</v>
      </c>
      <c r="P1490" t="s">
        <v>208</v>
      </c>
    </row>
    <row r="1491" spans="1:17" x14ac:dyDescent="0.3">
      <c r="A1491" t="s">
        <v>3420</v>
      </c>
      <c r="C1491" t="s">
        <v>3421</v>
      </c>
      <c r="D1491" t="s">
        <v>3421</v>
      </c>
      <c r="E1491" s="5">
        <v>46274</v>
      </c>
      <c r="F1491" t="s">
        <v>204</v>
      </c>
      <c r="G1491" t="s">
        <v>220</v>
      </c>
      <c r="H1491">
        <v>3298</v>
      </c>
      <c r="I1491">
        <v>9.89</v>
      </c>
      <c r="J1491">
        <v>1.78</v>
      </c>
      <c r="K1491">
        <v>3286.33</v>
      </c>
      <c r="L1491" s="5">
        <v>46276</v>
      </c>
      <c r="M1491" t="s">
        <v>3422</v>
      </c>
      <c r="N1491" t="s">
        <v>207</v>
      </c>
      <c r="O1491" t="s">
        <v>3421</v>
      </c>
      <c r="P1491" t="s">
        <v>208</v>
      </c>
      <c r="Q1491" t="s">
        <v>209</v>
      </c>
    </row>
    <row r="1492" spans="1:17" x14ac:dyDescent="0.3">
      <c r="A1492" t="s">
        <v>3423</v>
      </c>
      <c r="C1492" t="s">
        <v>3424</v>
      </c>
      <c r="D1492" t="s">
        <v>3425</v>
      </c>
      <c r="E1492" s="5">
        <v>46274</v>
      </c>
      <c r="F1492" t="s">
        <v>204</v>
      </c>
      <c r="G1492" t="s">
        <v>213</v>
      </c>
      <c r="H1492">
        <v>1799</v>
      </c>
      <c r="I1492">
        <v>32.380000000000003</v>
      </c>
      <c r="J1492">
        <v>5.83</v>
      </c>
      <c r="K1492">
        <v>1760.79</v>
      </c>
      <c r="L1492" s="5">
        <v>46276</v>
      </c>
      <c r="M1492" t="s">
        <v>3422</v>
      </c>
      <c r="N1492" t="s">
        <v>207</v>
      </c>
      <c r="O1492" t="s">
        <v>3425</v>
      </c>
      <c r="P1492" t="s">
        <v>208</v>
      </c>
      <c r="Q1492" t="s">
        <v>209</v>
      </c>
    </row>
    <row r="1493" spans="1:17" x14ac:dyDescent="0.3">
      <c r="A1493" t="s">
        <v>3426</v>
      </c>
      <c r="C1493" t="s">
        <v>3427</v>
      </c>
      <c r="D1493" t="s">
        <v>3428</v>
      </c>
      <c r="E1493" s="5">
        <v>46274</v>
      </c>
      <c r="F1493" t="s">
        <v>204</v>
      </c>
      <c r="G1493" t="s">
        <v>220</v>
      </c>
      <c r="H1493">
        <v>499</v>
      </c>
      <c r="I1493">
        <v>0</v>
      </c>
      <c r="J1493">
        <v>0</v>
      </c>
      <c r="K1493">
        <v>499</v>
      </c>
      <c r="L1493" s="5">
        <v>46276</v>
      </c>
      <c r="M1493" t="s">
        <v>3422</v>
      </c>
      <c r="N1493" t="s">
        <v>207</v>
      </c>
      <c r="O1493" t="s">
        <v>3428</v>
      </c>
      <c r="P1493" t="s">
        <v>208</v>
      </c>
      <c r="Q1493" t="s">
        <v>209</v>
      </c>
    </row>
    <row r="1494" spans="1:17" x14ac:dyDescent="0.3">
      <c r="A1494" t="s">
        <v>3429</v>
      </c>
      <c r="C1494" t="s">
        <v>3430</v>
      </c>
      <c r="D1494" t="s">
        <v>3430</v>
      </c>
      <c r="E1494" s="5">
        <v>46274</v>
      </c>
      <c r="F1494" t="s">
        <v>204</v>
      </c>
      <c r="G1494" t="s">
        <v>220</v>
      </c>
      <c r="H1494">
        <v>8798</v>
      </c>
      <c r="I1494">
        <v>26.39</v>
      </c>
      <c r="J1494">
        <v>4.75</v>
      </c>
      <c r="K1494">
        <v>8766.86</v>
      </c>
      <c r="L1494" s="5">
        <v>46276</v>
      </c>
      <c r="M1494" t="s">
        <v>3422</v>
      </c>
      <c r="N1494" t="s">
        <v>207</v>
      </c>
      <c r="O1494" t="s">
        <v>3430</v>
      </c>
      <c r="P1494" t="s">
        <v>208</v>
      </c>
      <c r="Q1494" t="s">
        <v>209</v>
      </c>
    </row>
    <row r="1495" spans="1:17" x14ac:dyDescent="0.3">
      <c r="A1495" t="s">
        <v>3431</v>
      </c>
      <c r="C1495" t="s">
        <v>3432</v>
      </c>
      <c r="D1495" t="s">
        <v>3432</v>
      </c>
      <c r="E1495" s="5">
        <v>46274</v>
      </c>
      <c r="F1495" t="s">
        <v>204</v>
      </c>
      <c r="G1495" t="s">
        <v>220</v>
      </c>
      <c r="H1495">
        <v>7999</v>
      </c>
      <c r="I1495">
        <v>24</v>
      </c>
      <c r="J1495">
        <v>4.32</v>
      </c>
      <c r="K1495">
        <v>7970.68</v>
      </c>
      <c r="L1495" s="5">
        <v>46276</v>
      </c>
      <c r="M1495" t="s">
        <v>3422</v>
      </c>
      <c r="N1495" t="s">
        <v>207</v>
      </c>
      <c r="O1495" t="s">
        <v>3432</v>
      </c>
      <c r="P1495" t="s">
        <v>208</v>
      </c>
      <c r="Q1495" t="s">
        <v>209</v>
      </c>
    </row>
    <row r="1496" spans="1:17" x14ac:dyDescent="0.3">
      <c r="A1496" t="s">
        <v>3433</v>
      </c>
      <c r="C1496" t="s">
        <v>3434</v>
      </c>
      <c r="D1496" t="s">
        <v>3434</v>
      </c>
      <c r="E1496" s="5">
        <v>46274</v>
      </c>
      <c r="F1496" t="s">
        <v>204</v>
      </c>
      <c r="G1496" t="s">
        <v>220</v>
      </c>
      <c r="H1496">
        <v>1447</v>
      </c>
      <c r="I1496">
        <v>0</v>
      </c>
      <c r="J1496">
        <v>0</v>
      </c>
      <c r="K1496">
        <v>1447</v>
      </c>
      <c r="L1496" s="5">
        <v>46276</v>
      </c>
      <c r="M1496" t="s">
        <v>3422</v>
      </c>
      <c r="N1496" t="s">
        <v>207</v>
      </c>
      <c r="O1496" t="s">
        <v>3434</v>
      </c>
      <c r="P1496" t="s">
        <v>208</v>
      </c>
      <c r="Q1496" t="s">
        <v>209</v>
      </c>
    </row>
    <row r="1497" spans="1:17" x14ac:dyDescent="0.3">
      <c r="A1497" t="s">
        <v>3435</v>
      </c>
      <c r="C1497" t="s">
        <v>3436</v>
      </c>
      <c r="D1497" t="s">
        <v>3436</v>
      </c>
      <c r="E1497" s="5">
        <v>46274</v>
      </c>
      <c r="F1497" t="s">
        <v>204</v>
      </c>
      <c r="G1497" t="s">
        <v>213</v>
      </c>
      <c r="H1497">
        <v>349</v>
      </c>
      <c r="I1497">
        <v>6.28</v>
      </c>
      <c r="J1497">
        <v>1.1299999999999999</v>
      </c>
      <c r="K1497">
        <v>341.59</v>
      </c>
      <c r="L1497" s="5">
        <v>46276</v>
      </c>
      <c r="M1497" t="s">
        <v>3422</v>
      </c>
      <c r="N1497" t="s">
        <v>207</v>
      </c>
      <c r="O1497" t="s">
        <v>3436</v>
      </c>
      <c r="P1497" t="s">
        <v>208</v>
      </c>
      <c r="Q1497" t="s">
        <v>209</v>
      </c>
    </row>
    <row r="1498" spans="1:17" x14ac:dyDescent="0.3">
      <c r="A1498" t="s">
        <v>3437</v>
      </c>
      <c r="C1498" t="s">
        <v>3438</v>
      </c>
      <c r="D1498" t="s">
        <v>3438</v>
      </c>
      <c r="E1498" s="5">
        <v>46274</v>
      </c>
      <c r="F1498" t="s">
        <v>204</v>
      </c>
      <c r="G1498" t="s">
        <v>213</v>
      </c>
      <c r="H1498">
        <v>1298</v>
      </c>
      <c r="I1498">
        <v>23.36</v>
      </c>
      <c r="J1498">
        <v>4.2</v>
      </c>
      <c r="K1498">
        <v>1270.44</v>
      </c>
      <c r="L1498" s="5">
        <v>46276</v>
      </c>
      <c r="M1498" t="s">
        <v>3422</v>
      </c>
      <c r="N1498" t="s">
        <v>207</v>
      </c>
      <c r="O1498" t="s">
        <v>3438</v>
      </c>
      <c r="P1498" t="s">
        <v>208</v>
      </c>
      <c r="Q1498" t="s">
        <v>209</v>
      </c>
    </row>
    <row r="1499" spans="1:17" x14ac:dyDescent="0.3">
      <c r="A1499" t="s">
        <v>3439</v>
      </c>
      <c r="C1499" t="s">
        <v>3440</v>
      </c>
      <c r="D1499" t="s">
        <v>3440</v>
      </c>
      <c r="E1499" s="5">
        <v>46274</v>
      </c>
      <c r="F1499" t="s">
        <v>204</v>
      </c>
      <c r="G1499" t="s">
        <v>255</v>
      </c>
      <c r="H1499">
        <v>9798</v>
      </c>
      <c r="I1499">
        <v>117.58</v>
      </c>
      <c r="J1499">
        <v>21.16</v>
      </c>
      <c r="K1499">
        <v>9659.26</v>
      </c>
      <c r="L1499" s="5">
        <v>46276</v>
      </c>
      <c r="M1499" t="s">
        <v>3422</v>
      </c>
      <c r="N1499" t="s">
        <v>207</v>
      </c>
      <c r="O1499" t="s">
        <v>3440</v>
      </c>
      <c r="P1499" t="s">
        <v>208</v>
      </c>
      <c r="Q1499" t="s">
        <v>209</v>
      </c>
    </row>
    <row r="1500" spans="1:17" x14ac:dyDescent="0.3">
      <c r="A1500" t="s">
        <v>3441</v>
      </c>
      <c r="C1500" t="s">
        <v>3442</v>
      </c>
      <c r="D1500" t="s">
        <v>3443</v>
      </c>
      <c r="E1500" s="5">
        <v>46274</v>
      </c>
      <c r="F1500" t="s">
        <v>204</v>
      </c>
      <c r="G1500" t="s">
        <v>220</v>
      </c>
      <c r="H1500">
        <v>4298</v>
      </c>
      <c r="I1500">
        <v>12.89</v>
      </c>
      <c r="J1500">
        <v>2.3199999999999998</v>
      </c>
      <c r="K1500">
        <v>4282.79</v>
      </c>
      <c r="L1500" s="5">
        <v>46276</v>
      </c>
      <c r="M1500" t="s">
        <v>3422</v>
      </c>
      <c r="N1500" t="s">
        <v>207</v>
      </c>
      <c r="O1500" t="s">
        <v>3443</v>
      </c>
      <c r="P1500" t="s">
        <v>208</v>
      </c>
      <c r="Q1500" t="s">
        <v>209</v>
      </c>
    </row>
    <row r="1501" spans="1:17" x14ac:dyDescent="0.3">
      <c r="A1501" t="s">
        <v>3444</v>
      </c>
      <c r="C1501" t="s">
        <v>3445</v>
      </c>
      <c r="D1501" t="s">
        <v>3445</v>
      </c>
      <c r="E1501" s="5">
        <v>46274</v>
      </c>
      <c r="F1501" t="s">
        <v>204</v>
      </c>
      <c r="G1501" t="s">
        <v>205</v>
      </c>
      <c r="H1501">
        <v>3499</v>
      </c>
      <c r="I1501">
        <v>59.48</v>
      </c>
      <c r="J1501">
        <v>10.71</v>
      </c>
      <c r="K1501">
        <v>3428.81</v>
      </c>
      <c r="L1501" s="5">
        <v>46276</v>
      </c>
      <c r="M1501" t="s">
        <v>3422</v>
      </c>
      <c r="N1501" t="s">
        <v>207</v>
      </c>
      <c r="O1501" t="s">
        <v>3445</v>
      </c>
      <c r="P1501" t="s">
        <v>208</v>
      </c>
      <c r="Q1501" t="s">
        <v>209</v>
      </c>
    </row>
    <row r="1502" spans="1:17" x14ac:dyDescent="0.3">
      <c r="A1502" t="s">
        <v>3446</v>
      </c>
      <c r="C1502" t="s">
        <v>3447</v>
      </c>
      <c r="D1502" t="s">
        <v>3447</v>
      </c>
      <c r="E1502" s="5">
        <v>46274</v>
      </c>
      <c r="F1502" t="s">
        <v>204</v>
      </c>
      <c r="G1502" t="s">
        <v>205</v>
      </c>
      <c r="H1502">
        <v>1598</v>
      </c>
      <c r="I1502">
        <v>30.36</v>
      </c>
      <c r="J1502">
        <v>5.46</v>
      </c>
      <c r="K1502">
        <v>1562.18</v>
      </c>
      <c r="L1502" s="5">
        <v>46276</v>
      </c>
      <c r="M1502" t="s">
        <v>3422</v>
      </c>
      <c r="N1502" t="s">
        <v>207</v>
      </c>
      <c r="O1502" t="s">
        <v>3447</v>
      </c>
      <c r="P1502" t="s">
        <v>208</v>
      </c>
      <c r="Q1502" t="s">
        <v>209</v>
      </c>
    </row>
    <row r="1503" spans="1:17" x14ac:dyDescent="0.3">
      <c r="A1503" t="s">
        <v>3448</v>
      </c>
      <c r="C1503" t="s">
        <v>3449</v>
      </c>
      <c r="D1503" t="s">
        <v>3449</v>
      </c>
      <c r="E1503" s="5">
        <v>46274</v>
      </c>
      <c r="F1503" t="s">
        <v>204</v>
      </c>
      <c r="G1503" t="s">
        <v>220</v>
      </c>
      <c r="H1503">
        <v>4998</v>
      </c>
      <c r="I1503">
        <v>14.99</v>
      </c>
      <c r="J1503">
        <v>2.7</v>
      </c>
      <c r="K1503">
        <v>4980.3100000000004</v>
      </c>
      <c r="L1503" s="5">
        <v>46276</v>
      </c>
      <c r="M1503" t="s">
        <v>3422</v>
      </c>
      <c r="N1503" t="s">
        <v>207</v>
      </c>
      <c r="O1503" t="s">
        <v>3449</v>
      </c>
      <c r="P1503" t="s">
        <v>208</v>
      </c>
      <c r="Q1503" t="s">
        <v>209</v>
      </c>
    </row>
    <row r="1504" spans="1:17" x14ac:dyDescent="0.3">
      <c r="A1504" t="s">
        <v>3450</v>
      </c>
      <c r="C1504" t="s">
        <v>3451</v>
      </c>
      <c r="D1504" t="s">
        <v>3451</v>
      </c>
      <c r="E1504" s="5">
        <v>46274</v>
      </c>
      <c r="F1504" t="s">
        <v>204</v>
      </c>
      <c r="G1504" t="s">
        <v>213</v>
      </c>
      <c r="H1504">
        <v>10498</v>
      </c>
      <c r="I1504">
        <v>167.97</v>
      </c>
      <c r="J1504">
        <v>30.23</v>
      </c>
      <c r="K1504">
        <v>10299.799999999999</v>
      </c>
      <c r="L1504" s="5">
        <v>46276</v>
      </c>
      <c r="M1504" t="s">
        <v>3422</v>
      </c>
      <c r="N1504" t="s">
        <v>207</v>
      </c>
      <c r="O1504" t="s">
        <v>3451</v>
      </c>
      <c r="P1504" t="s">
        <v>208</v>
      </c>
      <c r="Q1504" t="s">
        <v>209</v>
      </c>
    </row>
    <row r="1505" spans="1:17" x14ac:dyDescent="0.3">
      <c r="A1505" t="s">
        <v>3452</v>
      </c>
      <c r="C1505" t="s">
        <v>3453</v>
      </c>
      <c r="D1505" t="s">
        <v>3453</v>
      </c>
      <c r="E1505" s="5">
        <v>46274</v>
      </c>
      <c r="F1505" t="s">
        <v>204</v>
      </c>
      <c r="G1505" t="s">
        <v>220</v>
      </c>
      <c r="H1505">
        <v>6498</v>
      </c>
      <c r="I1505">
        <v>19.489999999999998</v>
      </c>
      <c r="J1505">
        <v>3.51</v>
      </c>
      <c r="K1505">
        <v>6475</v>
      </c>
      <c r="L1505" s="5">
        <v>46276</v>
      </c>
      <c r="M1505" t="s">
        <v>3422</v>
      </c>
      <c r="N1505" t="s">
        <v>207</v>
      </c>
      <c r="O1505" t="s">
        <v>3453</v>
      </c>
      <c r="P1505" t="s">
        <v>208</v>
      </c>
      <c r="Q1505" t="s">
        <v>209</v>
      </c>
    </row>
    <row r="1506" spans="1:17" x14ac:dyDescent="0.3">
      <c r="A1506" t="s">
        <v>3454</v>
      </c>
      <c r="C1506" t="s">
        <v>3455</v>
      </c>
      <c r="D1506" t="s">
        <v>3455</v>
      </c>
      <c r="E1506" s="5">
        <v>46274</v>
      </c>
      <c r="F1506" t="s">
        <v>204</v>
      </c>
      <c r="G1506" t="s">
        <v>220</v>
      </c>
      <c r="H1506">
        <v>799</v>
      </c>
      <c r="I1506">
        <v>0</v>
      </c>
      <c r="J1506">
        <v>0</v>
      </c>
      <c r="K1506">
        <v>799</v>
      </c>
      <c r="L1506" s="5">
        <v>46276</v>
      </c>
      <c r="M1506" t="s">
        <v>3422</v>
      </c>
      <c r="N1506" t="s">
        <v>207</v>
      </c>
      <c r="O1506" t="s">
        <v>3455</v>
      </c>
      <c r="P1506" t="s">
        <v>208</v>
      </c>
      <c r="Q1506" t="s">
        <v>209</v>
      </c>
    </row>
    <row r="1507" spans="1:17" x14ac:dyDescent="0.3">
      <c r="A1507" t="s">
        <v>3456</v>
      </c>
      <c r="C1507" t="s">
        <v>3457</v>
      </c>
      <c r="D1507" t="s">
        <v>3457</v>
      </c>
      <c r="E1507" s="5">
        <v>46274</v>
      </c>
      <c r="F1507" t="s">
        <v>204</v>
      </c>
      <c r="G1507" t="s">
        <v>255</v>
      </c>
      <c r="H1507">
        <v>4999</v>
      </c>
      <c r="I1507">
        <v>59.99</v>
      </c>
      <c r="J1507">
        <v>10.8</v>
      </c>
      <c r="K1507">
        <v>4928.21</v>
      </c>
      <c r="L1507" s="5">
        <v>46276</v>
      </c>
      <c r="M1507" t="s">
        <v>3422</v>
      </c>
      <c r="N1507" t="s">
        <v>207</v>
      </c>
      <c r="O1507" t="s">
        <v>3457</v>
      </c>
      <c r="P1507" t="s">
        <v>208</v>
      </c>
      <c r="Q1507" t="s">
        <v>209</v>
      </c>
    </row>
    <row r="1508" spans="1:17" x14ac:dyDescent="0.3">
      <c r="A1508" t="s">
        <v>3458</v>
      </c>
      <c r="C1508" t="s">
        <v>3459</v>
      </c>
      <c r="D1508" t="s">
        <v>3459</v>
      </c>
      <c r="E1508" s="5">
        <v>46274</v>
      </c>
      <c r="F1508" t="s">
        <v>204</v>
      </c>
      <c r="G1508" t="s">
        <v>220</v>
      </c>
      <c r="H1508">
        <v>4498</v>
      </c>
      <c r="I1508">
        <v>13.49</v>
      </c>
      <c r="J1508">
        <v>2.4300000000000002</v>
      </c>
      <c r="K1508">
        <v>4482.08</v>
      </c>
      <c r="L1508" s="5">
        <v>46276</v>
      </c>
      <c r="M1508" t="s">
        <v>3422</v>
      </c>
      <c r="N1508" t="s">
        <v>207</v>
      </c>
      <c r="O1508" t="s">
        <v>3459</v>
      </c>
      <c r="P1508" t="s">
        <v>208</v>
      </c>
      <c r="Q1508" t="s">
        <v>209</v>
      </c>
    </row>
    <row r="1509" spans="1:17" x14ac:dyDescent="0.3">
      <c r="A1509" t="s">
        <v>3460</v>
      </c>
      <c r="C1509" t="s">
        <v>3461</v>
      </c>
      <c r="D1509" t="s">
        <v>3461</v>
      </c>
      <c r="E1509" s="5">
        <v>46274</v>
      </c>
      <c r="F1509" t="s">
        <v>204</v>
      </c>
      <c r="G1509" t="s">
        <v>213</v>
      </c>
      <c r="H1509">
        <v>5798</v>
      </c>
      <c r="I1509">
        <v>92.77</v>
      </c>
      <c r="J1509">
        <v>16.7</v>
      </c>
      <c r="K1509">
        <v>5688.53</v>
      </c>
      <c r="L1509" s="5">
        <v>46276</v>
      </c>
      <c r="M1509" t="s">
        <v>3422</v>
      </c>
      <c r="N1509" t="s">
        <v>207</v>
      </c>
      <c r="O1509" t="s">
        <v>3461</v>
      </c>
      <c r="P1509" t="s">
        <v>208</v>
      </c>
      <c r="Q1509" t="s">
        <v>209</v>
      </c>
    </row>
    <row r="1510" spans="1:17" x14ac:dyDescent="0.3">
      <c r="A1510" t="s">
        <v>3462</v>
      </c>
      <c r="C1510" t="s">
        <v>3463</v>
      </c>
      <c r="D1510" t="s">
        <v>3463</v>
      </c>
      <c r="E1510" s="5">
        <v>46274</v>
      </c>
      <c r="F1510" t="s">
        <v>204</v>
      </c>
      <c r="G1510" t="s">
        <v>213</v>
      </c>
      <c r="H1510">
        <v>9797</v>
      </c>
      <c r="I1510">
        <v>156.75</v>
      </c>
      <c r="J1510">
        <v>28.22</v>
      </c>
      <c r="K1510">
        <v>9612.0300000000007</v>
      </c>
      <c r="L1510" s="5">
        <v>46276</v>
      </c>
      <c r="M1510" t="s">
        <v>3422</v>
      </c>
      <c r="N1510" t="s">
        <v>207</v>
      </c>
      <c r="O1510" t="s">
        <v>3463</v>
      </c>
      <c r="P1510" t="s">
        <v>208</v>
      </c>
      <c r="Q1510" t="s">
        <v>209</v>
      </c>
    </row>
    <row r="1511" spans="1:17" x14ac:dyDescent="0.3">
      <c r="A1511" t="s">
        <v>3464</v>
      </c>
      <c r="C1511" t="s">
        <v>3465</v>
      </c>
      <c r="D1511" t="s">
        <v>3466</v>
      </c>
      <c r="E1511" s="5">
        <v>46274</v>
      </c>
      <c r="F1511" t="s">
        <v>204</v>
      </c>
      <c r="G1511" t="s">
        <v>213</v>
      </c>
      <c r="H1511">
        <v>2598</v>
      </c>
      <c r="I1511">
        <v>41.57</v>
      </c>
      <c r="J1511">
        <v>7.48</v>
      </c>
      <c r="K1511">
        <v>2548.9499999999998</v>
      </c>
      <c r="L1511" s="5">
        <v>46276</v>
      </c>
      <c r="M1511" t="s">
        <v>3422</v>
      </c>
      <c r="N1511" t="s">
        <v>207</v>
      </c>
      <c r="O1511" t="s">
        <v>3466</v>
      </c>
      <c r="P1511" t="s">
        <v>208</v>
      </c>
      <c r="Q1511" t="s">
        <v>209</v>
      </c>
    </row>
    <row r="1512" spans="1:17" x14ac:dyDescent="0.3">
      <c r="A1512" t="s">
        <v>3467</v>
      </c>
      <c r="C1512" t="s">
        <v>3468</v>
      </c>
      <c r="D1512" t="s">
        <v>3468</v>
      </c>
      <c r="E1512" s="5">
        <v>46274</v>
      </c>
      <c r="F1512" t="s">
        <v>204</v>
      </c>
      <c r="G1512" t="s">
        <v>220</v>
      </c>
      <c r="H1512">
        <v>3499</v>
      </c>
      <c r="I1512">
        <v>10.5</v>
      </c>
      <c r="J1512">
        <v>1.89</v>
      </c>
      <c r="K1512">
        <v>3486.61</v>
      </c>
      <c r="L1512" s="5">
        <v>46276</v>
      </c>
      <c r="M1512" t="s">
        <v>3422</v>
      </c>
      <c r="N1512" t="s">
        <v>207</v>
      </c>
      <c r="O1512" t="s">
        <v>3468</v>
      </c>
      <c r="P1512" t="s">
        <v>208</v>
      </c>
      <c r="Q1512" t="s">
        <v>209</v>
      </c>
    </row>
    <row r="1513" spans="1:17" x14ac:dyDescent="0.3">
      <c r="A1513" t="s">
        <v>3469</v>
      </c>
      <c r="C1513" t="s">
        <v>3470</v>
      </c>
      <c r="D1513" t="s">
        <v>3470</v>
      </c>
      <c r="E1513" s="5">
        <v>46274</v>
      </c>
      <c r="F1513" t="s">
        <v>204</v>
      </c>
      <c r="G1513" t="s">
        <v>220</v>
      </c>
      <c r="H1513">
        <v>499</v>
      </c>
      <c r="I1513">
        <v>0</v>
      </c>
      <c r="J1513">
        <v>0</v>
      </c>
      <c r="K1513">
        <v>499</v>
      </c>
      <c r="L1513" s="5">
        <v>46276</v>
      </c>
      <c r="M1513" t="s">
        <v>3422</v>
      </c>
      <c r="N1513" t="s">
        <v>207</v>
      </c>
      <c r="O1513" t="s">
        <v>3470</v>
      </c>
      <c r="P1513" t="s">
        <v>208</v>
      </c>
      <c r="Q1513" t="s">
        <v>209</v>
      </c>
    </row>
    <row r="1514" spans="1:17" x14ac:dyDescent="0.3">
      <c r="A1514" t="s">
        <v>3471</v>
      </c>
      <c r="C1514" t="s">
        <v>3472</v>
      </c>
      <c r="D1514" t="s">
        <v>3472</v>
      </c>
      <c r="E1514" s="5">
        <v>46274</v>
      </c>
      <c r="F1514" t="s">
        <v>204</v>
      </c>
      <c r="G1514" t="s">
        <v>220</v>
      </c>
      <c r="H1514">
        <v>3298</v>
      </c>
      <c r="I1514">
        <v>9.89</v>
      </c>
      <c r="J1514">
        <v>1.78</v>
      </c>
      <c r="K1514">
        <v>3286.33</v>
      </c>
      <c r="L1514" s="5">
        <v>46276</v>
      </c>
      <c r="M1514" t="s">
        <v>3422</v>
      </c>
      <c r="N1514" t="s">
        <v>207</v>
      </c>
      <c r="O1514" t="s">
        <v>3472</v>
      </c>
      <c r="P1514" t="s">
        <v>208</v>
      </c>
      <c r="Q1514" t="s">
        <v>209</v>
      </c>
    </row>
    <row r="1515" spans="1:17" x14ac:dyDescent="0.3">
      <c r="A1515" t="s">
        <v>3473</v>
      </c>
      <c r="C1515" t="s">
        <v>3474</v>
      </c>
      <c r="D1515" t="s">
        <v>3474</v>
      </c>
      <c r="E1515" s="5">
        <v>46274</v>
      </c>
      <c r="F1515" t="s">
        <v>204</v>
      </c>
      <c r="G1515" t="s">
        <v>220</v>
      </c>
      <c r="H1515">
        <v>5297</v>
      </c>
      <c r="I1515">
        <v>15.89</v>
      </c>
      <c r="J1515">
        <v>2.86</v>
      </c>
      <c r="K1515">
        <v>5278.25</v>
      </c>
      <c r="L1515" s="5">
        <v>46276</v>
      </c>
      <c r="M1515" t="s">
        <v>3422</v>
      </c>
      <c r="N1515" t="s">
        <v>207</v>
      </c>
      <c r="O1515" t="s">
        <v>3474</v>
      </c>
      <c r="P1515" t="s">
        <v>208</v>
      </c>
      <c r="Q1515" t="s">
        <v>209</v>
      </c>
    </row>
    <row r="1516" spans="1:17" x14ac:dyDescent="0.3">
      <c r="A1516" t="s">
        <v>3475</v>
      </c>
      <c r="C1516" t="s">
        <v>3476</v>
      </c>
      <c r="D1516" t="s">
        <v>3477</v>
      </c>
      <c r="E1516" s="5">
        <v>46274</v>
      </c>
      <c r="F1516" t="s">
        <v>204</v>
      </c>
      <c r="G1516" t="s">
        <v>213</v>
      </c>
      <c r="H1516">
        <v>799</v>
      </c>
      <c r="I1516">
        <v>14.38</v>
      </c>
      <c r="J1516">
        <v>2.59</v>
      </c>
      <c r="K1516">
        <v>782.03</v>
      </c>
      <c r="L1516" s="5">
        <v>46276</v>
      </c>
      <c r="M1516" t="s">
        <v>3422</v>
      </c>
      <c r="N1516" t="s">
        <v>207</v>
      </c>
      <c r="O1516" t="s">
        <v>3477</v>
      </c>
      <c r="P1516" t="s">
        <v>208</v>
      </c>
      <c r="Q1516" t="s">
        <v>209</v>
      </c>
    </row>
    <row r="1517" spans="1:17" x14ac:dyDescent="0.3">
      <c r="A1517" t="s">
        <v>3478</v>
      </c>
      <c r="C1517" t="s">
        <v>3479</v>
      </c>
      <c r="D1517" t="s">
        <v>3479</v>
      </c>
      <c r="E1517" s="5">
        <v>46274</v>
      </c>
      <c r="F1517" t="s">
        <v>204</v>
      </c>
      <c r="G1517" t="s">
        <v>220</v>
      </c>
      <c r="H1517">
        <v>1499</v>
      </c>
      <c r="I1517">
        <v>0</v>
      </c>
      <c r="J1517">
        <v>0</v>
      </c>
      <c r="K1517">
        <v>1499</v>
      </c>
      <c r="L1517" s="5">
        <v>46276</v>
      </c>
      <c r="M1517" t="s">
        <v>3422</v>
      </c>
      <c r="N1517" t="s">
        <v>207</v>
      </c>
      <c r="O1517" t="s">
        <v>3479</v>
      </c>
      <c r="P1517" t="s">
        <v>208</v>
      </c>
      <c r="Q1517" t="s">
        <v>209</v>
      </c>
    </row>
    <row r="1518" spans="1:17" x14ac:dyDescent="0.3">
      <c r="A1518" t="s">
        <v>3480</v>
      </c>
      <c r="C1518" t="s">
        <v>3481</v>
      </c>
      <c r="D1518" t="s">
        <v>3481</v>
      </c>
      <c r="E1518" s="5">
        <v>46274</v>
      </c>
      <c r="F1518" t="s">
        <v>204</v>
      </c>
      <c r="G1518" t="s">
        <v>220</v>
      </c>
      <c r="H1518">
        <v>8498</v>
      </c>
      <c r="I1518">
        <v>25.49</v>
      </c>
      <c r="J1518">
        <v>4.59</v>
      </c>
      <c r="K1518">
        <v>8467.92</v>
      </c>
      <c r="L1518" s="5">
        <v>46276</v>
      </c>
      <c r="M1518" t="s">
        <v>3422</v>
      </c>
      <c r="N1518" t="s">
        <v>207</v>
      </c>
      <c r="O1518" t="s">
        <v>3481</v>
      </c>
      <c r="P1518" t="s">
        <v>208</v>
      </c>
      <c r="Q1518" t="s">
        <v>209</v>
      </c>
    </row>
    <row r="1519" spans="1:17" x14ac:dyDescent="0.3">
      <c r="A1519" t="s">
        <v>3482</v>
      </c>
      <c r="C1519" t="s">
        <v>3483</v>
      </c>
      <c r="D1519" t="s">
        <v>3483</v>
      </c>
      <c r="E1519" s="5">
        <v>46274</v>
      </c>
      <c r="F1519" t="s">
        <v>204</v>
      </c>
      <c r="G1519" t="s">
        <v>220</v>
      </c>
      <c r="H1519">
        <v>5798</v>
      </c>
      <c r="I1519">
        <v>17.39</v>
      </c>
      <c r="J1519">
        <v>3.13</v>
      </c>
      <c r="K1519">
        <v>5777.48</v>
      </c>
      <c r="L1519" s="5">
        <v>46276</v>
      </c>
      <c r="M1519" t="s">
        <v>3422</v>
      </c>
      <c r="N1519" t="s">
        <v>207</v>
      </c>
      <c r="O1519" t="s">
        <v>3483</v>
      </c>
      <c r="P1519" t="s">
        <v>208</v>
      </c>
      <c r="Q1519" t="s">
        <v>209</v>
      </c>
    </row>
    <row r="1520" spans="1:17" x14ac:dyDescent="0.3">
      <c r="A1520" t="s">
        <v>3484</v>
      </c>
      <c r="C1520" t="s">
        <v>3485</v>
      </c>
      <c r="D1520" t="s">
        <v>3485</v>
      </c>
      <c r="E1520" s="5">
        <v>46274</v>
      </c>
      <c r="F1520" t="s">
        <v>204</v>
      </c>
      <c r="G1520" t="s">
        <v>213</v>
      </c>
      <c r="H1520">
        <v>999</v>
      </c>
      <c r="I1520">
        <v>17.98</v>
      </c>
      <c r="J1520">
        <v>3.24</v>
      </c>
      <c r="K1520">
        <v>977.78</v>
      </c>
      <c r="L1520" s="5">
        <v>46276</v>
      </c>
      <c r="M1520" t="s">
        <v>3422</v>
      </c>
      <c r="N1520" t="s">
        <v>207</v>
      </c>
      <c r="O1520" t="s">
        <v>3485</v>
      </c>
      <c r="P1520" t="s">
        <v>208</v>
      </c>
      <c r="Q1520" t="s">
        <v>209</v>
      </c>
    </row>
    <row r="1521" spans="1:17" x14ac:dyDescent="0.3">
      <c r="A1521" t="s">
        <v>3486</v>
      </c>
      <c r="C1521" t="s">
        <v>3487</v>
      </c>
      <c r="D1521" t="s">
        <v>3487</v>
      </c>
      <c r="E1521" s="5">
        <v>46274</v>
      </c>
      <c r="F1521" t="s">
        <v>204</v>
      </c>
      <c r="G1521" t="s">
        <v>220</v>
      </c>
      <c r="H1521">
        <v>5998</v>
      </c>
      <c r="I1521">
        <v>17.989999999999998</v>
      </c>
      <c r="J1521">
        <v>3.24</v>
      </c>
      <c r="K1521">
        <v>5976.77</v>
      </c>
      <c r="L1521" s="5">
        <v>46276</v>
      </c>
      <c r="M1521" t="s">
        <v>3422</v>
      </c>
      <c r="N1521" t="s">
        <v>207</v>
      </c>
      <c r="O1521" t="s">
        <v>3487</v>
      </c>
      <c r="P1521" t="s">
        <v>208</v>
      </c>
      <c r="Q1521" t="s">
        <v>209</v>
      </c>
    </row>
    <row r="1522" spans="1:17" x14ac:dyDescent="0.3">
      <c r="A1522" t="s">
        <v>3488</v>
      </c>
      <c r="C1522" t="s">
        <v>3489</v>
      </c>
      <c r="D1522" t="s">
        <v>3489</v>
      </c>
      <c r="E1522" s="5">
        <v>46274</v>
      </c>
      <c r="F1522" t="s">
        <v>204</v>
      </c>
      <c r="G1522" t="s">
        <v>205</v>
      </c>
      <c r="H1522">
        <v>349</v>
      </c>
      <c r="I1522">
        <v>6.63</v>
      </c>
      <c r="J1522">
        <v>1.19</v>
      </c>
      <c r="K1522">
        <v>341.18</v>
      </c>
      <c r="L1522" s="5">
        <v>46276</v>
      </c>
      <c r="M1522" t="s">
        <v>3422</v>
      </c>
      <c r="N1522" t="s">
        <v>207</v>
      </c>
      <c r="O1522" t="s">
        <v>3489</v>
      </c>
      <c r="P1522" t="s">
        <v>208</v>
      </c>
      <c r="Q1522" t="s">
        <v>209</v>
      </c>
    </row>
    <row r="1523" spans="1:17" x14ac:dyDescent="0.3">
      <c r="A1523" t="s">
        <v>3490</v>
      </c>
      <c r="C1523" t="s">
        <v>3491</v>
      </c>
      <c r="D1523" t="s">
        <v>3491</v>
      </c>
      <c r="E1523" s="5">
        <v>46274</v>
      </c>
      <c r="F1523" t="s">
        <v>204</v>
      </c>
      <c r="G1523" t="s">
        <v>213</v>
      </c>
      <c r="H1523">
        <v>299</v>
      </c>
      <c r="I1523">
        <v>5.38</v>
      </c>
      <c r="J1523">
        <v>0.97</v>
      </c>
      <c r="K1523">
        <v>292.64999999999998</v>
      </c>
      <c r="L1523" s="5">
        <v>46276</v>
      </c>
      <c r="M1523" t="s">
        <v>3422</v>
      </c>
      <c r="N1523" t="s">
        <v>207</v>
      </c>
      <c r="O1523" t="s">
        <v>3491</v>
      </c>
      <c r="P1523" t="s">
        <v>208</v>
      </c>
      <c r="Q1523" t="s">
        <v>209</v>
      </c>
    </row>
    <row r="1524" spans="1:17" x14ac:dyDescent="0.3">
      <c r="A1524" t="s">
        <v>3492</v>
      </c>
      <c r="C1524" t="s">
        <v>3493</v>
      </c>
      <c r="D1524" t="s">
        <v>3494</v>
      </c>
      <c r="E1524" s="5">
        <v>46274</v>
      </c>
      <c r="F1524" t="s">
        <v>204</v>
      </c>
      <c r="G1524" t="s">
        <v>220</v>
      </c>
      <c r="H1524">
        <v>299</v>
      </c>
      <c r="I1524">
        <v>0</v>
      </c>
      <c r="J1524">
        <v>0</v>
      </c>
      <c r="K1524">
        <v>299</v>
      </c>
      <c r="L1524" s="5">
        <v>46276</v>
      </c>
      <c r="M1524" t="s">
        <v>3422</v>
      </c>
      <c r="N1524" t="s">
        <v>207</v>
      </c>
      <c r="O1524" t="s">
        <v>3494</v>
      </c>
      <c r="P1524" t="s">
        <v>208</v>
      </c>
      <c r="Q1524" t="s">
        <v>209</v>
      </c>
    </row>
    <row r="1525" spans="1:17" x14ac:dyDescent="0.3">
      <c r="A1525" t="s">
        <v>3495</v>
      </c>
      <c r="C1525" t="s">
        <v>3496</v>
      </c>
      <c r="D1525" t="s">
        <v>3496</v>
      </c>
      <c r="E1525" s="5">
        <v>46274</v>
      </c>
      <c r="F1525" t="s">
        <v>204</v>
      </c>
      <c r="G1525" t="s">
        <v>220</v>
      </c>
      <c r="H1525">
        <v>499</v>
      </c>
      <c r="I1525">
        <v>0</v>
      </c>
      <c r="J1525">
        <v>0</v>
      </c>
      <c r="K1525">
        <v>499</v>
      </c>
      <c r="L1525" s="5">
        <v>46276</v>
      </c>
      <c r="M1525" t="s">
        <v>3422</v>
      </c>
      <c r="N1525" t="s">
        <v>207</v>
      </c>
      <c r="O1525" t="s">
        <v>3496</v>
      </c>
      <c r="P1525" t="s">
        <v>208</v>
      </c>
      <c r="Q1525" t="s">
        <v>209</v>
      </c>
    </row>
    <row r="1526" spans="1:17" x14ac:dyDescent="0.3">
      <c r="A1526" t="s">
        <v>3497</v>
      </c>
      <c r="C1526" t="s">
        <v>3498</v>
      </c>
      <c r="D1526" t="s">
        <v>3498</v>
      </c>
      <c r="E1526" s="5">
        <v>46274</v>
      </c>
      <c r="F1526" t="s">
        <v>204</v>
      </c>
      <c r="G1526" t="s">
        <v>220</v>
      </c>
      <c r="H1526">
        <v>2999</v>
      </c>
      <c r="I1526">
        <v>9</v>
      </c>
      <c r="J1526">
        <v>1.62</v>
      </c>
      <c r="K1526">
        <v>2988.38</v>
      </c>
      <c r="L1526" s="5">
        <v>46276</v>
      </c>
      <c r="M1526" t="s">
        <v>3422</v>
      </c>
      <c r="N1526" t="s">
        <v>207</v>
      </c>
      <c r="O1526" t="s">
        <v>3498</v>
      </c>
      <c r="P1526" t="s">
        <v>208</v>
      </c>
      <c r="Q1526" t="s">
        <v>209</v>
      </c>
    </row>
    <row r="1527" spans="1:17" x14ac:dyDescent="0.3">
      <c r="A1527" t="s">
        <v>3499</v>
      </c>
      <c r="C1527" t="s">
        <v>3500</v>
      </c>
      <c r="D1527" t="s">
        <v>3500</v>
      </c>
      <c r="E1527" s="5">
        <v>46274</v>
      </c>
      <c r="F1527" t="s">
        <v>204</v>
      </c>
      <c r="G1527" t="s">
        <v>220</v>
      </c>
      <c r="H1527">
        <v>2098</v>
      </c>
      <c r="I1527">
        <v>6.29</v>
      </c>
      <c r="J1527">
        <v>1.1299999999999999</v>
      </c>
      <c r="K1527">
        <v>2090.58</v>
      </c>
      <c r="L1527" s="5">
        <v>46276</v>
      </c>
      <c r="M1527" t="s">
        <v>3422</v>
      </c>
      <c r="N1527" t="s">
        <v>207</v>
      </c>
      <c r="O1527" t="s">
        <v>3500</v>
      </c>
      <c r="P1527" t="s">
        <v>208</v>
      </c>
      <c r="Q1527" t="s">
        <v>209</v>
      </c>
    </row>
    <row r="1528" spans="1:17" x14ac:dyDescent="0.3">
      <c r="A1528" t="s">
        <v>3501</v>
      </c>
      <c r="C1528" t="s">
        <v>3502</v>
      </c>
      <c r="D1528" t="s">
        <v>3502</v>
      </c>
      <c r="E1528" s="5">
        <v>46274</v>
      </c>
      <c r="F1528" t="s">
        <v>204</v>
      </c>
      <c r="G1528" t="s">
        <v>205</v>
      </c>
      <c r="H1528">
        <v>3797</v>
      </c>
      <c r="I1528">
        <v>64.55</v>
      </c>
      <c r="J1528">
        <v>11.62</v>
      </c>
      <c r="K1528">
        <v>3720.83</v>
      </c>
      <c r="L1528" s="5">
        <v>46276</v>
      </c>
      <c r="M1528" t="s">
        <v>3422</v>
      </c>
      <c r="N1528" t="s">
        <v>207</v>
      </c>
      <c r="O1528" t="s">
        <v>3502</v>
      </c>
      <c r="P1528" t="s">
        <v>208</v>
      </c>
      <c r="Q1528" t="s">
        <v>209</v>
      </c>
    </row>
    <row r="1529" spans="1:17" x14ac:dyDescent="0.3">
      <c r="A1529" t="s">
        <v>3503</v>
      </c>
      <c r="C1529" t="s">
        <v>3504</v>
      </c>
      <c r="D1529" t="s">
        <v>3504</v>
      </c>
      <c r="E1529" s="5">
        <v>46274</v>
      </c>
      <c r="F1529" t="s">
        <v>204</v>
      </c>
      <c r="G1529" t="s">
        <v>220</v>
      </c>
      <c r="H1529">
        <v>4999</v>
      </c>
      <c r="I1529">
        <v>15</v>
      </c>
      <c r="J1529">
        <v>2.7</v>
      </c>
      <c r="K1529">
        <v>4981.3</v>
      </c>
      <c r="L1529" s="5">
        <v>46276</v>
      </c>
      <c r="M1529" t="s">
        <v>3422</v>
      </c>
      <c r="N1529" t="s">
        <v>207</v>
      </c>
      <c r="O1529" t="s">
        <v>3504</v>
      </c>
      <c r="P1529" t="s">
        <v>208</v>
      </c>
      <c r="Q1529" t="s">
        <v>209</v>
      </c>
    </row>
    <row r="1530" spans="1:17" x14ac:dyDescent="0.3">
      <c r="A1530" t="s">
        <v>3505</v>
      </c>
      <c r="C1530" t="s">
        <v>3506</v>
      </c>
      <c r="D1530" t="s">
        <v>3506</v>
      </c>
      <c r="E1530" s="5">
        <v>46274</v>
      </c>
      <c r="F1530" t="s">
        <v>204</v>
      </c>
      <c r="G1530" t="s">
        <v>213</v>
      </c>
      <c r="H1530">
        <v>1798</v>
      </c>
      <c r="I1530">
        <v>32.36</v>
      </c>
      <c r="J1530">
        <v>5.82</v>
      </c>
      <c r="K1530">
        <v>1759.82</v>
      </c>
      <c r="L1530" s="5">
        <v>46276</v>
      </c>
      <c r="M1530" t="s">
        <v>3422</v>
      </c>
      <c r="N1530" t="s">
        <v>207</v>
      </c>
      <c r="O1530" t="s">
        <v>3506</v>
      </c>
      <c r="P1530" t="s">
        <v>208</v>
      </c>
      <c r="Q1530" t="s">
        <v>209</v>
      </c>
    </row>
    <row r="1531" spans="1:17" x14ac:dyDescent="0.3">
      <c r="A1531" t="s">
        <v>3507</v>
      </c>
      <c r="C1531" t="s">
        <v>3508</v>
      </c>
      <c r="D1531" t="s">
        <v>3508</v>
      </c>
      <c r="E1531" s="5">
        <v>46274</v>
      </c>
      <c r="F1531" t="s">
        <v>204</v>
      </c>
      <c r="G1531" t="s">
        <v>220</v>
      </c>
      <c r="H1531">
        <v>7998</v>
      </c>
      <c r="I1531">
        <v>23.99</v>
      </c>
      <c r="J1531">
        <v>4.32</v>
      </c>
      <c r="K1531">
        <v>7969.69</v>
      </c>
      <c r="L1531" s="5">
        <v>46276</v>
      </c>
      <c r="M1531" t="s">
        <v>3422</v>
      </c>
      <c r="N1531" t="s">
        <v>207</v>
      </c>
      <c r="O1531" t="s">
        <v>3508</v>
      </c>
      <c r="P1531" t="s">
        <v>208</v>
      </c>
      <c r="Q1531" t="s">
        <v>209</v>
      </c>
    </row>
    <row r="1532" spans="1:17" x14ac:dyDescent="0.3">
      <c r="A1532" t="s">
        <v>3509</v>
      </c>
      <c r="C1532" t="s">
        <v>3510</v>
      </c>
      <c r="D1532" t="s">
        <v>3510</v>
      </c>
      <c r="E1532" s="5">
        <v>46274</v>
      </c>
      <c r="F1532" t="s">
        <v>204</v>
      </c>
      <c r="G1532" t="s">
        <v>213</v>
      </c>
      <c r="H1532">
        <v>2999</v>
      </c>
      <c r="I1532">
        <v>47.98</v>
      </c>
      <c r="J1532">
        <v>8.64</v>
      </c>
      <c r="K1532">
        <v>2942.38</v>
      </c>
      <c r="L1532" s="5">
        <v>46276</v>
      </c>
      <c r="M1532" t="s">
        <v>3422</v>
      </c>
      <c r="N1532" t="s">
        <v>207</v>
      </c>
      <c r="O1532" t="s">
        <v>3510</v>
      </c>
      <c r="P1532" t="s">
        <v>208</v>
      </c>
      <c r="Q1532" t="s">
        <v>209</v>
      </c>
    </row>
    <row r="1533" spans="1:17" x14ac:dyDescent="0.3">
      <c r="A1533" t="s">
        <v>3511</v>
      </c>
      <c r="C1533" t="s">
        <v>3512</v>
      </c>
      <c r="D1533" t="s">
        <v>3512</v>
      </c>
      <c r="E1533" s="5">
        <v>46274</v>
      </c>
      <c r="F1533" t="s">
        <v>204</v>
      </c>
      <c r="G1533" t="s">
        <v>220</v>
      </c>
      <c r="H1533">
        <v>1348</v>
      </c>
      <c r="I1533">
        <v>0</v>
      </c>
      <c r="J1533">
        <v>0</v>
      </c>
      <c r="K1533">
        <v>1348</v>
      </c>
      <c r="L1533" s="5">
        <v>46276</v>
      </c>
      <c r="M1533" t="s">
        <v>3422</v>
      </c>
      <c r="N1533" t="s">
        <v>207</v>
      </c>
      <c r="O1533" t="s">
        <v>3512</v>
      </c>
      <c r="P1533" t="s">
        <v>208</v>
      </c>
      <c r="Q1533" t="s">
        <v>209</v>
      </c>
    </row>
    <row r="1534" spans="1:17" x14ac:dyDescent="0.3">
      <c r="A1534" t="s">
        <v>3513</v>
      </c>
      <c r="C1534" t="s">
        <v>3514</v>
      </c>
      <c r="D1534" t="s">
        <v>3514</v>
      </c>
      <c r="E1534" s="5">
        <v>46274</v>
      </c>
      <c r="F1534" t="s">
        <v>204</v>
      </c>
      <c r="G1534" t="s">
        <v>220</v>
      </c>
      <c r="H1534">
        <v>5498</v>
      </c>
      <c r="I1534">
        <v>16.489999999999998</v>
      </c>
      <c r="J1534">
        <v>2.97</v>
      </c>
      <c r="K1534">
        <v>5478.54</v>
      </c>
      <c r="L1534" s="5">
        <v>46276</v>
      </c>
      <c r="M1534" t="s">
        <v>3422</v>
      </c>
      <c r="N1534" t="s">
        <v>207</v>
      </c>
      <c r="O1534" t="s">
        <v>3514</v>
      </c>
      <c r="P1534" t="s">
        <v>208</v>
      </c>
      <c r="Q1534" t="s">
        <v>209</v>
      </c>
    </row>
    <row r="1535" spans="1:17" x14ac:dyDescent="0.3">
      <c r="A1535" t="s">
        <v>3515</v>
      </c>
      <c r="C1535" t="s">
        <v>3516</v>
      </c>
      <c r="D1535" t="s">
        <v>3516</v>
      </c>
      <c r="E1535" s="5">
        <v>46274</v>
      </c>
      <c r="F1535" t="s">
        <v>204</v>
      </c>
      <c r="G1535" t="s">
        <v>220</v>
      </c>
      <c r="H1535">
        <v>4397</v>
      </c>
      <c r="I1535">
        <v>13.19</v>
      </c>
      <c r="J1535">
        <v>2.37</v>
      </c>
      <c r="K1535">
        <v>4381.4399999999996</v>
      </c>
      <c r="L1535" s="5">
        <v>46276</v>
      </c>
      <c r="M1535" t="s">
        <v>3422</v>
      </c>
      <c r="N1535" t="s">
        <v>207</v>
      </c>
      <c r="O1535" t="s">
        <v>3516</v>
      </c>
      <c r="P1535" t="s">
        <v>208</v>
      </c>
      <c r="Q1535" t="s">
        <v>209</v>
      </c>
    </row>
    <row r="1536" spans="1:17" x14ac:dyDescent="0.3">
      <c r="A1536" t="s">
        <v>3517</v>
      </c>
      <c r="C1536" t="s">
        <v>3518</v>
      </c>
      <c r="D1536" t="s">
        <v>3518</v>
      </c>
      <c r="E1536" s="5">
        <v>46274</v>
      </c>
      <c r="F1536" t="s">
        <v>204</v>
      </c>
      <c r="G1536" t="s">
        <v>220</v>
      </c>
      <c r="H1536">
        <v>5397</v>
      </c>
      <c r="I1536">
        <v>16.190000000000001</v>
      </c>
      <c r="J1536">
        <v>2.91</v>
      </c>
      <c r="K1536">
        <v>5377.9</v>
      </c>
      <c r="L1536" s="5">
        <v>46276</v>
      </c>
      <c r="M1536" t="s">
        <v>3422</v>
      </c>
      <c r="N1536" t="s">
        <v>207</v>
      </c>
      <c r="O1536" t="s">
        <v>3518</v>
      </c>
      <c r="P1536" t="s">
        <v>208</v>
      </c>
      <c r="Q1536" t="s">
        <v>209</v>
      </c>
    </row>
    <row r="1537" spans="1:17" x14ac:dyDescent="0.3">
      <c r="A1537" t="s">
        <v>3519</v>
      </c>
      <c r="C1537" t="s">
        <v>3520</v>
      </c>
      <c r="D1537" t="s">
        <v>3520</v>
      </c>
      <c r="E1537" s="5">
        <v>46274</v>
      </c>
      <c r="F1537" t="s">
        <v>204</v>
      </c>
      <c r="G1537" t="s">
        <v>220</v>
      </c>
      <c r="H1537">
        <v>2097</v>
      </c>
      <c r="I1537">
        <v>6.29</v>
      </c>
      <c r="J1537">
        <v>1.1299999999999999</v>
      </c>
      <c r="K1537">
        <v>2089.58</v>
      </c>
      <c r="L1537" s="5">
        <v>46276</v>
      </c>
      <c r="M1537" t="s">
        <v>3422</v>
      </c>
      <c r="N1537" t="s">
        <v>207</v>
      </c>
      <c r="O1537" t="s">
        <v>3520</v>
      </c>
      <c r="P1537" t="s">
        <v>208</v>
      </c>
      <c r="Q1537" t="s">
        <v>209</v>
      </c>
    </row>
    <row r="1538" spans="1:17" x14ac:dyDescent="0.3">
      <c r="A1538" t="s">
        <v>3521</v>
      </c>
      <c r="C1538" t="s">
        <v>3522</v>
      </c>
      <c r="D1538" t="s">
        <v>3522</v>
      </c>
      <c r="E1538" s="5">
        <v>46274</v>
      </c>
      <c r="F1538" t="s">
        <v>204</v>
      </c>
      <c r="G1538" t="s">
        <v>255</v>
      </c>
      <c r="H1538">
        <v>299</v>
      </c>
      <c r="I1538">
        <v>4.49</v>
      </c>
      <c r="J1538">
        <v>0.81</v>
      </c>
      <c r="K1538">
        <v>293.7</v>
      </c>
      <c r="L1538" s="5">
        <v>46276</v>
      </c>
      <c r="M1538" t="s">
        <v>3422</v>
      </c>
      <c r="N1538" t="s">
        <v>207</v>
      </c>
      <c r="O1538" t="s">
        <v>3522</v>
      </c>
      <c r="P1538" t="s">
        <v>208</v>
      </c>
      <c r="Q1538" t="s">
        <v>209</v>
      </c>
    </row>
    <row r="1539" spans="1:17" x14ac:dyDescent="0.3">
      <c r="A1539" t="s">
        <v>3523</v>
      </c>
      <c r="C1539" t="s">
        <v>3524</v>
      </c>
      <c r="D1539" t="s">
        <v>3524</v>
      </c>
      <c r="E1539" s="5">
        <v>46274</v>
      </c>
      <c r="F1539" t="s">
        <v>204</v>
      </c>
      <c r="G1539" t="s">
        <v>213</v>
      </c>
      <c r="H1539">
        <v>5798</v>
      </c>
      <c r="I1539">
        <v>92.77</v>
      </c>
      <c r="J1539">
        <v>16.7</v>
      </c>
      <c r="K1539">
        <v>5688.53</v>
      </c>
      <c r="L1539" s="5">
        <v>46276</v>
      </c>
      <c r="M1539" t="s">
        <v>3422</v>
      </c>
      <c r="N1539" t="s">
        <v>207</v>
      </c>
      <c r="O1539" t="s">
        <v>3524</v>
      </c>
      <c r="P1539" t="s">
        <v>208</v>
      </c>
      <c r="Q1539" t="s">
        <v>209</v>
      </c>
    </row>
    <row r="1540" spans="1:17" x14ac:dyDescent="0.3">
      <c r="A1540" t="s">
        <v>3525</v>
      </c>
      <c r="C1540" t="s">
        <v>3526</v>
      </c>
      <c r="D1540" t="s">
        <v>3526</v>
      </c>
      <c r="E1540" s="5">
        <v>46274</v>
      </c>
      <c r="F1540" t="s">
        <v>204</v>
      </c>
      <c r="G1540" t="s">
        <v>205</v>
      </c>
      <c r="H1540">
        <v>3798</v>
      </c>
      <c r="I1540">
        <v>64.569999999999993</v>
      </c>
      <c r="J1540">
        <v>11.62</v>
      </c>
      <c r="K1540">
        <v>3721.81</v>
      </c>
      <c r="L1540" s="5">
        <v>46276</v>
      </c>
      <c r="M1540" t="s">
        <v>3422</v>
      </c>
      <c r="N1540" t="s">
        <v>207</v>
      </c>
      <c r="O1540" t="s">
        <v>3526</v>
      </c>
      <c r="P1540" t="s">
        <v>208</v>
      </c>
      <c r="Q1540" t="s">
        <v>209</v>
      </c>
    </row>
    <row r="1541" spans="1:17" x14ac:dyDescent="0.3">
      <c r="A1541" t="s">
        <v>3527</v>
      </c>
      <c r="C1541" t="s">
        <v>3528</v>
      </c>
      <c r="D1541" t="s">
        <v>3528</v>
      </c>
      <c r="E1541" s="5">
        <v>46274</v>
      </c>
      <c r="F1541" t="s">
        <v>204</v>
      </c>
      <c r="G1541" t="s">
        <v>255</v>
      </c>
      <c r="H1541">
        <v>3098</v>
      </c>
      <c r="I1541">
        <v>37.18</v>
      </c>
      <c r="J1541">
        <v>6.69</v>
      </c>
      <c r="K1541">
        <v>3054.13</v>
      </c>
      <c r="L1541" s="5">
        <v>46276</v>
      </c>
      <c r="M1541" t="s">
        <v>3422</v>
      </c>
      <c r="N1541" t="s">
        <v>207</v>
      </c>
      <c r="O1541" t="s">
        <v>3528</v>
      </c>
      <c r="P1541" t="s">
        <v>208</v>
      </c>
      <c r="Q1541" t="s">
        <v>209</v>
      </c>
    </row>
    <row r="1542" spans="1:17" x14ac:dyDescent="0.3">
      <c r="A1542" t="s">
        <v>3529</v>
      </c>
      <c r="C1542" t="s">
        <v>3530</v>
      </c>
      <c r="D1542" t="s">
        <v>3530</v>
      </c>
      <c r="E1542" s="5">
        <v>46274</v>
      </c>
      <c r="F1542" t="s">
        <v>204</v>
      </c>
      <c r="G1542" t="s">
        <v>220</v>
      </c>
      <c r="H1542">
        <v>2299</v>
      </c>
      <c r="I1542">
        <v>6.9</v>
      </c>
      <c r="J1542">
        <v>1.24</v>
      </c>
      <c r="K1542">
        <v>2290.86</v>
      </c>
      <c r="L1542" s="5">
        <v>46276</v>
      </c>
      <c r="M1542" t="s">
        <v>3422</v>
      </c>
      <c r="N1542" t="s">
        <v>207</v>
      </c>
      <c r="O1542" t="s">
        <v>3530</v>
      </c>
      <c r="P1542" t="s">
        <v>208</v>
      </c>
      <c r="Q1542" t="s">
        <v>209</v>
      </c>
    </row>
    <row r="1543" spans="1:17" x14ac:dyDescent="0.3">
      <c r="A1543" t="s">
        <v>3531</v>
      </c>
      <c r="C1543" t="s">
        <v>3532</v>
      </c>
      <c r="D1543" t="s">
        <v>3532</v>
      </c>
      <c r="E1543" s="5">
        <v>46274</v>
      </c>
      <c r="F1543" t="s">
        <v>204</v>
      </c>
      <c r="G1543" t="s">
        <v>220</v>
      </c>
      <c r="H1543">
        <v>1499</v>
      </c>
      <c r="I1543">
        <v>0</v>
      </c>
      <c r="J1543">
        <v>0</v>
      </c>
      <c r="K1543">
        <v>1499</v>
      </c>
      <c r="L1543" s="5">
        <v>46276</v>
      </c>
      <c r="M1543" t="s">
        <v>3422</v>
      </c>
      <c r="N1543" t="s">
        <v>207</v>
      </c>
      <c r="O1543" t="s">
        <v>3532</v>
      </c>
      <c r="P1543" t="s">
        <v>208</v>
      </c>
      <c r="Q1543" t="s">
        <v>209</v>
      </c>
    </row>
    <row r="1544" spans="1:17" x14ac:dyDescent="0.3">
      <c r="A1544" t="s">
        <v>3533</v>
      </c>
      <c r="C1544" t="s">
        <v>3534</v>
      </c>
      <c r="D1544" t="s">
        <v>3534</v>
      </c>
      <c r="E1544" s="5">
        <v>46274</v>
      </c>
      <c r="F1544" t="s">
        <v>204</v>
      </c>
      <c r="G1544" t="s">
        <v>213</v>
      </c>
      <c r="H1544">
        <v>999</v>
      </c>
      <c r="I1544">
        <v>17.98</v>
      </c>
      <c r="J1544">
        <v>3.24</v>
      </c>
      <c r="K1544">
        <v>977.78</v>
      </c>
      <c r="L1544" s="5">
        <v>46276</v>
      </c>
      <c r="M1544" t="s">
        <v>3422</v>
      </c>
      <c r="N1544" t="s">
        <v>207</v>
      </c>
      <c r="O1544" t="s">
        <v>3534</v>
      </c>
      <c r="P1544" t="s">
        <v>208</v>
      </c>
      <c r="Q1544" t="s">
        <v>209</v>
      </c>
    </row>
    <row r="1545" spans="1:17" x14ac:dyDescent="0.3">
      <c r="A1545" t="s">
        <v>3535</v>
      </c>
      <c r="C1545" t="s">
        <v>3536</v>
      </c>
      <c r="D1545" t="s">
        <v>3536</v>
      </c>
      <c r="E1545" s="5">
        <v>46274</v>
      </c>
      <c r="F1545" t="s">
        <v>204</v>
      </c>
      <c r="G1545" t="s">
        <v>213</v>
      </c>
      <c r="H1545">
        <v>4498</v>
      </c>
      <c r="I1545">
        <v>71.97</v>
      </c>
      <c r="J1545">
        <v>12.95</v>
      </c>
      <c r="K1545">
        <v>4413.08</v>
      </c>
      <c r="L1545" s="5">
        <v>46276</v>
      </c>
      <c r="M1545" t="s">
        <v>3422</v>
      </c>
      <c r="N1545" t="s">
        <v>207</v>
      </c>
      <c r="O1545" t="s">
        <v>3536</v>
      </c>
      <c r="P1545" t="s">
        <v>208</v>
      </c>
      <c r="Q1545" t="s">
        <v>209</v>
      </c>
    </row>
    <row r="1546" spans="1:17" x14ac:dyDescent="0.3">
      <c r="A1546" t="s">
        <v>3537</v>
      </c>
      <c r="C1546" t="s">
        <v>3538</v>
      </c>
      <c r="D1546" t="s">
        <v>3539</v>
      </c>
      <c r="E1546" s="5">
        <v>46274</v>
      </c>
      <c r="F1546" t="s">
        <v>204</v>
      </c>
      <c r="G1546" t="s">
        <v>205</v>
      </c>
      <c r="H1546">
        <v>3499</v>
      </c>
      <c r="I1546">
        <v>59.48</v>
      </c>
      <c r="J1546">
        <v>10.71</v>
      </c>
      <c r="K1546">
        <v>3428.81</v>
      </c>
      <c r="L1546" s="5">
        <v>46276</v>
      </c>
      <c r="M1546" t="s">
        <v>3422</v>
      </c>
      <c r="N1546" t="s">
        <v>207</v>
      </c>
      <c r="O1546" t="s">
        <v>3539</v>
      </c>
      <c r="P1546" t="s">
        <v>208</v>
      </c>
      <c r="Q1546" t="s">
        <v>209</v>
      </c>
    </row>
    <row r="1547" spans="1:17" x14ac:dyDescent="0.3">
      <c r="A1547" t="s">
        <v>3540</v>
      </c>
      <c r="C1547" t="s">
        <v>3541</v>
      </c>
      <c r="D1547" t="s">
        <v>3541</v>
      </c>
      <c r="E1547" s="5">
        <v>46274</v>
      </c>
      <c r="F1547" t="s">
        <v>204</v>
      </c>
      <c r="G1547" t="s">
        <v>255</v>
      </c>
      <c r="H1547">
        <v>2499</v>
      </c>
      <c r="I1547">
        <v>29.99</v>
      </c>
      <c r="J1547">
        <v>5.4</v>
      </c>
      <c r="K1547">
        <v>2463.61</v>
      </c>
      <c r="L1547" s="5">
        <v>46276</v>
      </c>
      <c r="M1547" t="s">
        <v>3422</v>
      </c>
      <c r="N1547" t="s">
        <v>207</v>
      </c>
      <c r="O1547" t="s">
        <v>3541</v>
      </c>
      <c r="P1547" t="s">
        <v>208</v>
      </c>
      <c r="Q1547" t="s">
        <v>209</v>
      </c>
    </row>
    <row r="1548" spans="1:17" x14ac:dyDescent="0.3">
      <c r="A1548" t="s">
        <v>3542</v>
      </c>
      <c r="C1548" t="s">
        <v>3543</v>
      </c>
      <c r="D1548" t="s">
        <v>3543</v>
      </c>
      <c r="E1548" s="5">
        <v>46274</v>
      </c>
      <c r="F1548" t="s">
        <v>204</v>
      </c>
      <c r="G1548" t="s">
        <v>220</v>
      </c>
      <c r="H1548">
        <v>2798</v>
      </c>
      <c r="I1548">
        <v>8.39</v>
      </c>
      <c r="J1548">
        <v>1.51</v>
      </c>
      <c r="K1548">
        <v>2788.1</v>
      </c>
      <c r="L1548" s="5">
        <v>46276</v>
      </c>
      <c r="M1548" t="s">
        <v>3422</v>
      </c>
      <c r="N1548" t="s">
        <v>207</v>
      </c>
      <c r="O1548" t="s">
        <v>3543</v>
      </c>
      <c r="P1548" t="s">
        <v>208</v>
      </c>
      <c r="Q1548" t="s">
        <v>209</v>
      </c>
    </row>
    <row r="1549" spans="1:17" x14ac:dyDescent="0.3">
      <c r="A1549" t="s">
        <v>3544</v>
      </c>
      <c r="C1549" t="s">
        <v>3545</v>
      </c>
      <c r="D1549" t="s">
        <v>3545</v>
      </c>
      <c r="E1549" s="5">
        <v>46274</v>
      </c>
      <c r="F1549" t="s">
        <v>204</v>
      </c>
      <c r="G1549" t="s">
        <v>220</v>
      </c>
      <c r="H1549">
        <v>1299</v>
      </c>
      <c r="I1549">
        <v>0</v>
      </c>
      <c r="J1549">
        <v>0</v>
      </c>
      <c r="K1549">
        <v>1299</v>
      </c>
      <c r="L1549" s="5">
        <v>46276</v>
      </c>
      <c r="M1549" t="s">
        <v>3422</v>
      </c>
      <c r="N1549" t="s">
        <v>207</v>
      </c>
      <c r="O1549" t="s">
        <v>3545</v>
      </c>
      <c r="P1549" t="s">
        <v>208</v>
      </c>
      <c r="Q1549" t="s">
        <v>209</v>
      </c>
    </row>
    <row r="1550" spans="1:17" x14ac:dyDescent="0.3">
      <c r="A1550" t="s">
        <v>3546</v>
      </c>
      <c r="C1550" t="s">
        <v>3547</v>
      </c>
      <c r="D1550" t="s">
        <v>3547</v>
      </c>
      <c r="E1550" s="5">
        <v>46274</v>
      </c>
      <c r="F1550" t="s">
        <v>204</v>
      </c>
      <c r="G1550" t="s">
        <v>213</v>
      </c>
      <c r="H1550">
        <v>8797</v>
      </c>
      <c r="I1550">
        <v>140.75</v>
      </c>
      <c r="J1550">
        <v>25.34</v>
      </c>
      <c r="K1550">
        <v>8630.91</v>
      </c>
      <c r="L1550" s="5">
        <v>46276</v>
      </c>
      <c r="M1550" t="s">
        <v>3422</v>
      </c>
      <c r="N1550" t="s">
        <v>207</v>
      </c>
      <c r="O1550" t="s">
        <v>3547</v>
      </c>
      <c r="P1550" t="s">
        <v>208</v>
      </c>
      <c r="Q1550" t="s">
        <v>209</v>
      </c>
    </row>
    <row r="1551" spans="1:17" x14ac:dyDescent="0.3">
      <c r="A1551" t="s">
        <v>3548</v>
      </c>
      <c r="C1551" t="s">
        <v>3549</v>
      </c>
      <c r="D1551" t="s">
        <v>3549</v>
      </c>
      <c r="E1551" s="5">
        <v>46274</v>
      </c>
      <c r="F1551" t="s">
        <v>204</v>
      </c>
      <c r="G1551" t="s">
        <v>220</v>
      </c>
      <c r="H1551">
        <v>8997</v>
      </c>
      <c r="I1551">
        <v>26.99</v>
      </c>
      <c r="J1551">
        <v>4.8600000000000003</v>
      </c>
      <c r="K1551">
        <v>8965.15</v>
      </c>
      <c r="L1551" s="5">
        <v>46276</v>
      </c>
      <c r="M1551" t="s">
        <v>3422</v>
      </c>
      <c r="N1551" t="s">
        <v>207</v>
      </c>
      <c r="O1551" t="s">
        <v>3549</v>
      </c>
      <c r="P1551" t="s">
        <v>208</v>
      </c>
      <c r="Q1551" t="s">
        <v>209</v>
      </c>
    </row>
    <row r="1552" spans="1:17" x14ac:dyDescent="0.3">
      <c r="A1552" t="s">
        <v>3550</v>
      </c>
      <c r="C1552" t="s">
        <v>3551</v>
      </c>
      <c r="D1552" t="s">
        <v>3551</v>
      </c>
      <c r="E1552" s="5">
        <v>46274</v>
      </c>
      <c r="F1552" t="s">
        <v>204</v>
      </c>
      <c r="G1552" t="s">
        <v>205</v>
      </c>
      <c r="H1552">
        <v>7999</v>
      </c>
      <c r="I1552">
        <v>135.97999999999999</v>
      </c>
      <c r="J1552">
        <v>24.48</v>
      </c>
      <c r="K1552">
        <v>7838.54</v>
      </c>
      <c r="L1552" s="5">
        <v>46276</v>
      </c>
      <c r="M1552" t="s">
        <v>3422</v>
      </c>
      <c r="N1552" t="s">
        <v>207</v>
      </c>
      <c r="O1552" t="s">
        <v>3551</v>
      </c>
      <c r="P1552" t="s">
        <v>208</v>
      </c>
      <c r="Q1552" t="s">
        <v>209</v>
      </c>
    </row>
    <row r="1553" spans="1:17" x14ac:dyDescent="0.3">
      <c r="A1553" t="s">
        <v>3552</v>
      </c>
      <c r="C1553" t="s">
        <v>3553</v>
      </c>
      <c r="D1553" t="s">
        <v>3553</v>
      </c>
      <c r="E1553" s="5">
        <v>46274</v>
      </c>
      <c r="F1553" t="s">
        <v>204</v>
      </c>
      <c r="G1553" t="s">
        <v>213</v>
      </c>
      <c r="H1553">
        <v>5498</v>
      </c>
      <c r="I1553">
        <v>87.97</v>
      </c>
      <c r="J1553">
        <v>15.83</v>
      </c>
      <c r="K1553">
        <v>5394.2</v>
      </c>
      <c r="L1553" s="5">
        <v>46276</v>
      </c>
      <c r="M1553" t="s">
        <v>3422</v>
      </c>
      <c r="N1553" t="s">
        <v>207</v>
      </c>
      <c r="O1553" t="s">
        <v>3553</v>
      </c>
      <c r="P1553" t="s">
        <v>208</v>
      </c>
      <c r="Q1553" t="s">
        <v>209</v>
      </c>
    </row>
    <row r="1554" spans="1:17" x14ac:dyDescent="0.3">
      <c r="A1554" t="s">
        <v>3554</v>
      </c>
      <c r="C1554" t="s">
        <v>3555</v>
      </c>
      <c r="D1554" t="s">
        <v>3556</v>
      </c>
      <c r="E1554" s="5">
        <v>46274</v>
      </c>
      <c r="F1554" t="s">
        <v>204</v>
      </c>
      <c r="G1554" t="s">
        <v>220</v>
      </c>
      <c r="H1554">
        <v>4998</v>
      </c>
      <c r="I1554">
        <v>14.99</v>
      </c>
      <c r="J1554">
        <v>2.7</v>
      </c>
      <c r="K1554">
        <v>4980.3100000000004</v>
      </c>
      <c r="L1554" s="5">
        <v>46276</v>
      </c>
      <c r="M1554" t="s">
        <v>3422</v>
      </c>
      <c r="N1554" t="s">
        <v>207</v>
      </c>
      <c r="O1554" t="s">
        <v>3556</v>
      </c>
      <c r="P1554" t="s">
        <v>208</v>
      </c>
      <c r="Q1554" t="s">
        <v>209</v>
      </c>
    </row>
    <row r="1555" spans="1:17" x14ac:dyDescent="0.3">
      <c r="A1555" t="s">
        <v>3557</v>
      </c>
      <c r="C1555" t="s">
        <v>3558</v>
      </c>
      <c r="D1555" t="s">
        <v>3558</v>
      </c>
      <c r="E1555" s="5">
        <v>46274</v>
      </c>
      <c r="F1555" t="s">
        <v>204</v>
      </c>
      <c r="G1555" t="s">
        <v>213</v>
      </c>
      <c r="H1555">
        <v>1998</v>
      </c>
      <c r="I1555">
        <v>35.96</v>
      </c>
      <c r="J1555">
        <v>6.47</v>
      </c>
      <c r="K1555">
        <v>1955.57</v>
      </c>
      <c r="L1555" s="5">
        <v>46276</v>
      </c>
      <c r="M1555" t="s">
        <v>3422</v>
      </c>
      <c r="N1555" t="s">
        <v>207</v>
      </c>
      <c r="O1555" t="s">
        <v>3558</v>
      </c>
      <c r="P1555" t="s">
        <v>208</v>
      </c>
      <c r="Q1555" t="s">
        <v>209</v>
      </c>
    </row>
    <row r="1556" spans="1:17" x14ac:dyDescent="0.3">
      <c r="A1556" t="s">
        <v>3559</v>
      </c>
      <c r="C1556" t="s">
        <v>3560</v>
      </c>
      <c r="D1556" t="s">
        <v>3560</v>
      </c>
      <c r="E1556" s="5">
        <v>46274</v>
      </c>
      <c r="F1556" t="s">
        <v>204</v>
      </c>
      <c r="G1556" t="s">
        <v>213</v>
      </c>
      <c r="H1556">
        <v>948</v>
      </c>
      <c r="I1556">
        <v>17.059999999999999</v>
      </c>
      <c r="J1556">
        <v>3.07</v>
      </c>
      <c r="K1556">
        <v>927.87</v>
      </c>
      <c r="L1556" s="5">
        <v>46276</v>
      </c>
      <c r="M1556" t="s">
        <v>3422</v>
      </c>
      <c r="N1556" t="s">
        <v>207</v>
      </c>
      <c r="O1556" t="s">
        <v>3560</v>
      </c>
      <c r="P1556" t="s">
        <v>208</v>
      </c>
      <c r="Q1556" t="s">
        <v>209</v>
      </c>
    </row>
    <row r="1557" spans="1:17" x14ac:dyDescent="0.3">
      <c r="A1557" t="s">
        <v>3561</v>
      </c>
      <c r="C1557" t="s">
        <v>3562</v>
      </c>
      <c r="D1557" t="s">
        <v>3562</v>
      </c>
      <c r="E1557" s="5">
        <v>46274</v>
      </c>
      <c r="F1557" t="s">
        <v>204</v>
      </c>
      <c r="G1557" t="s">
        <v>220</v>
      </c>
      <c r="H1557">
        <v>799</v>
      </c>
      <c r="I1557">
        <v>0</v>
      </c>
      <c r="J1557">
        <v>0</v>
      </c>
      <c r="K1557">
        <v>799</v>
      </c>
      <c r="L1557" s="5">
        <v>46276</v>
      </c>
      <c r="M1557" t="s">
        <v>3422</v>
      </c>
      <c r="N1557" t="s">
        <v>207</v>
      </c>
      <c r="O1557" t="s">
        <v>3562</v>
      </c>
      <c r="P1557" t="s">
        <v>208</v>
      </c>
      <c r="Q1557" t="s">
        <v>209</v>
      </c>
    </row>
    <row r="1558" spans="1:17" x14ac:dyDescent="0.3">
      <c r="A1558" t="s">
        <v>3563</v>
      </c>
      <c r="C1558" t="s">
        <v>3564</v>
      </c>
      <c r="D1558" t="s">
        <v>3564</v>
      </c>
      <c r="E1558" s="5">
        <v>46274</v>
      </c>
      <c r="F1558" t="s">
        <v>204</v>
      </c>
      <c r="G1558" t="s">
        <v>213</v>
      </c>
      <c r="H1558">
        <v>1348</v>
      </c>
      <c r="I1558">
        <v>24.26</v>
      </c>
      <c r="J1558">
        <v>4.37</v>
      </c>
      <c r="K1558">
        <v>1319.37</v>
      </c>
      <c r="L1558" s="5">
        <v>46276</v>
      </c>
      <c r="M1558" t="s">
        <v>3422</v>
      </c>
      <c r="N1558" t="s">
        <v>207</v>
      </c>
      <c r="O1558" t="s">
        <v>3564</v>
      </c>
      <c r="P1558" t="s">
        <v>208</v>
      </c>
      <c r="Q1558" t="s">
        <v>209</v>
      </c>
    </row>
    <row r="1559" spans="1:17" x14ac:dyDescent="0.3">
      <c r="A1559" t="s">
        <v>3565</v>
      </c>
      <c r="C1559" t="s">
        <v>3566</v>
      </c>
      <c r="D1559" t="s">
        <v>3566</v>
      </c>
      <c r="E1559" s="5">
        <v>46274</v>
      </c>
      <c r="F1559" t="s">
        <v>204</v>
      </c>
      <c r="G1559" t="s">
        <v>220</v>
      </c>
      <c r="H1559">
        <v>1299</v>
      </c>
      <c r="I1559">
        <v>0</v>
      </c>
      <c r="J1559">
        <v>0</v>
      </c>
      <c r="K1559">
        <v>1299</v>
      </c>
      <c r="L1559" s="5">
        <v>46276</v>
      </c>
      <c r="M1559" t="s">
        <v>3422</v>
      </c>
      <c r="N1559" t="s">
        <v>207</v>
      </c>
      <c r="O1559" t="s">
        <v>3566</v>
      </c>
      <c r="P1559" t="s">
        <v>208</v>
      </c>
      <c r="Q1559" t="s">
        <v>209</v>
      </c>
    </row>
    <row r="1560" spans="1:17" x14ac:dyDescent="0.3">
      <c r="A1560" t="s">
        <v>3567</v>
      </c>
      <c r="C1560" t="s">
        <v>3568</v>
      </c>
      <c r="D1560" t="s">
        <v>3569</v>
      </c>
      <c r="E1560" s="5">
        <v>46274</v>
      </c>
      <c r="F1560" t="s">
        <v>204</v>
      </c>
      <c r="G1560" t="s">
        <v>220</v>
      </c>
      <c r="H1560">
        <v>5498</v>
      </c>
      <c r="I1560">
        <v>16.489999999999998</v>
      </c>
      <c r="J1560">
        <v>2.97</v>
      </c>
      <c r="K1560">
        <v>5478.54</v>
      </c>
      <c r="L1560" s="5">
        <v>46276</v>
      </c>
      <c r="M1560" t="s">
        <v>3422</v>
      </c>
      <c r="N1560" t="s">
        <v>207</v>
      </c>
      <c r="O1560" t="s">
        <v>3569</v>
      </c>
      <c r="P1560" t="s">
        <v>208</v>
      </c>
      <c r="Q1560" t="s">
        <v>209</v>
      </c>
    </row>
    <row r="1561" spans="1:17" x14ac:dyDescent="0.3">
      <c r="A1561" t="s">
        <v>3570</v>
      </c>
      <c r="C1561" t="s">
        <v>3571</v>
      </c>
      <c r="D1561" t="s">
        <v>3571</v>
      </c>
      <c r="E1561" s="5">
        <v>46274</v>
      </c>
      <c r="F1561" t="s">
        <v>204</v>
      </c>
      <c r="G1561" t="s">
        <v>220</v>
      </c>
      <c r="H1561">
        <v>998</v>
      </c>
      <c r="I1561">
        <v>0</v>
      </c>
      <c r="J1561">
        <v>0</v>
      </c>
      <c r="K1561">
        <v>998</v>
      </c>
      <c r="L1561" s="5">
        <v>46276</v>
      </c>
      <c r="M1561" t="s">
        <v>3422</v>
      </c>
      <c r="N1561" t="s">
        <v>207</v>
      </c>
      <c r="O1561" t="s">
        <v>3571</v>
      </c>
      <c r="P1561" t="s">
        <v>208</v>
      </c>
      <c r="Q1561" t="s">
        <v>209</v>
      </c>
    </row>
    <row r="1562" spans="1:17" x14ac:dyDescent="0.3">
      <c r="A1562" t="s">
        <v>3572</v>
      </c>
      <c r="C1562" t="s">
        <v>3573</v>
      </c>
      <c r="D1562" t="s">
        <v>3574</v>
      </c>
      <c r="E1562" s="5">
        <v>46274</v>
      </c>
      <c r="F1562" t="s">
        <v>204</v>
      </c>
      <c r="G1562" t="s">
        <v>213</v>
      </c>
      <c r="H1562">
        <v>1148</v>
      </c>
      <c r="I1562">
        <v>20.66</v>
      </c>
      <c r="J1562">
        <v>3.72</v>
      </c>
      <c r="K1562">
        <v>1123.6199999999999</v>
      </c>
      <c r="L1562" s="5">
        <v>46276</v>
      </c>
      <c r="M1562" t="s">
        <v>3422</v>
      </c>
      <c r="N1562" t="s">
        <v>207</v>
      </c>
      <c r="O1562" t="s">
        <v>3574</v>
      </c>
      <c r="P1562" t="s">
        <v>208</v>
      </c>
      <c r="Q1562" t="s">
        <v>209</v>
      </c>
    </row>
    <row r="1563" spans="1:17" x14ac:dyDescent="0.3">
      <c r="A1563" t="s">
        <v>3575</v>
      </c>
      <c r="C1563" t="s">
        <v>3576</v>
      </c>
      <c r="D1563" t="s">
        <v>3576</v>
      </c>
      <c r="E1563" s="5">
        <v>46274</v>
      </c>
      <c r="F1563" t="s">
        <v>204</v>
      </c>
      <c r="G1563" t="s">
        <v>213</v>
      </c>
      <c r="H1563">
        <v>3798</v>
      </c>
      <c r="I1563">
        <v>60.77</v>
      </c>
      <c r="J1563">
        <v>10.94</v>
      </c>
      <c r="K1563">
        <v>3726.29</v>
      </c>
      <c r="L1563" s="5">
        <v>46276</v>
      </c>
      <c r="M1563" t="s">
        <v>3422</v>
      </c>
      <c r="N1563" t="s">
        <v>207</v>
      </c>
      <c r="O1563" t="s">
        <v>3576</v>
      </c>
      <c r="P1563" t="s">
        <v>208</v>
      </c>
      <c r="Q1563" t="s">
        <v>209</v>
      </c>
    </row>
    <row r="1564" spans="1:17" x14ac:dyDescent="0.3">
      <c r="A1564" t="s">
        <v>3577</v>
      </c>
      <c r="C1564" t="s">
        <v>3578</v>
      </c>
      <c r="D1564" t="s">
        <v>3578</v>
      </c>
      <c r="E1564" s="5">
        <v>46274</v>
      </c>
      <c r="F1564" t="s">
        <v>204</v>
      </c>
      <c r="G1564" t="s">
        <v>220</v>
      </c>
      <c r="H1564">
        <v>599</v>
      </c>
      <c r="I1564">
        <v>0</v>
      </c>
      <c r="J1564">
        <v>0</v>
      </c>
      <c r="K1564">
        <v>599</v>
      </c>
      <c r="L1564" s="5">
        <v>46276</v>
      </c>
      <c r="M1564" t="s">
        <v>3422</v>
      </c>
      <c r="N1564" t="s">
        <v>207</v>
      </c>
      <c r="O1564" t="s">
        <v>3578</v>
      </c>
      <c r="P1564" t="s">
        <v>208</v>
      </c>
      <c r="Q1564" t="s">
        <v>209</v>
      </c>
    </row>
    <row r="1565" spans="1:17" x14ac:dyDescent="0.3">
      <c r="A1565" t="s">
        <v>3579</v>
      </c>
      <c r="C1565" t="s">
        <v>3580</v>
      </c>
      <c r="D1565" t="s">
        <v>3580</v>
      </c>
      <c r="E1565" s="5">
        <v>46274</v>
      </c>
      <c r="F1565" t="s">
        <v>204</v>
      </c>
      <c r="G1565" t="s">
        <v>220</v>
      </c>
      <c r="H1565">
        <v>1848</v>
      </c>
      <c r="I1565">
        <v>0</v>
      </c>
      <c r="J1565">
        <v>0</v>
      </c>
      <c r="K1565">
        <v>1848</v>
      </c>
      <c r="L1565" s="5">
        <v>46276</v>
      </c>
      <c r="M1565" t="s">
        <v>3422</v>
      </c>
      <c r="N1565" t="s">
        <v>207</v>
      </c>
      <c r="O1565" t="s">
        <v>3580</v>
      </c>
      <c r="P1565" t="s">
        <v>208</v>
      </c>
      <c r="Q1565" t="s">
        <v>209</v>
      </c>
    </row>
    <row r="1566" spans="1:17" x14ac:dyDescent="0.3">
      <c r="A1566" t="s">
        <v>3581</v>
      </c>
      <c r="C1566" t="s">
        <v>3582</v>
      </c>
      <c r="D1566" t="s">
        <v>3582</v>
      </c>
      <c r="E1566" s="5">
        <v>46274</v>
      </c>
      <c r="F1566" t="s">
        <v>204</v>
      </c>
      <c r="G1566" t="s">
        <v>220</v>
      </c>
      <c r="H1566">
        <v>1499</v>
      </c>
      <c r="I1566">
        <v>0</v>
      </c>
      <c r="J1566">
        <v>0</v>
      </c>
      <c r="K1566">
        <v>1499</v>
      </c>
      <c r="L1566" s="5">
        <v>46276</v>
      </c>
      <c r="M1566" t="s">
        <v>3422</v>
      </c>
      <c r="N1566" t="s">
        <v>207</v>
      </c>
      <c r="O1566" t="s">
        <v>3582</v>
      </c>
      <c r="P1566" t="s">
        <v>208</v>
      </c>
      <c r="Q1566" t="s">
        <v>209</v>
      </c>
    </row>
    <row r="1567" spans="1:17" x14ac:dyDescent="0.3">
      <c r="A1567" t="s">
        <v>3583</v>
      </c>
      <c r="C1567" t="s">
        <v>3584</v>
      </c>
      <c r="D1567" t="s">
        <v>3584</v>
      </c>
      <c r="E1567" s="5">
        <v>46274</v>
      </c>
      <c r="F1567" t="s">
        <v>204</v>
      </c>
      <c r="G1567" t="s">
        <v>205</v>
      </c>
      <c r="H1567">
        <v>2999</v>
      </c>
      <c r="I1567">
        <v>50.98</v>
      </c>
      <c r="J1567">
        <v>9.18</v>
      </c>
      <c r="K1567">
        <v>2938.84</v>
      </c>
      <c r="L1567" s="5">
        <v>46276</v>
      </c>
      <c r="M1567" t="s">
        <v>3422</v>
      </c>
      <c r="N1567" t="s">
        <v>207</v>
      </c>
      <c r="O1567" t="s">
        <v>3584</v>
      </c>
      <c r="P1567" t="s">
        <v>208</v>
      </c>
      <c r="Q1567" t="s">
        <v>209</v>
      </c>
    </row>
    <row r="1568" spans="1:17" x14ac:dyDescent="0.3">
      <c r="A1568" t="s">
        <v>3585</v>
      </c>
      <c r="C1568" t="s">
        <v>3586</v>
      </c>
      <c r="D1568" t="s">
        <v>3586</v>
      </c>
      <c r="E1568" s="5">
        <v>46274</v>
      </c>
      <c r="F1568" t="s">
        <v>204</v>
      </c>
      <c r="G1568" t="s">
        <v>220</v>
      </c>
      <c r="H1568">
        <v>999</v>
      </c>
      <c r="I1568">
        <v>0</v>
      </c>
      <c r="J1568">
        <v>0</v>
      </c>
      <c r="K1568">
        <v>999</v>
      </c>
      <c r="L1568" s="5">
        <v>46276</v>
      </c>
      <c r="M1568" t="s">
        <v>3422</v>
      </c>
      <c r="N1568" t="s">
        <v>207</v>
      </c>
      <c r="O1568" t="s">
        <v>3586</v>
      </c>
      <c r="P1568" t="s">
        <v>208</v>
      </c>
      <c r="Q1568" t="s">
        <v>209</v>
      </c>
    </row>
    <row r="1569" spans="1:17" x14ac:dyDescent="0.3">
      <c r="A1569" t="s">
        <v>3587</v>
      </c>
      <c r="C1569" t="s">
        <v>3588</v>
      </c>
      <c r="D1569" t="s">
        <v>3588</v>
      </c>
      <c r="E1569" s="5">
        <v>46274</v>
      </c>
      <c r="F1569" t="s">
        <v>204</v>
      </c>
      <c r="G1569" t="s">
        <v>255</v>
      </c>
      <c r="H1569">
        <v>10497</v>
      </c>
      <c r="I1569">
        <v>94.47</v>
      </c>
      <c r="J1569">
        <v>17</v>
      </c>
      <c r="K1569">
        <v>10385.530000000001</v>
      </c>
      <c r="L1569" s="5">
        <v>46276</v>
      </c>
      <c r="M1569" t="s">
        <v>3422</v>
      </c>
      <c r="N1569" t="s">
        <v>207</v>
      </c>
      <c r="O1569" t="s">
        <v>3588</v>
      </c>
      <c r="P1569" t="s">
        <v>208</v>
      </c>
      <c r="Q1569" t="s">
        <v>209</v>
      </c>
    </row>
    <row r="1570" spans="1:17" x14ac:dyDescent="0.3">
      <c r="A1570" t="s">
        <v>3589</v>
      </c>
      <c r="C1570" t="s">
        <v>3590</v>
      </c>
      <c r="D1570" t="s">
        <v>3590</v>
      </c>
      <c r="E1570" s="5">
        <v>46274</v>
      </c>
      <c r="F1570" t="s">
        <v>204</v>
      </c>
      <c r="G1570" t="s">
        <v>220</v>
      </c>
      <c r="H1570">
        <v>499</v>
      </c>
      <c r="I1570">
        <v>0</v>
      </c>
      <c r="J1570">
        <v>0</v>
      </c>
      <c r="K1570">
        <v>499</v>
      </c>
      <c r="L1570" s="5">
        <v>46276</v>
      </c>
      <c r="M1570" t="s">
        <v>3422</v>
      </c>
      <c r="N1570" t="s">
        <v>207</v>
      </c>
      <c r="O1570" t="s">
        <v>3590</v>
      </c>
      <c r="P1570" t="s">
        <v>208</v>
      </c>
      <c r="Q1570" t="s">
        <v>209</v>
      </c>
    </row>
    <row r="1571" spans="1:17" x14ac:dyDescent="0.3">
      <c r="A1571" t="s">
        <v>3591</v>
      </c>
      <c r="C1571" t="s">
        <v>3592</v>
      </c>
      <c r="D1571" t="s">
        <v>3593</v>
      </c>
      <c r="E1571" s="5">
        <v>46274</v>
      </c>
      <c r="F1571" t="s">
        <v>204</v>
      </c>
      <c r="G1571" t="s">
        <v>220</v>
      </c>
      <c r="H1571">
        <v>299</v>
      </c>
      <c r="I1571">
        <v>0</v>
      </c>
      <c r="J1571">
        <v>0</v>
      </c>
      <c r="K1571">
        <v>299</v>
      </c>
      <c r="L1571" s="5">
        <v>46276</v>
      </c>
      <c r="M1571" t="s">
        <v>3422</v>
      </c>
      <c r="N1571" t="s">
        <v>207</v>
      </c>
      <c r="O1571" t="s">
        <v>3593</v>
      </c>
      <c r="P1571" t="s">
        <v>208</v>
      </c>
      <c r="Q1571" t="s">
        <v>209</v>
      </c>
    </row>
    <row r="1572" spans="1:17" x14ac:dyDescent="0.3">
      <c r="A1572" t="s">
        <v>3594</v>
      </c>
      <c r="C1572" t="s">
        <v>3595</v>
      </c>
      <c r="D1572" t="s">
        <v>3595</v>
      </c>
      <c r="E1572" s="5">
        <v>46274</v>
      </c>
      <c r="F1572" t="s">
        <v>204</v>
      </c>
      <c r="G1572" t="s">
        <v>213</v>
      </c>
      <c r="H1572">
        <v>2499</v>
      </c>
      <c r="I1572">
        <v>39.979999999999997</v>
      </c>
      <c r="J1572">
        <v>7.2</v>
      </c>
      <c r="K1572">
        <v>2451.8200000000002</v>
      </c>
      <c r="L1572" s="5">
        <v>46276</v>
      </c>
      <c r="M1572" t="s">
        <v>3422</v>
      </c>
      <c r="N1572" t="s">
        <v>207</v>
      </c>
      <c r="O1572" t="s">
        <v>3595</v>
      </c>
      <c r="P1572" t="s">
        <v>208</v>
      </c>
      <c r="Q1572" t="s">
        <v>209</v>
      </c>
    </row>
    <row r="1573" spans="1:17" x14ac:dyDescent="0.3">
      <c r="A1573" t="s">
        <v>3596</v>
      </c>
      <c r="C1573" t="s">
        <v>3597</v>
      </c>
      <c r="D1573" t="s">
        <v>3597</v>
      </c>
      <c r="E1573" s="5">
        <v>46274</v>
      </c>
      <c r="F1573" t="s">
        <v>204</v>
      </c>
      <c r="G1573" t="s">
        <v>213</v>
      </c>
      <c r="H1573">
        <v>999</v>
      </c>
      <c r="I1573">
        <v>17.98</v>
      </c>
      <c r="J1573">
        <v>3.24</v>
      </c>
      <c r="K1573">
        <v>977.78</v>
      </c>
      <c r="L1573" s="5">
        <v>46276</v>
      </c>
      <c r="M1573" t="s">
        <v>3422</v>
      </c>
      <c r="N1573" t="s">
        <v>207</v>
      </c>
      <c r="O1573" t="s">
        <v>3597</v>
      </c>
      <c r="P1573" t="s">
        <v>208</v>
      </c>
      <c r="Q1573" t="s">
        <v>209</v>
      </c>
    </row>
    <row r="1574" spans="1:17" x14ac:dyDescent="0.3">
      <c r="A1574" t="s">
        <v>3598</v>
      </c>
      <c r="C1574" t="s">
        <v>3599</v>
      </c>
      <c r="D1574" t="s">
        <v>3599</v>
      </c>
      <c r="E1574" s="5">
        <v>46274</v>
      </c>
      <c r="F1574" t="s">
        <v>204</v>
      </c>
      <c r="G1574" t="s">
        <v>220</v>
      </c>
      <c r="H1574">
        <v>1098</v>
      </c>
      <c r="I1574">
        <v>0</v>
      </c>
      <c r="J1574">
        <v>0</v>
      </c>
      <c r="K1574">
        <v>1098</v>
      </c>
      <c r="L1574" s="5">
        <v>46276</v>
      </c>
      <c r="M1574" t="s">
        <v>3422</v>
      </c>
      <c r="N1574" t="s">
        <v>207</v>
      </c>
      <c r="O1574" t="s">
        <v>3599</v>
      </c>
      <c r="P1574" t="s">
        <v>208</v>
      </c>
      <c r="Q1574" t="s">
        <v>209</v>
      </c>
    </row>
    <row r="1575" spans="1:17" x14ac:dyDescent="0.3">
      <c r="A1575" t="s">
        <v>3600</v>
      </c>
      <c r="C1575" t="s">
        <v>3601</v>
      </c>
      <c r="D1575" t="s">
        <v>3601</v>
      </c>
      <c r="E1575" s="5">
        <v>46274</v>
      </c>
      <c r="F1575" t="s">
        <v>204</v>
      </c>
      <c r="G1575" t="s">
        <v>220</v>
      </c>
      <c r="H1575">
        <v>4297</v>
      </c>
      <c r="I1575">
        <v>12.89</v>
      </c>
      <c r="J1575">
        <v>2.3199999999999998</v>
      </c>
      <c r="K1575">
        <v>4281.79</v>
      </c>
      <c r="L1575" s="5">
        <v>46276</v>
      </c>
      <c r="M1575" t="s">
        <v>3422</v>
      </c>
      <c r="N1575" t="s">
        <v>207</v>
      </c>
      <c r="O1575" t="s">
        <v>3601</v>
      </c>
      <c r="P1575" t="s">
        <v>208</v>
      </c>
      <c r="Q1575" t="s">
        <v>209</v>
      </c>
    </row>
    <row r="1576" spans="1:17" x14ac:dyDescent="0.3">
      <c r="A1576" t="s">
        <v>3602</v>
      </c>
      <c r="C1576" t="s">
        <v>3603</v>
      </c>
      <c r="D1576" t="s">
        <v>3603</v>
      </c>
      <c r="E1576" s="5">
        <v>46274</v>
      </c>
      <c r="F1576" t="s">
        <v>204</v>
      </c>
      <c r="G1576" t="s">
        <v>220</v>
      </c>
      <c r="H1576">
        <v>12297</v>
      </c>
      <c r="I1576">
        <v>36.89</v>
      </c>
      <c r="J1576">
        <v>6.64</v>
      </c>
      <c r="K1576">
        <v>12253.47</v>
      </c>
      <c r="L1576" s="5">
        <v>46276</v>
      </c>
      <c r="M1576" t="s">
        <v>3422</v>
      </c>
      <c r="N1576" t="s">
        <v>207</v>
      </c>
      <c r="O1576" t="s">
        <v>3603</v>
      </c>
      <c r="P1576" t="s">
        <v>208</v>
      </c>
      <c r="Q1576" t="s">
        <v>209</v>
      </c>
    </row>
    <row r="1577" spans="1:17" x14ac:dyDescent="0.3">
      <c r="A1577" t="s">
        <v>3604</v>
      </c>
      <c r="C1577" t="s">
        <v>3605</v>
      </c>
      <c r="D1577" t="s">
        <v>3605</v>
      </c>
      <c r="E1577" s="5">
        <v>46274</v>
      </c>
      <c r="F1577" t="s">
        <v>204</v>
      </c>
      <c r="G1577" t="s">
        <v>220</v>
      </c>
      <c r="H1577">
        <v>999</v>
      </c>
      <c r="I1577">
        <v>0</v>
      </c>
      <c r="J1577">
        <v>0</v>
      </c>
      <c r="K1577">
        <v>999</v>
      </c>
      <c r="L1577" s="5">
        <v>46276</v>
      </c>
      <c r="M1577" t="s">
        <v>3422</v>
      </c>
      <c r="N1577" t="s">
        <v>207</v>
      </c>
      <c r="O1577" t="s">
        <v>3605</v>
      </c>
      <c r="P1577" t="s">
        <v>208</v>
      </c>
      <c r="Q1577" t="s">
        <v>209</v>
      </c>
    </row>
    <row r="1578" spans="1:17" x14ac:dyDescent="0.3">
      <c r="A1578" t="s">
        <v>3606</v>
      </c>
      <c r="C1578" t="s">
        <v>3607</v>
      </c>
      <c r="D1578" t="s">
        <v>3607</v>
      </c>
      <c r="E1578" s="5">
        <v>46274</v>
      </c>
      <c r="F1578" t="s">
        <v>204</v>
      </c>
      <c r="G1578" t="s">
        <v>220</v>
      </c>
      <c r="H1578">
        <v>999</v>
      </c>
      <c r="I1578">
        <v>0</v>
      </c>
      <c r="J1578">
        <v>0</v>
      </c>
      <c r="K1578">
        <v>999</v>
      </c>
      <c r="L1578" s="5">
        <v>46276</v>
      </c>
      <c r="M1578" t="s">
        <v>3422</v>
      </c>
      <c r="N1578" t="s">
        <v>207</v>
      </c>
      <c r="O1578" t="s">
        <v>3607</v>
      </c>
      <c r="P1578" t="s">
        <v>208</v>
      </c>
      <c r="Q1578" t="s">
        <v>209</v>
      </c>
    </row>
    <row r="1579" spans="1:17" x14ac:dyDescent="0.3">
      <c r="A1579" t="s">
        <v>3608</v>
      </c>
      <c r="C1579" t="s">
        <v>3609</v>
      </c>
      <c r="D1579" t="s">
        <v>3609</v>
      </c>
      <c r="E1579" s="5">
        <v>46274</v>
      </c>
      <c r="F1579" t="s">
        <v>204</v>
      </c>
      <c r="G1579" t="s">
        <v>213</v>
      </c>
      <c r="H1579">
        <v>1799</v>
      </c>
      <c r="I1579">
        <v>32.380000000000003</v>
      </c>
      <c r="J1579">
        <v>5.83</v>
      </c>
      <c r="K1579">
        <v>1760.79</v>
      </c>
      <c r="L1579" s="5">
        <v>46276</v>
      </c>
      <c r="M1579" t="s">
        <v>3422</v>
      </c>
      <c r="N1579" t="s">
        <v>207</v>
      </c>
      <c r="O1579" t="s">
        <v>3609</v>
      </c>
      <c r="P1579" t="s">
        <v>208</v>
      </c>
      <c r="Q1579" t="s">
        <v>209</v>
      </c>
    </row>
    <row r="1580" spans="1:17" x14ac:dyDescent="0.3">
      <c r="A1580" t="s">
        <v>3610</v>
      </c>
      <c r="C1580" t="s">
        <v>3611</v>
      </c>
      <c r="D1580" t="s">
        <v>3611</v>
      </c>
      <c r="E1580" s="5">
        <v>46274</v>
      </c>
      <c r="F1580" t="s">
        <v>204</v>
      </c>
      <c r="G1580" t="s">
        <v>213</v>
      </c>
      <c r="H1580">
        <v>13297</v>
      </c>
      <c r="I1580">
        <v>212.75</v>
      </c>
      <c r="J1580">
        <v>38.299999999999997</v>
      </c>
      <c r="K1580">
        <v>13045.95</v>
      </c>
      <c r="L1580" s="5">
        <v>46276</v>
      </c>
      <c r="M1580" t="s">
        <v>3422</v>
      </c>
      <c r="N1580" t="s">
        <v>207</v>
      </c>
      <c r="O1580" t="s">
        <v>3611</v>
      </c>
      <c r="P1580" t="s">
        <v>208</v>
      </c>
      <c r="Q1580" t="s">
        <v>209</v>
      </c>
    </row>
    <row r="1581" spans="1:17" x14ac:dyDescent="0.3">
      <c r="A1581" t="s">
        <v>3612</v>
      </c>
      <c r="C1581" t="s">
        <v>3613</v>
      </c>
      <c r="D1581" t="s">
        <v>3613</v>
      </c>
      <c r="E1581" s="5">
        <v>46274</v>
      </c>
      <c r="F1581" t="s">
        <v>204</v>
      </c>
      <c r="G1581" t="s">
        <v>213</v>
      </c>
      <c r="H1581">
        <v>2499</v>
      </c>
      <c r="I1581">
        <v>39.979999999999997</v>
      </c>
      <c r="J1581">
        <v>7.2</v>
      </c>
      <c r="K1581">
        <v>2451.8200000000002</v>
      </c>
      <c r="L1581" s="5">
        <v>46276</v>
      </c>
      <c r="M1581" t="s">
        <v>3422</v>
      </c>
      <c r="N1581" t="s">
        <v>207</v>
      </c>
      <c r="O1581" t="s">
        <v>3613</v>
      </c>
      <c r="P1581" t="s">
        <v>208</v>
      </c>
      <c r="Q1581" t="s">
        <v>209</v>
      </c>
    </row>
    <row r="1582" spans="1:17" x14ac:dyDescent="0.3">
      <c r="A1582" t="s">
        <v>3614</v>
      </c>
      <c r="C1582" t="s">
        <v>3615</v>
      </c>
      <c r="D1582" t="s">
        <v>3615</v>
      </c>
      <c r="E1582" s="5">
        <v>46274</v>
      </c>
      <c r="F1582" t="s">
        <v>204</v>
      </c>
      <c r="G1582" t="s">
        <v>220</v>
      </c>
      <c r="H1582">
        <v>4498</v>
      </c>
      <c r="I1582">
        <v>13.49</v>
      </c>
      <c r="J1582">
        <v>2.4300000000000002</v>
      </c>
      <c r="K1582">
        <v>4482.08</v>
      </c>
      <c r="L1582" s="5">
        <v>46276</v>
      </c>
      <c r="M1582" t="s">
        <v>3422</v>
      </c>
      <c r="N1582" t="s">
        <v>207</v>
      </c>
      <c r="O1582" t="s">
        <v>3615</v>
      </c>
      <c r="P1582" t="s">
        <v>208</v>
      </c>
      <c r="Q1582" t="s">
        <v>209</v>
      </c>
    </row>
    <row r="1583" spans="1:17" x14ac:dyDescent="0.3">
      <c r="A1583" t="s">
        <v>3616</v>
      </c>
      <c r="C1583" t="s">
        <v>3617</v>
      </c>
      <c r="D1583" t="s">
        <v>3618</v>
      </c>
      <c r="E1583" s="5">
        <v>46274</v>
      </c>
      <c r="F1583" t="s">
        <v>204</v>
      </c>
      <c r="G1583" t="s">
        <v>220</v>
      </c>
      <c r="H1583">
        <v>3498</v>
      </c>
      <c r="I1583">
        <v>10.49</v>
      </c>
      <c r="J1583">
        <v>1.89</v>
      </c>
      <c r="K1583">
        <v>3485.62</v>
      </c>
      <c r="L1583" s="5">
        <v>46276</v>
      </c>
      <c r="M1583" t="s">
        <v>3422</v>
      </c>
      <c r="N1583" t="s">
        <v>207</v>
      </c>
      <c r="O1583" t="s">
        <v>3618</v>
      </c>
      <c r="P1583" t="s">
        <v>208</v>
      </c>
      <c r="Q1583" t="s">
        <v>209</v>
      </c>
    </row>
    <row r="1584" spans="1:17" x14ac:dyDescent="0.3">
      <c r="A1584" t="s">
        <v>3619</v>
      </c>
      <c r="C1584" t="s">
        <v>3620</v>
      </c>
      <c r="D1584" t="s">
        <v>3620</v>
      </c>
      <c r="E1584" s="5">
        <v>46274</v>
      </c>
      <c r="F1584" t="s">
        <v>204</v>
      </c>
      <c r="G1584" t="s">
        <v>205</v>
      </c>
      <c r="H1584">
        <v>499</v>
      </c>
      <c r="I1584">
        <v>9.48</v>
      </c>
      <c r="J1584">
        <v>1.71</v>
      </c>
      <c r="K1584">
        <v>487.81</v>
      </c>
      <c r="L1584" s="5">
        <v>46276</v>
      </c>
      <c r="M1584" t="s">
        <v>3422</v>
      </c>
      <c r="N1584" t="s">
        <v>207</v>
      </c>
      <c r="O1584" t="s">
        <v>3620</v>
      </c>
      <c r="P1584" t="s">
        <v>208</v>
      </c>
      <c r="Q1584" t="s">
        <v>209</v>
      </c>
    </row>
    <row r="1585" spans="1:17" x14ac:dyDescent="0.3">
      <c r="A1585" t="s">
        <v>3621</v>
      </c>
      <c r="C1585" t="s">
        <v>3622</v>
      </c>
      <c r="D1585" t="s">
        <v>3622</v>
      </c>
      <c r="E1585" s="5">
        <v>46274</v>
      </c>
      <c r="F1585" t="s">
        <v>204</v>
      </c>
      <c r="G1585" t="s">
        <v>220</v>
      </c>
      <c r="H1585">
        <v>349</v>
      </c>
      <c r="I1585">
        <v>0</v>
      </c>
      <c r="J1585">
        <v>0</v>
      </c>
      <c r="K1585">
        <v>349</v>
      </c>
      <c r="L1585" s="5">
        <v>46276</v>
      </c>
      <c r="M1585" t="s">
        <v>3422</v>
      </c>
      <c r="N1585" t="s">
        <v>207</v>
      </c>
      <c r="O1585" t="s">
        <v>3622</v>
      </c>
      <c r="P1585" t="s">
        <v>208</v>
      </c>
      <c r="Q1585" t="s">
        <v>209</v>
      </c>
    </row>
    <row r="1586" spans="1:17" x14ac:dyDescent="0.3">
      <c r="A1586" t="s">
        <v>3623</v>
      </c>
      <c r="C1586" t="s">
        <v>3624</v>
      </c>
      <c r="D1586" t="s">
        <v>3625</v>
      </c>
      <c r="E1586" s="5">
        <v>46274</v>
      </c>
      <c r="F1586" t="s">
        <v>204</v>
      </c>
      <c r="G1586" t="s">
        <v>255</v>
      </c>
      <c r="H1586">
        <v>1499</v>
      </c>
      <c r="I1586">
        <v>22.49</v>
      </c>
      <c r="J1586">
        <v>4.05</v>
      </c>
      <c r="K1586">
        <v>1472.46</v>
      </c>
      <c r="L1586" s="5">
        <v>46276</v>
      </c>
      <c r="M1586" t="s">
        <v>3422</v>
      </c>
      <c r="N1586" t="s">
        <v>207</v>
      </c>
      <c r="O1586" t="s">
        <v>3625</v>
      </c>
      <c r="P1586" t="s">
        <v>208</v>
      </c>
      <c r="Q1586" t="s">
        <v>209</v>
      </c>
    </row>
    <row r="1587" spans="1:17" x14ac:dyDescent="0.3">
      <c r="A1587" t="s">
        <v>3626</v>
      </c>
      <c r="C1587" t="s">
        <v>3627</v>
      </c>
      <c r="D1587" t="s">
        <v>3627</v>
      </c>
      <c r="E1587" s="5">
        <v>46274</v>
      </c>
      <c r="F1587" t="s">
        <v>204</v>
      </c>
      <c r="G1587" t="s">
        <v>220</v>
      </c>
      <c r="H1587">
        <v>5498</v>
      </c>
      <c r="I1587">
        <v>16.489999999999998</v>
      </c>
      <c r="J1587">
        <v>2.97</v>
      </c>
      <c r="K1587">
        <v>5478.54</v>
      </c>
      <c r="L1587" s="5">
        <v>46276</v>
      </c>
      <c r="M1587" t="s">
        <v>3422</v>
      </c>
      <c r="N1587" t="s">
        <v>207</v>
      </c>
      <c r="O1587" t="s">
        <v>3627</v>
      </c>
      <c r="P1587" t="s">
        <v>208</v>
      </c>
      <c r="Q1587" t="s">
        <v>209</v>
      </c>
    </row>
    <row r="1588" spans="1:17" x14ac:dyDescent="0.3">
      <c r="A1588" t="s">
        <v>3628</v>
      </c>
      <c r="C1588" t="s">
        <v>3629</v>
      </c>
      <c r="D1588" t="s">
        <v>3629</v>
      </c>
      <c r="E1588" s="5">
        <v>46274</v>
      </c>
      <c r="F1588" t="s">
        <v>204</v>
      </c>
      <c r="G1588" t="s">
        <v>255</v>
      </c>
      <c r="H1588">
        <v>1299</v>
      </c>
      <c r="I1588">
        <v>19.489999999999998</v>
      </c>
      <c r="J1588">
        <v>3.51</v>
      </c>
      <c r="K1588">
        <v>1276</v>
      </c>
      <c r="L1588" s="5">
        <v>46276</v>
      </c>
      <c r="M1588" t="s">
        <v>3422</v>
      </c>
      <c r="N1588" t="s">
        <v>207</v>
      </c>
      <c r="O1588" t="s">
        <v>3629</v>
      </c>
      <c r="P1588" t="s">
        <v>208</v>
      </c>
      <c r="Q1588" t="s">
        <v>209</v>
      </c>
    </row>
    <row r="1589" spans="1:17" x14ac:dyDescent="0.3">
      <c r="A1589" t="s">
        <v>3630</v>
      </c>
      <c r="C1589" t="s">
        <v>3631</v>
      </c>
      <c r="D1589" t="s">
        <v>3631</v>
      </c>
      <c r="E1589" s="5">
        <v>46274</v>
      </c>
      <c r="F1589" t="s">
        <v>204</v>
      </c>
      <c r="G1589" t="s">
        <v>220</v>
      </c>
      <c r="H1589">
        <v>7497</v>
      </c>
      <c r="I1589">
        <v>22.49</v>
      </c>
      <c r="J1589">
        <v>4.05</v>
      </c>
      <c r="K1589">
        <v>7470.46</v>
      </c>
      <c r="L1589" s="5">
        <v>46276</v>
      </c>
      <c r="M1589" t="s">
        <v>3422</v>
      </c>
      <c r="N1589" t="s">
        <v>207</v>
      </c>
      <c r="O1589" t="s">
        <v>3631</v>
      </c>
      <c r="P1589" t="s">
        <v>208</v>
      </c>
      <c r="Q1589" t="s">
        <v>209</v>
      </c>
    </row>
    <row r="1590" spans="1:17" x14ac:dyDescent="0.3">
      <c r="A1590" t="s">
        <v>3632</v>
      </c>
      <c r="C1590" t="s">
        <v>3633</v>
      </c>
      <c r="D1590" t="s">
        <v>3633</v>
      </c>
      <c r="E1590" s="5">
        <v>46274</v>
      </c>
      <c r="F1590" t="s">
        <v>204</v>
      </c>
      <c r="G1590" t="s">
        <v>255</v>
      </c>
      <c r="H1590">
        <v>999</v>
      </c>
      <c r="I1590">
        <v>14.99</v>
      </c>
      <c r="J1590">
        <v>2.7</v>
      </c>
      <c r="K1590">
        <v>981.31</v>
      </c>
      <c r="L1590" s="5">
        <v>46276</v>
      </c>
      <c r="M1590" t="s">
        <v>3422</v>
      </c>
      <c r="N1590" t="s">
        <v>207</v>
      </c>
      <c r="O1590" t="s">
        <v>3633</v>
      </c>
      <c r="P1590" t="s">
        <v>208</v>
      </c>
      <c r="Q1590" t="s">
        <v>209</v>
      </c>
    </row>
    <row r="1591" spans="1:17" x14ac:dyDescent="0.3">
      <c r="A1591" t="s">
        <v>3634</v>
      </c>
      <c r="C1591" t="s">
        <v>3635</v>
      </c>
      <c r="D1591" t="s">
        <v>3635</v>
      </c>
      <c r="E1591" s="5">
        <v>46274</v>
      </c>
      <c r="F1591" t="s">
        <v>204</v>
      </c>
      <c r="G1591" t="s">
        <v>255</v>
      </c>
      <c r="H1591">
        <v>5298</v>
      </c>
      <c r="I1591">
        <v>63.58</v>
      </c>
      <c r="J1591">
        <v>11.44</v>
      </c>
      <c r="K1591">
        <v>5222.9799999999996</v>
      </c>
      <c r="L1591" s="5">
        <v>46276</v>
      </c>
      <c r="M1591" t="s">
        <v>3422</v>
      </c>
      <c r="N1591" t="s">
        <v>207</v>
      </c>
      <c r="O1591" t="s">
        <v>3635</v>
      </c>
      <c r="P1591" t="s">
        <v>208</v>
      </c>
      <c r="Q1591" t="s">
        <v>209</v>
      </c>
    </row>
    <row r="1592" spans="1:17" x14ac:dyDescent="0.3">
      <c r="A1592" t="s">
        <v>3636</v>
      </c>
      <c r="C1592" t="s">
        <v>3637</v>
      </c>
      <c r="D1592" t="s">
        <v>3637</v>
      </c>
      <c r="E1592" s="5">
        <v>46274</v>
      </c>
      <c r="F1592" t="s">
        <v>204</v>
      </c>
      <c r="G1592" t="s">
        <v>255</v>
      </c>
      <c r="H1592">
        <v>2098</v>
      </c>
      <c r="I1592">
        <v>25.18</v>
      </c>
      <c r="J1592">
        <v>4.53</v>
      </c>
      <c r="K1592">
        <v>2068.29</v>
      </c>
      <c r="L1592" s="5">
        <v>46276</v>
      </c>
      <c r="M1592" t="s">
        <v>3422</v>
      </c>
      <c r="N1592" t="s">
        <v>207</v>
      </c>
      <c r="O1592" t="s">
        <v>3637</v>
      </c>
      <c r="P1592" t="s">
        <v>208</v>
      </c>
      <c r="Q1592" t="s">
        <v>209</v>
      </c>
    </row>
    <row r="1593" spans="1:17" x14ac:dyDescent="0.3">
      <c r="A1593" t="s">
        <v>3638</v>
      </c>
      <c r="C1593" t="s">
        <v>3639</v>
      </c>
      <c r="D1593" t="s">
        <v>3640</v>
      </c>
      <c r="E1593" s="5">
        <v>46274</v>
      </c>
      <c r="F1593" t="s">
        <v>204</v>
      </c>
      <c r="G1593" t="s">
        <v>220</v>
      </c>
      <c r="H1593">
        <v>299</v>
      </c>
      <c r="I1593">
        <v>0</v>
      </c>
      <c r="J1593">
        <v>0</v>
      </c>
      <c r="K1593">
        <v>299</v>
      </c>
      <c r="L1593" s="5">
        <v>46276</v>
      </c>
      <c r="M1593" t="s">
        <v>3422</v>
      </c>
      <c r="N1593" t="s">
        <v>207</v>
      </c>
      <c r="O1593" t="s">
        <v>3640</v>
      </c>
      <c r="P1593" t="s">
        <v>208</v>
      </c>
      <c r="Q1593" t="s">
        <v>209</v>
      </c>
    </row>
    <row r="1594" spans="1:17" x14ac:dyDescent="0.3">
      <c r="A1594" t="s">
        <v>3641</v>
      </c>
      <c r="C1594" t="s">
        <v>3642</v>
      </c>
      <c r="D1594" t="s">
        <v>3642</v>
      </c>
      <c r="E1594" s="5">
        <v>46274</v>
      </c>
      <c r="F1594" t="s">
        <v>204</v>
      </c>
      <c r="G1594" t="s">
        <v>220</v>
      </c>
      <c r="H1594">
        <v>4997</v>
      </c>
      <c r="I1594">
        <v>14.99</v>
      </c>
      <c r="J1594">
        <v>2.7</v>
      </c>
      <c r="K1594">
        <v>4979.3100000000004</v>
      </c>
      <c r="L1594" s="5">
        <v>46276</v>
      </c>
      <c r="M1594" t="s">
        <v>3422</v>
      </c>
      <c r="N1594" t="s">
        <v>207</v>
      </c>
      <c r="O1594" t="s">
        <v>3642</v>
      </c>
      <c r="P1594" t="s">
        <v>208</v>
      </c>
      <c r="Q1594" t="s">
        <v>209</v>
      </c>
    </row>
    <row r="1595" spans="1:17" x14ac:dyDescent="0.3">
      <c r="A1595" t="s">
        <v>3643</v>
      </c>
      <c r="C1595" t="s">
        <v>3644</v>
      </c>
      <c r="D1595" t="s">
        <v>3645</v>
      </c>
      <c r="E1595" s="5">
        <v>46274</v>
      </c>
      <c r="F1595" t="s">
        <v>204</v>
      </c>
      <c r="G1595" t="s">
        <v>220</v>
      </c>
      <c r="H1595">
        <v>349</v>
      </c>
      <c r="I1595">
        <v>0</v>
      </c>
      <c r="J1595">
        <v>0</v>
      </c>
      <c r="K1595">
        <v>349</v>
      </c>
      <c r="L1595" s="5">
        <v>46276</v>
      </c>
      <c r="M1595" t="s">
        <v>3422</v>
      </c>
      <c r="N1595" t="s">
        <v>207</v>
      </c>
      <c r="O1595" t="s">
        <v>3645</v>
      </c>
      <c r="P1595" t="s">
        <v>208</v>
      </c>
      <c r="Q1595" t="s">
        <v>209</v>
      </c>
    </row>
    <row r="1596" spans="1:17" x14ac:dyDescent="0.3">
      <c r="A1596" t="s">
        <v>3646</v>
      </c>
      <c r="C1596" t="s">
        <v>3647</v>
      </c>
      <c r="D1596" t="s">
        <v>3647</v>
      </c>
      <c r="E1596" s="5">
        <v>46274</v>
      </c>
      <c r="F1596" t="s">
        <v>204</v>
      </c>
      <c r="G1596" t="s">
        <v>220</v>
      </c>
      <c r="H1596">
        <v>4797</v>
      </c>
      <c r="I1596">
        <v>14.39</v>
      </c>
      <c r="J1596">
        <v>2.59</v>
      </c>
      <c r="K1596">
        <v>4780.0200000000004</v>
      </c>
      <c r="L1596" s="5">
        <v>46276</v>
      </c>
      <c r="M1596" t="s">
        <v>3422</v>
      </c>
      <c r="N1596" t="s">
        <v>207</v>
      </c>
      <c r="O1596" t="s">
        <v>3647</v>
      </c>
      <c r="P1596" t="s">
        <v>208</v>
      </c>
      <c r="Q1596" t="s">
        <v>209</v>
      </c>
    </row>
    <row r="1597" spans="1:17" x14ac:dyDescent="0.3">
      <c r="A1597" t="s">
        <v>3648</v>
      </c>
      <c r="C1597" t="s">
        <v>3649</v>
      </c>
      <c r="D1597" t="s">
        <v>3649</v>
      </c>
      <c r="E1597" s="5">
        <v>46274</v>
      </c>
      <c r="F1597" t="s">
        <v>204</v>
      </c>
      <c r="G1597" t="s">
        <v>220</v>
      </c>
      <c r="H1597">
        <v>3998</v>
      </c>
      <c r="I1597">
        <v>11.99</v>
      </c>
      <c r="J1597">
        <v>2.16</v>
      </c>
      <c r="K1597">
        <v>3983.85</v>
      </c>
      <c r="L1597" s="5">
        <v>46276</v>
      </c>
      <c r="M1597" t="s">
        <v>3422</v>
      </c>
      <c r="N1597" t="s">
        <v>207</v>
      </c>
      <c r="O1597" t="s">
        <v>3649</v>
      </c>
      <c r="P1597" t="s">
        <v>208</v>
      </c>
      <c r="Q1597" t="s">
        <v>209</v>
      </c>
    </row>
    <row r="1598" spans="1:17" x14ac:dyDescent="0.3">
      <c r="A1598" t="s">
        <v>3650</v>
      </c>
      <c r="C1598" t="s">
        <v>3651</v>
      </c>
      <c r="D1598" t="s">
        <v>3652</v>
      </c>
      <c r="E1598" s="5">
        <v>46274</v>
      </c>
      <c r="F1598" t="s">
        <v>204</v>
      </c>
      <c r="G1598" t="s">
        <v>213</v>
      </c>
      <c r="H1598">
        <v>7999</v>
      </c>
      <c r="I1598">
        <v>127.98</v>
      </c>
      <c r="J1598">
        <v>23.04</v>
      </c>
      <c r="K1598">
        <v>7847.98</v>
      </c>
      <c r="L1598" s="5">
        <v>46276</v>
      </c>
      <c r="M1598" t="s">
        <v>3422</v>
      </c>
      <c r="N1598" t="s">
        <v>207</v>
      </c>
      <c r="O1598" t="s">
        <v>3652</v>
      </c>
      <c r="P1598" t="s">
        <v>208</v>
      </c>
      <c r="Q1598" t="s">
        <v>209</v>
      </c>
    </row>
    <row r="1599" spans="1:17" x14ac:dyDescent="0.3">
      <c r="A1599" t="s">
        <v>3653</v>
      </c>
      <c r="C1599" t="s">
        <v>3654</v>
      </c>
      <c r="D1599" t="s">
        <v>3654</v>
      </c>
      <c r="E1599" s="5">
        <v>46274</v>
      </c>
      <c r="F1599" t="s">
        <v>204</v>
      </c>
      <c r="G1599" t="s">
        <v>255</v>
      </c>
      <c r="H1599">
        <v>999</v>
      </c>
      <c r="I1599">
        <v>14.99</v>
      </c>
      <c r="J1599">
        <v>2.7</v>
      </c>
      <c r="K1599">
        <v>981.31</v>
      </c>
      <c r="L1599" s="5">
        <v>46276</v>
      </c>
      <c r="M1599" t="s">
        <v>3422</v>
      </c>
      <c r="N1599" t="s">
        <v>207</v>
      </c>
      <c r="O1599" t="s">
        <v>3654</v>
      </c>
      <c r="P1599" t="s">
        <v>208</v>
      </c>
      <c r="Q1599" t="s">
        <v>209</v>
      </c>
    </row>
    <row r="1600" spans="1:17" x14ac:dyDescent="0.3">
      <c r="A1600" t="s">
        <v>3655</v>
      </c>
      <c r="C1600" t="s">
        <v>3656</v>
      </c>
      <c r="D1600" t="s">
        <v>3656</v>
      </c>
      <c r="E1600" s="5">
        <v>46274</v>
      </c>
      <c r="F1600" t="s">
        <v>204</v>
      </c>
      <c r="G1600" t="s">
        <v>220</v>
      </c>
      <c r="H1600">
        <v>499</v>
      </c>
      <c r="I1600">
        <v>0</v>
      </c>
      <c r="J1600">
        <v>0</v>
      </c>
      <c r="K1600">
        <v>499</v>
      </c>
      <c r="L1600" s="5">
        <v>46276</v>
      </c>
      <c r="M1600" t="s">
        <v>3422</v>
      </c>
      <c r="N1600" t="s">
        <v>207</v>
      </c>
      <c r="O1600" t="s">
        <v>3656</v>
      </c>
      <c r="P1600" t="s">
        <v>208</v>
      </c>
      <c r="Q1600" t="s">
        <v>209</v>
      </c>
    </row>
    <row r="1601" spans="1:17" x14ac:dyDescent="0.3">
      <c r="A1601" t="s">
        <v>3657</v>
      </c>
      <c r="C1601" t="s">
        <v>3658</v>
      </c>
      <c r="D1601" t="s">
        <v>3659</v>
      </c>
      <c r="E1601" s="5">
        <v>46274</v>
      </c>
      <c r="F1601" t="s">
        <v>204</v>
      </c>
      <c r="G1601" t="s">
        <v>213</v>
      </c>
      <c r="H1601">
        <v>1499</v>
      </c>
      <c r="I1601">
        <v>26.98</v>
      </c>
      <c r="J1601">
        <v>4.8600000000000003</v>
      </c>
      <c r="K1601">
        <v>1467.16</v>
      </c>
      <c r="L1601" s="5">
        <v>46276</v>
      </c>
      <c r="M1601" t="s">
        <v>3422</v>
      </c>
      <c r="N1601" t="s">
        <v>207</v>
      </c>
      <c r="O1601" t="s">
        <v>3659</v>
      </c>
      <c r="P1601" t="s">
        <v>208</v>
      </c>
      <c r="Q1601" t="s">
        <v>209</v>
      </c>
    </row>
    <row r="1602" spans="1:17" x14ac:dyDescent="0.3">
      <c r="A1602" t="s">
        <v>3660</v>
      </c>
      <c r="C1602" t="s">
        <v>3661</v>
      </c>
      <c r="D1602" t="s">
        <v>3662</v>
      </c>
      <c r="E1602" s="5">
        <v>46274</v>
      </c>
      <c r="F1602" t="s">
        <v>204</v>
      </c>
      <c r="G1602" t="s">
        <v>220</v>
      </c>
      <c r="H1602">
        <v>499</v>
      </c>
      <c r="I1602">
        <v>1.5</v>
      </c>
      <c r="J1602">
        <v>0.27</v>
      </c>
      <c r="K1602">
        <v>497.23</v>
      </c>
      <c r="L1602" s="5">
        <v>46276</v>
      </c>
      <c r="M1602" t="s">
        <v>3422</v>
      </c>
      <c r="N1602" t="s">
        <v>207</v>
      </c>
      <c r="O1602" t="s">
        <v>3662</v>
      </c>
      <c r="P1602" t="s">
        <v>208</v>
      </c>
      <c r="Q1602" t="s">
        <v>209</v>
      </c>
    </row>
    <row r="1603" spans="1:17" x14ac:dyDescent="0.3">
      <c r="A1603" t="s">
        <v>3663</v>
      </c>
      <c r="C1603" t="s">
        <v>3664</v>
      </c>
      <c r="D1603" t="s">
        <v>3664</v>
      </c>
      <c r="E1603" s="5">
        <v>46274</v>
      </c>
      <c r="F1603" t="s">
        <v>204</v>
      </c>
      <c r="G1603" t="s">
        <v>220</v>
      </c>
      <c r="H1603">
        <v>2499</v>
      </c>
      <c r="I1603">
        <v>7.5</v>
      </c>
      <c r="J1603">
        <v>1.35</v>
      </c>
      <c r="K1603">
        <v>2490.15</v>
      </c>
      <c r="L1603" s="5">
        <v>46276</v>
      </c>
      <c r="M1603" t="s">
        <v>3422</v>
      </c>
      <c r="N1603" t="s">
        <v>207</v>
      </c>
      <c r="O1603" t="s">
        <v>3664</v>
      </c>
      <c r="P1603" t="s">
        <v>208</v>
      </c>
      <c r="Q1603" t="s">
        <v>209</v>
      </c>
    </row>
    <row r="1604" spans="1:17" x14ac:dyDescent="0.3">
      <c r="A1604" t="s">
        <v>3665</v>
      </c>
      <c r="C1604" t="s">
        <v>3666</v>
      </c>
      <c r="D1604" t="s">
        <v>3666</v>
      </c>
      <c r="E1604" s="5">
        <v>46274</v>
      </c>
      <c r="F1604" t="s">
        <v>204</v>
      </c>
      <c r="G1604" t="s">
        <v>205</v>
      </c>
      <c r="H1604">
        <v>499</v>
      </c>
      <c r="I1604">
        <v>9.48</v>
      </c>
      <c r="J1604">
        <v>1.71</v>
      </c>
      <c r="K1604">
        <v>487.81</v>
      </c>
      <c r="L1604" s="5">
        <v>46276</v>
      </c>
      <c r="M1604" t="s">
        <v>3422</v>
      </c>
      <c r="N1604" t="s">
        <v>207</v>
      </c>
      <c r="O1604" t="s">
        <v>3666</v>
      </c>
      <c r="P1604" t="s">
        <v>208</v>
      </c>
      <c r="Q1604" t="s">
        <v>209</v>
      </c>
    </row>
    <row r="1605" spans="1:17" x14ac:dyDescent="0.3">
      <c r="A1605" t="s">
        <v>3667</v>
      </c>
      <c r="C1605" t="s">
        <v>3668</v>
      </c>
      <c r="D1605" t="s">
        <v>3668</v>
      </c>
      <c r="E1605" s="5">
        <v>46274</v>
      </c>
      <c r="F1605" t="s">
        <v>204</v>
      </c>
      <c r="G1605" t="s">
        <v>213</v>
      </c>
      <c r="H1605">
        <v>3797</v>
      </c>
      <c r="I1605">
        <v>60.75</v>
      </c>
      <c r="J1605">
        <v>10.94</v>
      </c>
      <c r="K1605">
        <v>3725.31</v>
      </c>
      <c r="L1605" s="5">
        <v>46276</v>
      </c>
      <c r="M1605" t="s">
        <v>3422</v>
      </c>
      <c r="N1605" t="s">
        <v>207</v>
      </c>
      <c r="O1605" t="s">
        <v>3668</v>
      </c>
      <c r="P1605" t="s">
        <v>208</v>
      </c>
      <c r="Q1605" t="s">
        <v>209</v>
      </c>
    </row>
    <row r="1606" spans="1:17" x14ac:dyDescent="0.3">
      <c r="A1606" t="s">
        <v>3669</v>
      </c>
      <c r="C1606" t="s">
        <v>3670</v>
      </c>
      <c r="D1606" t="s">
        <v>3670</v>
      </c>
      <c r="E1606" s="5">
        <v>46274</v>
      </c>
      <c r="F1606" t="s">
        <v>204</v>
      </c>
      <c r="G1606" t="s">
        <v>220</v>
      </c>
      <c r="H1606">
        <v>10998</v>
      </c>
      <c r="I1606">
        <v>32.99</v>
      </c>
      <c r="J1606">
        <v>5.94</v>
      </c>
      <c r="K1606">
        <v>10959.07</v>
      </c>
      <c r="L1606" s="5">
        <v>46276</v>
      </c>
      <c r="M1606" t="s">
        <v>3422</v>
      </c>
      <c r="N1606" t="s">
        <v>207</v>
      </c>
      <c r="O1606" t="s">
        <v>3670</v>
      </c>
      <c r="P1606" t="s">
        <v>208</v>
      </c>
      <c r="Q1606" t="s">
        <v>209</v>
      </c>
    </row>
    <row r="1607" spans="1:17" x14ac:dyDescent="0.3">
      <c r="A1607" t="s">
        <v>3671</v>
      </c>
      <c r="C1607" t="s">
        <v>3672</v>
      </c>
      <c r="D1607" t="s">
        <v>3673</v>
      </c>
      <c r="E1607" s="5">
        <v>46274</v>
      </c>
      <c r="F1607" t="s">
        <v>204</v>
      </c>
      <c r="G1607" t="s">
        <v>220</v>
      </c>
      <c r="H1607">
        <v>4147</v>
      </c>
      <c r="I1607">
        <v>12.44</v>
      </c>
      <c r="J1607">
        <v>2.2400000000000002</v>
      </c>
      <c r="K1607">
        <v>4132.32</v>
      </c>
      <c r="L1607" s="5">
        <v>46276</v>
      </c>
      <c r="M1607" t="s">
        <v>3422</v>
      </c>
      <c r="N1607" t="s">
        <v>207</v>
      </c>
      <c r="O1607" t="s">
        <v>3673</v>
      </c>
      <c r="P1607" t="s">
        <v>208</v>
      </c>
      <c r="Q1607" t="s">
        <v>209</v>
      </c>
    </row>
    <row r="1608" spans="1:17" x14ac:dyDescent="0.3">
      <c r="A1608" t="s">
        <v>3674</v>
      </c>
      <c r="C1608" t="s">
        <v>3675</v>
      </c>
      <c r="D1608" t="s">
        <v>3675</v>
      </c>
      <c r="E1608" s="5">
        <v>46274</v>
      </c>
      <c r="F1608" t="s">
        <v>204</v>
      </c>
      <c r="G1608" t="s">
        <v>220</v>
      </c>
      <c r="H1608">
        <v>8997</v>
      </c>
      <c r="I1608">
        <v>26.99</v>
      </c>
      <c r="J1608">
        <v>4.8600000000000003</v>
      </c>
      <c r="K1608">
        <v>8965.15</v>
      </c>
      <c r="L1608" s="5">
        <v>46276</v>
      </c>
      <c r="M1608" t="s">
        <v>3422</v>
      </c>
      <c r="N1608" t="s">
        <v>207</v>
      </c>
      <c r="O1608" t="s">
        <v>3675</v>
      </c>
      <c r="P1608" t="s">
        <v>208</v>
      </c>
      <c r="Q1608" t="s">
        <v>209</v>
      </c>
    </row>
    <row r="1609" spans="1:17" x14ac:dyDescent="0.3">
      <c r="A1609" t="s">
        <v>3676</v>
      </c>
      <c r="C1609" t="s">
        <v>3677</v>
      </c>
      <c r="D1609" t="s">
        <v>3677</v>
      </c>
      <c r="E1609" s="5">
        <v>46274</v>
      </c>
      <c r="F1609" t="s">
        <v>204</v>
      </c>
      <c r="G1609" t="s">
        <v>213</v>
      </c>
      <c r="H1609">
        <v>2147</v>
      </c>
      <c r="I1609">
        <v>34.35</v>
      </c>
      <c r="J1609">
        <v>6.18</v>
      </c>
      <c r="K1609">
        <v>2106.4699999999998</v>
      </c>
      <c r="L1609" s="5">
        <v>46276</v>
      </c>
      <c r="M1609" t="s">
        <v>3422</v>
      </c>
      <c r="N1609" t="s">
        <v>207</v>
      </c>
      <c r="O1609" t="s">
        <v>3677</v>
      </c>
      <c r="P1609" t="s">
        <v>208</v>
      </c>
      <c r="Q1609" t="s">
        <v>209</v>
      </c>
    </row>
    <row r="1610" spans="1:17" x14ac:dyDescent="0.3">
      <c r="A1610" t="s">
        <v>3678</v>
      </c>
      <c r="C1610" t="s">
        <v>3679</v>
      </c>
      <c r="D1610" t="s">
        <v>3679</v>
      </c>
      <c r="E1610" s="5">
        <v>46274</v>
      </c>
      <c r="F1610" t="s">
        <v>204</v>
      </c>
      <c r="G1610" t="s">
        <v>213</v>
      </c>
      <c r="H1610">
        <v>8298</v>
      </c>
      <c r="I1610">
        <v>132.77000000000001</v>
      </c>
      <c r="J1610">
        <v>23.9</v>
      </c>
      <c r="K1610">
        <v>8141.33</v>
      </c>
      <c r="L1610" s="5">
        <v>46276</v>
      </c>
      <c r="M1610" t="s">
        <v>3422</v>
      </c>
      <c r="N1610" t="s">
        <v>207</v>
      </c>
      <c r="O1610" t="s">
        <v>3679</v>
      </c>
      <c r="P1610" t="s">
        <v>208</v>
      </c>
      <c r="Q1610" t="s">
        <v>209</v>
      </c>
    </row>
    <row r="1611" spans="1:17" x14ac:dyDescent="0.3">
      <c r="A1611" t="s">
        <v>3680</v>
      </c>
      <c r="C1611" t="s">
        <v>3681</v>
      </c>
      <c r="D1611" t="s">
        <v>3681</v>
      </c>
      <c r="E1611" s="5">
        <v>46274</v>
      </c>
      <c r="F1611" t="s">
        <v>204</v>
      </c>
      <c r="G1611" t="s">
        <v>220</v>
      </c>
      <c r="H1611">
        <v>999</v>
      </c>
      <c r="I1611">
        <v>0</v>
      </c>
      <c r="J1611">
        <v>0</v>
      </c>
      <c r="K1611">
        <v>999</v>
      </c>
      <c r="L1611" s="5">
        <v>46276</v>
      </c>
      <c r="M1611" t="s">
        <v>3422</v>
      </c>
      <c r="N1611" t="s">
        <v>207</v>
      </c>
      <c r="O1611" t="s">
        <v>3681</v>
      </c>
      <c r="P1611" t="s">
        <v>208</v>
      </c>
      <c r="Q1611" t="s">
        <v>209</v>
      </c>
    </row>
    <row r="1612" spans="1:17" x14ac:dyDescent="0.3">
      <c r="A1612" t="s">
        <v>3682</v>
      </c>
      <c r="C1612" t="s">
        <v>3683</v>
      </c>
      <c r="D1612" t="s">
        <v>3683</v>
      </c>
      <c r="E1612" s="5">
        <v>46274</v>
      </c>
      <c r="F1612" t="s">
        <v>204</v>
      </c>
      <c r="G1612" t="s">
        <v>220</v>
      </c>
      <c r="H1612">
        <v>3598</v>
      </c>
      <c r="I1612">
        <v>10.79</v>
      </c>
      <c r="J1612">
        <v>1.94</v>
      </c>
      <c r="K1612">
        <v>3585.27</v>
      </c>
      <c r="L1612" s="5">
        <v>46276</v>
      </c>
      <c r="M1612" t="s">
        <v>3422</v>
      </c>
      <c r="N1612" t="s">
        <v>207</v>
      </c>
      <c r="O1612" t="s">
        <v>3683</v>
      </c>
      <c r="P1612" t="s">
        <v>208</v>
      </c>
      <c r="Q1612" t="s">
        <v>209</v>
      </c>
    </row>
    <row r="1613" spans="1:17" x14ac:dyDescent="0.3">
      <c r="A1613" t="s">
        <v>3684</v>
      </c>
      <c r="C1613" t="s">
        <v>3685</v>
      </c>
      <c r="D1613" t="s">
        <v>3685</v>
      </c>
      <c r="E1613" s="5">
        <v>46274</v>
      </c>
      <c r="F1613" t="s">
        <v>204</v>
      </c>
      <c r="G1613" t="s">
        <v>213</v>
      </c>
      <c r="H1613">
        <v>349</v>
      </c>
      <c r="I1613">
        <v>6.28</v>
      </c>
      <c r="J1613">
        <v>1.1299999999999999</v>
      </c>
      <c r="K1613">
        <v>341.59</v>
      </c>
      <c r="L1613" s="5">
        <v>46276</v>
      </c>
      <c r="M1613" t="s">
        <v>3422</v>
      </c>
      <c r="N1613" t="s">
        <v>207</v>
      </c>
      <c r="O1613" t="s">
        <v>3685</v>
      </c>
      <c r="P1613" t="s">
        <v>208</v>
      </c>
      <c r="Q1613" t="s">
        <v>209</v>
      </c>
    </row>
    <row r="1614" spans="1:17" x14ac:dyDescent="0.3">
      <c r="A1614" t="s">
        <v>3686</v>
      </c>
      <c r="C1614" t="s">
        <v>3687</v>
      </c>
      <c r="D1614" t="s">
        <v>3687</v>
      </c>
      <c r="E1614" s="5">
        <v>46274</v>
      </c>
      <c r="F1614" t="s">
        <v>204</v>
      </c>
      <c r="G1614" t="s">
        <v>220</v>
      </c>
      <c r="H1614">
        <v>1998</v>
      </c>
      <c r="I1614">
        <v>0</v>
      </c>
      <c r="J1614">
        <v>0</v>
      </c>
      <c r="K1614">
        <v>1998</v>
      </c>
      <c r="L1614" s="5">
        <v>46276</v>
      </c>
      <c r="M1614" t="s">
        <v>3422</v>
      </c>
      <c r="N1614" t="s">
        <v>207</v>
      </c>
      <c r="O1614" t="s">
        <v>3687</v>
      </c>
      <c r="P1614" t="s">
        <v>208</v>
      </c>
      <c r="Q1614" t="s">
        <v>209</v>
      </c>
    </row>
    <row r="1615" spans="1:17" x14ac:dyDescent="0.3">
      <c r="A1615" t="s">
        <v>3688</v>
      </c>
      <c r="C1615" t="s">
        <v>3689</v>
      </c>
      <c r="D1615" t="s">
        <v>3689</v>
      </c>
      <c r="E1615" s="5">
        <v>46274</v>
      </c>
      <c r="F1615" t="s">
        <v>204</v>
      </c>
      <c r="G1615" t="s">
        <v>213</v>
      </c>
      <c r="H1615">
        <v>8997</v>
      </c>
      <c r="I1615">
        <v>143.94999999999999</v>
      </c>
      <c r="J1615">
        <v>25.91</v>
      </c>
      <c r="K1615">
        <v>8827.14</v>
      </c>
      <c r="L1615" s="5">
        <v>46276</v>
      </c>
      <c r="M1615" t="s">
        <v>3422</v>
      </c>
      <c r="N1615" t="s">
        <v>207</v>
      </c>
      <c r="O1615" t="s">
        <v>3689</v>
      </c>
      <c r="P1615" t="s">
        <v>208</v>
      </c>
      <c r="Q1615" t="s">
        <v>209</v>
      </c>
    </row>
    <row r="1616" spans="1:17" x14ac:dyDescent="0.3">
      <c r="A1616" t="s">
        <v>3690</v>
      </c>
      <c r="C1616" t="s">
        <v>3691</v>
      </c>
      <c r="D1616" t="s">
        <v>3692</v>
      </c>
      <c r="E1616" s="5">
        <v>46274</v>
      </c>
      <c r="F1616" t="s">
        <v>204</v>
      </c>
      <c r="G1616" t="s">
        <v>205</v>
      </c>
      <c r="H1616">
        <v>1299</v>
      </c>
      <c r="I1616">
        <v>24.68</v>
      </c>
      <c r="J1616">
        <v>4.4400000000000004</v>
      </c>
      <c r="K1616">
        <v>1269.8800000000001</v>
      </c>
      <c r="L1616" s="5">
        <v>46276</v>
      </c>
      <c r="M1616" t="s">
        <v>3422</v>
      </c>
      <c r="N1616" t="s">
        <v>207</v>
      </c>
      <c r="O1616" t="s">
        <v>3692</v>
      </c>
      <c r="P1616" t="s">
        <v>208</v>
      </c>
      <c r="Q1616" t="s">
        <v>209</v>
      </c>
    </row>
    <row r="1617" spans="1:17" x14ac:dyDescent="0.3">
      <c r="A1617" t="s">
        <v>3693</v>
      </c>
      <c r="C1617" t="s">
        <v>3694</v>
      </c>
      <c r="D1617" t="s">
        <v>3694</v>
      </c>
      <c r="E1617" s="5">
        <v>46274</v>
      </c>
      <c r="F1617" t="s">
        <v>204</v>
      </c>
      <c r="G1617" t="s">
        <v>220</v>
      </c>
      <c r="H1617">
        <v>499</v>
      </c>
      <c r="I1617">
        <v>0</v>
      </c>
      <c r="J1617">
        <v>0</v>
      </c>
      <c r="K1617">
        <v>499</v>
      </c>
      <c r="L1617" s="5">
        <v>46276</v>
      </c>
      <c r="M1617" t="s">
        <v>3422</v>
      </c>
      <c r="N1617" t="s">
        <v>207</v>
      </c>
      <c r="O1617" t="s">
        <v>3694</v>
      </c>
      <c r="P1617" t="s">
        <v>208</v>
      </c>
      <c r="Q1617" t="s">
        <v>209</v>
      </c>
    </row>
    <row r="1618" spans="1:17" x14ac:dyDescent="0.3">
      <c r="A1618" t="s">
        <v>3695</v>
      </c>
      <c r="C1618" t="s">
        <v>3696</v>
      </c>
      <c r="D1618" t="s">
        <v>3696</v>
      </c>
      <c r="E1618" s="5">
        <v>46274</v>
      </c>
      <c r="F1618" t="s">
        <v>204</v>
      </c>
      <c r="G1618" t="s">
        <v>220</v>
      </c>
      <c r="H1618">
        <v>6498</v>
      </c>
      <c r="I1618">
        <v>19.489999999999998</v>
      </c>
      <c r="J1618">
        <v>3.51</v>
      </c>
      <c r="K1618">
        <v>6475</v>
      </c>
      <c r="L1618" s="5">
        <v>46276</v>
      </c>
      <c r="M1618" t="s">
        <v>3422</v>
      </c>
      <c r="N1618" t="s">
        <v>207</v>
      </c>
      <c r="O1618" t="s">
        <v>3696</v>
      </c>
      <c r="P1618" t="s">
        <v>208</v>
      </c>
      <c r="Q1618" t="s">
        <v>209</v>
      </c>
    </row>
    <row r="1619" spans="1:17" x14ac:dyDescent="0.3">
      <c r="A1619" t="s">
        <v>3697</v>
      </c>
      <c r="C1619" t="s">
        <v>3698</v>
      </c>
      <c r="D1619" t="s">
        <v>3698</v>
      </c>
      <c r="E1619" s="5">
        <v>46274</v>
      </c>
      <c r="F1619" t="s">
        <v>204</v>
      </c>
      <c r="G1619" t="s">
        <v>220</v>
      </c>
      <c r="H1619">
        <v>1299</v>
      </c>
      <c r="I1619">
        <v>0</v>
      </c>
      <c r="J1619">
        <v>0</v>
      </c>
      <c r="K1619">
        <v>1299</v>
      </c>
      <c r="L1619" s="5">
        <v>46276</v>
      </c>
      <c r="M1619" t="s">
        <v>3422</v>
      </c>
      <c r="N1619" t="s">
        <v>207</v>
      </c>
      <c r="O1619" t="s">
        <v>3698</v>
      </c>
      <c r="P1619" t="s">
        <v>208</v>
      </c>
      <c r="Q1619" t="s">
        <v>209</v>
      </c>
    </row>
    <row r="1620" spans="1:17" x14ac:dyDescent="0.3">
      <c r="A1620" t="s">
        <v>3699</v>
      </c>
      <c r="C1620" t="s">
        <v>3700</v>
      </c>
      <c r="D1620" t="s">
        <v>3700</v>
      </c>
      <c r="E1620" s="5">
        <v>46274</v>
      </c>
      <c r="F1620" t="s">
        <v>204</v>
      </c>
      <c r="G1620" t="s">
        <v>220</v>
      </c>
      <c r="H1620">
        <v>799</v>
      </c>
      <c r="I1620">
        <v>0</v>
      </c>
      <c r="J1620">
        <v>0</v>
      </c>
      <c r="K1620">
        <v>799</v>
      </c>
      <c r="L1620" s="5">
        <v>46276</v>
      </c>
      <c r="M1620" t="s">
        <v>3422</v>
      </c>
      <c r="N1620" t="s">
        <v>207</v>
      </c>
      <c r="O1620" t="s">
        <v>3700</v>
      </c>
      <c r="P1620" t="s">
        <v>208</v>
      </c>
      <c r="Q1620" t="s">
        <v>209</v>
      </c>
    </row>
    <row r="1621" spans="1:17" x14ac:dyDescent="0.3">
      <c r="A1621" t="s">
        <v>3701</v>
      </c>
      <c r="C1621" t="s">
        <v>3702</v>
      </c>
      <c r="D1621" t="s">
        <v>3702</v>
      </c>
      <c r="E1621" s="5">
        <v>46274</v>
      </c>
      <c r="F1621" t="s">
        <v>204</v>
      </c>
      <c r="G1621" t="s">
        <v>220</v>
      </c>
      <c r="H1621">
        <v>1598</v>
      </c>
      <c r="I1621">
        <v>0</v>
      </c>
      <c r="J1621">
        <v>0</v>
      </c>
      <c r="K1621">
        <v>1598</v>
      </c>
      <c r="L1621" s="5">
        <v>46276</v>
      </c>
      <c r="M1621" t="s">
        <v>3422</v>
      </c>
      <c r="N1621" t="s">
        <v>207</v>
      </c>
      <c r="O1621" t="s">
        <v>3702</v>
      </c>
      <c r="P1621" t="s">
        <v>208</v>
      </c>
      <c r="Q1621" t="s">
        <v>209</v>
      </c>
    </row>
    <row r="1622" spans="1:17" x14ac:dyDescent="0.3">
      <c r="A1622" t="s">
        <v>3703</v>
      </c>
      <c r="C1622" t="s">
        <v>3704</v>
      </c>
      <c r="D1622" t="s">
        <v>3704</v>
      </c>
      <c r="E1622" s="5">
        <v>46274</v>
      </c>
      <c r="F1622" t="s">
        <v>204</v>
      </c>
      <c r="G1622" t="s">
        <v>205</v>
      </c>
      <c r="H1622">
        <v>3298</v>
      </c>
      <c r="I1622">
        <v>56.07</v>
      </c>
      <c r="J1622">
        <v>10.09</v>
      </c>
      <c r="K1622">
        <v>3231.84</v>
      </c>
      <c r="L1622" s="5">
        <v>46276</v>
      </c>
      <c r="M1622" t="s">
        <v>3422</v>
      </c>
      <c r="N1622" t="s">
        <v>207</v>
      </c>
      <c r="O1622" t="s">
        <v>3704</v>
      </c>
      <c r="P1622" t="s">
        <v>208</v>
      </c>
      <c r="Q1622" t="s">
        <v>209</v>
      </c>
    </row>
    <row r="1623" spans="1:17" x14ac:dyDescent="0.3">
      <c r="A1623" t="s">
        <v>3705</v>
      </c>
      <c r="C1623" t="s">
        <v>3706</v>
      </c>
      <c r="D1623" t="s">
        <v>3706</v>
      </c>
      <c r="E1623" s="5">
        <v>46274</v>
      </c>
      <c r="F1623" t="s">
        <v>204</v>
      </c>
      <c r="G1623" t="s">
        <v>205</v>
      </c>
      <c r="H1623">
        <v>7498</v>
      </c>
      <c r="I1623">
        <v>127.47</v>
      </c>
      <c r="J1623">
        <v>22.94</v>
      </c>
      <c r="K1623">
        <v>7347.59</v>
      </c>
      <c r="L1623" s="5">
        <v>46276</v>
      </c>
      <c r="M1623" t="s">
        <v>3422</v>
      </c>
      <c r="N1623" t="s">
        <v>207</v>
      </c>
      <c r="O1623" t="s">
        <v>3706</v>
      </c>
      <c r="P1623" t="s">
        <v>208</v>
      </c>
      <c r="Q1623" t="s">
        <v>209</v>
      </c>
    </row>
    <row r="1624" spans="1:17" x14ac:dyDescent="0.3">
      <c r="A1624" t="s">
        <v>3707</v>
      </c>
      <c r="C1624" t="s">
        <v>3708</v>
      </c>
      <c r="D1624" t="s">
        <v>3709</v>
      </c>
      <c r="E1624" s="5">
        <v>46274</v>
      </c>
      <c r="F1624" t="s">
        <v>204</v>
      </c>
      <c r="G1624" t="s">
        <v>220</v>
      </c>
      <c r="H1624">
        <v>3499</v>
      </c>
      <c r="I1624">
        <v>10.5</v>
      </c>
      <c r="J1624">
        <v>1.89</v>
      </c>
      <c r="K1624">
        <v>3486.61</v>
      </c>
      <c r="L1624" s="5">
        <v>46276</v>
      </c>
      <c r="M1624" t="s">
        <v>3422</v>
      </c>
      <c r="N1624" t="s">
        <v>207</v>
      </c>
      <c r="O1624" t="s">
        <v>3709</v>
      </c>
      <c r="P1624" t="s">
        <v>208</v>
      </c>
      <c r="Q1624" t="s">
        <v>209</v>
      </c>
    </row>
    <row r="1625" spans="1:17" x14ac:dyDescent="0.3">
      <c r="A1625" t="s">
        <v>3710</v>
      </c>
      <c r="C1625" t="s">
        <v>3711</v>
      </c>
      <c r="D1625" t="s">
        <v>3712</v>
      </c>
      <c r="E1625" s="5">
        <v>46274</v>
      </c>
      <c r="F1625" t="s">
        <v>204</v>
      </c>
      <c r="G1625" t="s">
        <v>213</v>
      </c>
      <c r="H1625">
        <v>8298</v>
      </c>
      <c r="I1625">
        <v>132.77000000000001</v>
      </c>
      <c r="J1625">
        <v>23.9</v>
      </c>
      <c r="K1625">
        <v>8141.33</v>
      </c>
      <c r="L1625" s="5">
        <v>46276</v>
      </c>
      <c r="M1625" t="s">
        <v>3422</v>
      </c>
      <c r="N1625" t="s">
        <v>207</v>
      </c>
      <c r="O1625" t="s">
        <v>3712</v>
      </c>
      <c r="P1625" t="s">
        <v>208</v>
      </c>
      <c r="Q1625" t="s">
        <v>209</v>
      </c>
    </row>
    <row r="1626" spans="1:17" x14ac:dyDescent="0.3">
      <c r="A1626" t="s">
        <v>3713</v>
      </c>
      <c r="C1626" t="s">
        <v>3714</v>
      </c>
      <c r="D1626" t="s">
        <v>3714</v>
      </c>
      <c r="E1626" s="5">
        <v>46274</v>
      </c>
      <c r="F1626" t="s">
        <v>204</v>
      </c>
      <c r="G1626" t="s">
        <v>220</v>
      </c>
      <c r="H1626">
        <v>9797</v>
      </c>
      <c r="I1626">
        <v>29.39</v>
      </c>
      <c r="J1626">
        <v>5.29</v>
      </c>
      <c r="K1626">
        <v>9762.32</v>
      </c>
      <c r="L1626" s="5">
        <v>46276</v>
      </c>
      <c r="M1626" t="s">
        <v>3422</v>
      </c>
      <c r="N1626" t="s">
        <v>207</v>
      </c>
      <c r="O1626" t="s">
        <v>3714</v>
      </c>
      <c r="P1626" t="s">
        <v>208</v>
      </c>
      <c r="Q1626" t="s">
        <v>209</v>
      </c>
    </row>
    <row r="1627" spans="1:17" x14ac:dyDescent="0.3">
      <c r="A1627" t="s">
        <v>3715</v>
      </c>
      <c r="C1627" t="s">
        <v>3716</v>
      </c>
      <c r="D1627" t="s">
        <v>3716</v>
      </c>
      <c r="E1627" s="5">
        <v>46274</v>
      </c>
      <c r="F1627" t="s">
        <v>204</v>
      </c>
      <c r="G1627" t="s">
        <v>220</v>
      </c>
      <c r="H1627">
        <v>898</v>
      </c>
      <c r="I1627">
        <v>0</v>
      </c>
      <c r="J1627">
        <v>0</v>
      </c>
      <c r="K1627">
        <v>898</v>
      </c>
      <c r="L1627" s="5">
        <v>46276</v>
      </c>
      <c r="M1627" t="s">
        <v>3422</v>
      </c>
      <c r="N1627" t="s">
        <v>207</v>
      </c>
      <c r="O1627" t="s">
        <v>3716</v>
      </c>
      <c r="P1627" t="s">
        <v>208</v>
      </c>
      <c r="Q1627" t="s">
        <v>209</v>
      </c>
    </row>
    <row r="1628" spans="1:17" x14ac:dyDescent="0.3">
      <c r="A1628" t="s">
        <v>3717</v>
      </c>
      <c r="C1628" t="s">
        <v>3718</v>
      </c>
      <c r="D1628" t="s">
        <v>3718</v>
      </c>
      <c r="E1628" s="5">
        <v>46274</v>
      </c>
      <c r="F1628" t="s">
        <v>204</v>
      </c>
      <c r="G1628" t="s">
        <v>220</v>
      </c>
      <c r="H1628">
        <v>1499</v>
      </c>
      <c r="I1628">
        <v>0</v>
      </c>
      <c r="J1628">
        <v>0</v>
      </c>
      <c r="K1628">
        <v>1499</v>
      </c>
      <c r="L1628" s="5">
        <v>46276</v>
      </c>
      <c r="M1628" t="s">
        <v>3422</v>
      </c>
      <c r="N1628" t="s">
        <v>207</v>
      </c>
      <c r="O1628" t="s">
        <v>3718</v>
      </c>
      <c r="P1628" t="s">
        <v>208</v>
      </c>
      <c r="Q1628" t="s">
        <v>209</v>
      </c>
    </row>
    <row r="1629" spans="1:17" x14ac:dyDescent="0.3">
      <c r="A1629" t="s">
        <v>3719</v>
      </c>
      <c r="C1629" t="s">
        <v>3720</v>
      </c>
      <c r="D1629" t="s">
        <v>3721</v>
      </c>
      <c r="E1629" s="5">
        <v>46274</v>
      </c>
      <c r="F1629" t="s">
        <v>204</v>
      </c>
      <c r="G1629" t="s">
        <v>255</v>
      </c>
      <c r="H1629">
        <v>10498</v>
      </c>
      <c r="I1629">
        <v>94.48</v>
      </c>
      <c r="J1629">
        <v>17.010000000000002</v>
      </c>
      <c r="K1629">
        <v>10386.51</v>
      </c>
      <c r="L1629" s="5">
        <v>46276</v>
      </c>
      <c r="M1629" t="s">
        <v>3422</v>
      </c>
      <c r="N1629" t="s">
        <v>207</v>
      </c>
      <c r="O1629" t="s">
        <v>3721</v>
      </c>
      <c r="P1629" t="s">
        <v>208</v>
      </c>
      <c r="Q1629" t="s">
        <v>209</v>
      </c>
    </row>
    <row r="1630" spans="1:17" x14ac:dyDescent="0.3">
      <c r="A1630" t="s">
        <v>3722</v>
      </c>
      <c r="C1630" t="s">
        <v>3723</v>
      </c>
      <c r="D1630" t="s">
        <v>3723</v>
      </c>
      <c r="E1630" s="5">
        <v>46274</v>
      </c>
      <c r="F1630" t="s">
        <v>204</v>
      </c>
      <c r="G1630" t="s">
        <v>220</v>
      </c>
      <c r="H1630">
        <v>6298</v>
      </c>
      <c r="I1630">
        <v>18.89</v>
      </c>
      <c r="J1630">
        <v>3.4</v>
      </c>
      <c r="K1630">
        <v>6275.71</v>
      </c>
      <c r="L1630" s="5">
        <v>46276</v>
      </c>
      <c r="M1630" t="s">
        <v>3422</v>
      </c>
      <c r="N1630" t="s">
        <v>207</v>
      </c>
      <c r="O1630" t="s">
        <v>3723</v>
      </c>
      <c r="P1630" t="s">
        <v>208</v>
      </c>
      <c r="Q1630" t="s">
        <v>209</v>
      </c>
    </row>
    <row r="1631" spans="1:17" x14ac:dyDescent="0.3">
      <c r="A1631" t="s">
        <v>3724</v>
      </c>
      <c r="C1631" t="s">
        <v>3725</v>
      </c>
      <c r="D1631" t="s">
        <v>3725</v>
      </c>
      <c r="E1631" s="5">
        <v>46274</v>
      </c>
      <c r="F1631" t="s">
        <v>204</v>
      </c>
      <c r="G1631" t="s">
        <v>220</v>
      </c>
      <c r="H1631">
        <v>1499</v>
      </c>
      <c r="I1631">
        <v>0</v>
      </c>
      <c r="J1631">
        <v>0</v>
      </c>
      <c r="K1631">
        <v>1499</v>
      </c>
      <c r="L1631" s="5">
        <v>46276</v>
      </c>
      <c r="M1631" t="s">
        <v>3422</v>
      </c>
      <c r="N1631" t="s">
        <v>207</v>
      </c>
      <c r="O1631" t="s">
        <v>3725</v>
      </c>
      <c r="P1631" t="s">
        <v>208</v>
      </c>
      <c r="Q1631" t="s">
        <v>209</v>
      </c>
    </row>
    <row r="1632" spans="1:17" x14ac:dyDescent="0.3">
      <c r="A1632" t="s">
        <v>3726</v>
      </c>
      <c r="C1632" t="s">
        <v>3727</v>
      </c>
      <c r="D1632" t="s">
        <v>3727</v>
      </c>
      <c r="E1632" s="5">
        <v>46274</v>
      </c>
      <c r="F1632" t="s">
        <v>204</v>
      </c>
      <c r="G1632" t="s">
        <v>220</v>
      </c>
      <c r="H1632">
        <v>1499</v>
      </c>
      <c r="I1632">
        <v>0</v>
      </c>
      <c r="J1632">
        <v>0</v>
      </c>
      <c r="K1632">
        <v>1499</v>
      </c>
      <c r="L1632" s="5">
        <v>46276</v>
      </c>
      <c r="M1632" t="s">
        <v>3422</v>
      </c>
      <c r="N1632" t="s">
        <v>207</v>
      </c>
      <c r="O1632" t="s">
        <v>3727</v>
      </c>
      <c r="P1632" t="s">
        <v>208</v>
      </c>
      <c r="Q1632" t="s">
        <v>209</v>
      </c>
    </row>
    <row r="1633" spans="1:17" x14ac:dyDescent="0.3">
      <c r="A1633" t="s">
        <v>3728</v>
      </c>
      <c r="C1633" t="s">
        <v>3729</v>
      </c>
      <c r="D1633" t="s">
        <v>3729</v>
      </c>
      <c r="E1633" s="5">
        <v>46274</v>
      </c>
      <c r="F1633" t="s">
        <v>204</v>
      </c>
      <c r="G1633" t="s">
        <v>220</v>
      </c>
      <c r="H1633">
        <v>1848</v>
      </c>
      <c r="I1633">
        <v>0</v>
      </c>
      <c r="J1633">
        <v>0</v>
      </c>
      <c r="K1633">
        <v>1848</v>
      </c>
      <c r="L1633" s="5">
        <v>46276</v>
      </c>
      <c r="M1633" t="s">
        <v>3422</v>
      </c>
      <c r="N1633" t="s">
        <v>207</v>
      </c>
      <c r="O1633" t="s">
        <v>3729</v>
      </c>
      <c r="P1633" t="s">
        <v>208</v>
      </c>
      <c r="Q1633" t="s">
        <v>209</v>
      </c>
    </row>
    <row r="1634" spans="1:17" x14ac:dyDescent="0.3">
      <c r="A1634" t="s">
        <v>3730</v>
      </c>
      <c r="C1634" t="s">
        <v>3731</v>
      </c>
      <c r="D1634" t="s">
        <v>3731</v>
      </c>
      <c r="E1634" s="5">
        <v>46274</v>
      </c>
      <c r="F1634" t="s">
        <v>204</v>
      </c>
      <c r="G1634" t="s">
        <v>205</v>
      </c>
      <c r="H1634">
        <v>599</v>
      </c>
      <c r="I1634">
        <v>11.38</v>
      </c>
      <c r="J1634">
        <v>2.0499999999999998</v>
      </c>
      <c r="K1634">
        <v>585.57000000000005</v>
      </c>
      <c r="L1634" s="5">
        <v>46276</v>
      </c>
      <c r="M1634" t="s">
        <v>3422</v>
      </c>
      <c r="N1634" t="s">
        <v>207</v>
      </c>
      <c r="O1634" t="s">
        <v>3731</v>
      </c>
      <c r="P1634" t="s">
        <v>208</v>
      </c>
      <c r="Q1634" t="s">
        <v>209</v>
      </c>
    </row>
    <row r="1635" spans="1:17" x14ac:dyDescent="0.3">
      <c r="A1635" t="s">
        <v>3732</v>
      </c>
      <c r="C1635" t="s">
        <v>3733</v>
      </c>
      <c r="D1635" t="s">
        <v>3734</v>
      </c>
      <c r="E1635" s="5">
        <v>46274</v>
      </c>
      <c r="F1635" t="s">
        <v>204</v>
      </c>
      <c r="G1635" t="s">
        <v>213</v>
      </c>
      <c r="H1635">
        <v>4297</v>
      </c>
      <c r="I1635">
        <v>68.75</v>
      </c>
      <c r="J1635">
        <v>12.38</v>
      </c>
      <c r="K1635">
        <v>4215.87</v>
      </c>
      <c r="L1635" s="5">
        <v>46276</v>
      </c>
      <c r="M1635" t="s">
        <v>3422</v>
      </c>
      <c r="N1635" t="s">
        <v>207</v>
      </c>
      <c r="O1635" t="s">
        <v>3734</v>
      </c>
      <c r="P1635" t="s">
        <v>208</v>
      </c>
      <c r="Q1635" t="s">
        <v>209</v>
      </c>
    </row>
    <row r="1636" spans="1:17" x14ac:dyDescent="0.3">
      <c r="A1636" t="s">
        <v>3735</v>
      </c>
      <c r="C1636" t="s">
        <v>3736</v>
      </c>
      <c r="D1636" t="s">
        <v>3736</v>
      </c>
      <c r="E1636" s="5">
        <v>46274</v>
      </c>
      <c r="F1636" t="s">
        <v>204</v>
      </c>
      <c r="G1636" t="s">
        <v>213</v>
      </c>
      <c r="H1636">
        <v>4999</v>
      </c>
      <c r="I1636">
        <v>79.98</v>
      </c>
      <c r="J1636">
        <v>14.4</v>
      </c>
      <c r="K1636">
        <v>4904.62</v>
      </c>
      <c r="L1636" s="5">
        <v>46276</v>
      </c>
      <c r="M1636" t="s">
        <v>3422</v>
      </c>
      <c r="N1636" t="s">
        <v>207</v>
      </c>
      <c r="O1636" t="s">
        <v>3736</v>
      </c>
      <c r="P1636" t="s">
        <v>208</v>
      </c>
      <c r="Q1636" t="s">
        <v>209</v>
      </c>
    </row>
    <row r="1637" spans="1:17" x14ac:dyDescent="0.3">
      <c r="A1637" t="s">
        <v>3737</v>
      </c>
      <c r="C1637" t="s">
        <v>3738</v>
      </c>
      <c r="D1637" t="s">
        <v>3738</v>
      </c>
      <c r="E1637" s="5">
        <v>46274</v>
      </c>
      <c r="F1637" t="s">
        <v>204</v>
      </c>
      <c r="G1637" t="s">
        <v>220</v>
      </c>
      <c r="H1637">
        <v>4798</v>
      </c>
      <c r="I1637">
        <v>14.39</v>
      </c>
      <c r="J1637">
        <v>2.59</v>
      </c>
      <c r="K1637">
        <v>4781.0200000000004</v>
      </c>
      <c r="L1637" s="5">
        <v>46276</v>
      </c>
      <c r="M1637" t="s">
        <v>3422</v>
      </c>
      <c r="N1637" t="s">
        <v>207</v>
      </c>
      <c r="O1637" t="s">
        <v>3738</v>
      </c>
      <c r="P1637" t="s">
        <v>208</v>
      </c>
      <c r="Q1637" t="s">
        <v>209</v>
      </c>
    </row>
    <row r="1638" spans="1:17" x14ac:dyDescent="0.3">
      <c r="A1638" t="s">
        <v>3739</v>
      </c>
      <c r="C1638" t="s">
        <v>3740</v>
      </c>
      <c r="D1638" t="s">
        <v>3740</v>
      </c>
      <c r="E1638" s="5">
        <v>46274</v>
      </c>
      <c r="F1638" t="s">
        <v>204</v>
      </c>
      <c r="G1638" t="s">
        <v>255</v>
      </c>
      <c r="H1638">
        <v>599</v>
      </c>
      <c r="I1638">
        <v>8.99</v>
      </c>
      <c r="J1638">
        <v>1.62</v>
      </c>
      <c r="K1638">
        <v>588.39</v>
      </c>
      <c r="L1638" s="5">
        <v>46276</v>
      </c>
      <c r="M1638" t="s">
        <v>3422</v>
      </c>
      <c r="N1638" t="s">
        <v>207</v>
      </c>
      <c r="O1638" t="s">
        <v>3740</v>
      </c>
      <c r="P1638" t="s">
        <v>208</v>
      </c>
      <c r="Q1638" t="s">
        <v>209</v>
      </c>
    </row>
    <row r="1639" spans="1:17" x14ac:dyDescent="0.3">
      <c r="A1639" t="s">
        <v>3741</v>
      </c>
      <c r="C1639" t="s">
        <v>3742</v>
      </c>
      <c r="D1639" t="s">
        <v>3742</v>
      </c>
      <c r="E1639" s="5">
        <v>46274</v>
      </c>
      <c r="F1639" t="s">
        <v>204</v>
      </c>
      <c r="G1639" t="s">
        <v>220</v>
      </c>
      <c r="H1639">
        <v>3499</v>
      </c>
      <c r="I1639">
        <v>10.5</v>
      </c>
      <c r="J1639">
        <v>1.89</v>
      </c>
      <c r="K1639">
        <v>3486.61</v>
      </c>
      <c r="L1639" s="5">
        <v>46276</v>
      </c>
      <c r="M1639" t="s">
        <v>3422</v>
      </c>
      <c r="N1639" t="s">
        <v>207</v>
      </c>
      <c r="O1639" t="s">
        <v>3742</v>
      </c>
      <c r="P1639" t="s">
        <v>208</v>
      </c>
      <c r="Q1639" t="s">
        <v>209</v>
      </c>
    </row>
    <row r="1640" spans="1:17" x14ac:dyDescent="0.3">
      <c r="A1640" t="s">
        <v>3743</v>
      </c>
      <c r="C1640" t="s">
        <v>3744</v>
      </c>
      <c r="D1640" t="s">
        <v>3744</v>
      </c>
      <c r="E1640" s="5">
        <v>46274</v>
      </c>
      <c r="F1640" t="s">
        <v>204</v>
      </c>
      <c r="G1640" t="s">
        <v>213</v>
      </c>
      <c r="H1640">
        <v>799</v>
      </c>
      <c r="I1640">
        <v>14.38</v>
      </c>
      <c r="J1640">
        <v>2.59</v>
      </c>
      <c r="K1640">
        <v>782.03</v>
      </c>
      <c r="L1640" s="5">
        <v>46276</v>
      </c>
      <c r="M1640" t="s">
        <v>3422</v>
      </c>
      <c r="N1640" t="s">
        <v>207</v>
      </c>
      <c r="O1640" t="s">
        <v>3744</v>
      </c>
      <c r="P1640" t="s">
        <v>208</v>
      </c>
      <c r="Q1640" t="s">
        <v>209</v>
      </c>
    </row>
    <row r="1641" spans="1:17" x14ac:dyDescent="0.3">
      <c r="A1641" t="s">
        <v>3745</v>
      </c>
      <c r="C1641" t="s">
        <v>3746</v>
      </c>
      <c r="D1641" t="s">
        <v>3746</v>
      </c>
      <c r="E1641" s="5">
        <v>46274</v>
      </c>
      <c r="F1641" t="s">
        <v>204</v>
      </c>
      <c r="G1641" t="s">
        <v>213</v>
      </c>
      <c r="H1641">
        <v>499</v>
      </c>
      <c r="I1641">
        <v>8.98</v>
      </c>
      <c r="J1641">
        <v>1.62</v>
      </c>
      <c r="K1641">
        <v>488.4</v>
      </c>
      <c r="L1641" s="5">
        <v>46276</v>
      </c>
      <c r="M1641" t="s">
        <v>3422</v>
      </c>
      <c r="N1641" t="s">
        <v>207</v>
      </c>
      <c r="O1641" t="s">
        <v>3746</v>
      </c>
      <c r="P1641" t="s">
        <v>208</v>
      </c>
      <c r="Q1641" t="s">
        <v>209</v>
      </c>
    </row>
    <row r="1642" spans="1:17" x14ac:dyDescent="0.3">
      <c r="A1642" t="s">
        <v>3747</v>
      </c>
      <c r="C1642" t="s">
        <v>3748</v>
      </c>
      <c r="D1642" t="s">
        <v>3748</v>
      </c>
      <c r="E1642" s="5">
        <v>46274</v>
      </c>
      <c r="F1642" t="s">
        <v>204</v>
      </c>
      <c r="G1642" t="s">
        <v>205</v>
      </c>
      <c r="H1642">
        <v>599</v>
      </c>
      <c r="I1642">
        <v>11.38</v>
      </c>
      <c r="J1642">
        <v>2.0499999999999998</v>
      </c>
      <c r="K1642">
        <v>585.57000000000005</v>
      </c>
      <c r="L1642" s="5">
        <v>46276</v>
      </c>
      <c r="M1642" t="s">
        <v>3422</v>
      </c>
      <c r="N1642" t="s">
        <v>207</v>
      </c>
      <c r="O1642" t="s">
        <v>3748</v>
      </c>
      <c r="P1642" t="s">
        <v>208</v>
      </c>
      <c r="Q1642" t="s">
        <v>209</v>
      </c>
    </row>
    <row r="1643" spans="1:17" x14ac:dyDescent="0.3">
      <c r="A1643" t="s">
        <v>3749</v>
      </c>
      <c r="C1643" t="s">
        <v>3750</v>
      </c>
      <c r="D1643" t="s">
        <v>3750</v>
      </c>
      <c r="E1643" s="5">
        <v>46274</v>
      </c>
      <c r="F1643" t="s">
        <v>204</v>
      </c>
      <c r="G1643" t="s">
        <v>255</v>
      </c>
      <c r="H1643">
        <v>599</v>
      </c>
      <c r="I1643">
        <v>8.99</v>
      </c>
      <c r="J1643">
        <v>1.62</v>
      </c>
      <c r="K1643">
        <v>588.39</v>
      </c>
      <c r="L1643" s="5">
        <v>46276</v>
      </c>
      <c r="M1643" t="s">
        <v>3422</v>
      </c>
      <c r="N1643" t="s">
        <v>207</v>
      </c>
      <c r="O1643" t="s">
        <v>3750</v>
      </c>
      <c r="P1643" t="s">
        <v>208</v>
      </c>
      <c r="Q1643" t="s">
        <v>209</v>
      </c>
    </row>
    <row r="1644" spans="1:17" x14ac:dyDescent="0.3">
      <c r="A1644" t="s">
        <v>3751</v>
      </c>
      <c r="C1644" t="s">
        <v>3752</v>
      </c>
      <c r="D1644" t="s">
        <v>3753</v>
      </c>
      <c r="E1644" s="5">
        <v>46274</v>
      </c>
      <c r="F1644" t="s">
        <v>204</v>
      </c>
      <c r="G1644" t="s">
        <v>213</v>
      </c>
      <c r="H1644">
        <v>2497</v>
      </c>
      <c r="I1644">
        <v>39.950000000000003</v>
      </c>
      <c r="J1644">
        <v>7.19</v>
      </c>
      <c r="K1644">
        <v>2449.86</v>
      </c>
      <c r="L1644" s="5">
        <v>46276</v>
      </c>
      <c r="M1644" t="s">
        <v>3422</v>
      </c>
      <c r="N1644" t="s">
        <v>207</v>
      </c>
      <c r="O1644" t="s">
        <v>3753</v>
      </c>
      <c r="P1644" t="s">
        <v>208</v>
      </c>
      <c r="Q1644" t="s">
        <v>209</v>
      </c>
    </row>
    <row r="1645" spans="1:17" x14ac:dyDescent="0.3">
      <c r="A1645" t="s">
        <v>3754</v>
      </c>
      <c r="C1645" t="s">
        <v>3755</v>
      </c>
      <c r="D1645" t="s">
        <v>3755</v>
      </c>
      <c r="E1645" s="5">
        <v>46274</v>
      </c>
      <c r="F1645" t="s">
        <v>204</v>
      </c>
      <c r="G1645" t="s">
        <v>220</v>
      </c>
      <c r="H1645">
        <v>798</v>
      </c>
      <c r="I1645">
        <v>0</v>
      </c>
      <c r="J1645">
        <v>0</v>
      </c>
      <c r="K1645">
        <v>798</v>
      </c>
      <c r="L1645" s="5">
        <v>46276</v>
      </c>
      <c r="M1645" t="s">
        <v>3422</v>
      </c>
      <c r="N1645" t="s">
        <v>207</v>
      </c>
      <c r="O1645" t="s">
        <v>3755</v>
      </c>
      <c r="P1645" t="s">
        <v>208</v>
      </c>
      <c r="Q1645" t="s">
        <v>209</v>
      </c>
    </row>
    <row r="1646" spans="1:17" x14ac:dyDescent="0.3">
      <c r="A1646" t="s">
        <v>3756</v>
      </c>
      <c r="C1646" t="s">
        <v>3757</v>
      </c>
      <c r="D1646" t="s">
        <v>3757</v>
      </c>
      <c r="E1646" s="5">
        <v>46274</v>
      </c>
      <c r="F1646" t="s">
        <v>204</v>
      </c>
      <c r="G1646" t="s">
        <v>220</v>
      </c>
      <c r="H1646">
        <v>5797</v>
      </c>
      <c r="I1646">
        <v>17.39</v>
      </c>
      <c r="J1646">
        <v>3.13</v>
      </c>
      <c r="K1646">
        <v>5776.48</v>
      </c>
      <c r="L1646" s="5">
        <v>46276</v>
      </c>
      <c r="M1646" t="s">
        <v>3422</v>
      </c>
      <c r="N1646" t="s">
        <v>207</v>
      </c>
      <c r="O1646" t="s">
        <v>3757</v>
      </c>
      <c r="P1646" t="s">
        <v>208</v>
      </c>
      <c r="Q1646" t="s">
        <v>209</v>
      </c>
    </row>
    <row r="1647" spans="1:17" x14ac:dyDescent="0.3">
      <c r="A1647" t="s">
        <v>3758</v>
      </c>
      <c r="C1647" t="s">
        <v>3759</v>
      </c>
      <c r="D1647" t="s">
        <v>3759</v>
      </c>
      <c r="E1647" s="5">
        <v>46274</v>
      </c>
      <c r="F1647" t="s">
        <v>204</v>
      </c>
      <c r="G1647" t="s">
        <v>220</v>
      </c>
      <c r="H1647">
        <v>6997</v>
      </c>
      <c r="I1647">
        <v>20.99</v>
      </c>
      <c r="J1647">
        <v>3.78</v>
      </c>
      <c r="K1647">
        <v>6972.23</v>
      </c>
      <c r="L1647" s="5">
        <v>46276</v>
      </c>
      <c r="M1647" t="s">
        <v>3422</v>
      </c>
      <c r="N1647" t="s">
        <v>207</v>
      </c>
      <c r="O1647" t="s">
        <v>3759</v>
      </c>
      <c r="P1647" t="s">
        <v>208</v>
      </c>
      <c r="Q1647" t="s">
        <v>209</v>
      </c>
    </row>
    <row r="1648" spans="1:17" x14ac:dyDescent="0.3">
      <c r="A1648" t="s">
        <v>3760</v>
      </c>
      <c r="C1648" t="s">
        <v>3761</v>
      </c>
      <c r="D1648" t="s">
        <v>3761</v>
      </c>
      <c r="E1648" s="5">
        <v>46274</v>
      </c>
      <c r="F1648" t="s">
        <v>204</v>
      </c>
      <c r="G1648" t="s">
        <v>205</v>
      </c>
      <c r="H1648">
        <v>3298</v>
      </c>
      <c r="I1648">
        <v>56.07</v>
      </c>
      <c r="J1648">
        <v>10.09</v>
      </c>
      <c r="K1648">
        <v>3231.84</v>
      </c>
      <c r="L1648" s="5">
        <v>46276</v>
      </c>
      <c r="M1648" t="s">
        <v>3422</v>
      </c>
      <c r="N1648" t="s">
        <v>207</v>
      </c>
      <c r="O1648" t="s">
        <v>3761</v>
      </c>
      <c r="P1648" t="s">
        <v>208</v>
      </c>
      <c r="Q1648" t="s">
        <v>209</v>
      </c>
    </row>
    <row r="1649" spans="1:17" x14ac:dyDescent="0.3">
      <c r="A1649" t="s">
        <v>3762</v>
      </c>
      <c r="C1649" t="s">
        <v>3763</v>
      </c>
      <c r="D1649" t="s">
        <v>3763</v>
      </c>
      <c r="E1649" s="5">
        <v>46274</v>
      </c>
      <c r="F1649" t="s">
        <v>204</v>
      </c>
      <c r="G1649" t="s">
        <v>220</v>
      </c>
      <c r="H1649">
        <v>599</v>
      </c>
      <c r="I1649">
        <v>0</v>
      </c>
      <c r="J1649">
        <v>0</v>
      </c>
      <c r="K1649">
        <v>599</v>
      </c>
      <c r="L1649" s="5">
        <v>46276</v>
      </c>
      <c r="M1649" t="s">
        <v>3422</v>
      </c>
      <c r="N1649" t="s">
        <v>207</v>
      </c>
      <c r="O1649" t="s">
        <v>3763</v>
      </c>
      <c r="P1649" t="s">
        <v>208</v>
      </c>
      <c r="Q1649" t="s">
        <v>209</v>
      </c>
    </row>
    <row r="1650" spans="1:17" x14ac:dyDescent="0.3">
      <c r="A1650" t="s">
        <v>3764</v>
      </c>
      <c r="C1650" t="s">
        <v>3765</v>
      </c>
      <c r="D1650" t="s">
        <v>3766</v>
      </c>
      <c r="E1650" s="5">
        <v>46274</v>
      </c>
      <c r="F1650" t="s">
        <v>204</v>
      </c>
      <c r="G1650" t="s">
        <v>205</v>
      </c>
      <c r="H1650">
        <v>2197</v>
      </c>
      <c r="I1650">
        <v>37.35</v>
      </c>
      <c r="J1650">
        <v>6.72</v>
      </c>
      <c r="K1650">
        <v>2152.9299999999998</v>
      </c>
      <c r="L1650" s="5">
        <v>46276</v>
      </c>
      <c r="M1650" t="s">
        <v>3422</v>
      </c>
      <c r="N1650" t="s">
        <v>207</v>
      </c>
      <c r="O1650" t="s">
        <v>3766</v>
      </c>
      <c r="P1650" t="s">
        <v>208</v>
      </c>
      <c r="Q1650" t="s">
        <v>209</v>
      </c>
    </row>
    <row r="1651" spans="1:17" x14ac:dyDescent="0.3">
      <c r="A1651" t="s">
        <v>3767</v>
      </c>
      <c r="C1651" t="s">
        <v>3768</v>
      </c>
      <c r="D1651" t="s">
        <v>3768</v>
      </c>
      <c r="E1651" s="5">
        <v>46274</v>
      </c>
      <c r="F1651" t="s">
        <v>204</v>
      </c>
      <c r="G1651" t="s">
        <v>220</v>
      </c>
      <c r="H1651">
        <v>3499</v>
      </c>
      <c r="I1651">
        <v>10.5</v>
      </c>
      <c r="J1651">
        <v>1.89</v>
      </c>
      <c r="K1651">
        <v>3486.61</v>
      </c>
      <c r="L1651" s="5">
        <v>46276</v>
      </c>
      <c r="M1651" t="s">
        <v>3422</v>
      </c>
      <c r="N1651" t="s">
        <v>207</v>
      </c>
      <c r="O1651" t="s">
        <v>3768</v>
      </c>
      <c r="P1651" t="s">
        <v>208</v>
      </c>
      <c r="Q1651" t="s">
        <v>209</v>
      </c>
    </row>
    <row r="1652" spans="1:17" x14ac:dyDescent="0.3">
      <c r="A1652" t="s">
        <v>3769</v>
      </c>
      <c r="C1652" t="s">
        <v>3770</v>
      </c>
      <c r="D1652" t="s">
        <v>3770</v>
      </c>
      <c r="E1652" s="5">
        <v>46274</v>
      </c>
      <c r="F1652" t="s">
        <v>204</v>
      </c>
      <c r="G1652" t="s">
        <v>220</v>
      </c>
      <c r="H1652">
        <v>2098</v>
      </c>
      <c r="I1652">
        <v>6.29</v>
      </c>
      <c r="J1652">
        <v>1.1299999999999999</v>
      </c>
      <c r="K1652">
        <v>2090.58</v>
      </c>
      <c r="L1652" s="5">
        <v>46276</v>
      </c>
      <c r="M1652" t="s">
        <v>3422</v>
      </c>
      <c r="N1652" t="s">
        <v>207</v>
      </c>
      <c r="O1652" t="s">
        <v>3770</v>
      </c>
      <c r="P1652" t="s">
        <v>208</v>
      </c>
      <c r="Q1652" t="s">
        <v>209</v>
      </c>
    </row>
    <row r="1653" spans="1:17" x14ac:dyDescent="0.3">
      <c r="A1653" t="s">
        <v>3771</v>
      </c>
      <c r="C1653" t="s">
        <v>3772</v>
      </c>
      <c r="D1653" t="s">
        <v>3772</v>
      </c>
      <c r="E1653" s="5">
        <v>46274</v>
      </c>
      <c r="F1653" t="s">
        <v>204</v>
      </c>
      <c r="G1653" t="s">
        <v>213</v>
      </c>
      <c r="H1653">
        <v>999</v>
      </c>
      <c r="I1653">
        <v>17.98</v>
      </c>
      <c r="J1653">
        <v>3.24</v>
      </c>
      <c r="K1653">
        <v>977.78</v>
      </c>
      <c r="L1653" s="5">
        <v>46276</v>
      </c>
      <c r="M1653" t="s">
        <v>3422</v>
      </c>
      <c r="N1653" t="s">
        <v>207</v>
      </c>
      <c r="O1653" t="s">
        <v>3772</v>
      </c>
      <c r="P1653" t="s">
        <v>208</v>
      </c>
      <c r="Q1653" t="s">
        <v>209</v>
      </c>
    </row>
    <row r="1654" spans="1:17" x14ac:dyDescent="0.3">
      <c r="A1654" t="s">
        <v>3773</v>
      </c>
      <c r="C1654" t="s">
        <v>3774</v>
      </c>
      <c r="D1654" t="s">
        <v>3774</v>
      </c>
      <c r="E1654" s="5">
        <v>46274</v>
      </c>
      <c r="F1654" t="s">
        <v>204</v>
      </c>
      <c r="G1654" t="s">
        <v>220</v>
      </c>
      <c r="H1654">
        <v>1499</v>
      </c>
      <c r="I1654">
        <v>0</v>
      </c>
      <c r="J1654">
        <v>0</v>
      </c>
      <c r="K1654">
        <v>1499</v>
      </c>
      <c r="L1654" s="5">
        <v>46276</v>
      </c>
      <c r="M1654" t="s">
        <v>3422</v>
      </c>
      <c r="N1654" t="s">
        <v>207</v>
      </c>
      <c r="O1654" t="s">
        <v>3774</v>
      </c>
      <c r="P1654" t="s">
        <v>208</v>
      </c>
      <c r="Q1654" t="s">
        <v>209</v>
      </c>
    </row>
    <row r="1655" spans="1:17" x14ac:dyDescent="0.3">
      <c r="A1655" t="s">
        <v>3775</v>
      </c>
      <c r="C1655" t="s">
        <v>3776</v>
      </c>
      <c r="D1655" t="s">
        <v>3777</v>
      </c>
      <c r="E1655" s="5">
        <v>46274</v>
      </c>
      <c r="F1655" t="s">
        <v>204</v>
      </c>
      <c r="G1655" t="s">
        <v>220</v>
      </c>
      <c r="H1655">
        <v>3499</v>
      </c>
      <c r="I1655">
        <v>10.5</v>
      </c>
      <c r="J1655">
        <v>1.89</v>
      </c>
      <c r="K1655">
        <v>3486.61</v>
      </c>
      <c r="L1655" s="5">
        <v>46276</v>
      </c>
      <c r="M1655" t="s">
        <v>3422</v>
      </c>
      <c r="N1655" t="s">
        <v>207</v>
      </c>
      <c r="O1655" t="s">
        <v>3777</v>
      </c>
      <c r="P1655" t="s">
        <v>208</v>
      </c>
      <c r="Q1655" t="s">
        <v>209</v>
      </c>
    </row>
    <row r="1656" spans="1:17" x14ac:dyDescent="0.3">
      <c r="A1656" t="s">
        <v>3778</v>
      </c>
      <c r="C1656" t="s">
        <v>3779</v>
      </c>
      <c r="D1656" t="s">
        <v>3779</v>
      </c>
      <c r="E1656" s="5">
        <v>46274</v>
      </c>
      <c r="F1656" t="s">
        <v>204</v>
      </c>
      <c r="G1656" t="s">
        <v>213</v>
      </c>
      <c r="H1656">
        <v>1299</v>
      </c>
      <c r="I1656">
        <v>23.38</v>
      </c>
      <c r="J1656">
        <v>4.21</v>
      </c>
      <c r="K1656">
        <v>1271.4100000000001</v>
      </c>
      <c r="L1656" s="5">
        <v>46276</v>
      </c>
      <c r="M1656" t="s">
        <v>3422</v>
      </c>
      <c r="N1656" t="s">
        <v>207</v>
      </c>
      <c r="O1656" t="s">
        <v>3779</v>
      </c>
      <c r="P1656" t="s">
        <v>208</v>
      </c>
      <c r="Q1656" t="s">
        <v>209</v>
      </c>
    </row>
    <row r="1657" spans="1:17" x14ac:dyDescent="0.3">
      <c r="A1657" t="s">
        <v>3780</v>
      </c>
      <c r="C1657" t="s">
        <v>3781</v>
      </c>
      <c r="D1657" t="s">
        <v>3781</v>
      </c>
      <c r="E1657" s="5">
        <v>46274</v>
      </c>
      <c r="F1657" t="s">
        <v>204</v>
      </c>
      <c r="G1657" t="s">
        <v>220</v>
      </c>
      <c r="H1657">
        <v>599</v>
      </c>
      <c r="I1657">
        <v>0</v>
      </c>
      <c r="J1657">
        <v>0</v>
      </c>
      <c r="K1657">
        <v>599</v>
      </c>
      <c r="L1657" s="5">
        <v>46276</v>
      </c>
      <c r="M1657" t="s">
        <v>3422</v>
      </c>
      <c r="N1657" t="s">
        <v>207</v>
      </c>
      <c r="O1657" t="s">
        <v>3781</v>
      </c>
      <c r="P1657" t="s">
        <v>208</v>
      </c>
      <c r="Q1657" t="s">
        <v>209</v>
      </c>
    </row>
    <row r="1658" spans="1:17" x14ac:dyDescent="0.3">
      <c r="A1658" t="s">
        <v>3782</v>
      </c>
      <c r="C1658" t="s">
        <v>3783</v>
      </c>
      <c r="D1658" t="s">
        <v>3783</v>
      </c>
      <c r="E1658" s="5">
        <v>46274</v>
      </c>
      <c r="F1658" t="s">
        <v>204</v>
      </c>
      <c r="G1658" t="s">
        <v>220</v>
      </c>
      <c r="H1658">
        <v>3848</v>
      </c>
      <c r="I1658">
        <v>11.54</v>
      </c>
      <c r="J1658">
        <v>2.08</v>
      </c>
      <c r="K1658">
        <v>3834.38</v>
      </c>
      <c r="L1658" s="5">
        <v>46276</v>
      </c>
      <c r="M1658" t="s">
        <v>3422</v>
      </c>
      <c r="N1658" t="s">
        <v>207</v>
      </c>
      <c r="O1658" t="s">
        <v>3783</v>
      </c>
      <c r="P1658" t="s">
        <v>208</v>
      </c>
      <c r="Q1658" t="s">
        <v>209</v>
      </c>
    </row>
    <row r="1659" spans="1:17" x14ac:dyDescent="0.3">
      <c r="A1659" t="s">
        <v>3784</v>
      </c>
      <c r="C1659" t="s">
        <v>3785</v>
      </c>
      <c r="D1659" t="s">
        <v>3785</v>
      </c>
      <c r="E1659" s="5">
        <v>46274</v>
      </c>
      <c r="F1659" t="s">
        <v>204</v>
      </c>
      <c r="G1659" t="s">
        <v>220</v>
      </c>
      <c r="H1659">
        <v>1147</v>
      </c>
      <c r="I1659">
        <v>0</v>
      </c>
      <c r="J1659">
        <v>0</v>
      </c>
      <c r="K1659">
        <v>1147</v>
      </c>
      <c r="L1659" s="5">
        <v>46276</v>
      </c>
      <c r="M1659" t="s">
        <v>3422</v>
      </c>
      <c r="N1659" t="s">
        <v>207</v>
      </c>
      <c r="O1659" t="s">
        <v>3785</v>
      </c>
      <c r="P1659" t="s">
        <v>208</v>
      </c>
      <c r="Q1659" t="s">
        <v>209</v>
      </c>
    </row>
    <row r="1660" spans="1:17" x14ac:dyDescent="0.3">
      <c r="A1660" t="s">
        <v>3786</v>
      </c>
      <c r="C1660" t="s">
        <v>3787</v>
      </c>
      <c r="D1660" t="s">
        <v>3787</v>
      </c>
      <c r="E1660" s="5">
        <v>46274</v>
      </c>
      <c r="F1660" t="s">
        <v>204</v>
      </c>
      <c r="G1660" t="s">
        <v>220</v>
      </c>
      <c r="H1660">
        <v>2999</v>
      </c>
      <c r="I1660">
        <v>9</v>
      </c>
      <c r="J1660">
        <v>1.62</v>
      </c>
      <c r="K1660">
        <v>2988.38</v>
      </c>
      <c r="L1660" s="5">
        <v>46276</v>
      </c>
      <c r="M1660" t="s">
        <v>3422</v>
      </c>
      <c r="N1660" t="s">
        <v>207</v>
      </c>
      <c r="O1660" t="s">
        <v>3787</v>
      </c>
      <c r="P1660" t="s">
        <v>208</v>
      </c>
      <c r="Q1660" t="s">
        <v>209</v>
      </c>
    </row>
    <row r="1661" spans="1:17" x14ac:dyDescent="0.3">
      <c r="A1661" t="s">
        <v>3788</v>
      </c>
      <c r="C1661" t="s">
        <v>3789</v>
      </c>
      <c r="D1661" t="s">
        <v>3789</v>
      </c>
      <c r="E1661" s="5">
        <v>46274</v>
      </c>
      <c r="F1661" t="s">
        <v>204</v>
      </c>
      <c r="G1661" t="s">
        <v>213</v>
      </c>
      <c r="H1661">
        <v>349</v>
      </c>
      <c r="I1661">
        <v>6.28</v>
      </c>
      <c r="J1661">
        <v>1.1299999999999999</v>
      </c>
      <c r="K1661">
        <v>341.59</v>
      </c>
      <c r="L1661" s="5">
        <v>46276</v>
      </c>
      <c r="M1661" t="s">
        <v>3422</v>
      </c>
      <c r="N1661" t="s">
        <v>207</v>
      </c>
      <c r="O1661" t="s">
        <v>3789</v>
      </c>
      <c r="P1661" t="s">
        <v>208</v>
      </c>
      <c r="Q1661" t="s">
        <v>209</v>
      </c>
    </row>
    <row r="1662" spans="1:17" x14ac:dyDescent="0.3">
      <c r="A1662" t="s">
        <v>3790</v>
      </c>
      <c r="C1662" t="s">
        <v>3791</v>
      </c>
      <c r="D1662" t="s">
        <v>3791</v>
      </c>
      <c r="E1662" s="5">
        <v>46274</v>
      </c>
      <c r="F1662" t="s">
        <v>204</v>
      </c>
      <c r="G1662" t="s">
        <v>213</v>
      </c>
      <c r="H1662">
        <v>2999</v>
      </c>
      <c r="I1662">
        <v>47.98</v>
      </c>
      <c r="J1662">
        <v>8.64</v>
      </c>
      <c r="K1662">
        <v>2942.38</v>
      </c>
      <c r="L1662" s="5">
        <v>46276</v>
      </c>
      <c r="M1662" t="s">
        <v>3422</v>
      </c>
      <c r="N1662" t="s">
        <v>207</v>
      </c>
      <c r="O1662" t="s">
        <v>3791</v>
      </c>
      <c r="P1662" t="s">
        <v>208</v>
      </c>
      <c r="Q1662" t="s">
        <v>209</v>
      </c>
    </row>
    <row r="1663" spans="1:17" x14ac:dyDescent="0.3">
      <c r="A1663" t="s">
        <v>3792</v>
      </c>
      <c r="B1663" t="s">
        <v>1380</v>
      </c>
      <c r="E1663" s="5">
        <v>46274</v>
      </c>
      <c r="F1663" t="s">
        <v>921</v>
      </c>
      <c r="G1663" t="s">
        <v>220</v>
      </c>
      <c r="H1663">
        <v>6897</v>
      </c>
      <c r="I1663">
        <v>0</v>
      </c>
      <c r="J1663">
        <v>0</v>
      </c>
      <c r="K1663">
        <v>-6897</v>
      </c>
      <c r="L1663" s="5">
        <v>46276</v>
      </c>
      <c r="M1663" t="s">
        <v>3422</v>
      </c>
      <c r="N1663" t="s">
        <v>207</v>
      </c>
      <c r="O1663" t="s">
        <v>1381</v>
      </c>
      <c r="P1663" t="s">
        <v>208</v>
      </c>
    </row>
    <row r="1664" spans="1:17" x14ac:dyDescent="0.3">
      <c r="A1664" t="s">
        <v>3793</v>
      </c>
      <c r="B1664" t="s">
        <v>1703</v>
      </c>
      <c r="E1664" s="5">
        <v>46274</v>
      </c>
      <c r="F1664" t="s">
        <v>921</v>
      </c>
      <c r="G1664" t="s">
        <v>213</v>
      </c>
      <c r="H1664">
        <v>3798</v>
      </c>
      <c r="I1664">
        <v>0</v>
      </c>
      <c r="J1664">
        <v>0</v>
      </c>
      <c r="K1664">
        <v>-3798</v>
      </c>
      <c r="L1664" s="5">
        <v>46276</v>
      </c>
      <c r="M1664" t="s">
        <v>3422</v>
      </c>
      <c r="N1664" t="s">
        <v>207</v>
      </c>
      <c r="O1664" t="s">
        <v>1704</v>
      </c>
      <c r="P1664" t="s">
        <v>208</v>
      </c>
    </row>
    <row r="1665" spans="1:17" x14ac:dyDescent="0.3">
      <c r="A1665" t="s">
        <v>3794</v>
      </c>
      <c r="B1665" t="s">
        <v>2910</v>
      </c>
      <c r="E1665" s="5">
        <v>46274</v>
      </c>
      <c r="F1665" t="s">
        <v>921</v>
      </c>
      <c r="G1665" t="s">
        <v>213</v>
      </c>
      <c r="H1665">
        <v>4999</v>
      </c>
      <c r="I1665">
        <v>0</v>
      </c>
      <c r="J1665">
        <v>0</v>
      </c>
      <c r="K1665">
        <v>-4999</v>
      </c>
      <c r="L1665" s="5">
        <v>46276</v>
      </c>
      <c r="M1665" t="s">
        <v>3422</v>
      </c>
      <c r="N1665" t="s">
        <v>207</v>
      </c>
      <c r="O1665" t="s">
        <v>2912</v>
      </c>
      <c r="P1665" t="s">
        <v>208</v>
      </c>
    </row>
    <row r="1666" spans="1:17" x14ac:dyDescent="0.3">
      <c r="A1666" t="s">
        <v>3795</v>
      </c>
      <c r="C1666" t="s">
        <v>3796</v>
      </c>
      <c r="D1666" t="s">
        <v>3796</v>
      </c>
      <c r="E1666" s="5">
        <v>46275</v>
      </c>
      <c r="F1666" t="s">
        <v>204</v>
      </c>
      <c r="G1666" t="s">
        <v>220</v>
      </c>
      <c r="H1666">
        <v>10498</v>
      </c>
      <c r="I1666">
        <v>31.49</v>
      </c>
      <c r="J1666">
        <v>5.67</v>
      </c>
      <c r="K1666">
        <v>10460.84</v>
      </c>
      <c r="L1666" s="5">
        <v>46277</v>
      </c>
      <c r="M1666" t="s">
        <v>3797</v>
      </c>
      <c r="N1666" t="s">
        <v>207</v>
      </c>
      <c r="O1666" t="s">
        <v>3796</v>
      </c>
      <c r="P1666" t="s">
        <v>208</v>
      </c>
      <c r="Q1666" t="s">
        <v>209</v>
      </c>
    </row>
    <row r="1667" spans="1:17" x14ac:dyDescent="0.3">
      <c r="A1667" t="s">
        <v>3798</v>
      </c>
      <c r="C1667" t="s">
        <v>3799</v>
      </c>
      <c r="D1667" t="s">
        <v>3799</v>
      </c>
      <c r="E1667" s="5">
        <v>46275</v>
      </c>
      <c r="F1667" t="s">
        <v>204</v>
      </c>
      <c r="G1667" t="s">
        <v>255</v>
      </c>
      <c r="H1667">
        <v>349</v>
      </c>
      <c r="I1667">
        <v>5.24</v>
      </c>
      <c r="J1667">
        <v>0.94</v>
      </c>
      <c r="K1667">
        <v>342.82</v>
      </c>
      <c r="L1667" s="5">
        <v>46277</v>
      </c>
      <c r="M1667" t="s">
        <v>3797</v>
      </c>
      <c r="N1667" t="s">
        <v>207</v>
      </c>
      <c r="O1667" t="s">
        <v>3799</v>
      </c>
      <c r="P1667" t="s">
        <v>208</v>
      </c>
      <c r="Q1667" t="s">
        <v>209</v>
      </c>
    </row>
    <row r="1668" spans="1:17" x14ac:dyDescent="0.3">
      <c r="A1668" t="s">
        <v>3800</v>
      </c>
      <c r="C1668" t="s">
        <v>3801</v>
      </c>
      <c r="D1668" t="s">
        <v>3801</v>
      </c>
      <c r="E1668" s="5">
        <v>46275</v>
      </c>
      <c r="F1668" t="s">
        <v>204</v>
      </c>
      <c r="G1668" t="s">
        <v>213</v>
      </c>
      <c r="H1668">
        <v>2798</v>
      </c>
      <c r="I1668">
        <v>44.77</v>
      </c>
      <c r="J1668">
        <v>8.06</v>
      </c>
      <c r="K1668">
        <v>2745.17</v>
      </c>
      <c r="L1668" s="5">
        <v>46277</v>
      </c>
      <c r="M1668" t="s">
        <v>3797</v>
      </c>
      <c r="N1668" t="s">
        <v>207</v>
      </c>
      <c r="O1668" t="s">
        <v>3801</v>
      </c>
      <c r="P1668" t="s">
        <v>208</v>
      </c>
      <c r="Q1668" t="s">
        <v>209</v>
      </c>
    </row>
    <row r="1669" spans="1:17" x14ac:dyDescent="0.3">
      <c r="A1669" t="s">
        <v>3802</v>
      </c>
      <c r="C1669" t="s">
        <v>3803</v>
      </c>
      <c r="D1669" t="s">
        <v>3804</v>
      </c>
      <c r="E1669" s="5">
        <v>46275</v>
      </c>
      <c r="F1669" t="s">
        <v>204</v>
      </c>
      <c r="G1669" t="s">
        <v>220</v>
      </c>
      <c r="H1669">
        <v>5597</v>
      </c>
      <c r="I1669">
        <v>16.79</v>
      </c>
      <c r="J1669">
        <v>3.02</v>
      </c>
      <c r="K1669">
        <v>5577.19</v>
      </c>
      <c r="L1669" s="5">
        <v>46277</v>
      </c>
      <c r="M1669" t="s">
        <v>3797</v>
      </c>
      <c r="N1669" t="s">
        <v>207</v>
      </c>
      <c r="O1669" t="s">
        <v>3804</v>
      </c>
      <c r="P1669" t="s">
        <v>208</v>
      </c>
      <c r="Q1669" t="s">
        <v>209</v>
      </c>
    </row>
    <row r="1670" spans="1:17" x14ac:dyDescent="0.3">
      <c r="A1670" t="s">
        <v>3805</v>
      </c>
      <c r="C1670" t="s">
        <v>3806</v>
      </c>
      <c r="D1670" t="s">
        <v>3807</v>
      </c>
      <c r="E1670" s="5">
        <v>46275</v>
      </c>
      <c r="F1670" t="s">
        <v>204</v>
      </c>
      <c r="G1670" t="s">
        <v>220</v>
      </c>
      <c r="H1670">
        <v>499</v>
      </c>
      <c r="I1670">
        <v>0</v>
      </c>
      <c r="J1670">
        <v>0</v>
      </c>
      <c r="K1670">
        <v>499</v>
      </c>
      <c r="L1670" s="5">
        <v>46277</v>
      </c>
      <c r="M1670" t="s">
        <v>3797</v>
      </c>
      <c r="N1670" t="s">
        <v>207</v>
      </c>
      <c r="O1670" t="s">
        <v>3807</v>
      </c>
      <c r="P1670" t="s">
        <v>208</v>
      </c>
      <c r="Q1670" t="s">
        <v>209</v>
      </c>
    </row>
    <row r="1671" spans="1:17" x14ac:dyDescent="0.3">
      <c r="A1671" t="s">
        <v>3808</v>
      </c>
      <c r="C1671" t="s">
        <v>3809</v>
      </c>
      <c r="D1671" t="s">
        <v>3809</v>
      </c>
      <c r="E1671" s="5">
        <v>46275</v>
      </c>
      <c r="F1671" t="s">
        <v>204</v>
      </c>
      <c r="G1671" t="s">
        <v>220</v>
      </c>
      <c r="H1671">
        <v>1798</v>
      </c>
      <c r="I1671">
        <v>0</v>
      </c>
      <c r="J1671">
        <v>0</v>
      </c>
      <c r="K1671">
        <v>1798</v>
      </c>
      <c r="L1671" s="5">
        <v>46277</v>
      </c>
      <c r="M1671" t="s">
        <v>3797</v>
      </c>
      <c r="N1671" t="s">
        <v>207</v>
      </c>
      <c r="O1671" t="s">
        <v>3809</v>
      </c>
      <c r="P1671" t="s">
        <v>208</v>
      </c>
      <c r="Q1671" t="s">
        <v>209</v>
      </c>
    </row>
    <row r="1672" spans="1:17" x14ac:dyDescent="0.3">
      <c r="A1672" t="s">
        <v>3810</v>
      </c>
      <c r="C1672" t="s">
        <v>3811</v>
      </c>
      <c r="D1672" t="s">
        <v>3812</v>
      </c>
      <c r="E1672" s="5">
        <v>46275</v>
      </c>
      <c r="F1672" t="s">
        <v>204</v>
      </c>
      <c r="G1672" t="s">
        <v>220</v>
      </c>
      <c r="H1672">
        <v>7097</v>
      </c>
      <c r="I1672">
        <v>21.29</v>
      </c>
      <c r="J1672">
        <v>3.83</v>
      </c>
      <c r="K1672">
        <v>7071.88</v>
      </c>
      <c r="L1672" s="5">
        <v>46277</v>
      </c>
      <c r="M1672" t="s">
        <v>3797</v>
      </c>
      <c r="N1672" t="s">
        <v>207</v>
      </c>
      <c r="O1672" t="s">
        <v>3812</v>
      </c>
      <c r="P1672" t="s">
        <v>208</v>
      </c>
      <c r="Q1672" t="s">
        <v>209</v>
      </c>
    </row>
    <row r="1673" spans="1:17" x14ac:dyDescent="0.3">
      <c r="A1673" t="s">
        <v>3813</v>
      </c>
      <c r="C1673" t="s">
        <v>3814</v>
      </c>
      <c r="D1673" t="s">
        <v>3814</v>
      </c>
      <c r="E1673" s="5">
        <v>46275</v>
      </c>
      <c r="F1673" t="s">
        <v>204</v>
      </c>
      <c r="G1673" t="s">
        <v>220</v>
      </c>
      <c r="H1673">
        <v>4999</v>
      </c>
      <c r="I1673">
        <v>15</v>
      </c>
      <c r="J1673">
        <v>2.7</v>
      </c>
      <c r="K1673">
        <v>4981.3</v>
      </c>
      <c r="L1673" s="5">
        <v>46277</v>
      </c>
      <c r="M1673" t="s">
        <v>3797</v>
      </c>
      <c r="N1673" t="s">
        <v>207</v>
      </c>
      <c r="O1673" t="s">
        <v>3814</v>
      </c>
      <c r="P1673" t="s">
        <v>208</v>
      </c>
      <c r="Q1673" t="s">
        <v>209</v>
      </c>
    </row>
    <row r="1674" spans="1:17" x14ac:dyDescent="0.3">
      <c r="A1674" t="s">
        <v>3815</v>
      </c>
      <c r="C1674" t="s">
        <v>3816</v>
      </c>
      <c r="D1674" t="s">
        <v>3816</v>
      </c>
      <c r="E1674" s="5">
        <v>46275</v>
      </c>
      <c r="F1674" t="s">
        <v>204</v>
      </c>
      <c r="G1674" t="s">
        <v>220</v>
      </c>
      <c r="H1674">
        <v>3848</v>
      </c>
      <c r="I1674">
        <v>11.54</v>
      </c>
      <c r="J1674">
        <v>2.08</v>
      </c>
      <c r="K1674">
        <v>3834.38</v>
      </c>
      <c r="L1674" s="5">
        <v>46277</v>
      </c>
      <c r="M1674" t="s">
        <v>3797</v>
      </c>
      <c r="N1674" t="s">
        <v>207</v>
      </c>
      <c r="O1674" t="s">
        <v>3816</v>
      </c>
      <c r="P1674" t="s">
        <v>208</v>
      </c>
      <c r="Q1674" t="s">
        <v>209</v>
      </c>
    </row>
    <row r="1675" spans="1:17" x14ac:dyDescent="0.3">
      <c r="A1675" t="s">
        <v>3817</v>
      </c>
      <c r="C1675" t="s">
        <v>3818</v>
      </c>
      <c r="D1675" t="s">
        <v>3818</v>
      </c>
      <c r="E1675" s="5">
        <v>46275</v>
      </c>
      <c r="F1675" t="s">
        <v>204</v>
      </c>
      <c r="G1675" t="s">
        <v>220</v>
      </c>
      <c r="H1675">
        <v>14497</v>
      </c>
      <c r="I1675">
        <v>43.49</v>
      </c>
      <c r="J1675">
        <v>7.83</v>
      </c>
      <c r="K1675">
        <v>14445.68</v>
      </c>
      <c r="L1675" s="5">
        <v>46277</v>
      </c>
      <c r="M1675" t="s">
        <v>3797</v>
      </c>
      <c r="N1675" t="s">
        <v>207</v>
      </c>
      <c r="O1675" t="s">
        <v>3818</v>
      </c>
      <c r="P1675" t="s">
        <v>208</v>
      </c>
      <c r="Q1675" t="s">
        <v>209</v>
      </c>
    </row>
    <row r="1676" spans="1:17" x14ac:dyDescent="0.3">
      <c r="A1676" t="s">
        <v>3819</v>
      </c>
      <c r="C1676" t="s">
        <v>3820</v>
      </c>
      <c r="D1676" t="s">
        <v>3821</v>
      </c>
      <c r="E1676" s="5">
        <v>46275</v>
      </c>
      <c r="F1676" t="s">
        <v>204</v>
      </c>
      <c r="G1676" t="s">
        <v>205</v>
      </c>
      <c r="H1676">
        <v>4798</v>
      </c>
      <c r="I1676">
        <v>81.569999999999993</v>
      </c>
      <c r="J1676">
        <v>14.68</v>
      </c>
      <c r="K1676">
        <v>4701.75</v>
      </c>
      <c r="L1676" s="5">
        <v>46277</v>
      </c>
      <c r="M1676" t="s">
        <v>3797</v>
      </c>
      <c r="N1676" t="s">
        <v>207</v>
      </c>
      <c r="O1676" t="s">
        <v>3821</v>
      </c>
      <c r="P1676" t="s">
        <v>208</v>
      </c>
      <c r="Q1676" t="s">
        <v>209</v>
      </c>
    </row>
    <row r="1677" spans="1:17" x14ac:dyDescent="0.3">
      <c r="A1677" t="s">
        <v>3822</v>
      </c>
      <c r="C1677" t="s">
        <v>3823</v>
      </c>
      <c r="D1677" t="s">
        <v>3823</v>
      </c>
      <c r="E1677" s="5">
        <v>46275</v>
      </c>
      <c r="F1677" t="s">
        <v>204</v>
      </c>
      <c r="G1677" t="s">
        <v>255</v>
      </c>
      <c r="H1677">
        <v>5498</v>
      </c>
      <c r="I1677">
        <v>65.98</v>
      </c>
      <c r="J1677">
        <v>11.88</v>
      </c>
      <c r="K1677">
        <v>5420.14</v>
      </c>
      <c r="L1677" s="5">
        <v>46277</v>
      </c>
      <c r="M1677" t="s">
        <v>3797</v>
      </c>
      <c r="N1677" t="s">
        <v>207</v>
      </c>
      <c r="O1677" t="s">
        <v>3823</v>
      </c>
      <c r="P1677" t="s">
        <v>208</v>
      </c>
      <c r="Q1677" t="s">
        <v>209</v>
      </c>
    </row>
    <row r="1678" spans="1:17" x14ac:dyDescent="0.3">
      <c r="A1678" t="s">
        <v>3824</v>
      </c>
      <c r="C1678" t="s">
        <v>3825</v>
      </c>
      <c r="D1678" t="s">
        <v>3825</v>
      </c>
      <c r="E1678" s="5">
        <v>46275</v>
      </c>
      <c r="F1678" t="s">
        <v>204</v>
      </c>
      <c r="G1678" t="s">
        <v>220</v>
      </c>
      <c r="H1678">
        <v>349</v>
      </c>
      <c r="I1678">
        <v>0</v>
      </c>
      <c r="J1678">
        <v>0</v>
      </c>
      <c r="K1678">
        <v>349</v>
      </c>
      <c r="L1678" s="5">
        <v>46277</v>
      </c>
      <c r="M1678" t="s">
        <v>3797</v>
      </c>
      <c r="N1678" t="s">
        <v>207</v>
      </c>
      <c r="O1678" t="s">
        <v>3825</v>
      </c>
      <c r="P1678" t="s">
        <v>208</v>
      </c>
      <c r="Q1678" t="s">
        <v>209</v>
      </c>
    </row>
    <row r="1679" spans="1:17" x14ac:dyDescent="0.3">
      <c r="A1679" t="s">
        <v>3826</v>
      </c>
      <c r="C1679" t="s">
        <v>3827</v>
      </c>
      <c r="D1679" t="s">
        <v>3827</v>
      </c>
      <c r="E1679" s="5">
        <v>46275</v>
      </c>
      <c r="F1679" t="s">
        <v>204</v>
      </c>
      <c r="G1679" t="s">
        <v>213</v>
      </c>
      <c r="H1679">
        <v>10347</v>
      </c>
      <c r="I1679">
        <v>165.55</v>
      </c>
      <c r="J1679">
        <v>29.8</v>
      </c>
      <c r="K1679">
        <v>10151.65</v>
      </c>
      <c r="L1679" s="5">
        <v>46277</v>
      </c>
      <c r="M1679" t="s">
        <v>3797</v>
      </c>
      <c r="N1679" t="s">
        <v>207</v>
      </c>
      <c r="O1679" t="s">
        <v>3827</v>
      </c>
      <c r="P1679" t="s">
        <v>208</v>
      </c>
      <c r="Q1679" t="s">
        <v>209</v>
      </c>
    </row>
    <row r="1680" spans="1:17" x14ac:dyDescent="0.3">
      <c r="A1680" t="s">
        <v>3828</v>
      </c>
      <c r="C1680" t="s">
        <v>3829</v>
      </c>
      <c r="D1680" t="s">
        <v>3830</v>
      </c>
      <c r="E1680" s="5">
        <v>46275</v>
      </c>
      <c r="F1680" t="s">
        <v>204</v>
      </c>
      <c r="G1680" t="s">
        <v>213</v>
      </c>
      <c r="H1680">
        <v>1799</v>
      </c>
      <c r="I1680">
        <v>32.380000000000003</v>
      </c>
      <c r="J1680">
        <v>5.83</v>
      </c>
      <c r="K1680">
        <v>1760.79</v>
      </c>
      <c r="L1680" s="5">
        <v>46277</v>
      </c>
      <c r="M1680" t="s">
        <v>3797</v>
      </c>
      <c r="N1680" t="s">
        <v>207</v>
      </c>
      <c r="O1680" t="s">
        <v>3830</v>
      </c>
      <c r="P1680" t="s">
        <v>208</v>
      </c>
      <c r="Q1680" t="s">
        <v>209</v>
      </c>
    </row>
    <row r="1681" spans="1:17" x14ac:dyDescent="0.3">
      <c r="A1681" t="s">
        <v>3831</v>
      </c>
      <c r="C1681" t="s">
        <v>3832</v>
      </c>
      <c r="D1681" t="s">
        <v>3832</v>
      </c>
      <c r="E1681" s="5">
        <v>46275</v>
      </c>
      <c r="F1681" t="s">
        <v>204</v>
      </c>
      <c r="G1681" t="s">
        <v>220</v>
      </c>
      <c r="H1681">
        <v>12797</v>
      </c>
      <c r="I1681">
        <v>38.39</v>
      </c>
      <c r="J1681">
        <v>6.91</v>
      </c>
      <c r="K1681">
        <v>12751.7</v>
      </c>
      <c r="L1681" s="5">
        <v>46277</v>
      </c>
      <c r="M1681" t="s">
        <v>3797</v>
      </c>
      <c r="N1681" t="s">
        <v>207</v>
      </c>
      <c r="O1681" t="s">
        <v>3832</v>
      </c>
      <c r="P1681" t="s">
        <v>208</v>
      </c>
      <c r="Q1681" t="s">
        <v>209</v>
      </c>
    </row>
    <row r="1682" spans="1:17" x14ac:dyDescent="0.3">
      <c r="A1682" t="s">
        <v>3833</v>
      </c>
      <c r="C1682" t="s">
        <v>3834</v>
      </c>
      <c r="D1682" t="s">
        <v>3834</v>
      </c>
      <c r="E1682" s="5">
        <v>46275</v>
      </c>
      <c r="F1682" t="s">
        <v>204</v>
      </c>
      <c r="G1682" t="s">
        <v>220</v>
      </c>
      <c r="H1682">
        <v>299</v>
      </c>
      <c r="I1682">
        <v>0</v>
      </c>
      <c r="J1682">
        <v>0</v>
      </c>
      <c r="K1682">
        <v>299</v>
      </c>
      <c r="L1682" s="5">
        <v>46277</v>
      </c>
      <c r="M1682" t="s">
        <v>3797</v>
      </c>
      <c r="N1682" t="s">
        <v>207</v>
      </c>
      <c r="O1682" t="s">
        <v>3834</v>
      </c>
      <c r="P1682" t="s">
        <v>208</v>
      </c>
      <c r="Q1682" t="s">
        <v>209</v>
      </c>
    </row>
    <row r="1683" spans="1:17" x14ac:dyDescent="0.3">
      <c r="A1683" t="s">
        <v>3835</v>
      </c>
      <c r="C1683" t="s">
        <v>3836</v>
      </c>
      <c r="D1683" t="s">
        <v>3836</v>
      </c>
      <c r="E1683" s="5">
        <v>46275</v>
      </c>
      <c r="F1683" t="s">
        <v>204</v>
      </c>
      <c r="G1683" t="s">
        <v>213</v>
      </c>
      <c r="H1683">
        <v>798</v>
      </c>
      <c r="I1683">
        <v>14.36</v>
      </c>
      <c r="J1683">
        <v>2.58</v>
      </c>
      <c r="K1683">
        <v>781.06</v>
      </c>
      <c r="L1683" s="5">
        <v>46277</v>
      </c>
      <c r="M1683" t="s">
        <v>3797</v>
      </c>
      <c r="N1683" t="s">
        <v>207</v>
      </c>
      <c r="O1683" t="s">
        <v>3836</v>
      </c>
      <c r="P1683" t="s">
        <v>208</v>
      </c>
      <c r="Q1683" t="s">
        <v>209</v>
      </c>
    </row>
    <row r="1684" spans="1:17" x14ac:dyDescent="0.3">
      <c r="A1684" t="s">
        <v>3837</v>
      </c>
      <c r="C1684" t="s">
        <v>3838</v>
      </c>
      <c r="D1684" t="s">
        <v>3838</v>
      </c>
      <c r="E1684" s="5">
        <v>46275</v>
      </c>
      <c r="F1684" t="s">
        <v>204</v>
      </c>
      <c r="G1684" t="s">
        <v>220</v>
      </c>
      <c r="H1684">
        <v>1499</v>
      </c>
      <c r="I1684">
        <v>0</v>
      </c>
      <c r="J1684">
        <v>0</v>
      </c>
      <c r="K1684">
        <v>1499</v>
      </c>
      <c r="L1684" s="5">
        <v>46277</v>
      </c>
      <c r="M1684" t="s">
        <v>3797</v>
      </c>
      <c r="N1684" t="s">
        <v>207</v>
      </c>
      <c r="O1684" t="s">
        <v>3838</v>
      </c>
      <c r="P1684" t="s">
        <v>208</v>
      </c>
      <c r="Q1684" t="s">
        <v>209</v>
      </c>
    </row>
    <row r="1685" spans="1:17" x14ac:dyDescent="0.3">
      <c r="A1685" t="s">
        <v>3839</v>
      </c>
      <c r="C1685" t="s">
        <v>3840</v>
      </c>
      <c r="D1685" t="s">
        <v>3840</v>
      </c>
      <c r="E1685" s="5">
        <v>46275</v>
      </c>
      <c r="F1685" t="s">
        <v>204</v>
      </c>
      <c r="G1685" t="s">
        <v>220</v>
      </c>
      <c r="H1685">
        <v>3597</v>
      </c>
      <c r="I1685">
        <v>10.79</v>
      </c>
      <c r="J1685">
        <v>1.94</v>
      </c>
      <c r="K1685">
        <v>3584.27</v>
      </c>
      <c r="L1685" s="5">
        <v>46277</v>
      </c>
      <c r="M1685" t="s">
        <v>3797</v>
      </c>
      <c r="N1685" t="s">
        <v>207</v>
      </c>
      <c r="O1685" t="s">
        <v>3840</v>
      </c>
      <c r="P1685" t="s">
        <v>208</v>
      </c>
      <c r="Q1685" t="s">
        <v>209</v>
      </c>
    </row>
    <row r="1686" spans="1:17" x14ac:dyDescent="0.3">
      <c r="A1686" t="s">
        <v>3841</v>
      </c>
      <c r="C1686" t="s">
        <v>3842</v>
      </c>
      <c r="D1686" t="s">
        <v>3843</v>
      </c>
      <c r="E1686" s="5">
        <v>46275</v>
      </c>
      <c r="F1686" t="s">
        <v>204</v>
      </c>
      <c r="G1686" t="s">
        <v>255</v>
      </c>
      <c r="H1686">
        <v>1299</v>
      </c>
      <c r="I1686">
        <v>19.489999999999998</v>
      </c>
      <c r="J1686">
        <v>3.51</v>
      </c>
      <c r="K1686">
        <v>1276</v>
      </c>
      <c r="L1686" s="5">
        <v>46277</v>
      </c>
      <c r="M1686" t="s">
        <v>3797</v>
      </c>
      <c r="N1686" t="s">
        <v>207</v>
      </c>
      <c r="O1686" t="s">
        <v>3843</v>
      </c>
      <c r="P1686" t="s">
        <v>208</v>
      </c>
      <c r="Q1686" t="s">
        <v>209</v>
      </c>
    </row>
    <row r="1687" spans="1:17" x14ac:dyDescent="0.3">
      <c r="A1687" t="s">
        <v>3844</v>
      </c>
      <c r="C1687" t="s">
        <v>3845</v>
      </c>
      <c r="D1687" t="s">
        <v>3846</v>
      </c>
      <c r="E1687" s="5">
        <v>46275</v>
      </c>
      <c r="F1687" t="s">
        <v>204</v>
      </c>
      <c r="G1687" t="s">
        <v>220</v>
      </c>
      <c r="H1687">
        <v>3348</v>
      </c>
      <c r="I1687">
        <v>10.039999999999999</v>
      </c>
      <c r="J1687">
        <v>1.81</v>
      </c>
      <c r="K1687">
        <v>3336.15</v>
      </c>
      <c r="L1687" s="5">
        <v>46277</v>
      </c>
      <c r="M1687" t="s">
        <v>3797</v>
      </c>
      <c r="N1687" t="s">
        <v>207</v>
      </c>
      <c r="O1687" t="s">
        <v>3846</v>
      </c>
      <c r="P1687" t="s">
        <v>208</v>
      </c>
      <c r="Q1687" t="s">
        <v>209</v>
      </c>
    </row>
    <row r="1688" spans="1:17" x14ac:dyDescent="0.3">
      <c r="A1688" t="s">
        <v>3847</v>
      </c>
      <c r="C1688" t="s">
        <v>3848</v>
      </c>
      <c r="D1688" t="s">
        <v>3849</v>
      </c>
      <c r="E1688" s="5">
        <v>46275</v>
      </c>
      <c r="F1688" t="s">
        <v>204</v>
      </c>
      <c r="G1688" t="s">
        <v>205</v>
      </c>
      <c r="H1688">
        <v>10797</v>
      </c>
      <c r="I1688">
        <v>183.55</v>
      </c>
      <c r="J1688">
        <v>33.04</v>
      </c>
      <c r="K1688">
        <v>10580.41</v>
      </c>
      <c r="L1688" s="5">
        <v>46277</v>
      </c>
      <c r="M1688" t="s">
        <v>3797</v>
      </c>
      <c r="N1688" t="s">
        <v>207</v>
      </c>
      <c r="O1688" t="s">
        <v>3849</v>
      </c>
      <c r="P1688" t="s">
        <v>208</v>
      </c>
      <c r="Q1688" t="s">
        <v>209</v>
      </c>
    </row>
    <row r="1689" spans="1:17" x14ac:dyDescent="0.3">
      <c r="A1689" t="s">
        <v>3850</v>
      </c>
      <c r="C1689" t="s">
        <v>3851</v>
      </c>
      <c r="D1689" t="s">
        <v>3851</v>
      </c>
      <c r="E1689" s="5">
        <v>46275</v>
      </c>
      <c r="F1689" t="s">
        <v>204</v>
      </c>
      <c r="G1689" t="s">
        <v>220</v>
      </c>
      <c r="H1689">
        <v>5298</v>
      </c>
      <c r="I1689">
        <v>15.89</v>
      </c>
      <c r="J1689">
        <v>2.86</v>
      </c>
      <c r="K1689">
        <v>5279.25</v>
      </c>
      <c r="L1689" s="5">
        <v>46277</v>
      </c>
      <c r="M1689" t="s">
        <v>3797</v>
      </c>
      <c r="N1689" t="s">
        <v>207</v>
      </c>
      <c r="O1689" t="s">
        <v>3851</v>
      </c>
      <c r="P1689" t="s">
        <v>208</v>
      </c>
      <c r="Q1689" t="s">
        <v>209</v>
      </c>
    </row>
    <row r="1690" spans="1:17" x14ac:dyDescent="0.3">
      <c r="A1690" t="s">
        <v>3852</v>
      </c>
      <c r="C1690" t="s">
        <v>3853</v>
      </c>
      <c r="D1690" t="s">
        <v>3853</v>
      </c>
      <c r="E1690" s="5">
        <v>46275</v>
      </c>
      <c r="F1690" t="s">
        <v>204</v>
      </c>
      <c r="G1690" t="s">
        <v>220</v>
      </c>
      <c r="H1690">
        <v>4999</v>
      </c>
      <c r="I1690">
        <v>15</v>
      </c>
      <c r="J1690">
        <v>2.7</v>
      </c>
      <c r="K1690">
        <v>4981.3</v>
      </c>
      <c r="L1690" s="5">
        <v>46277</v>
      </c>
      <c r="M1690" t="s">
        <v>3797</v>
      </c>
      <c r="N1690" t="s">
        <v>207</v>
      </c>
      <c r="O1690" t="s">
        <v>3853</v>
      </c>
      <c r="P1690" t="s">
        <v>208</v>
      </c>
      <c r="Q1690" t="s">
        <v>209</v>
      </c>
    </row>
    <row r="1691" spans="1:17" x14ac:dyDescent="0.3">
      <c r="A1691" t="s">
        <v>3854</v>
      </c>
      <c r="C1691" t="s">
        <v>3855</v>
      </c>
      <c r="D1691" t="s">
        <v>3855</v>
      </c>
      <c r="E1691" s="5">
        <v>46275</v>
      </c>
      <c r="F1691" t="s">
        <v>204</v>
      </c>
      <c r="G1691" t="s">
        <v>220</v>
      </c>
      <c r="H1691">
        <v>299</v>
      </c>
      <c r="I1691">
        <v>0</v>
      </c>
      <c r="J1691">
        <v>0</v>
      </c>
      <c r="K1691">
        <v>299</v>
      </c>
      <c r="L1691" s="5">
        <v>46277</v>
      </c>
      <c r="M1691" t="s">
        <v>3797</v>
      </c>
      <c r="N1691" t="s">
        <v>207</v>
      </c>
      <c r="O1691" t="s">
        <v>3855</v>
      </c>
      <c r="P1691" t="s">
        <v>208</v>
      </c>
      <c r="Q1691" t="s">
        <v>209</v>
      </c>
    </row>
    <row r="1692" spans="1:17" x14ac:dyDescent="0.3">
      <c r="A1692" t="s">
        <v>3856</v>
      </c>
      <c r="C1692" t="s">
        <v>3857</v>
      </c>
      <c r="D1692" t="s">
        <v>3857</v>
      </c>
      <c r="E1692" s="5">
        <v>46275</v>
      </c>
      <c r="F1692" t="s">
        <v>204</v>
      </c>
      <c r="G1692" t="s">
        <v>205</v>
      </c>
      <c r="H1692">
        <v>349</v>
      </c>
      <c r="I1692">
        <v>6.63</v>
      </c>
      <c r="J1692">
        <v>1.19</v>
      </c>
      <c r="K1692">
        <v>341.18</v>
      </c>
      <c r="L1692" s="5">
        <v>46277</v>
      </c>
      <c r="M1692" t="s">
        <v>3797</v>
      </c>
      <c r="N1692" t="s">
        <v>207</v>
      </c>
      <c r="O1692" t="s">
        <v>3857</v>
      </c>
      <c r="P1692" t="s">
        <v>208</v>
      </c>
      <c r="Q1692" t="s">
        <v>209</v>
      </c>
    </row>
    <row r="1693" spans="1:17" x14ac:dyDescent="0.3">
      <c r="A1693" t="s">
        <v>3858</v>
      </c>
      <c r="C1693" t="s">
        <v>3859</v>
      </c>
      <c r="D1693" t="s">
        <v>3859</v>
      </c>
      <c r="E1693" s="5">
        <v>46275</v>
      </c>
      <c r="F1693" t="s">
        <v>204</v>
      </c>
      <c r="G1693" t="s">
        <v>213</v>
      </c>
      <c r="H1693">
        <v>3498</v>
      </c>
      <c r="I1693">
        <v>55.97</v>
      </c>
      <c r="J1693">
        <v>10.07</v>
      </c>
      <c r="K1693">
        <v>3431.96</v>
      </c>
      <c r="L1693" s="5">
        <v>46277</v>
      </c>
      <c r="M1693" t="s">
        <v>3797</v>
      </c>
      <c r="N1693" t="s">
        <v>207</v>
      </c>
      <c r="O1693" t="s">
        <v>3859</v>
      </c>
      <c r="P1693" t="s">
        <v>208</v>
      </c>
      <c r="Q1693" t="s">
        <v>209</v>
      </c>
    </row>
    <row r="1694" spans="1:17" x14ac:dyDescent="0.3">
      <c r="A1694" t="s">
        <v>3860</v>
      </c>
      <c r="C1694" t="s">
        <v>3861</v>
      </c>
      <c r="D1694" t="s">
        <v>3861</v>
      </c>
      <c r="E1694" s="5">
        <v>46275</v>
      </c>
      <c r="F1694" t="s">
        <v>204</v>
      </c>
      <c r="G1694" t="s">
        <v>205</v>
      </c>
      <c r="H1694">
        <v>848</v>
      </c>
      <c r="I1694">
        <v>16.11</v>
      </c>
      <c r="J1694">
        <v>2.9</v>
      </c>
      <c r="K1694">
        <v>828.99</v>
      </c>
      <c r="L1694" s="5">
        <v>46277</v>
      </c>
      <c r="M1694" t="s">
        <v>3797</v>
      </c>
      <c r="N1694" t="s">
        <v>207</v>
      </c>
      <c r="O1694" t="s">
        <v>3861</v>
      </c>
      <c r="P1694" t="s">
        <v>208</v>
      </c>
      <c r="Q1694" t="s">
        <v>209</v>
      </c>
    </row>
    <row r="1695" spans="1:17" x14ac:dyDescent="0.3">
      <c r="A1695" t="s">
        <v>3862</v>
      </c>
      <c r="C1695" t="s">
        <v>3863</v>
      </c>
      <c r="D1695" t="s">
        <v>3863</v>
      </c>
      <c r="E1695" s="5">
        <v>46275</v>
      </c>
      <c r="F1695" t="s">
        <v>204</v>
      </c>
      <c r="G1695" t="s">
        <v>213</v>
      </c>
      <c r="H1695">
        <v>1798</v>
      </c>
      <c r="I1695">
        <v>32.36</v>
      </c>
      <c r="J1695">
        <v>5.82</v>
      </c>
      <c r="K1695">
        <v>1759.82</v>
      </c>
      <c r="L1695" s="5">
        <v>46277</v>
      </c>
      <c r="M1695" t="s">
        <v>3797</v>
      </c>
      <c r="N1695" t="s">
        <v>207</v>
      </c>
      <c r="O1695" t="s">
        <v>3863</v>
      </c>
      <c r="P1695" t="s">
        <v>208</v>
      </c>
      <c r="Q1695" t="s">
        <v>209</v>
      </c>
    </row>
    <row r="1696" spans="1:17" x14ac:dyDescent="0.3">
      <c r="A1696" t="s">
        <v>3864</v>
      </c>
      <c r="C1696" t="s">
        <v>3865</v>
      </c>
      <c r="D1696" t="s">
        <v>3865</v>
      </c>
      <c r="E1696" s="5">
        <v>46275</v>
      </c>
      <c r="F1696" t="s">
        <v>204</v>
      </c>
      <c r="G1696" t="s">
        <v>213</v>
      </c>
      <c r="H1696">
        <v>3197</v>
      </c>
      <c r="I1696">
        <v>51.15</v>
      </c>
      <c r="J1696">
        <v>9.2100000000000009</v>
      </c>
      <c r="K1696">
        <v>3136.64</v>
      </c>
      <c r="L1696" s="5">
        <v>46277</v>
      </c>
      <c r="M1696" t="s">
        <v>3797</v>
      </c>
      <c r="N1696" t="s">
        <v>207</v>
      </c>
      <c r="O1696" t="s">
        <v>3865</v>
      </c>
      <c r="P1696" t="s">
        <v>208</v>
      </c>
      <c r="Q1696" t="s">
        <v>209</v>
      </c>
    </row>
    <row r="1697" spans="1:17" x14ac:dyDescent="0.3">
      <c r="A1697" t="s">
        <v>3866</v>
      </c>
      <c r="C1697" t="s">
        <v>3867</v>
      </c>
      <c r="D1697" t="s">
        <v>3868</v>
      </c>
      <c r="E1697" s="5">
        <v>46275</v>
      </c>
      <c r="F1697" t="s">
        <v>204</v>
      </c>
      <c r="G1697" t="s">
        <v>220</v>
      </c>
      <c r="H1697">
        <v>4998</v>
      </c>
      <c r="I1697">
        <v>14.99</v>
      </c>
      <c r="J1697">
        <v>2.7</v>
      </c>
      <c r="K1697">
        <v>4980.3100000000004</v>
      </c>
      <c r="L1697" s="5">
        <v>46277</v>
      </c>
      <c r="M1697" t="s">
        <v>3797</v>
      </c>
      <c r="N1697" t="s">
        <v>207</v>
      </c>
      <c r="O1697" t="s">
        <v>3868</v>
      </c>
      <c r="P1697" t="s">
        <v>208</v>
      </c>
      <c r="Q1697" t="s">
        <v>209</v>
      </c>
    </row>
    <row r="1698" spans="1:17" x14ac:dyDescent="0.3">
      <c r="A1698" t="s">
        <v>3869</v>
      </c>
      <c r="C1698" t="s">
        <v>3870</v>
      </c>
      <c r="D1698" t="s">
        <v>3870</v>
      </c>
      <c r="E1698" s="5">
        <v>46275</v>
      </c>
      <c r="F1698" t="s">
        <v>204</v>
      </c>
      <c r="G1698" t="s">
        <v>220</v>
      </c>
      <c r="H1698">
        <v>3499</v>
      </c>
      <c r="I1698">
        <v>10.5</v>
      </c>
      <c r="J1698">
        <v>1.89</v>
      </c>
      <c r="K1698">
        <v>3486.61</v>
      </c>
      <c r="L1698" s="5">
        <v>46277</v>
      </c>
      <c r="M1698" t="s">
        <v>3797</v>
      </c>
      <c r="N1698" t="s">
        <v>207</v>
      </c>
      <c r="O1698" t="s">
        <v>3870</v>
      </c>
      <c r="P1698" t="s">
        <v>208</v>
      </c>
      <c r="Q1698" t="s">
        <v>209</v>
      </c>
    </row>
    <row r="1699" spans="1:17" x14ac:dyDescent="0.3">
      <c r="A1699" t="s">
        <v>3871</v>
      </c>
      <c r="C1699" t="s">
        <v>3872</v>
      </c>
      <c r="D1699" t="s">
        <v>3873</v>
      </c>
      <c r="E1699" s="5">
        <v>46275</v>
      </c>
      <c r="F1699" t="s">
        <v>204</v>
      </c>
      <c r="G1699" t="s">
        <v>220</v>
      </c>
      <c r="H1699">
        <v>6498</v>
      </c>
      <c r="I1699">
        <v>19.489999999999998</v>
      </c>
      <c r="J1699">
        <v>3.51</v>
      </c>
      <c r="K1699">
        <v>6475</v>
      </c>
      <c r="L1699" s="5">
        <v>46277</v>
      </c>
      <c r="M1699" t="s">
        <v>3797</v>
      </c>
      <c r="N1699" t="s">
        <v>207</v>
      </c>
      <c r="O1699" t="s">
        <v>3873</v>
      </c>
      <c r="P1699" t="s">
        <v>208</v>
      </c>
      <c r="Q1699" t="s">
        <v>209</v>
      </c>
    </row>
    <row r="1700" spans="1:17" x14ac:dyDescent="0.3">
      <c r="A1700" t="s">
        <v>3874</v>
      </c>
      <c r="C1700" t="s">
        <v>3875</v>
      </c>
      <c r="D1700" t="s">
        <v>3875</v>
      </c>
      <c r="E1700" s="5">
        <v>46275</v>
      </c>
      <c r="F1700" t="s">
        <v>204</v>
      </c>
      <c r="G1700" t="s">
        <v>255</v>
      </c>
      <c r="H1700">
        <v>2848</v>
      </c>
      <c r="I1700">
        <v>34.18</v>
      </c>
      <c r="J1700">
        <v>6.15</v>
      </c>
      <c r="K1700">
        <v>2807.67</v>
      </c>
      <c r="L1700" s="5">
        <v>46277</v>
      </c>
      <c r="M1700" t="s">
        <v>3797</v>
      </c>
      <c r="N1700" t="s">
        <v>207</v>
      </c>
      <c r="O1700" t="s">
        <v>3875</v>
      </c>
      <c r="P1700" t="s">
        <v>208</v>
      </c>
      <c r="Q1700" t="s">
        <v>209</v>
      </c>
    </row>
    <row r="1701" spans="1:17" x14ac:dyDescent="0.3">
      <c r="A1701" t="s">
        <v>3876</v>
      </c>
      <c r="C1701" t="s">
        <v>3877</v>
      </c>
      <c r="D1701" t="s">
        <v>3877</v>
      </c>
      <c r="E1701" s="5">
        <v>46275</v>
      </c>
      <c r="F1701" t="s">
        <v>204</v>
      </c>
      <c r="G1701" t="s">
        <v>220</v>
      </c>
      <c r="H1701">
        <v>4298</v>
      </c>
      <c r="I1701">
        <v>12.89</v>
      </c>
      <c r="J1701">
        <v>2.3199999999999998</v>
      </c>
      <c r="K1701">
        <v>4282.79</v>
      </c>
      <c r="L1701" s="5">
        <v>46277</v>
      </c>
      <c r="M1701" t="s">
        <v>3797</v>
      </c>
      <c r="N1701" t="s">
        <v>207</v>
      </c>
      <c r="O1701" t="s">
        <v>3877</v>
      </c>
      <c r="P1701" t="s">
        <v>208</v>
      </c>
      <c r="Q1701" t="s">
        <v>209</v>
      </c>
    </row>
    <row r="1702" spans="1:17" x14ac:dyDescent="0.3">
      <c r="A1702" t="s">
        <v>3878</v>
      </c>
      <c r="C1702" t="s">
        <v>3879</v>
      </c>
      <c r="D1702" t="s">
        <v>3879</v>
      </c>
      <c r="E1702" s="5">
        <v>46275</v>
      </c>
      <c r="F1702" t="s">
        <v>204</v>
      </c>
      <c r="G1702" t="s">
        <v>213</v>
      </c>
      <c r="H1702">
        <v>1299</v>
      </c>
      <c r="I1702">
        <v>23.38</v>
      </c>
      <c r="J1702">
        <v>4.21</v>
      </c>
      <c r="K1702">
        <v>1271.4100000000001</v>
      </c>
      <c r="L1702" s="5">
        <v>46277</v>
      </c>
      <c r="M1702" t="s">
        <v>3797</v>
      </c>
      <c r="N1702" t="s">
        <v>207</v>
      </c>
      <c r="O1702" t="s">
        <v>3879</v>
      </c>
      <c r="P1702" t="s">
        <v>208</v>
      </c>
      <c r="Q1702" t="s">
        <v>209</v>
      </c>
    </row>
    <row r="1703" spans="1:17" x14ac:dyDescent="0.3">
      <c r="A1703" t="s">
        <v>3880</v>
      </c>
      <c r="C1703" t="s">
        <v>3881</v>
      </c>
      <c r="D1703" t="s">
        <v>3881</v>
      </c>
      <c r="E1703" s="5">
        <v>46275</v>
      </c>
      <c r="F1703" t="s">
        <v>204</v>
      </c>
      <c r="G1703" t="s">
        <v>220</v>
      </c>
      <c r="H1703">
        <v>349</v>
      </c>
      <c r="I1703">
        <v>0</v>
      </c>
      <c r="J1703">
        <v>0</v>
      </c>
      <c r="K1703">
        <v>349</v>
      </c>
      <c r="L1703" s="5">
        <v>46277</v>
      </c>
      <c r="M1703" t="s">
        <v>3797</v>
      </c>
      <c r="N1703" t="s">
        <v>207</v>
      </c>
      <c r="O1703" t="s">
        <v>3881</v>
      </c>
      <c r="P1703" t="s">
        <v>208</v>
      </c>
      <c r="Q1703" t="s">
        <v>209</v>
      </c>
    </row>
    <row r="1704" spans="1:17" x14ac:dyDescent="0.3">
      <c r="A1704" t="s">
        <v>3882</v>
      </c>
      <c r="C1704" t="s">
        <v>3883</v>
      </c>
      <c r="D1704" t="s">
        <v>3884</v>
      </c>
      <c r="E1704" s="5">
        <v>46275</v>
      </c>
      <c r="F1704" t="s">
        <v>204</v>
      </c>
      <c r="G1704" t="s">
        <v>220</v>
      </c>
      <c r="H1704">
        <v>299</v>
      </c>
      <c r="I1704">
        <v>0</v>
      </c>
      <c r="J1704">
        <v>0</v>
      </c>
      <c r="K1704">
        <v>299</v>
      </c>
      <c r="L1704" s="5">
        <v>46277</v>
      </c>
      <c r="M1704" t="s">
        <v>3797</v>
      </c>
      <c r="N1704" t="s">
        <v>207</v>
      </c>
      <c r="O1704" t="s">
        <v>3884</v>
      </c>
      <c r="P1704" t="s">
        <v>208</v>
      </c>
      <c r="Q1704" t="s">
        <v>209</v>
      </c>
    </row>
    <row r="1705" spans="1:17" x14ac:dyDescent="0.3">
      <c r="A1705" t="s">
        <v>3885</v>
      </c>
      <c r="C1705" t="s">
        <v>3886</v>
      </c>
      <c r="D1705" t="s">
        <v>3886</v>
      </c>
      <c r="E1705" s="5">
        <v>46275</v>
      </c>
      <c r="F1705" t="s">
        <v>204</v>
      </c>
      <c r="G1705" t="s">
        <v>220</v>
      </c>
      <c r="H1705">
        <v>999</v>
      </c>
      <c r="I1705">
        <v>0</v>
      </c>
      <c r="J1705">
        <v>0</v>
      </c>
      <c r="K1705">
        <v>999</v>
      </c>
      <c r="L1705" s="5">
        <v>46277</v>
      </c>
      <c r="M1705" t="s">
        <v>3797</v>
      </c>
      <c r="N1705" t="s">
        <v>207</v>
      </c>
      <c r="O1705" t="s">
        <v>3886</v>
      </c>
      <c r="P1705" t="s">
        <v>208</v>
      </c>
      <c r="Q1705" t="s">
        <v>209</v>
      </c>
    </row>
    <row r="1706" spans="1:17" x14ac:dyDescent="0.3">
      <c r="A1706" t="s">
        <v>3887</v>
      </c>
      <c r="C1706" t="s">
        <v>3888</v>
      </c>
      <c r="D1706" t="s">
        <v>3888</v>
      </c>
      <c r="E1706" s="5">
        <v>46275</v>
      </c>
      <c r="F1706" t="s">
        <v>204</v>
      </c>
      <c r="G1706" t="s">
        <v>220</v>
      </c>
      <c r="H1706">
        <v>5298</v>
      </c>
      <c r="I1706">
        <v>15.89</v>
      </c>
      <c r="J1706">
        <v>2.86</v>
      </c>
      <c r="K1706">
        <v>5279.25</v>
      </c>
      <c r="L1706" s="5">
        <v>46277</v>
      </c>
      <c r="M1706" t="s">
        <v>3797</v>
      </c>
      <c r="N1706" t="s">
        <v>207</v>
      </c>
      <c r="O1706" t="s">
        <v>3888</v>
      </c>
      <c r="P1706" t="s">
        <v>208</v>
      </c>
      <c r="Q1706" t="s">
        <v>209</v>
      </c>
    </row>
    <row r="1707" spans="1:17" x14ac:dyDescent="0.3">
      <c r="A1707" t="s">
        <v>3889</v>
      </c>
      <c r="C1707" t="s">
        <v>3890</v>
      </c>
      <c r="D1707" t="s">
        <v>3890</v>
      </c>
      <c r="E1707" s="5">
        <v>46275</v>
      </c>
      <c r="F1707" t="s">
        <v>204</v>
      </c>
      <c r="G1707" t="s">
        <v>220</v>
      </c>
      <c r="H1707">
        <v>599</v>
      </c>
      <c r="I1707">
        <v>0</v>
      </c>
      <c r="J1707">
        <v>0</v>
      </c>
      <c r="K1707">
        <v>599</v>
      </c>
      <c r="L1707" s="5">
        <v>46277</v>
      </c>
      <c r="M1707" t="s">
        <v>3797</v>
      </c>
      <c r="N1707" t="s">
        <v>207</v>
      </c>
      <c r="O1707" t="s">
        <v>3890</v>
      </c>
      <c r="P1707" t="s">
        <v>208</v>
      </c>
      <c r="Q1707" t="s">
        <v>209</v>
      </c>
    </row>
    <row r="1708" spans="1:17" x14ac:dyDescent="0.3">
      <c r="A1708" t="s">
        <v>3891</v>
      </c>
      <c r="C1708" t="s">
        <v>3892</v>
      </c>
      <c r="D1708" t="s">
        <v>3892</v>
      </c>
      <c r="E1708" s="5">
        <v>46275</v>
      </c>
      <c r="F1708" t="s">
        <v>204</v>
      </c>
      <c r="G1708" t="s">
        <v>220</v>
      </c>
      <c r="H1708">
        <v>7999</v>
      </c>
      <c r="I1708">
        <v>24</v>
      </c>
      <c r="J1708">
        <v>4.32</v>
      </c>
      <c r="K1708">
        <v>7970.68</v>
      </c>
      <c r="L1708" s="5">
        <v>46277</v>
      </c>
      <c r="M1708" t="s">
        <v>3797</v>
      </c>
      <c r="N1708" t="s">
        <v>207</v>
      </c>
      <c r="O1708" t="s">
        <v>3892</v>
      </c>
      <c r="P1708" t="s">
        <v>208</v>
      </c>
      <c r="Q1708" t="s">
        <v>209</v>
      </c>
    </row>
    <row r="1709" spans="1:17" x14ac:dyDescent="0.3">
      <c r="A1709" t="s">
        <v>3893</v>
      </c>
      <c r="C1709" t="s">
        <v>3894</v>
      </c>
      <c r="D1709" t="s">
        <v>3894</v>
      </c>
      <c r="E1709" s="5">
        <v>46275</v>
      </c>
      <c r="F1709" t="s">
        <v>204</v>
      </c>
      <c r="G1709" t="s">
        <v>220</v>
      </c>
      <c r="H1709">
        <v>1799</v>
      </c>
      <c r="I1709">
        <v>0</v>
      </c>
      <c r="J1709">
        <v>0</v>
      </c>
      <c r="K1709">
        <v>1799</v>
      </c>
      <c r="L1709" s="5">
        <v>46277</v>
      </c>
      <c r="M1709" t="s">
        <v>3797</v>
      </c>
      <c r="N1709" t="s">
        <v>207</v>
      </c>
      <c r="O1709" t="s">
        <v>3894</v>
      </c>
      <c r="P1709" t="s">
        <v>208</v>
      </c>
      <c r="Q1709" t="s">
        <v>209</v>
      </c>
    </row>
    <row r="1710" spans="1:17" x14ac:dyDescent="0.3">
      <c r="A1710" t="s">
        <v>3895</v>
      </c>
      <c r="C1710" t="s">
        <v>3896</v>
      </c>
      <c r="D1710" t="s">
        <v>3896</v>
      </c>
      <c r="E1710" s="5">
        <v>46275</v>
      </c>
      <c r="F1710" t="s">
        <v>204</v>
      </c>
      <c r="G1710" t="s">
        <v>220</v>
      </c>
      <c r="H1710">
        <v>2098</v>
      </c>
      <c r="I1710">
        <v>6.29</v>
      </c>
      <c r="J1710">
        <v>1.1299999999999999</v>
      </c>
      <c r="K1710">
        <v>2090.58</v>
      </c>
      <c r="L1710" s="5">
        <v>46277</v>
      </c>
      <c r="M1710" t="s">
        <v>3797</v>
      </c>
      <c r="N1710" t="s">
        <v>207</v>
      </c>
      <c r="O1710" t="s">
        <v>3896</v>
      </c>
      <c r="P1710" t="s">
        <v>208</v>
      </c>
      <c r="Q1710" t="s">
        <v>209</v>
      </c>
    </row>
    <row r="1711" spans="1:17" x14ac:dyDescent="0.3">
      <c r="A1711" t="s">
        <v>3897</v>
      </c>
      <c r="C1711" t="s">
        <v>3898</v>
      </c>
      <c r="D1711" t="s">
        <v>3898</v>
      </c>
      <c r="E1711" s="5">
        <v>46275</v>
      </c>
      <c r="F1711" t="s">
        <v>204</v>
      </c>
      <c r="G1711" t="s">
        <v>220</v>
      </c>
      <c r="H1711">
        <v>5348</v>
      </c>
      <c r="I1711">
        <v>16.04</v>
      </c>
      <c r="J1711">
        <v>2.89</v>
      </c>
      <c r="K1711">
        <v>5329.07</v>
      </c>
      <c r="L1711" s="5">
        <v>46277</v>
      </c>
      <c r="M1711" t="s">
        <v>3797</v>
      </c>
      <c r="N1711" t="s">
        <v>207</v>
      </c>
      <c r="O1711" t="s">
        <v>3898</v>
      </c>
      <c r="P1711" t="s">
        <v>208</v>
      </c>
      <c r="Q1711" t="s">
        <v>209</v>
      </c>
    </row>
    <row r="1712" spans="1:17" x14ac:dyDescent="0.3">
      <c r="A1712" t="s">
        <v>3899</v>
      </c>
      <c r="C1712" t="s">
        <v>3900</v>
      </c>
      <c r="D1712" t="s">
        <v>3900</v>
      </c>
      <c r="E1712" s="5">
        <v>46275</v>
      </c>
      <c r="F1712" t="s">
        <v>204</v>
      </c>
      <c r="G1712" t="s">
        <v>205</v>
      </c>
      <c r="H1712">
        <v>599</v>
      </c>
      <c r="I1712">
        <v>11.38</v>
      </c>
      <c r="J1712">
        <v>2.0499999999999998</v>
      </c>
      <c r="K1712">
        <v>585.57000000000005</v>
      </c>
      <c r="L1712" s="5">
        <v>46277</v>
      </c>
      <c r="M1712" t="s">
        <v>3797</v>
      </c>
      <c r="N1712" t="s">
        <v>207</v>
      </c>
      <c r="O1712" t="s">
        <v>3900</v>
      </c>
      <c r="P1712" t="s">
        <v>208</v>
      </c>
      <c r="Q1712" t="s">
        <v>209</v>
      </c>
    </row>
    <row r="1713" spans="1:17" x14ac:dyDescent="0.3">
      <c r="A1713" t="s">
        <v>3901</v>
      </c>
      <c r="C1713" t="s">
        <v>3902</v>
      </c>
      <c r="D1713" t="s">
        <v>3902</v>
      </c>
      <c r="E1713" s="5">
        <v>46275</v>
      </c>
      <c r="F1713" t="s">
        <v>204</v>
      </c>
      <c r="G1713" t="s">
        <v>220</v>
      </c>
      <c r="H1713">
        <v>1799</v>
      </c>
      <c r="I1713">
        <v>0</v>
      </c>
      <c r="J1713">
        <v>0</v>
      </c>
      <c r="K1713">
        <v>1799</v>
      </c>
      <c r="L1713" s="5">
        <v>46277</v>
      </c>
      <c r="M1713" t="s">
        <v>3797</v>
      </c>
      <c r="N1713" t="s">
        <v>207</v>
      </c>
      <c r="O1713" t="s">
        <v>3902</v>
      </c>
      <c r="P1713" t="s">
        <v>208</v>
      </c>
      <c r="Q1713" t="s">
        <v>209</v>
      </c>
    </row>
    <row r="1714" spans="1:17" x14ac:dyDescent="0.3">
      <c r="A1714" t="s">
        <v>3903</v>
      </c>
      <c r="C1714" t="s">
        <v>3904</v>
      </c>
      <c r="D1714" t="s">
        <v>3904</v>
      </c>
      <c r="E1714" s="5">
        <v>46275</v>
      </c>
      <c r="F1714" t="s">
        <v>204</v>
      </c>
      <c r="G1714" t="s">
        <v>213</v>
      </c>
      <c r="H1714">
        <v>5298</v>
      </c>
      <c r="I1714">
        <v>84.77</v>
      </c>
      <c r="J1714">
        <v>15.26</v>
      </c>
      <c r="K1714">
        <v>5197.97</v>
      </c>
      <c r="L1714" s="5">
        <v>46277</v>
      </c>
      <c r="M1714" t="s">
        <v>3797</v>
      </c>
      <c r="N1714" t="s">
        <v>207</v>
      </c>
      <c r="O1714" t="s">
        <v>3904</v>
      </c>
      <c r="P1714" t="s">
        <v>208</v>
      </c>
      <c r="Q1714" t="s">
        <v>209</v>
      </c>
    </row>
    <row r="1715" spans="1:17" x14ac:dyDescent="0.3">
      <c r="A1715" t="s">
        <v>3905</v>
      </c>
      <c r="C1715" t="s">
        <v>3906</v>
      </c>
      <c r="D1715" t="s">
        <v>3906</v>
      </c>
      <c r="E1715" s="5">
        <v>46275</v>
      </c>
      <c r="F1715" t="s">
        <v>204</v>
      </c>
      <c r="G1715" t="s">
        <v>255</v>
      </c>
      <c r="H1715">
        <v>3098</v>
      </c>
      <c r="I1715">
        <v>37.18</v>
      </c>
      <c r="J1715">
        <v>6.69</v>
      </c>
      <c r="K1715">
        <v>3054.13</v>
      </c>
      <c r="L1715" s="5">
        <v>46277</v>
      </c>
      <c r="M1715" t="s">
        <v>3797</v>
      </c>
      <c r="N1715" t="s">
        <v>207</v>
      </c>
      <c r="O1715" t="s">
        <v>3906</v>
      </c>
      <c r="P1715" t="s">
        <v>208</v>
      </c>
      <c r="Q1715" t="s">
        <v>209</v>
      </c>
    </row>
    <row r="1716" spans="1:17" x14ac:dyDescent="0.3">
      <c r="A1716" t="s">
        <v>3907</v>
      </c>
      <c r="C1716" t="s">
        <v>3908</v>
      </c>
      <c r="D1716" t="s">
        <v>3908</v>
      </c>
      <c r="E1716" s="5">
        <v>46275</v>
      </c>
      <c r="F1716" t="s">
        <v>204</v>
      </c>
      <c r="G1716" t="s">
        <v>213</v>
      </c>
      <c r="H1716">
        <v>3098</v>
      </c>
      <c r="I1716">
        <v>49.57</v>
      </c>
      <c r="J1716">
        <v>8.92</v>
      </c>
      <c r="K1716">
        <v>3039.51</v>
      </c>
      <c r="L1716" s="5">
        <v>46277</v>
      </c>
      <c r="M1716" t="s">
        <v>3797</v>
      </c>
      <c r="N1716" t="s">
        <v>207</v>
      </c>
      <c r="O1716" t="s">
        <v>3908</v>
      </c>
      <c r="P1716" t="s">
        <v>208</v>
      </c>
      <c r="Q1716" t="s">
        <v>209</v>
      </c>
    </row>
    <row r="1717" spans="1:17" x14ac:dyDescent="0.3">
      <c r="A1717" t="s">
        <v>3909</v>
      </c>
      <c r="C1717" t="s">
        <v>3910</v>
      </c>
      <c r="D1717" t="s">
        <v>3911</v>
      </c>
      <c r="E1717" s="5">
        <v>46275</v>
      </c>
      <c r="F1717" t="s">
        <v>204</v>
      </c>
      <c r="G1717" t="s">
        <v>213</v>
      </c>
      <c r="H1717">
        <v>2499</v>
      </c>
      <c r="I1717">
        <v>39.979999999999997</v>
      </c>
      <c r="J1717">
        <v>7.2</v>
      </c>
      <c r="K1717">
        <v>2451.8200000000002</v>
      </c>
      <c r="L1717" s="5">
        <v>46277</v>
      </c>
      <c r="M1717" t="s">
        <v>3797</v>
      </c>
      <c r="N1717" t="s">
        <v>207</v>
      </c>
      <c r="O1717" t="s">
        <v>3911</v>
      </c>
      <c r="P1717" t="s">
        <v>208</v>
      </c>
      <c r="Q1717" t="s">
        <v>209</v>
      </c>
    </row>
    <row r="1718" spans="1:17" x14ac:dyDescent="0.3">
      <c r="A1718" t="s">
        <v>3912</v>
      </c>
      <c r="C1718" t="s">
        <v>3913</v>
      </c>
      <c r="D1718" t="s">
        <v>3913</v>
      </c>
      <c r="E1718" s="5">
        <v>46275</v>
      </c>
      <c r="F1718" t="s">
        <v>204</v>
      </c>
      <c r="G1718" t="s">
        <v>220</v>
      </c>
      <c r="H1718">
        <v>2999</v>
      </c>
      <c r="I1718">
        <v>9</v>
      </c>
      <c r="J1718">
        <v>1.62</v>
      </c>
      <c r="K1718">
        <v>2988.38</v>
      </c>
      <c r="L1718" s="5">
        <v>46277</v>
      </c>
      <c r="M1718" t="s">
        <v>3797</v>
      </c>
      <c r="N1718" t="s">
        <v>207</v>
      </c>
      <c r="O1718" t="s">
        <v>3913</v>
      </c>
      <c r="P1718" t="s">
        <v>208</v>
      </c>
      <c r="Q1718" t="s">
        <v>209</v>
      </c>
    </row>
    <row r="1719" spans="1:17" x14ac:dyDescent="0.3">
      <c r="A1719" t="s">
        <v>3914</v>
      </c>
      <c r="C1719" t="s">
        <v>3915</v>
      </c>
      <c r="D1719" t="s">
        <v>3915</v>
      </c>
      <c r="E1719" s="5">
        <v>46275</v>
      </c>
      <c r="F1719" t="s">
        <v>204</v>
      </c>
      <c r="G1719" t="s">
        <v>213</v>
      </c>
      <c r="H1719">
        <v>299</v>
      </c>
      <c r="I1719">
        <v>5.38</v>
      </c>
      <c r="J1719">
        <v>0.97</v>
      </c>
      <c r="K1719">
        <v>292.64999999999998</v>
      </c>
      <c r="L1719" s="5">
        <v>46277</v>
      </c>
      <c r="M1719" t="s">
        <v>3797</v>
      </c>
      <c r="N1719" t="s">
        <v>207</v>
      </c>
      <c r="O1719" t="s">
        <v>3915</v>
      </c>
      <c r="P1719" t="s">
        <v>208</v>
      </c>
      <c r="Q1719" t="s">
        <v>209</v>
      </c>
    </row>
    <row r="1720" spans="1:17" x14ac:dyDescent="0.3">
      <c r="A1720" t="s">
        <v>3916</v>
      </c>
      <c r="C1720" t="s">
        <v>3917</v>
      </c>
      <c r="D1720" t="s">
        <v>3917</v>
      </c>
      <c r="E1720" s="5">
        <v>46275</v>
      </c>
      <c r="F1720" t="s">
        <v>204</v>
      </c>
      <c r="G1720" t="s">
        <v>220</v>
      </c>
      <c r="H1720">
        <v>3298</v>
      </c>
      <c r="I1720">
        <v>9.89</v>
      </c>
      <c r="J1720">
        <v>1.78</v>
      </c>
      <c r="K1720">
        <v>3286.33</v>
      </c>
      <c r="L1720" s="5">
        <v>46277</v>
      </c>
      <c r="M1720" t="s">
        <v>3797</v>
      </c>
      <c r="N1720" t="s">
        <v>207</v>
      </c>
      <c r="O1720" t="s">
        <v>3917</v>
      </c>
      <c r="P1720" t="s">
        <v>208</v>
      </c>
      <c r="Q1720" t="s">
        <v>209</v>
      </c>
    </row>
    <row r="1721" spans="1:17" x14ac:dyDescent="0.3">
      <c r="A1721" t="s">
        <v>3918</v>
      </c>
      <c r="C1721" t="s">
        <v>3919</v>
      </c>
      <c r="D1721" t="s">
        <v>3919</v>
      </c>
      <c r="E1721" s="5">
        <v>46275</v>
      </c>
      <c r="F1721" t="s">
        <v>204</v>
      </c>
      <c r="G1721" t="s">
        <v>205</v>
      </c>
      <c r="H1721">
        <v>2499</v>
      </c>
      <c r="I1721">
        <v>59.98</v>
      </c>
      <c r="J1721">
        <v>10.8</v>
      </c>
      <c r="K1721">
        <v>2428.2199999999998</v>
      </c>
      <c r="L1721" s="5">
        <v>46277</v>
      </c>
      <c r="M1721" t="s">
        <v>3797</v>
      </c>
      <c r="N1721" t="s">
        <v>207</v>
      </c>
      <c r="O1721" t="s">
        <v>3919</v>
      </c>
      <c r="P1721" t="s">
        <v>208</v>
      </c>
      <c r="Q1721" t="s">
        <v>209</v>
      </c>
    </row>
    <row r="1722" spans="1:17" x14ac:dyDescent="0.3">
      <c r="A1722" t="s">
        <v>3920</v>
      </c>
      <c r="C1722" t="s">
        <v>3921</v>
      </c>
      <c r="D1722" t="s">
        <v>3921</v>
      </c>
      <c r="E1722" s="5">
        <v>46275</v>
      </c>
      <c r="F1722" t="s">
        <v>204</v>
      </c>
      <c r="G1722" t="s">
        <v>213</v>
      </c>
      <c r="H1722">
        <v>2499</v>
      </c>
      <c r="I1722">
        <v>39.979999999999997</v>
      </c>
      <c r="J1722">
        <v>7.2</v>
      </c>
      <c r="K1722">
        <v>2451.8200000000002</v>
      </c>
      <c r="L1722" s="5">
        <v>46277</v>
      </c>
      <c r="M1722" t="s">
        <v>3797</v>
      </c>
      <c r="N1722" t="s">
        <v>207</v>
      </c>
      <c r="O1722" t="s">
        <v>3921</v>
      </c>
      <c r="P1722" t="s">
        <v>208</v>
      </c>
      <c r="Q1722" t="s">
        <v>209</v>
      </c>
    </row>
    <row r="1723" spans="1:17" x14ac:dyDescent="0.3">
      <c r="A1723" t="s">
        <v>3922</v>
      </c>
      <c r="C1723" t="s">
        <v>3923</v>
      </c>
      <c r="D1723" t="s">
        <v>3923</v>
      </c>
      <c r="E1723" s="5">
        <v>46275</v>
      </c>
      <c r="F1723" t="s">
        <v>204</v>
      </c>
      <c r="G1723" t="s">
        <v>220</v>
      </c>
      <c r="H1723">
        <v>1299</v>
      </c>
      <c r="I1723">
        <v>0</v>
      </c>
      <c r="J1723">
        <v>0</v>
      </c>
      <c r="K1723">
        <v>1299</v>
      </c>
      <c r="L1723" s="5">
        <v>46277</v>
      </c>
      <c r="M1723" t="s">
        <v>3797</v>
      </c>
      <c r="N1723" t="s">
        <v>207</v>
      </c>
      <c r="O1723" t="s">
        <v>3923</v>
      </c>
      <c r="P1723" t="s">
        <v>208</v>
      </c>
      <c r="Q1723" t="s">
        <v>209</v>
      </c>
    </row>
    <row r="1724" spans="1:17" x14ac:dyDescent="0.3">
      <c r="A1724" t="s">
        <v>3924</v>
      </c>
      <c r="C1724" t="s">
        <v>3925</v>
      </c>
      <c r="D1724" t="s">
        <v>3925</v>
      </c>
      <c r="E1724" s="5">
        <v>46275</v>
      </c>
      <c r="F1724" t="s">
        <v>204</v>
      </c>
      <c r="G1724" t="s">
        <v>205</v>
      </c>
      <c r="H1724">
        <v>3997</v>
      </c>
      <c r="I1724">
        <v>67.95</v>
      </c>
      <c r="J1724">
        <v>12.23</v>
      </c>
      <c r="K1724">
        <v>3916.82</v>
      </c>
      <c r="L1724" s="5">
        <v>46277</v>
      </c>
      <c r="M1724" t="s">
        <v>3797</v>
      </c>
      <c r="N1724" t="s">
        <v>207</v>
      </c>
      <c r="O1724" t="s">
        <v>3925</v>
      </c>
      <c r="P1724" t="s">
        <v>208</v>
      </c>
      <c r="Q1724" t="s">
        <v>209</v>
      </c>
    </row>
    <row r="1725" spans="1:17" x14ac:dyDescent="0.3">
      <c r="A1725" t="s">
        <v>3926</v>
      </c>
      <c r="C1725" t="s">
        <v>3927</v>
      </c>
      <c r="D1725" t="s">
        <v>3927</v>
      </c>
      <c r="E1725" s="5">
        <v>46275</v>
      </c>
      <c r="F1725" t="s">
        <v>204</v>
      </c>
      <c r="G1725" t="s">
        <v>220</v>
      </c>
      <c r="H1725">
        <v>349</v>
      </c>
      <c r="I1725">
        <v>0</v>
      </c>
      <c r="J1725">
        <v>0</v>
      </c>
      <c r="K1725">
        <v>349</v>
      </c>
      <c r="L1725" s="5">
        <v>46277</v>
      </c>
      <c r="M1725" t="s">
        <v>3797</v>
      </c>
      <c r="N1725" t="s">
        <v>207</v>
      </c>
      <c r="O1725" t="s">
        <v>3927</v>
      </c>
      <c r="P1725" t="s">
        <v>208</v>
      </c>
      <c r="Q1725" t="s">
        <v>209</v>
      </c>
    </row>
    <row r="1726" spans="1:17" x14ac:dyDescent="0.3">
      <c r="A1726" t="s">
        <v>3928</v>
      </c>
      <c r="C1726" t="s">
        <v>3929</v>
      </c>
      <c r="D1726" t="s">
        <v>3929</v>
      </c>
      <c r="E1726" s="5">
        <v>46275</v>
      </c>
      <c r="F1726" t="s">
        <v>204</v>
      </c>
      <c r="G1726" t="s">
        <v>220</v>
      </c>
      <c r="H1726">
        <v>4798</v>
      </c>
      <c r="I1726">
        <v>14.39</v>
      </c>
      <c r="J1726">
        <v>2.59</v>
      </c>
      <c r="K1726">
        <v>4781.0200000000004</v>
      </c>
      <c r="L1726" s="5">
        <v>46277</v>
      </c>
      <c r="M1726" t="s">
        <v>3797</v>
      </c>
      <c r="N1726" t="s">
        <v>207</v>
      </c>
      <c r="O1726" t="s">
        <v>3929</v>
      </c>
      <c r="P1726" t="s">
        <v>208</v>
      </c>
      <c r="Q1726" t="s">
        <v>209</v>
      </c>
    </row>
    <row r="1727" spans="1:17" x14ac:dyDescent="0.3">
      <c r="A1727" t="s">
        <v>3930</v>
      </c>
      <c r="C1727" t="s">
        <v>3931</v>
      </c>
      <c r="D1727" t="s">
        <v>3931</v>
      </c>
      <c r="E1727" s="5">
        <v>46275</v>
      </c>
      <c r="F1727" t="s">
        <v>204</v>
      </c>
      <c r="G1727" t="s">
        <v>220</v>
      </c>
      <c r="H1727">
        <v>1898</v>
      </c>
      <c r="I1727">
        <v>0</v>
      </c>
      <c r="J1727">
        <v>0</v>
      </c>
      <c r="K1727">
        <v>1898</v>
      </c>
      <c r="L1727" s="5">
        <v>46277</v>
      </c>
      <c r="M1727" t="s">
        <v>3797</v>
      </c>
      <c r="N1727" t="s">
        <v>207</v>
      </c>
      <c r="O1727" t="s">
        <v>3931</v>
      </c>
      <c r="P1727" t="s">
        <v>208</v>
      </c>
      <c r="Q1727" t="s">
        <v>209</v>
      </c>
    </row>
    <row r="1728" spans="1:17" x14ac:dyDescent="0.3">
      <c r="A1728" t="s">
        <v>3932</v>
      </c>
      <c r="C1728" t="s">
        <v>3933</v>
      </c>
      <c r="D1728" t="s">
        <v>3933</v>
      </c>
      <c r="E1728" s="5">
        <v>46275</v>
      </c>
      <c r="F1728" t="s">
        <v>204</v>
      </c>
      <c r="G1728" t="s">
        <v>213</v>
      </c>
      <c r="H1728">
        <v>948</v>
      </c>
      <c r="I1728">
        <v>17.059999999999999</v>
      </c>
      <c r="J1728">
        <v>3.07</v>
      </c>
      <c r="K1728">
        <v>927.87</v>
      </c>
      <c r="L1728" s="5">
        <v>46277</v>
      </c>
      <c r="M1728" t="s">
        <v>3797</v>
      </c>
      <c r="N1728" t="s">
        <v>207</v>
      </c>
      <c r="O1728" t="s">
        <v>3933</v>
      </c>
      <c r="P1728" t="s">
        <v>208</v>
      </c>
      <c r="Q1728" t="s">
        <v>209</v>
      </c>
    </row>
    <row r="1729" spans="1:17" x14ac:dyDescent="0.3">
      <c r="A1729" t="s">
        <v>3934</v>
      </c>
      <c r="C1729" t="s">
        <v>3935</v>
      </c>
      <c r="D1729" t="s">
        <v>3936</v>
      </c>
      <c r="E1729" s="5">
        <v>46275</v>
      </c>
      <c r="F1729" t="s">
        <v>204</v>
      </c>
      <c r="G1729" t="s">
        <v>220</v>
      </c>
      <c r="H1729">
        <v>3499</v>
      </c>
      <c r="I1729">
        <v>10.5</v>
      </c>
      <c r="J1729">
        <v>1.89</v>
      </c>
      <c r="K1729">
        <v>3486.61</v>
      </c>
      <c r="L1729" s="5">
        <v>46277</v>
      </c>
      <c r="M1729" t="s">
        <v>3797</v>
      </c>
      <c r="N1729" t="s">
        <v>207</v>
      </c>
      <c r="O1729" t="s">
        <v>3936</v>
      </c>
      <c r="P1729" t="s">
        <v>208</v>
      </c>
      <c r="Q1729" t="s">
        <v>209</v>
      </c>
    </row>
    <row r="1730" spans="1:17" x14ac:dyDescent="0.3">
      <c r="A1730" t="s">
        <v>3937</v>
      </c>
      <c r="C1730" t="s">
        <v>3938</v>
      </c>
      <c r="D1730" t="s">
        <v>3939</v>
      </c>
      <c r="E1730" s="5">
        <v>46275</v>
      </c>
      <c r="F1730" t="s">
        <v>204</v>
      </c>
      <c r="G1730" t="s">
        <v>220</v>
      </c>
      <c r="H1730">
        <v>4999</v>
      </c>
      <c r="I1730">
        <v>15</v>
      </c>
      <c r="J1730">
        <v>2.7</v>
      </c>
      <c r="K1730">
        <v>4981.3</v>
      </c>
      <c r="L1730" s="5">
        <v>46277</v>
      </c>
      <c r="M1730" t="s">
        <v>3797</v>
      </c>
      <c r="N1730" t="s">
        <v>207</v>
      </c>
      <c r="O1730" t="s">
        <v>3939</v>
      </c>
      <c r="P1730" t="s">
        <v>208</v>
      </c>
      <c r="Q1730" t="s">
        <v>209</v>
      </c>
    </row>
    <row r="1731" spans="1:17" x14ac:dyDescent="0.3">
      <c r="A1731" t="s">
        <v>3940</v>
      </c>
      <c r="C1731" t="s">
        <v>3941</v>
      </c>
      <c r="D1731" t="s">
        <v>3942</v>
      </c>
      <c r="E1731" s="5">
        <v>46275</v>
      </c>
      <c r="F1731" t="s">
        <v>204</v>
      </c>
      <c r="G1731" t="s">
        <v>220</v>
      </c>
      <c r="H1731">
        <v>4397</v>
      </c>
      <c r="I1731">
        <v>13.19</v>
      </c>
      <c r="J1731">
        <v>2.37</v>
      </c>
      <c r="K1731">
        <v>4381.4399999999996</v>
      </c>
      <c r="L1731" s="5">
        <v>46277</v>
      </c>
      <c r="M1731" t="s">
        <v>3797</v>
      </c>
      <c r="N1731" t="s">
        <v>207</v>
      </c>
      <c r="O1731" t="s">
        <v>3942</v>
      </c>
      <c r="P1731" t="s">
        <v>208</v>
      </c>
      <c r="Q1731" t="s">
        <v>209</v>
      </c>
    </row>
    <row r="1732" spans="1:17" x14ac:dyDescent="0.3">
      <c r="A1732" t="s">
        <v>3943</v>
      </c>
      <c r="C1732" t="s">
        <v>3944</v>
      </c>
      <c r="D1732" t="s">
        <v>3944</v>
      </c>
      <c r="E1732" s="5">
        <v>46275</v>
      </c>
      <c r="F1732" t="s">
        <v>204</v>
      </c>
      <c r="G1732" t="s">
        <v>220</v>
      </c>
      <c r="H1732">
        <v>2398</v>
      </c>
      <c r="I1732">
        <v>7.19</v>
      </c>
      <c r="J1732">
        <v>1.29</v>
      </c>
      <c r="K1732">
        <v>2389.52</v>
      </c>
      <c r="L1732" s="5">
        <v>46277</v>
      </c>
      <c r="M1732" t="s">
        <v>3797</v>
      </c>
      <c r="N1732" t="s">
        <v>207</v>
      </c>
      <c r="O1732" t="s">
        <v>3944</v>
      </c>
      <c r="P1732" t="s">
        <v>208</v>
      </c>
      <c r="Q1732" t="s">
        <v>209</v>
      </c>
    </row>
    <row r="1733" spans="1:17" x14ac:dyDescent="0.3">
      <c r="A1733" t="s">
        <v>3945</v>
      </c>
      <c r="C1733" t="s">
        <v>3946</v>
      </c>
      <c r="D1733" t="s">
        <v>3947</v>
      </c>
      <c r="E1733" s="5">
        <v>46275</v>
      </c>
      <c r="F1733" t="s">
        <v>204</v>
      </c>
      <c r="G1733" t="s">
        <v>220</v>
      </c>
      <c r="H1733">
        <v>3098</v>
      </c>
      <c r="I1733">
        <v>9.2899999999999991</v>
      </c>
      <c r="J1733">
        <v>1.67</v>
      </c>
      <c r="K1733">
        <v>3087.04</v>
      </c>
      <c r="L1733" s="5">
        <v>46277</v>
      </c>
      <c r="M1733" t="s">
        <v>3797</v>
      </c>
      <c r="N1733" t="s">
        <v>207</v>
      </c>
      <c r="O1733" t="s">
        <v>3947</v>
      </c>
      <c r="P1733" t="s">
        <v>208</v>
      </c>
      <c r="Q1733" t="s">
        <v>209</v>
      </c>
    </row>
    <row r="1734" spans="1:17" x14ac:dyDescent="0.3">
      <c r="A1734" t="s">
        <v>3948</v>
      </c>
      <c r="C1734" t="s">
        <v>3949</v>
      </c>
      <c r="D1734" t="s">
        <v>3949</v>
      </c>
      <c r="E1734" s="5">
        <v>46275</v>
      </c>
      <c r="F1734" t="s">
        <v>204</v>
      </c>
      <c r="G1734" t="s">
        <v>255</v>
      </c>
      <c r="H1734">
        <v>499</v>
      </c>
      <c r="I1734">
        <v>7.49</v>
      </c>
      <c r="J1734">
        <v>1.35</v>
      </c>
      <c r="K1734">
        <v>490.16</v>
      </c>
      <c r="L1734" s="5">
        <v>46277</v>
      </c>
      <c r="M1734" t="s">
        <v>3797</v>
      </c>
      <c r="N1734" t="s">
        <v>207</v>
      </c>
      <c r="O1734" t="s">
        <v>3949</v>
      </c>
      <c r="P1734" t="s">
        <v>208</v>
      </c>
      <c r="Q1734" t="s">
        <v>209</v>
      </c>
    </row>
    <row r="1735" spans="1:17" x14ac:dyDescent="0.3">
      <c r="A1735" t="s">
        <v>3950</v>
      </c>
      <c r="C1735" t="s">
        <v>3951</v>
      </c>
      <c r="D1735" t="s">
        <v>3951</v>
      </c>
      <c r="E1735" s="5">
        <v>46275</v>
      </c>
      <c r="F1735" t="s">
        <v>204</v>
      </c>
      <c r="G1735" t="s">
        <v>220</v>
      </c>
      <c r="H1735">
        <v>1598</v>
      </c>
      <c r="I1735">
        <v>0</v>
      </c>
      <c r="J1735">
        <v>0</v>
      </c>
      <c r="K1735">
        <v>1598</v>
      </c>
      <c r="L1735" s="5">
        <v>46277</v>
      </c>
      <c r="M1735" t="s">
        <v>3797</v>
      </c>
      <c r="N1735" t="s">
        <v>207</v>
      </c>
      <c r="O1735" t="s">
        <v>3951</v>
      </c>
      <c r="P1735" t="s">
        <v>208</v>
      </c>
      <c r="Q1735" t="s">
        <v>209</v>
      </c>
    </row>
    <row r="1736" spans="1:17" x14ac:dyDescent="0.3">
      <c r="A1736" t="s">
        <v>3952</v>
      </c>
      <c r="C1736" t="s">
        <v>3953</v>
      </c>
      <c r="D1736" t="s">
        <v>3953</v>
      </c>
      <c r="E1736" s="5">
        <v>46275</v>
      </c>
      <c r="F1736" t="s">
        <v>204</v>
      </c>
      <c r="G1736" t="s">
        <v>220</v>
      </c>
      <c r="H1736">
        <v>1598</v>
      </c>
      <c r="I1736">
        <v>0</v>
      </c>
      <c r="J1736">
        <v>0</v>
      </c>
      <c r="K1736">
        <v>1598</v>
      </c>
      <c r="L1736" s="5">
        <v>46277</v>
      </c>
      <c r="M1736" t="s">
        <v>3797</v>
      </c>
      <c r="N1736" t="s">
        <v>207</v>
      </c>
      <c r="O1736" t="s">
        <v>3953</v>
      </c>
      <c r="P1736" t="s">
        <v>208</v>
      </c>
      <c r="Q1736" t="s">
        <v>209</v>
      </c>
    </row>
    <row r="1737" spans="1:17" x14ac:dyDescent="0.3">
      <c r="A1737" t="s">
        <v>3954</v>
      </c>
      <c r="C1737" t="s">
        <v>3955</v>
      </c>
      <c r="D1737" t="s">
        <v>3955</v>
      </c>
      <c r="E1737" s="5">
        <v>46275</v>
      </c>
      <c r="F1737" t="s">
        <v>204</v>
      </c>
      <c r="G1737" t="s">
        <v>213</v>
      </c>
      <c r="H1737">
        <v>2147</v>
      </c>
      <c r="I1737">
        <v>34.35</v>
      </c>
      <c r="J1737">
        <v>6.18</v>
      </c>
      <c r="K1737">
        <v>2106.4699999999998</v>
      </c>
      <c r="L1737" s="5">
        <v>46277</v>
      </c>
      <c r="M1737" t="s">
        <v>3797</v>
      </c>
      <c r="N1737" t="s">
        <v>207</v>
      </c>
      <c r="O1737" t="s">
        <v>3955</v>
      </c>
      <c r="P1737" t="s">
        <v>208</v>
      </c>
      <c r="Q1737" t="s">
        <v>209</v>
      </c>
    </row>
    <row r="1738" spans="1:17" x14ac:dyDescent="0.3">
      <c r="A1738" t="s">
        <v>3956</v>
      </c>
      <c r="C1738" t="s">
        <v>3957</v>
      </c>
      <c r="D1738" t="s">
        <v>3957</v>
      </c>
      <c r="E1738" s="5">
        <v>46275</v>
      </c>
      <c r="F1738" t="s">
        <v>204</v>
      </c>
      <c r="G1738" t="s">
        <v>220</v>
      </c>
      <c r="H1738">
        <v>3098</v>
      </c>
      <c r="I1738">
        <v>9.2899999999999991</v>
      </c>
      <c r="J1738">
        <v>1.67</v>
      </c>
      <c r="K1738">
        <v>3087.04</v>
      </c>
      <c r="L1738" s="5">
        <v>46277</v>
      </c>
      <c r="M1738" t="s">
        <v>3797</v>
      </c>
      <c r="N1738" t="s">
        <v>207</v>
      </c>
      <c r="O1738" t="s">
        <v>3957</v>
      </c>
      <c r="P1738" t="s">
        <v>208</v>
      </c>
      <c r="Q1738" t="s">
        <v>209</v>
      </c>
    </row>
    <row r="1739" spans="1:17" x14ac:dyDescent="0.3">
      <c r="A1739" t="s">
        <v>3958</v>
      </c>
      <c r="C1739" t="s">
        <v>3959</v>
      </c>
      <c r="D1739" t="s">
        <v>3959</v>
      </c>
      <c r="E1739" s="5">
        <v>46275</v>
      </c>
      <c r="F1739" t="s">
        <v>204</v>
      </c>
      <c r="G1739" t="s">
        <v>220</v>
      </c>
      <c r="H1739">
        <v>349</v>
      </c>
      <c r="I1739">
        <v>0</v>
      </c>
      <c r="J1739">
        <v>0</v>
      </c>
      <c r="K1739">
        <v>349</v>
      </c>
      <c r="L1739" s="5">
        <v>46277</v>
      </c>
      <c r="M1739" t="s">
        <v>3797</v>
      </c>
      <c r="N1739" t="s">
        <v>207</v>
      </c>
      <c r="O1739" t="s">
        <v>3959</v>
      </c>
      <c r="P1739" t="s">
        <v>208</v>
      </c>
      <c r="Q1739" t="s">
        <v>209</v>
      </c>
    </row>
    <row r="1740" spans="1:17" x14ac:dyDescent="0.3">
      <c r="A1740" t="s">
        <v>3960</v>
      </c>
      <c r="C1740" t="s">
        <v>3961</v>
      </c>
      <c r="D1740" t="s">
        <v>3961</v>
      </c>
      <c r="E1740" s="5">
        <v>46275</v>
      </c>
      <c r="F1740" t="s">
        <v>204</v>
      </c>
      <c r="G1740" t="s">
        <v>220</v>
      </c>
      <c r="H1740">
        <v>2798</v>
      </c>
      <c r="I1740">
        <v>8.39</v>
      </c>
      <c r="J1740">
        <v>1.51</v>
      </c>
      <c r="K1740">
        <v>2788.1</v>
      </c>
      <c r="L1740" s="5">
        <v>46277</v>
      </c>
      <c r="M1740" t="s">
        <v>3797</v>
      </c>
      <c r="N1740" t="s">
        <v>207</v>
      </c>
      <c r="O1740" t="s">
        <v>3961</v>
      </c>
      <c r="P1740" t="s">
        <v>208</v>
      </c>
      <c r="Q1740" t="s">
        <v>209</v>
      </c>
    </row>
    <row r="1741" spans="1:17" x14ac:dyDescent="0.3">
      <c r="A1741" t="s">
        <v>3962</v>
      </c>
      <c r="C1741" t="s">
        <v>3963</v>
      </c>
      <c r="D1741" t="s">
        <v>3963</v>
      </c>
      <c r="E1741" s="5">
        <v>46275</v>
      </c>
      <c r="F1741" t="s">
        <v>204</v>
      </c>
      <c r="G1741" t="s">
        <v>213</v>
      </c>
      <c r="H1741">
        <v>4999</v>
      </c>
      <c r="I1741">
        <v>79.98</v>
      </c>
      <c r="J1741">
        <v>14.4</v>
      </c>
      <c r="K1741">
        <v>4904.62</v>
      </c>
      <c r="L1741" s="5">
        <v>46277</v>
      </c>
      <c r="M1741" t="s">
        <v>3797</v>
      </c>
      <c r="N1741" t="s">
        <v>207</v>
      </c>
      <c r="O1741" t="s">
        <v>3963</v>
      </c>
      <c r="P1741" t="s">
        <v>208</v>
      </c>
      <c r="Q1741" t="s">
        <v>209</v>
      </c>
    </row>
    <row r="1742" spans="1:17" x14ac:dyDescent="0.3">
      <c r="A1742" t="s">
        <v>3964</v>
      </c>
      <c r="C1742" t="s">
        <v>3965</v>
      </c>
      <c r="D1742" t="s">
        <v>3965</v>
      </c>
      <c r="E1742" s="5">
        <v>46275</v>
      </c>
      <c r="F1742" t="s">
        <v>204</v>
      </c>
      <c r="G1742" t="s">
        <v>220</v>
      </c>
      <c r="H1742">
        <v>3499</v>
      </c>
      <c r="I1742">
        <v>10.5</v>
      </c>
      <c r="J1742">
        <v>1.89</v>
      </c>
      <c r="K1742">
        <v>3486.61</v>
      </c>
      <c r="L1742" s="5">
        <v>46277</v>
      </c>
      <c r="M1742" t="s">
        <v>3797</v>
      </c>
      <c r="N1742" t="s">
        <v>207</v>
      </c>
      <c r="O1742" t="s">
        <v>3965</v>
      </c>
      <c r="P1742" t="s">
        <v>208</v>
      </c>
      <c r="Q1742" t="s">
        <v>209</v>
      </c>
    </row>
    <row r="1743" spans="1:17" x14ac:dyDescent="0.3">
      <c r="A1743" t="s">
        <v>3966</v>
      </c>
      <c r="C1743" t="s">
        <v>3967</v>
      </c>
      <c r="D1743" t="s">
        <v>3968</v>
      </c>
      <c r="E1743" s="5">
        <v>46275</v>
      </c>
      <c r="F1743" t="s">
        <v>204</v>
      </c>
      <c r="G1743" t="s">
        <v>255</v>
      </c>
      <c r="H1743">
        <v>2798</v>
      </c>
      <c r="I1743">
        <v>33.58</v>
      </c>
      <c r="J1743">
        <v>6.04</v>
      </c>
      <c r="K1743">
        <v>2758.38</v>
      </c>
      <c r="L1743" s="5">
        <v>46277</v>
      </c>
      <c r="M1743" t="s">
        <v>3797</v>
      </c>
      <c r="N1743" t="s">
        <v>207</v>
      </c>
      <c r="O1743" t="s">
        <v>3968</v>
      </c>
      <c r="P1743" t="s">
        <v>208</v>
      </c>
      <c r="Q1743" t="s">
        <v>209</v>
      </c>
    </row>
    <row r="1744" spans="1:17" x14ac:dyDescent="0.3">
      <c r="A1744" t="s">
        <v>3969</v>
      </c>
      <c r="C1744" t="s">
        <v>3970</v>
      </c>
      <c r="D1744" t="s">
        <v>3970</v>
      </c>
      <c r="E1744" s="5">
        <v>46275</v>
      </c>
      <c r="F1744" t="s">
        <v>204</v>
      </c>
      <c r="G1744" t="s">
        <v>213</v>
      </c>
      <c r="H1744">
        <v>349</v>
      </c>
      <c r="I1744">
        <v>6.28</v>
      </c>
      <c r="J1744">
        <v>1.1299999999999999</v>
      </c>
      <c r="K1744">
        <v>341.59</v>
      </c>
      <c r="L1744" s="5">
        <v>46277</v>
      </c>
      <c r="M1744" t="s">
        <v>3797</v>
      </c>
      <c r="N1744" t="s">
        <v>207</v>
      </c>
      <c r="O1744" t="s">
        <v>3970</v>
      </c>
      <c r="P1744" t="s">
        <v>208</v>
      </c>
      <c r="Q1744" t="s">
        <v>209</v>
      </c>
    </row>
    <row r="1745" spans="1:17" x14ac:dyDescent="0.3">
      <c r="A1745" t="s">
        <v>3971</v>
      </c>
      <c r="C1745" t="s">
        <v>3972</v>
      </c>
      <c r="D1745" t="s">
        <v>3972</v>
      </c>
      <c r="E1745" s="5">
        <v>46275</v>
      </c>
      <c r="F1745" t="s">
        <v>204</v>
      </c>
      <c r="G1745" t="s">
        <v>205</v>
      </c>
      <c r="H1745">
        <v>7999</v>
      </c>
      <c r="I1745">
        <v>135.97999999999999</v>
      </c>
      <c r="J1745">
        <v>24.48</v>
      </c>
      <c r="K1745">
        <v>7838.54</v>
      </c>
      <c r="L1745" s="5">
        <v>46277</v>
      </c>
      <c r="M1745" t="s">
        <v>3797</v>
      </c>
      <c r="N1745" t="s">
        <v>207</v>
      </c>
      <c r="O1745" t="s">
        <v>3972</v>
      </c>
      <c r="P1745" t="s">
        <v>208</v>
      </c>
      <c r="Q1745" t="s">
        <v>209</v>
      </c>
    </row>
    <row r="1746" spans="1:17" x14ac:dyDescent="0.3">
      <c r="A1746" t="s">
        <v>3973</v>
      </c>
      <c r="C1746" t="s">
        <v>3974</v>
      </c>
      <c r="D1746" t="s">
        <v>3974</v>
      </c>
      <c r="E1746" s="5">
        <v>46275</v>
      </c>
      <c r="F1746" t="s">
        <v>204</v>
      </c>
      <c r="G1746" t="s">
        <v>205</v>
      </c>
      <c r="H1746">
        <v>1147</v>
      </c>
      <c r="I1746">
        <v>21.79</v>
      </c>
      <c r="J1746">
        <v>3.92</v>
      </c>
      <c r="K1746">
        <v>1121.29</v>
      </c>
      <c r="L1746" s="5">
        <v>46277</v>
      </c>
      <c r="M1746" t="s">
        <v>3797</v>
      </c>
      <c r="N1746" t="s">
        <v>207</v>
      </c>
      <c r="O1746" t="s">
        <v>3974</v>
      </c>
      <c r="P1746" t="s">
        <v>208</v>
      </c>
      <c r="Q1746" t="s">
        <v>209</v>
      </c>
    </row>
    <row r="1747" spans="1:17" x14ac:dyDescent="0.3">
      <c r="A1747" t="s">
        <v>3975</v>
      </c>
      <c r="C1747" t="s">
        <v>3976</v>
      </c>
      <c r="D1747" t="s">
        <v>3976</v>
      </c>
      <c r="E1747" s="5">
        <v>46275</v>
      </c>
      <c r="F1747" t="s">
        <v>204</v>
      </c>
      <c r="G1747" t="s">
        <v>220</v>
      </c>
      <c r="H1747">
        <v>1798</v>
      </c>
      <c r="I1747">
        <v>0</v>
      </c>
      <c r="J1747">
        <v>0</v>
      </c>
      <c r="K1747">
        <v>1798</v>
      </c>
      <c r="L1747" s="5">
        <v>46277</v>
      </c>
      <c r="M1747" t="s">
        <v>3797</v>
      </c>
      <c r="N1747" t="s">
        <v>207</v>
      </c>
      <c r="O1747" t="s">
        <v>3976</v>
      </c>
      <c r="P1747" t="s">
        <v>208</v>
      </c>
      <c r="Q1747" t="s">
        <v>209</v>
      </c>
    </row>
    <row r="1748" spans="1:17" x14ac:dyDescent="0.3">
      <c r="A1748" t="s">
        <v>3977</v>
      </c>
      <c r="C1748" t="s">
        <v>3978</v>
      </c>
      <c r="D1748" t="s">
        <v>3978</v>
      </c>
      <c r="E1748" s="5">
        <v>46275</v>
      </c>
      <c r="F1748" t="s">
        <v>204</v>
      </c>
      <c r="G1748" t="s">
        <v>213</v>
      </c>
      <c r="H1748">
        <v>11297</v>
      </c>
      <c r="I1748">
        <v>180.75</v>
      </c>
      <c r="J1748">
        <v>32.54</v>
      </c>
      <c r="K1748">
        <v>11083.71</v>
      </c>
      <c r="L1748" s="5">
        <v>46277</v>
      </c>
      <c r="M1748" t="s">
        <v>3797</v>
      </c>
      <c r="N1748" t="s">
        <v>207</v>
      </c>
      <c r="O1748" t="s">
        <v>3978</v>
      </c>
      <c r="P1748" t="s">
        <v>208</v>
      </c>
      <c r="Q1748" t="s">
        <v>209</v>
      </c>
    </row>
    <row r="1749" spans="1:17" x14ac:dyDescent="0.3">
      <c r="A1749" t="s">
        <v>3979</v>
      </c>
      <c r="C1749" t="s">
        <v>3980</v>
      </c>
      <c r="D1749" t="s">
        <v>3980</v>
      </c>
      <c r="E1749" s="5">
        <v>46275</v>
      </c>
      <c r="F1749" t="s">
        <v>204</v>
      </c>
      <c r="G1749" t="s">
        <v>220</v>
      </c>
      <c r="H1749">
        <v>10847</v>
      </c>
      <c r="I1749">
        <v>32.54</v>
      </c>
      <c r="J1749">
        <v>5.86</v>
      </c>
      <c r="K1749">
        <v>10808.6</v>
      </c>
      <c r="L1749" s="5">
        <v>46277</v>
      </c>
      <c r="M1749" t="s">
        <v>3797</v>
      </c>
      <c r="N1749" t="s">
        <v>207</v>
      </c>
      <c r="O1749" t="s">
        <v>3980</v>
      </c>
      <c r="P1749" t="s">
        <v>208</v>
      </c>
      <c r="Q1749" t="s">
        <v>209</v>
      </c>
    </row>
    <row r="1750" spans="1:17" x14ac:dyDescent="0.3">
      <c r="A1750" t="s">
        <v>3981</v>
      </c>
      <c r="C1750" t="s">
        <v>3982</v>
      </c>
      <c r="D1750" t="s">
        <v>3982</v>
      </c>
      <c r="E1750" s="5">
        <v>46275</v>
      </c>
      <c r="F1750" t="s">
        <v>204</v>
      </c>
      <c r="G1750" t="s">
        <v>213</v>
      </c>
      <c r="H1750">
        <v>799</v>
      </c>
      <c r="I1750">
        <v>14.38</v>
      </c>
      <c r="J1750">
        <v>2.59</v>
      </c>
      <c r="K1750">
        <v>782.03</v>
      </c>
      <c r="L1750" s="5">
        <v>46277</v>
      </c>
      <c r="M1750" t="s">
        <v>3797</v>
      </c>
      <c r="N1750" t="s">
        <v>207</v>
      </c>
      <c r="O1750" t="s">
        <v>3982</v>
      </c>
      <c r="P1750" t="s">
        <v>208</v>
      </c>
      <c r="Q1750" t="s">
        <v>209</v>
      </c>
    </row>
    <row r="1751" spans="1:17" x14ac:dyDescent="0.3">
      <c r="A1751" t="s">
        <v>3983</v>
      </c>
      <c r="C1751" t="s">
        <v>3984</v>
      </c>
      <c r="D1751" t="s">
        <v>3984</v>
      </c>
      <c r="E1751" s="5">
        <v>46275</v>
      </c>
      <c r="F1751" t="s">
        <v>204</v>
      </c>
      <c r="G1751" t="s">
        <v>255</v>
      </c>
      <c r="H1751">
        <v>349</v>
      </c>
      <c r="I1751">
        <v>5.24</v>
      </c>
      <c r="J1751">
        <v>0.94</v>
      </c>
      <c r="K1751">
        <v>342.82</v>
      </c>
      <c r="L1751" s="5">
        <v>46277</v>
      </c>
      <c r="M1751" t="s">
        <v>3797</v>
      </c>
      <c r="N1751" t="s">
        <v>207</v>
      </c>
      <c r="O1751" t="s">
        <v>3984</v>
      </c>
      <c r="P1751" t="s">
        <v>208</v>
      </c>
      <c r="Q1751" t="s">
        <v>209</v>
      </c>
    </row>
    <row r="1752" spans="1:17" x14ac:dyDescent="0.3">
      <c r="A1752" t="s">
        <v>3985</v>
      </c>
      <c r="C1752" t="s">
        <v>3986</v>
      </c>
      <c r="D1752" t="s">
        <v>3986</v>
      </c>
      <c r="E1752" s="5">
        <v>46275</v>
      </c>
      <c r="F1752" t="s">
        <v>204</v>
      </c>
      <c r="G1752" t="s">
        <v>220</v>
      </c>
      <c r="H1752">
        <v>1898</v>
      </c>
      <c r="I1752">
        <v>0</v>
      </c>
      <c r="J1752">
        <v>0</v>
      </c>
      <c r="K1752">
        <v>1898</v>
      </c>
      <c r="L1752" s="5">
        <v>46277</v>
      </c>
      <c r="M1752" t="s">
        <v>3797</v>
      </c>
      <c r="N1752" t="s">
        <v>207</v>
      </c>
      <c r="O1752" t="s">
        <v>3986</v>
      </c>
      <c r="P1752" t="s">
        <v>208</v>
      </c>
      <c r="Q1752" t="s">
        <v>209</v>
      </c>
    </row>
    <row r="1753" spans="1:17" x14ac:dyDescent="0.3">
      <c r="A1753" t="s">
        <v>3987</v>
      </c>
      <c r="C1753" t="s">
        <v>3988</v>
      </c>
      <c r="D1753" t="s">
        <v>3988</v>
      </c>
      <c r="E1753" s="5">
        <v>46275</v>
      </c>
      <c r="F1753" t="s">
        <v>204</v>
      </c>
      <c r="G1753" t="s">
        <v>205</v>
      </c>
      <c r="H1753">
        <v>18497</v>
      </c>
      <c r="I1753">
        <v>314.45</v>
      </c>
      <c r="J1753">
        <v>56.6</v>
      </c>
      <c r="K1753">
        <v>18125.95</v>
      </c>
      <c r="L1753" s="5">
        <v>46277</v>
      </c>
      <c r="M1753" t="s">
        <v>3797</v>
      </c>
      <c r="N1753" t="s">
        <v>207</v>
      </c>
      <c r="O1753" t="s">
        <v>3988</v>
      </c>
      <c r="P1753" t="s">
        <v>208</v>
      </c>
      <c r="Q1753" t="s">
        <v>209</v>
      </c>
    </row>
    <row r="1754" spans="1:17" x14ac:dyDescent="0.3">
      <c r="A1754" t="s">
        <v>3989</v>
      </c>
      <c r="C1754" t="s">
        <v>3990</v>
      </c>
      <c r="D1754" t="s">
        <v>3990</v>
      </c>
      <c r="E1754" s="5">
        <v>46275</v>
      </c>
      <c r="F1754" t="s">
        <v>204</v>
      </c>
      <c r="G1754" t="s">
        <v>255</v>
      </c>
      <c r="H1754">
        <v>2597</v>
      </c>
      <c r="I1754">
        <v>31.16</v>
      </c>
      <c r="J1754">
        <v>5.61</v>
      </c>
      <c r="K1754">
        <v>2560.23</v>
      </c>
      <c r="L1754" s="5">
        <v>46277</v>
      </c>
      <c r="M1754" t="s">
        <v>3797</v>
      </c>
      <c r="N1754" t="s">
        <v>207</v>
      </c>
      <c r="O1754" t="s">
        <v>3990</v>
      </c>
      <c r="P1754" t="s">
        <v>208</v>
      </c>
      <c r="Q1754" t="s">
        <v>209</v>
      </c>
    </row>
    <row r="1755" spans="1:17" x14ac:dyDescent="0.3">
      <c r="A1755" t="s">
        <v>3991</v>
      </c>
      <c r="C1755" t="s">
        <v>3992</v>
      </c>
      <c r="D1755" t="s">
        <v>3992</v>
      </c>
      <c r="E1755" s="5">
        <v>46275</v>
      </c>
      <c r="F1755" t="s">
        <v>204</v>
      </c>
      <c r="G1755" t="s">
        <v>213</v>
      </c>
      <c r="H1755">
        <v>299</v>
      </c>
      <c r="I1755">
        <v>5.38</v>
      </c>
      <c r="J1755">
        <v>0.97</v>
      </c>
      <c r="K1755">
        <v>292.64999999999998</v>
      </c>
      <c r="L1755" s="5">
        <v>46277</v>
      </c>
      <c r="M1755" t="s">
        <v>3797</v>
      </c>
      <c r="N1755" t="s">
        <v>207</v>
      </c>
      <c r="O1755" t="s">
        <v>3992</v>
      </c>
      <c r="P1755" t="s">
        <v>208</v>
      </c>
      <c r="Q1755" t="s">
        <v>209</v>
      </c>
    </row>
    <row r="1756" spans="1:17" x14ac:dyDescent="0.3">
      <c r="A1756" t="s">
        <v>3993</v>
      </c>
      <c r="C1756" t="s">
        <v>3994</v>
      </c>
      <c r="D1756" t="s">
        <v>3995</v>
      </c>
      <c r="E1756" s="5">
        <v>46275</v>
      </c>
      <c r="F1756" t="s">
        <v>204</v>
      </c>
      <c r="G1756" t="s">
        <v>220</v>
      </c>
      <c r="H1756">
        <v>3897</v>
      </c>
      <c r="I1756">
        <v>11.69</v>
      </c>
      <c r="J1756">
        <v>2.1</v>
      </c>
      <c r="K1756">
        <v>3883.21</v>
      </c>
      <c r="L1756" s="5">
        <v>46277</v>
      </c>
      <c r="M1756" t="s">
        <v>3797</v>
      </c>
      <c r="N1756" t="s">
        <v>207</v>
      </c>
      <c r="O1756" t="s">
        <v>3995</v>
      </c>
      <c r="P1756" t="s">
        <v>208</v>
      </c>
      <c r="Q1756" t="s">
        <v>209</v>
      </c>
    </row>
    <row r="1757" spans="1:17" x14ac:dyDescent="0.3">
      <c r="A1757" t="s">
        <v>3996</v>
      </c>
      <c r="C1757" t="s">
        <v>3997</v>
      </c>
      <c r="D1757" t="s">
        <v>3997</v>
      </c>
      <c r="E1757" s="5">
        <v>46275</v>
      </c>
      <c r="F1757" t="s">
        <v>204</v>
      </c>
      <c r="G1757" t="s">
        <v>213</v>
      </c>
      <c r="H1757">
        <v>1499</v>
      </c>
      <c r="I1757">
        <v>26.98</v>
      </c>
      <c r="J1757">
        <v>4.8600000000000003</v>
      </c>
      <c r="K1757">
        <v>1467.16</v>
      </c>
      <c r="L1757" s="5">
        <v>46277</v>
      </c>
      <c r="M1757" t="s">
        <v>3797</v>
      </c>
      <c r="N1757" t="s">
        <v>207</v>
      </c>
      <c r="O1757" t="s">
        <v>3997</v>
      </c>
      <c r="P1757" t="s">
        <v>208</v>
      </c>
      <c r="Q1757" t="s">
        <v>209</v>
      </c>
    </row>
    <row r="1758" spans="1:17" x14ac:dyDescent="0.3">
      <c r="A1758" t="s">
        <v>3998</v>
      </c>
      <c r="C1758" t="s">
        <v>3999</v>
      </c>
      <c r="D1758" t="s">
        <v>3999</v>
      </c>
      <c r="E1758" s="5">
        <v>46275</v>
      </c>
      <c r="F1758" t="s">
        <v>204</v>
      </c>
      <c r="G1758" t="s">
        <v>220</v>
      </c>
      <c r="H1758">
        <v>799</v>
      </c>
      <c r="I1758">
        <v>0</v>
      </c>
      <c r="J1758">
        <v>0</v>
      </c>
      <c r="K1758">
        <v>799</v>
      </c>
      <c r="L1758" s="5">
        <v>46277</v>
      </c>
      <c r="M1758" t="s">
        <v>3797</v>
      </c>
      <c r="N1758" t="s">
        <v>207</v>
      </c>
      <c r="O1758" t="s">
        <v>3999</v>
      </c>
      <c r="P1758" t="s">
        <v>208</v>
      </c>
      <c r="Q1758" t="s">
        <v>209</v>
      </c>
    </row>
    <row r="1759" spans="1:17" x14ac:dyDescent="0.3">
      <c r="A1759" t="s">
        <v>4000</v>
      </c>
      <c r="C1759" t="s">
        <v>4001</v>
      </c>
      <c r="D1759" t="s">
        <v>4001</v>
      </c>
      <c r="E1759" s="5">
        <v>46275</v>
      </c>
      <c r="F1759" t="s">
        <v>204</v>
      </c>
      <c r="G1759" t="s">
        <v>255</v>
      </c>
      <c r="H1759">
        <v>799</v>
      </c>
      <c r="I1759">
        <v>11.99</v>
      </c>
      <c r="J1759">
        <v>2.16</v>
      </c>
      <c r="K1759">
        <v>784.85</v>
      </c>
      <c r="L1759" s="5">
        <v>46277</v>
      </c>
      <c r="M1759" t="s">
        <v>3797</v>
      </c>
      <c r="N1759" t="s">
        <v>207</v>
      </c>
      <c r="O1759" t="s">
        <v>4001</v>
      </c>
      <c r="P1759" t="s">
        <v>208</v>
      </c>
      <c r="Q1759" t="s">
        <v>209</v>
      </c>
    </row>
    <row r="1760" spans="1:17" x14ac:dyDescent="0.3">
      <c r="A1760" t="s">
        <v>4002</v>
      </c>
      <c r="C1760" t="s">
        <v>4003</v>
      </c>
      <c r="D1760" t="s">
        <v>4003</v>
      </c>
      <c r="E1760" s="5">
        <v>46275</v>
      </c>
      <c r="F1760" t="s">
        <v>204</v>
      </c>
      <c r="G1760" t="s">
        <v>255</v>
      </c>
      <c r="H1760">
        <v>999</v>
      </c>
      <c r="I1760">
        <v>14.99</v>
      </c>
      <c r="J1760">
        <v>2.7</v>
      </c>
      <c r="K1760">
        <v>981.31</v>
      </c>
      <c r="L1760" s="5">
        <v>46277</v>
      </c>
      <c r="M1760" t="s">
        <v>3797</v>
      </c>
      <c r="N1760" t="s">
        <v>207</v>
      </c>
      <c r="O1760" t="s">
        <v>4003</v>
      </c>
      <c r="P1760" t="s">
        <v>208</v>
      </c>
      <c r="Q1760" t="s">
        <v>209</v>
      </c>
    </row>
    <row r="1761" spans="1:17" x14ac:dyDescent="0.3">
      <c r="A1761" t="s">
        <v>4004</v>
      </c>
      <c r="C1761" t="s">
        <v>4005</v>
      </c>
      <c r="D1761" t="s">
        <v>4005</v>
      </c>
      <c r="E1761" s="5">
        <v>46275</v>
      </c>
      <c r="F1761" t="s">
        <v>204</v>
      </c>
      <c r="G1761" t="s">
        <v>213</v>
      </c>
      <c r="H1761">
        <v>999</v>
      </c>
      <c r="I1761">
        <v>17.98</v>
      </c>
      <c r="J1761">
        <v>3.24</v>
      </c>
      <c r="K1761">
        <v>977.78</v>
      </c>
      <c r="L1761" s="5">
        <v>46277</v>
      </c>
      <c r="M1761" t="s">
        <v>3797</v>
      </c>
      <c r="N1761" t="s">
        <v>207</v>
      </c>
      <c r="O1761" t="s">
        <v>4005</v>
      </c>
      <c r="P1761" t="s">
        <v>208</v>
      </c>
      <c r="Q1761" t="s">
        <v>209</v>
      </c>
    </row>
    <row r="1762" spans="1:17" x14ac:dyDescent="0.3">
      <c r="A1762" t="s">
        <v>4006</v>
      </c>
      <c r="C1762" t="s">
        <v>4007</v>
      </c>
      <c r="D1762" t="s">
        <v>4007</v>
      </c>
      <c r="E1762" s="5">
        <v>46275</v>
      </c>
      <c r="F1762" t="s">
        <v>204</v>
      </c>
      <c r="G1762" t="s">
        <v>220</v>
      </c>
      <c r="H1762">
        <v>599</v>
      </c>
      <c r="I1762">
        <v>0</v>
      </c>
      <c r="J1762">
        <v>0</v>
      </c>
      <c r="K1762">
        <v>599</v>
      </c>
      <c r="L1762" s="5">
        <v>46277</v>
      </c>
      <c r="M1762" t="s">
        <v>3797</v>
      </c>
      <c r="N1762" t="s">
        <v>207</v>
      </c>
      <c r="O1762" t="s">
        <v>4007</v>
      </c>
      <c r="P1762" t="s">
        <v>208</v>
      </c>
      <c r="Q1762" t="s">
        <v>209</v>
      </c>
    </row>
    <row r="1763" spans="1:17" x14ac:dyDescent="0.3">
      <c r="A1763" t="s">
        <v>4008</v>
      </c>
      <c r="C1763" t="s">
        <v>4009</v>
      </c>
      <c r="D1763" t="s">
        <v>4009</v>
      </c>
      <c r="E1763" s="5">
        <v>46275</v>
      </c>
      <c r="F1763" t="s">
        <v>204</v>
      </c>
      <c r="G1763" t="s">
        <v>205</v>
      </c>
      <c r="H1763">
        <v>1897</v>
      </c>
      <c r="I1763">
        <v>36.04</v>
      </c>
      <c r="J1763">
        <v>6.49</v>
      </c>
      <c r="K1763">
        <v>1854.47</v>
      </c>
      <c r="L1763" s="5">
        <v>46277</v>
      </c>
      <c r="M1763" t="s">
        <v>3797</v>
      </c>
      <c r="N1763" t="s">
        <v>207</v>
      </c>
      <c r="O1763" t="s">
        <v>4009</v>
      </c>
      <c r="P1763" t="s">
        <v>208</v>
      </c>
      <c r="Q1763" t="s">
        <v>209</v>
      </c>
    </row>
    <row r="1764" spans="1:17" x14ac:dyDescent="0.3">
      <c r="A1764" t="s">
        <v>4010</v>
      </c>
      <c r="C1764" t="s">
        <v>4011</v>
      </c>
      <c r="D1764" t="s">
        <v>4011</v>
      </c>
      <c r="E1764" s="5">
        <v>46275</v>
      </c>
      <c r="F1764" t="s">
        <v>204</v>
      </c>
      <c r="G1764" t="s">
        <v>255</v>
      </c>
      <c r="H1764">
        <v>999</v>
      </c>
      <c r="I1764">
        <v>14.99</v>
      </c>
      <c r="J1764">
        <v>2.7</v>
      </c>
      <c r="K1764">
        <v>981.31</v>
      </c>
      <c r="L1764" s="5">
        <v>46277</v>
      </c>
      <c r="M1764" t="s">
        <v>3797</v>
      </c>
      <c r="N1764" t="s">
        <v>207</v>
      </c>
      <c r="O1764" t="s">
        <v>4011</v>
      </c>
      <c r="P1764" t="s">
        <v>208</v>
      </c>
      <c r="Q1764" t="s">
        <v>209</v>
      </c>
    </row>
    <row r="1765" spans="1:17" x14ac:dyDescent="0.3">
      <c r="A1765" t="s">
        <v>4012</v>
      </c>
      <c r="C1765" t="s">
        <v>4013</v>
      </c>
      <c r="D1765" t="s">
        <v>4013</v>
      </c>
      <c r="E1765" s="5">
        <v>46275</v>
      </c>
      <c r="F1765" t="s">
        <v>204</v>
      </c>
      <c r="G1765" t="s">
        <v>213</v>
      </c>
      <c r="H1765">
        <v>9798</v>
      </c>
      <c r="I1765">
        <v>156.77000000000001</v>
      </c>
      <c r="J1765">
        <v>28.22</v>
      </c>
      <c r="K1765">
        <v>9613.01</v>
      </c>
      <c r="L1765" s="5">
        <v>46277</v>
      </c>
      <c r="M1765" t="s">
        <v>3797</v>
      </c>
      <c r="N1765" t="s">
        <v>207</v>
      </c>
      <c r="O1765" t="s">
        <v>4013</v>
      </c>
      <c r="P1765" t="s">
        <v>208</v>
      </c>
      <c r="Q1765" t="s">
        <v>209</v>
      </c>
    </row>
    <row r="1766" spans="1:17" x14ac:dyDescent="0.3">
      <c r="A1766" t="s">
        <v>4014</v>
      </c>
      <c r="C1766" t="s">
        <v>4015</v>
      </c>
      <c r="D1766" t="s">
        <v>4015</v>
      </c>
      <c r="E1766" s="5">
        <v>46275</v>
      </c>
      <c r="F1766" t="s">
        <v>204</v>
      </c>
      <c r="G1766" t="s">
        <v>255</v>
      </c>
      <c r="H1766">
        <v>4999</v>
      </c>
      <c r="I1766">
        <v>59.99</v>
      </c>
      <c r="J1766">
        <v>10.8</v>
      </c>
      <c r="K1766">
        <v>4928.21</v>
      </c>
      <c r="L1766" s="5">
        <v>46277</v>
      </c>
      <c r="M1766" t="s">
        <v>3797</v>
      </c>
      <c r="N1766" t="s">
        <v>207</v>
      </c>
      <c r="O1766" t="s">
        <v>4015</v>
      </c>
      <c r="P1766" t="s">
        <v>208</v>
      </c>
      <c r="Q1766" t="s">
        <v>209</v>
      </c>
    </row>
    <row r="1767" spans="1:17" x14ac:dyDescent="0.3">
      <c r="A1767" t="s">
        <v>4016</v>
      </c>
      <c r="C1767" t="s">
        <v>4017</v>
      </c>
      <c r="D1767" t="s">
        <v>4017</v>
      </c>
      <c r="E1767" s="5">
        <v>46275</v>
      </c>
      <c r="F1767" t="s">
        <v>204</v>
      </c>
      <c r="G1767" t="s">
        <v>220</v>
      </c>
      <c r="H1767">
        <v>4298</v>
      </c>
      <c r="I1767">
        <v>12.89</v>
      </c>
      <c r="J1767">
        <v>2.3199999999999998</v>
      </c>
      <c r="K1767">
        <v>4282.79</v>
      </c>
      <c r="L1767" s="5">
        <v>46277</v>
      </c>
      <c r="M1767" t="s">
        <v>3797</v>
      </c>
      <c r="N1767" t="s">
        <v>207</v>
      </c>
      <c r="O1767" t="s">
        <v>4017</v>
      </c>
      <c r="P1767" t="s">
        <v>208</v>
      </c>
      <c r="Q1767" t="s">
        <v>209</v>
      </c>
    </row>
    <row r="1768" spans="1:17" x14ac:dyDescent="0.3">
      <c r="A1768" t="s">
        <v>4018</v>
      </c>
      <c r="C1768" t="s">
        <v>4019</v>
      </c>
      <c r="D1768" t="s">
        <v>4019</v>
      </c>
      <c r="E1768" s="5">
        <v>46275</v>
      </c>
      <c r="F1768" t="s">
        <v>204</v>
      </c>
      <c r="G1768" t="s">
        <v>220</v>
      </c>
      <c r="H1768">
        <v>2499</v>
      </c>
      <c r="I1768">
        <v>7.5</v>
      </c>
      <c r="J1768">
        <v>1.35</v>
      </c>
      <c r="K1768">
        <v>2490.15</v>
      </c>
      <c r="L1768" s="5">
        <v>46277</v>
      </c>
      <c r="M1768" t="s">
        <v>3797</v>
      </c>
      <c r="N1768" t="s">
        <v>207</v>
      </c>
      <c r="O1768" t="s">
        <v>4019</v>
      </c>
      <c r="P1768" t="s">
        <v>208</v>
      </c>
      <c r="Q1768" t="s">
        <v>209</v>
      </c>
    </row>
    <row r="1769" spans="1:17" x14ac:dyDescent="0.3">
      <c r="A1769" t="s">
        <v>4020</v>
      </c>
      <c r="C1769" t="s">
        <v>4021</v>
      </c>
      <c r="D1769" t="s">
        <v>4021</v>
      </c>
      <c r="E1769" s="5">
        <v>46275</v>
      </c>
      <c r="F1769" t="s">
        <v>204</v>
      </c>
      <c r="G1769" t="s">
        <v>205</v>
      </c>
      <c r="H1769">
        <v>4298</v>
      </c>
      <c r="I1769">
        <v>73.069999999999993</v>
      </c>
      <c r="J1769">
        <v>13.15</v>
      </c>
      <c r="K1769">
        <v>4211.78</v>
      </c>
      <c r="L1769" s="5">
        <v>46277</v>
      </c>
      <c r="M1769" t="s">
        <v>3797</v>
      </c>
      <c r="N1769" t="s">
        <v>207</v>
      </c>
      <c r="O1769" t="s">
        <v>4021</v>
      </c>
      <c r="P1769" t="s">
        <v>208</v>
      </c>
      <c r="Q1769" t="s">
        <v>209</v>
      </c>
    </row>
    <row r="1770" spans="1:17" x14ac:dyDescent="0.3">
      <c r="A1770" t="s">
        <v>4022</v>
      </c>
      <c r="C1770" t="s">
        <v>4023</v>
      </c>
      <c r="D1770" t="s">
        <v>4023</v>
      </c>
      <c r="E1770" s="5">
        <v>46275</v>
      </c>
      <c r="F1770" t="s">
        <v>204</v>
      </c>
      <c r="G1770" t="s">
        <v>220</v>
      </c>
      <c r="H1770">
        <v>5598</v>
      </c>
      <c r="I1770">
        <v>16.79</v>
      </c>
      <c r="J1770">
        <v>3.02</v>
      </c>
      <c r="K1770">
        <v>5578.19</v>
      </c>
      <c r="L1770" s="5">
        <v>46277</v>
      </c>
      <c r="M1770" t="s">
        <v>3797</v>
      </c>
      <c r="N1770" t="s">
        <v>207</v>
      </c>
      <c r="O1770" t="s">
        <v>4023</v>
      </c>
      <c r="P1770" t="s">
        <v>208</v>
      </c>
      <c r="Q1770" t="s">
        <v>209</v>
      </c>
    </row>
    <row r="1771" spans="1:17" x14ac:dyDescent="0.3">
      <c r="A1771" t="s">
        <v>4024</v>
      </c>
      <c r="C1771" t="s">
        <v>4025</v>
      </c>
      <c r="D1771" t="s">
        <v>4025</v>
      </c>
      <c r="E1771" s="5">
        <v>46275</v>
      </c>
      <c r="F1771" t="s">
        <v>204</v>
      </c>
      <c r="G1771" t="s">
        <v>205</v>
      </c>
      <c r="H1771">
        <v>2398</v>
      </c>
      <c r="I1771">
        <v>40.770000000000003</v>
      </c>
      <c r="J1771">
        <v>7.34</v>
      </c>
      <c r="K1771">
        <v>2349.89</v>
      </c>
      <c r="L1771" s="5">
        <v>46277</v>
      </c>
      <c r="M1771" t="s">
        <v>3797</v>
      </c>
      <c r="N1771" t="s">
        <v>207</v>
      </c>
      <c r="O1771" t="s">
        <v>4025</v>
      </c>
      <c r="P1771" t="s">
        <v>208</v>
      </c>
      <c r="Q1771" t="s">
        <v>209</v>
      </c>
    </row>
    <row r="1772" spans="1:17" x14ac:dyDescent="0.3">
      <c r="A1772" t="s">
        <v>4026</v>
      </c>
      <c r="C1772" t="s">
        <v>4027</v>
      </c>
      <c r="D1772" t="s">
        <v>4027</v>
      </c>
      <c r="E1772" s="5">
        <v>46275</v>
      </c>
      <c r="F1772" t="s">
        <v>204</v>
      </c>
      <c r="G1772" t="s">
        <v>220</v>
      </c>
      <c r="H1772">
        <v>3098</v>
      </c>
      <c r="I1772">
        <v>9.2899999999999991</v>
      </c>
      <c r="J1772">
        <v>1.67</v>
      </c>
      <c r="K1772">
        <v>3087.04</v>
      </c>
      <c r="L1772" s="5">
        <v>46277</v>
      </c>
      <c r="M1772" t="s">
        <v>3797</v>
      </c>
      <c r="N1772" t="s">
        <v>207</v>
      </c>
      <c r="O1772" t="s">
        <v>4027</v>
      </c>
      <c r="P1772" t="s">
        <v>208</v>
      </c>
      <c r="Q1772" t="s">
        <v>209</v>
      </c>
    </row>
    <row r="1773" spans="1:17" x14ac:dyDescent="0.3">
      <c r="A1773" t="s">
        <v>4028</v>
      </c>
      <c r="C1773" t="s">
        <v>4029</v>
      </c>
      <c r="D1773" t="s">
        <v>4029</v>
      </c>
      <c r="E1773" s="5">
        <v>46275</v>
      </c>
      <c r="F1773" t="s">
        <v>204</v>
      </c>
      <c r="G1773" t="s">
        <v>220</v>
      </c>
      <c r="H1773">
        <v>2598</v>
      </c>
      <c r="I1773">
        <v>7.79</v>
      </c>
      <c r="J1773">
        <v>1.4</v>
      </c>
      <c r="K1773">
        <v>2588.81</v>
      </c>
      <c r="L1773" s="5">
        <v>46277</v>
      </c>
      <c r="M1773" t="s">
        <v>3797</v>
      </c>
      <c r="N1773" t="s">
        <v>207</v>
      </c>
      <c r="O1773" t="s">
        <v>4029</v>
      </c>
      <c r="P1773" t="s">
        <v>208</v>
      </c>
      <c r="Q1773" t="s">
        <v>209</v>
      </c>
    </row>
    <row r="1774" spans="1:17" x14ac:dyDescent="0.3">
      <c r="A1774" t="s">
        <v>4030</v>
      </c>
      <c r="C1774" t="s">
        <v>4031</v>
      </c>
      <c r="D1774" t="s">
        <v>4031</v>
      </c>
      <c r="E1774" s="5">
        <v>46275</v>
      </c>
      <c r="F1774" t="s">
        <v>204</v>
      </c>
      <c r="G1774" t="s">
        <v>220</v>
      </c>
      <c r="H1774">
        <v>9498</v>
      </c>
      <c r="I1774">
        <v>28.49</v>
      </c>
      <c r="J1774">
        <v>5.13</v>
      </c>
      <c r="K1774">
        <v>9464.3799999999992</v>
      </c>
      <c r="L1774" s="5">
        <v>46277</v>
      </c>
      <c r="M1774" t="s">
        <v>3797</v>
      </c>
      <c r="N1774" t="s">
        <v>207</v>
      </c>
      <c r="O1774" t="s">
        <v>4031</v>
      </c>
      <c r="P1774" t="s">
        <v>208</v>
      </c>
      <c r="Q1774" t="s">
        <v>209</v>
      </c>
    </row>
    <row r="1775" spans="1:17" x14ac:dyDescent="0.3">
      <c r="A1775" t="s">
        <v>4032</v>
      </c>
      <c r="C1775" t="s">
        <v>4033</v>
      </c>
      <c r="D1775" t="s">
        <v>4033</v>
      </c>
      <c r="E1775" s="5">
        <v>46275</v>
      </c>
      <c r="F1775" t="s">
        <v>204</v>
      </c>
      <c r="G1775" t="s">
        <v>213</v>
      </c>
      <c r="H1775">
        <v>8348</v>
      </c>
      <c r="I1775">
        <v>133.57</v>
      </c>
      <c r="J1775">
        <v>24.04</v>
      </c>
      <c r="K1775">
        <v>8190.39</v>
      </c>
      <c r="L1775" s="5">
        <v>46277</v>
      </c>
      <c r="M1775" t="s">
        <v>3797</v>
      </c>
      <c r="N1775" t="s">
        <v>207</v>
      </c>
      <c r="O1775" t="s">
        <v>4033</v>
      </c>
      <c r="P1775" t="s">
        <v>208</v>
      </c>
      <c r="Q1775" t="s">
        <v>209</v>
      </c>
    </row>
    <row r="1776" spans="1:17" x14ac:dyDescent="0.3">
      <c r="A1776" t="s">
        <v>4034</v>
      </c>
      <c r="C1776" t="s">
        <v>4035</v>
      </c>
      <c r="D1776" t="s">
        <v>4035</v>
      </c>
      <c r="E1776" s="5">
        <v>46275</v>
      </c>
      <c r="F1776" t="s">
        <v>204</v>
      </c>
      <c r="G1776" t="s">
        <v>213</v>
      </c>
      <c r="H1776">
        <v>1299</v>
      </c>
      <c r="I1776">
        <v>23.38</v>
      </c>
      <c r="J1776">
        <v>4.21</v>
      </c>
      <c r="K1776">
        <v>1271.4100000000001</v>
      </c>
      <c r="L1776" s="5">
        <v>46277</v>
      </c>
      <c r="M1776" t="s">
        <v>3797</v>
      </c>
      <c r="N1776" t="s">
        <v>207</v>
      </c>
      <c r="O1776" t="s">
        <v>4035</v>
      </c>
      <c r="P1776" t="s">
        <v>208</v>
      </c>
      <c r="Q1776" t="s">
        <v>209</v>
      </c>
    </row>
    <row r="1777" spans="1:17" x14ac:dyDescent="0.3">
      <c r="A1777" t="s">
        <v>4036</v>
      </c>
      <c r="C1777" t="s">
        <v>4037</v>
      </c>
      <c r="D1777" t="s">
        <v>4037</v>
      </c>
      <c r="E1777" s="5">
        <v>46275</v>
      </c>
      <c r="F1777" t="s">
        <v>204</v>
      </c>
      <c r="G1777" t="s">
        <v>205</v>
      </c>
      <c r="H1777">
        <v>1299</v>
      </c>
      <c r="I1777">
        <v>24.68</v>
      </c>
      <c r="J1777">
        <v>4.4400000000000004</v>
      </c>
      <c r="K1777">
        <v>1269.8800000000001</v>
      </c>
      <c r="L1777" s="5">
        <v>46277</v>
      </c>
      <c r="M1777" t="s">
        <v>3797</v>
      </c>
      <c r="N1777" t="s">
        <v>207</v>
      </c>
      <c r="O1777" t="s">
        <v>4037</v>
      </c>
      <c r="P1777" t="s">
        <v>208</v>
      </c>
      <c r="Q1777" t="s">
        <v>209</v>
      </c>
    </row>
    <row r="1778" spans="1:17" x14ac:dyDescent="0.3">
      <c r="A1778" t="s">
        <v>4038</v>
      </c>
      <c r="C1778" t="s">
        <v>4039</v>
      </c>
      <c r="D1778" t="s">
        <v>4039</v>
      </c>
      <c r="E1778" s="5">
        <v>46275</v>
      </c>
      <c r="F1778" t="s">
        <v>204</v>
      </c>
      <c r="G1778" t="s">
        <v>213</v>
      </c>
      <c r="H1778">
        <v>8097</v>
      </c>
      <c r="I1778">
        <v>129.55000000000001</v>
      </c>
      <c r="J1778">
        <v>23.32</v>
      </c>
      <c r="K1778">
        <v>7944.13</v>
      </c>
      <c r="L1778" s="5">
        <v>46277</v>
      </c>
      <c r="M1778" t="s">
        <v>3797</v>
      </c>
      <c r="N1778" t="s">
        <v>207</v>
      </c>
      <c r="O1778" t="s">
        <v>4039</v>
      </c>
      <c r="P1778" t="s">
        <v>208</v>
      </c>
      <c r="Q1778" t="s">
        <v>209</v>
      </c>
    </row>
    <row r="1779" spans="1:17" x14ac:dyDescent="0.3">
      <c r="A1779" t="s">
        <v>4040</v>
      </c>
      <c r="C1779" t="s">
        <v>4041</v>
      </c>
      <c r="D1779" t="s">
        <v>4041</v>
      </c>
      <c r="E1779" s="5">
        <v>46275</v>
      </c>
      <c r="F1779" t="s">
        <v>204</v>
      </c>
      <c r="G1779" t="s">
        <v>220</v>
      </c>
      <c r="H1779">
        <v>2447</v>
      </c>
      <c r="I1779">
        <v>7.34</v>
      </c>
      <c r="J1779">
        <v>1.32</v>
      </c>
      <c r="K1779">
        <v>2438.34</v>
      </c>
      <c r="L1779" s="5">
        <v>46277</v>
      </c>
      <c r="M1779" t="s">
        <v>3797</v>
      </c>
      <c r="N1779" t="s">
        <v>207</v>
      </c>
      <c r="O1779" t="s">
        <v>4041</v>
      </c>
      <c r="P1779" t="s">
        <v>208</v>
      </c>
      <c r="Q1779" t="s">
        <v>209</v>
      </c>
    </row>
    <row r="1780" spans="1:17" x14ac:dyDescent="0.3">
      <c r="A1780" t="s">
        <v>4042</v>
      </c>
      <c r="C1780" t="s">
        <v>4043</v>
      </c>
      <c r="D1780" t="s">
        <v>4044</v>
      </c>
      <c r="E1780" s="5">
        <v>46275</v>
      </c>
      <c r="F1780" t="s">
        <v>204</v>
      </c>
      <c r="G1780" t="s">
        <v>213</v>
      </c>
      <c r="H1780">
        <v>11997</v>
      </c>
      <c r="I1780">
        <v>191.95</v>
      </c>
      <c r="J1780">
        <v>34.549999999999997</v>
      </c>
      <c r="K1780">
        <v>11770.5</v>
      </c>
      <c r="L1780" s="5">
        <v>46277</v>
      </c>
      <c r="M1780" t="s">
        <v>3797</v>
      </c>
      <c r="N1780" t="s">
        <v>207</v>
      </c>
      <c r="O1780" t="s">
        <v>4044</v>
      </c>
      <c r="P1780" t="s">
        <v>208</v>
      </c>
      <c r="Q1780" t="s">
        <v>209</v>
      </c>
    </row>
    <row r="1781" spans="1:17" x14ac:dyDescent="0.3">
      <c r="A1781" t="s">
        <v>4045</v>
      </c>
      <c r="C1781" t="s">
        <v>4046</v>
      </c>
      <c r="D1781" t="s">
        <v>4046</v>
      </c>
      <c r="E1781" s="5">
        <v>46275</v>
      </c>
      <c r="F1781" t="s">
        <v>204</v>
      </c>
      <c r="G1781" t="s">
        <v>220</v>
      </c>
      <c r="H1781">
        <v>2999</v>
      </c>
      <c r="I1781">
        <v>9</v>
      </c>
      <c r="J1781">
        <v>1.62</v>
      </c>
      <c r="K1781">
        <v>2988.38</v>
      </c>
      <c r="L1781" s="5">
        <v>46277</v>
      </c>
      <c r="M1781" t="s">
        <v>3797</v>
      </c>
      <c r="N1781" t="s">
        <v>207</v>
      </c>
      <c r="O1781" t="s">
        <v>4046</v>
      </c>
      <c r="P1781" t="s">
        <v>208</v>
      </c>
      <c r="Q1781" t="s">
        <v>209</v>
      </c>
    </row>
    <row r="1782" spans="1:17" x14ac:dyDescent="0.3">
      <c r="A1782" t="s">
        <v>4047</v>
      </c>
      <c r="C1782" t="s">
        <v>4048</v>
      </c>
      <c r="D1782" t="s">
        <v>4048</v>
      </c>
      <c r="E1782" s="5">
        <v>46275</v>
      </c>
      <c r="F1782" t="s">
        <v>204</v>
      </c>
      <c r="G1782" t="s">
        <v>255</v>
      </c>
      <c r="H1782">
        <v>9498</v>
      </c>
      <c r="I1782">
        <v>113.98</v>
      </c>
      <c r="J1782">
        <v>20.52</v>
      </c>
      <c r="K1782">
        <v>9363.5</v>
      </c>
      <c r="L1782" s="5">
        <v>46277</v>
      </c>
      <c r="M1782" t="s">
        <v>3797</v>
      </c>
      <c r="N1782" t="s">
        <v>207</v>
      </c>
      <c r="O1782" t="s">
        <v>4048</v>
      </c>
      <c r="P1782" t="s">
        <v>208</v>
      </c>
      <c r="Q1782" t="s">
        <v>209</v>
      </c>
    </row>
    <row r="1783" spans="1:17" x14ac:dyDescent="0.3">
      <c r="A1783" t="s">
        <v>4049</v>
      </c>
      <c r="C1783" t="s">
        <v>4050</v>
      </c>
      <c r="D1783" t="s">
        <v>4051</v>
      </c>
      <c r="E1783" s="5">
        <v>46275</v>
      </c>
      <c r="F1783" t="s">
        <v>204</v>
      </c>
      <c r="G1783" t="s">
        <v>220</v>
      </c>
      <c r="H1783">
        <v>599</v>
      </c>
      <c r="I1783">
        <v>0</v>
      </c>
      <c r="J1783">
        <v>0</v>
      </c>
      <c r="K1783">
        <v>599</v>
      </c>
      <c r="L1783" s="5">
        <v>46277</v>
      </c>
      <c r="M1783" t="s">
        <v>3797</v>
      </c>
      <c r="N1783" t="s">
        <v>207</v>
      </c>
      <c r="O1783" t="s">
        <v>4051</v>
      </c>
      <c r="P1783" t="s">
        <v>208</v>
      </c>
      <c r="Q1783" t="s">
        <v>209</v>
      </c>
    </row>
    <row r="1784" spans="1:17" x14ac:dyDescent="0.3">
      <c r="A1784" t="s">
        <v>4052</v>
      </c>
      <c r="C1784" t="s">
        <v>4053</v>
      </c>
      <c r="D1784" t="s">
        <v>4053</v>
      </c>
      <c r="E1784" s="5">
        <v>46275</v>
      </c>
      <c r="F1784" t="s">
        <v>204</v>
      </c>
      <c r="G1784" t="s">
        <v>213</v>
      </c>
      <c r="H1784">
        <v>5298</v>
      </c>
      <c r="I1784">
        <v>84.77</v>
      </c>
      <c r="J1784">
        <v>15.26</v>
      </c>
      <c r="K1784">
        <v>5197.97</v>
      </c>
      <c r="L1784" s="5">
        <v>46277</v>
      </c>
      <c r="M1784" t="s">
        <v>3797</v>
      </c>
      <c r="N1784" t="s">
        <v>207</v>
      </c>
      <c r="O1784" t="s">
        <v>4053</v>
      </c>
      <c r="P1784" t="s">
        <v>208</v>
      </c>
      <c r="Q1784" t="s">
        <v>209</v>
      </c>
    </row>
    <row r="1785" spans="1:17" x14ac:dyDescent="0.3">
      <c r="A1785" t="s">
        <v>4054</v>
      </c>
      <c r="C1785" t="s">
        <v>4055</v>
      </c>
      <c r="D1785" t="s">
        <v>4056</v>
      </c>
      <c r="E1785" s="5">
        <v>46275</v>
      </c>
      <c r="F1785" t="s">
        <v>204</v>
      </c>
      <c r="G1785" t="s">
        <v>220</v>
      </c>
      <c r="H1785">
        <v>1647</v>
      </c>
      <c r="I1785">
        <v>0</v>
      </c>
      <c r="J1785">
        <v>0</v>
      </c>
      <c r="K1785">
        <v>1647</v>
      </c>
      <c r="L1785" s="5">
        <v>46277</v>
      </c>
      <c r="M1785" t="s">
        <v>3797</v>
      </c>
      <c r="N1785" t="s">
        <v>207</v>
      </c>
      <c r="O1785" t="s">
        <v>4056</v>
      </c>
      <c r="P1785" t="s">
        <v>208</v>
      </c>
      <c r="Q1785" t="s">
        <v>209</v>
      </c>
    </row>
    <row r="1786" spans="1:17" x14ac:dyDescent="0.3">
      <c r="A1786" t="s">
        <v>4057</v>
      </c>
      <c r="C1786" t="s">
        <v>4058</v>
      </c>
      <c r="D1786" t="s">
        <v>4058</v>
      </c>
      <c r="E1786" s="5">
        <v>46275</v>
      </c>
      <c r="F1786" t="s">
        <v>204</v>
      </c>
      <c r="G1786" t="s">
        <v>213</v>
      </c>
      <c r="H1786">
        <v>1299</v>
      </c>
      <c r="I1786">
        <v>23.38</v>
      </c>
      <c r="J1786">
        <v>4.21</v>
      </c>
      <c r="K1786">
        <v>1271.4100000000001</v>
      </c>
      <c r="L1786" s="5">
        <v>46277</v>
      </c>
      <c r="M1786" t="s">
        <v>3797</v>
      </c>
      <c r="N1786" t="s">
        <v>207</v>
      </c>
      <c r="O1786" t="s">
        <v>4058</v>
      </c>
      <c r="P1786" t="s">
        <v>208</v>
      </c>
      <c r="Q1786" t="s">
        <v>209</v>
      </c>
    </row>
    <row r="1787" spans="1:17" x14ac:dyDescent="0.3">
      <c r="A1787" t="s">
        <v>4059</v>
      </c>
      <c r="C1787" t="s">
        <v>4060</v>
      </c>
      <c r="D1787" t="s">
        <v>4060</v>
      </c>
      <c r="E1787" s="5">
        <v>46275</v>
      </c>
      <c r="F1787" t="s">
        <v>204</v>
      </c>
      <c r="G1787" t="s">
        <v>220</v>
      </c>
      <c r="H1787">
        <v>9498</v>
      </c>
      <c r="I1787">
        <v>28.49</v>
      </c>
      <c r="J1787">
        <v>5.13</v>
      </c>
      <c r="K1787">
        <v>9464.3799999999992</v>
      </c>
      <c r="L1787" s="5">
        <v>46277</v>
      </c>
      <c r="M1787" t="s">
        <v>3797</v>
      </c>
      <c r="N1787" t="s">
        <v>207</v>
      </c>
      <c r="O1787" t="s">
        <v>4060</v>
      </c>
      <c r="P1787" t="s">
        <v>208</v>
      </c>
      <c r="Q1787" t="s">
        <v>209</v>
      </c>
    </row>
    <row r="1788" spans="1:17" x14ac:dyDescent="0.3">
      <c r="A1788" t="s">
        <v>4061</v>
      </c>
      <c r="C1788" t="s">
        <v>4062</v>
      </c>
      <c r="D1788" t="s">
        <v>4062</v>
      </c>
      <c r="E1788" s="5">
        <v>46275</v>
      </c>
      <c r="F1788" t="s">
        <v>204</v>
      </c>
      <c r="G1788" t="s">
        <v>213</v>
      </c>
      <c r="H1788">
        <v>3499</v>
      </c>
      <c r="I1788">
        <v>55.98</v>
      </c>
      <c r="J1788">
        <v>10.08</v>
      </c>
      <c r="K1788">
        <v>3432.94</v>
      </c>
      <c r="L1788" s="5">
        <v>46277</v>
      </c>
      <c r="M1788" t="s">
        <v>3797</v>
      </c>
      <c r="N1788" t="s">
        <v>207</v>
      </c>
      <c r="O1788" t="s">
        <v>4062</v>
      </c>
      <c r="P1788" t="s">
        <v>208</v>
      </c>
      <c r="Q1788" t="s">
        <v>209</v>
      </c>
    </row>
    <row r="1789" spans="1:17" x14ac:dyDescent="0.3">
      <c r="A1789" t="s">
        <v>4063</v>
      </c>
      <c r="C1789" t="s">
        <v>4064</v>
      </c>
      <c r="D1789" t="s">
        <v>4065</v>
      </c>
      <c r="E1789" s="5">
        <v>46275</v>
      </c>
      <c r="F1789" t="s">
        <v>204</v>
      </c>
      <c r="G1789" t="s">
        <v>220</v>
      </c>
      <c r="H1789">
        <v>1499</v>
      </c>
      <c r="I1789">
        <v>0</v>
      </c>
      <c r="J1789">
        <v>0</v>
      </c>
      <c r="K1789">
        <v>1499</v>
      </c>
      <c r="L1789" s="5">
        <v>46277</v>
      </c>
      <c r="M1789" t="s">
        <v>3797</v>
      </c>
      <c r="N1789" t="s">
        <v>207</v>
      </c>
      <c r="O1789" t="s">
        <v>4065</v>
      </c>
      <c r="P1789" t="s">
        <v>208</v>
      </c>
      <c r="Q1789" t="s">
        <v>209</v>
      </c>
    </row>
    <row r="1790" spans="1:17" x14ac:dyDescent="0.3">
      <c r="A1790" t="s">
        <v>4066</v>
      </c>
      <c r="C1790" t="s">
        <v>4067</v>
      </c>
      <c r="D1790" t="s">
        <v>4067</v>
      </c>
      <c r="E1790" s="5">
        <v>46275</v>
      </c>
      <c r="F1790" t="s">
        <v>204</v>
      </c>
      <c r="G1790" t="s">
        <v>205</v>
      </c>
      <c r="H1790">
        <v>799</v>
      </c>
      <c r="I1790">
        <v>15.18</v>
      </c>
      <c r="J1790">
        <v>2.73</v>
      </c>
      <c r="K1790">
        <v>781.09</v>
      </c>
      <c r="L1790" s="5">
        <v>46277</v>
      </c>
      <c r="M1790" t="s">
        <v>3797</v>
      </c>
      <c r="N1790" t="s">
        <v>207</v>
      </c>
      <c r="O1790" t="s">
        <v>4067</v>
      </c>
      <c r="P1790" t="s">
        <v>208</v>
      </c>
      <c r="Q1790" t="s">
        <v>209</v>
      </c>
    </row>
    <row r="1791" spans="1:17" x14ac:dyDescent="0.3">
      <c r="A1791" t="s">
        <v>4068</v>
      </c>
      <c r="C1791" t="s">
        <v>4069</v>
      </c>
      <c r="D1791" t="s">
        <v>4069</v>
      </c>
      <c r="E1791" s="5">
        <v>46275</v>
      </c>
      <c r="F1791" t="s">
        <v>204</v>
      </c>
      <c r="G1791" t="s">
        <v>213</v>
      </c>
      <c r="H1791">
        <v>7999</v>
      </c>
      <c r="I1791">
        <v>127.98</v>
      </c>
      <c r="J1791">
        <v>23.04</v>
      </c>
      <c r="K1791">
        <v>7847.98</v>
      </c>
      <c r="L1791" s="5">
        <v>46277</v>
      </c>
      <c r="M1791" t="s">
        <v>3797</v>
      </c>
      <c r="N1791" t="s">
        <v>207</v>
      </c>
      <c r="O1791" t="s">
        <v>4069</v>
      </c>
      <c r="P1791" t="s">
        <v>208</v>
      </c>
      <c r="Q1791" t="s">
        <v>209</v>
      </c>
    </row>
    <row r="1792" spans="1:17" x14ac:dyDescent="0.3">
      <c r="A1792" t="s">
        <v>4070</v>
      </c>
      <c r="C1792" t="s">
        <v>4071</v>
      </c>
      <c r="D1792" t="s">
        <v>4071</v>
      </c>
      <c r="E1792" s="5">
        <v>46275</v>
      </c>
      <c r="F1792" t="s">
        <v>204</v>
      </c>
      <c r="G1792" t="s">
        <v>220</v>
      </c>
      <c r="H1792">
        <v>7999</v>
      </c>
      <c r="I1792">
        <v>24</v>
      </c>
      <c r="J1792">
        <v>4.32</v>
      </c>
      <c r="K1792">
        <v>7970.68</v>
      </c>
      <c r="L1792" s="5">
        <v>46277</v>
      </c>
      <c r="M1792" t="s">
        <v>3797</v>
      </c>
      <c r="N1792" t="s">
        <v>207</v>
      </c>
      <c r="O1792" t="s">
        <v>4071</v>
      </c>
      <c r="P1792" t="s">
        <v>208</v>
      </c>
      <c r="Q1792" t="s">
        <v>209</v>
      </c>
    </row>
    <row r="1793" spans="1:17" x14ac:dyDescent="0.3">
      <c r="A1793" t="s">
        <v>4072</v>
      </c>
      <c r="C1793" t="s">
        <v>4073</v>
      </c>
      <c r="D1793" t="s">
        <v>4073</v>
      </c>
      <c r="E1793" s="5">
        <v>46275</v>
      </c>
      <c r="F1793" t="s">
        <v>204</v>
      </c>
      <c r="G1793" t="s">
        <v>220</v>
      </c>
      <c r="H1793">
        <v>8998</v>
      </c>
      <c r="I1793">
        <v>26.99</v>
      </c>
      <c r="J1793">
        <v>4.8600000000000003</v>
      </c>
      <c r="K1793">
        <v>8966.15</v>
      </c>
      <c r="L1793" s="5">
        <v>46277</v>
      </c>
      <c r="M1793" t="s">
        <v>3797</v>
      </c>
      <c r="N1793" t="s">
        <v>207</v>
      </c>
      <c r="O1793" t="s">
        <v>4073</v>
      </c>
      <c r="P1793" t="s">
        <v>208</v>
      </c>
      <c r="Q1793" t="s">
        <v>209</v>
      </c>
    </row>
    <row r="1794" spans="1:17" x14ac:dyDescent="0.3">
      <c r="A1794" t="s">
        <v>4074</v>
      </c>
      <c r="C1794" t="s">
        <v>4075</v>
      </c>
      <c r="D1794" t="s">
        <v>4075</v>
      </c>
      <c r="E1794" s="5">
        <v>46275</v>
      </c>
      <c r="F1794" t="s">
        <v>204</v>
      </c>
      <c r="G1794" t="s">
        <v>220</v>
      </c>
      <c r="H1794">
        <v>2397</v>
      </c>
      <c r="I1794">
        <v>7.19</v>
      </c>
      <c r="J1794">
        <v>1.29</v>
      </c>
      <c r="K1794">
        <v>2388.52</v>
      </c>
      <c r="L1794" s="5">
        <v>46277</v>
      </c>
      <c r="M1794" t="s">
        <v>3797</v>
      </c>
      <c r="N1794" t="s">
        <v>207</v>
      </c>
      <c r="O1794" t="s">
        <v>4075</v>
      </c>
      <c r="P1794" t="s">
        <v>208</v>
      </c>
      <c r="Q1794" t="s">
        <v>209</v>
      </c>
    </row>
    <row r="1795" spans="1:17" x14ac:dyDescent="0.3">
      <c r="A1795" t="s">
        <v>4076</v>
      </c>
      <c r="C1795" t="s">
        <v>4077</v>
      </c>
      <c r="D1795" t="s">
        <v>4077</v>
      </c>
      <c r="E1795" s="5">
        <v>46275</v>
      </c>
      <c r="F1795" t="s">
        <v>204</v>
      </c>
      <c r="G1795" t="s">
        <v>220</v>
      </c>
      <c r="H1795">
        <v>4597</v>
      </c>
      <c r="I1795">
        <v>13.79</v>
      </c>
      <c r="J1795">
        <v>2.48</v>
      </c>
      <c r="K1795">
        <v>4580.7299999999996</v>
      </c>
      <c r="L1795" s="5">
        <v>46277</v>
      </c>
      <c r="M1795" t="s">
        <v>3797</v>
      </c>
      <c r="N1795" t="s">
        <v>207</v>
      </c>
      <c r="O1795" t="s">
        <v>4077</v>
      </c>
      <c r="P1795" t="s">
        <v>208</v>
      </c>
      <c r="Q1795" t="s">
        <v>209</v>
      </c>
    </row>
    <row r="1796" spans="1:17" x14ac:dyDescent="0.3">
      <c r="A1796" t="s">
        <v>4078</v>
      </c>
      <c r="C1796" t="s">
        <v>4079</v>
      </c>
      <c r="D1796" t="s">
        <v>4079</v>
      </c>
      <c r="E1796" s="5">
        <v>46275</v>
      </c>
      <c r="F1796" t="s">
        <v>204</v>
      </c>
      <c r="G1796" t="s">
        <v>255</v>
      </c>
      <c r="H1796">
        <v>1798</v>
      </c>
      <c r="I1796">
        <v>26.97</v>
      </c>
      <c r="J1796">
        <v>4.8499999999999996</v>
      </c>
      <c r="K1796">
        <v>1766.18</v>
      </c>
      <c r="L1796" s="5">
        <v>46277</v>
      </c>
      <c r="M1796" t="s">
        <v>3797</v>
      </c>
      <c r="N1796" t="s">
        <v>207</v>
      </c>
      <c r="O1796" t="s">
        <v>4079</v>
      </c>
      <c r="P1796" t="s">
        <v>208</v>
      </c>
      <c r="Q1796" t="s">
        <v>209</v>
      </c>
    </row>
    <row r="1797" spans="1:17" x14ac:dyDescent="0.3">
      <c r="A1797" t="s">
        <v>4080</v>
      </c>
      <c r="C1797" t="s">
        <v>4081</v>
      </c>
      <c r="D1797" t="s">
        <v>4081</v>
      </c>
      <c r="E1797" s="5">
        <v>46275</v>
      </c>
      <c r="F1797" t="s">
        <v>204</v>
      </c>
      <c r="G1797" t="s">
        <v>220</v>
      </c>
      <c r="H1797">
        <v>799</v>
      </c>
      <c r="I1797">
        <v>0</v>
      </c>
      <c r="J1797">
        <v>0</v>
      </c>
      <c r="K1797">
        <v>799</v>
      </c>
      <c r="L1797" s="5">
        <v>46277</v>
      </c>
      <c r="M1797" t="s">
        <v>3797</v>
      </c>
      <c r="N1797" t="s">
        <v>207</v>
      </c>
      <c r="O1797" t="s">
        <v>4081</v>
      </c>
      <c r="P1797" t="s">
        <v>208</v>
      </c>
      <c r="Q1797" t="s">
        <v>209</v>
      </c>
    </row>
    <row r="1798" spans="1:17" x14ac:dyDescent="0.3">
      <c r="A1798" t="s">
        <v>4082</v>
      </c>
      <c r="C1798" t="s">
        <v>4083</v>
      </c>
      <c r="D1798" t="s">
        <v>4083</v>
      </c>
      <c r="E1798" s="5">
        <v>46275</v>
      </c>
      <c r="F1798" t="s">
        <v>204</v>
      </c>
      <c r="G1798" t="s">
        <v>213</v>
      </c>
      <c r="H1798">
        <v>299</v>
      </c>
      <c r="I1798">
        <v>5.38</v>
      </c>
      <c r="J1798">
        <v>0.97</v>
      </c>
      <c r="K1798">
        <v>292.64999999999998</v>
      </c>
      <c r="L1798" s="5">
        <v>46277</v>
      </c>
      <c r="M1798" t="s">
        <v>3797</v>
      </c>
      <c r="N1798" t="s">
        <v>207</v>
      </c>
      <c r="O1798" t="s">
        <v>4083</v>
      </c>
      <c r="P1798" t="s">
        <v>208</v>
      </c>
      <c r="Q1798" t="s">
        <v>209</v>
      </c>
    </row>
    <row r="1799" spans="1:17" x14ac:dyDescent="0.3">
      <c r="A1799" t="s">
        <v>4084</v>
      </c>
      <c r="C1799" t="s">
        <v>4085</v>
      </c>
      <c r="D1799" t="s">
        <v>4085</v>
      </c>
      <c r="E1799" s="5">
        <v>46275</v>
      </c>
      <c r="F1799" t="s">
        <v>204</v>
      </c>
      <c r="G1799" t="s">
        <v>205</v>
      </c>
      <c r="H1799">
        <v>349</v>
      </c>
      <c r="I1799">
        <v>6.63</v>
      </c>
      <c r="J1799">
        <v>1.19</v>
      </c>
      <c r="K1799">
        <v>341.18</v>
      </c>
      <c r="L1799" s="5">
        <v>46277</v>
      </c>
      <c r="M1799" t="s">
        <v>3797</v>
      </c>
      <c r="N1799" t="s">
        <v>207</v>
      </c>
      <c r="O1799" t="s">
        <v>4085</v>
      </c>
      <c r="P1799" t="s">
        <v>208</v>
      </c>
      <c r="Q1799" t="s">
        <v>209</v>
      </c>
    </row>
    <row r="1800" spans="1:17" x14ac:dyDescent="0.3">
      <c r="A1800" t="s">
        <v>4086</v>
      </c>
      <c r="C1800" t="s">
        <v>4087</v>
      </c>
      <c r="D1800" t="s">
        <v>4087</v>
      </c>
      <c r="E1800" s="5">
        <v>46275</v>
      </c>
      <c r="F1800" t="s">
        <v>204</v>
      </c>
      <c r="G1800" t="s">
        <v>220</v>
      </c>
      <c r="H1800">
        <v>5498</v>
      </c>
      <c r="I1800">
        <v>16.489999999999998</v>
      </c>
      <c r="J1800">
        <v>2.97</v>
      </c>
      <c r="K1800">
        <v>5478.54</v>
      </c>
      <c r="L1800" s="5">
        <v>46277</v>
      </c>
      <c r="M1800" t="s">
        <v>3797</v>
      </c>
      <c r="N1800" t="s">
        <v>207</v>
      </c>
      <c r="O1800" t="s">
        <v>4087</v>
      </c>
      <c r="P1800" t="s">
        <v>208</v>
      </c>
      <c r="Q1800" t="s">
        <v>209</v>
      </c>
    </row>
    <row r="1801" spans="1:17" x14ac:dyDescent="0.3">
      <c r="A1801" t="s">
        <v>4088</v>
      </c>
      <c r="C1801" t="s">
        <v>4089</v>
      </c>
      <c r="D1801" t="s">
        <v>4089</v>
      </c>
      <c r="E1801" s="5">
        <v>46275</v>
      </c>
      <c r="F1801" t="s">
        <v>204</v>
      </c>
      <c r="G1801" t="s">
        <v>220</v>
      </c>
      <c r="H1801">
        <v>4999</v>
      </c>
      <c r="I1801">
        <v>15</v>
      </c>
      <c r="J1801">
        <v>2.7</v>
      </c>
      <c r="K1801">
        <v>4981.3</v>
      </c>
      <c r="L1801" s="5">
        <v>46277</v>
      </c>
      <c r="M1801" t="s">
        <v>3797</v>
      </c>
      <c r="N1801" t="s">
        <v>207</v>
      </c>
      <c r="O1801" t="s">
        <v>4089</v>
      </c>
      <c r="P1801" t="s">
        <v>208</v>
      </c>
      <c r="Q1801" t="s">
        <v>209</v>
      </c>
    </row>
    <row r="1802" spans="1:17" x14ac:dyDescent="0.3">
      <c r="A1802" t="s">
        <v>4090</v>
      </c>
      <c r="C1802" t="s">
        <v>4091</v>
      </c>
      <c r="D1802" t="s">
        <v>4091</v>
      </c>
      <c r="E1802" s="5">
        <v>46275</v>
      </c>
      <c r="F1802" t="s">
        <v>204</v>
      </c>
      <c r="G1802" t="s">
        <v>220</v>
      </c>
      <c r="H1802">
        <v>299</v>
      </c>
      <c r="I1802">
        <v>0</v>
      </c>
      <c r="J1802">
        <v>0</v>
      </c>
      <c r="K1802">
        <v>299</v>
      </c>
      <c r="L1802" s="5">
        <v>46277</v>
      </c>
      <c r="M1802" t="s">
        <v>3797</v>
      </c>
      <c r="N1802" t="s">
        <v>207</v>
      </c>
      <c r="O1802" t="s">
        <v>4091</v>
      </c>
      <c r="P1802" t="s">
        <v>208</v>
      </c>
      <c r="Q1802" t="s">
        <v>209</v>
      </c>
    </row>
    <row r="1803" spans="1:17" x14ac:dyDescent="0.3">
      <c r="A1803" t="s">
        <v>4092</v>
      </c>
      <c r="C1803" t="s">
        <v>4093</v>
      </c>
      <c r="D1803" t="s">
        <v>4093</v>
      </c>
      <c r="E1803" s="5">
        <v>46275</v>
      </c>
      <c r="F1803" t="s">
        <v>204</v>
      </c>
      <c r="G1803" t="s">
        <v>220</v>
      </c>
      <c r="H1803">
        <v>1798</v>
      </c>
      <c r="I1803">
        <v>0</v>
      </c>
      <c r="J1803">
        <v>0</v>
      </c>
      <c r="K1803">
        <v>1798</v>
      </c>
      <c r="L1803" s="5">
        <v>46277</v>
      </c>
      <c r="M1803" t="s">
        <v>3797</v>
      </c>
      <c r="N1803" t="s">
        <v>207</v>
      </c>
      <c r="O1803" t="s">
        <v>4093</v>
      </c>
      <c r="P1803" t="s">
        <v>208</v>
      </c>
      <c r="Q1803" t="s">
        <v>209</v>
      </c>
    </row>
    <row r="1804" spans="1:17" x14ac:dyDescent="0.3">
      <c r="A1804" t="s">
        <v>4094</v>
      </c>
      <c r="C1804" t="s">
        <v>4095</v>
      </c>
      <c r="D1804" t="s">
        <v>4096</v>
      </c>
      <c r="E1804" s="5">
        <v>46275</v>
      </c>
      <c r="F1804" t="s">
        <v>204</v>
      </c>
      <c r="G1804" t="s">
        <v>213</v>
      </c>
      <c r="H1804">
        <v>349</v>
      </c>
      <c r="I1804">
        <v>6.28</v>
      </c>
      <c r="J1804">
        <v>1.1299999999999999</v>
      </c>
      <c r="K1804">
        <v>341.59</v>
      </c>
      <c r="L1804" s="5">
        <v>46277</v>
      </c>
      <c r="M1804" t="s">
        <v>3797</v>
      </c>
      <c r="N1804" t="s">
        <v>207</v>
      </c>
      <c r="O1804" t="s">
        <v>4096</v>
      </c>
      <c r="P1804" t="s">
        <v>208</v>
      </c>
      <c r="Q1804" t="s">
        <v>209</v>
      </c>
    </row>
    <row r="1805" spans="1:17" x14ac:dyDescent="0.3">
      <c r="A1805" t="s">
        <v>4097</v>
      </c>
      <c r="C1805" t="s">
        <v>4098</v>
      </c>
      <c r="D1805" t="s">
        <v>4098</v>
      </c>
      <c r="E1805" s="5">
        <v>46275</v>
      </c>
      <c r="F1805" t="s">
        <v>204</v>
      </c>
      <c r="G1805" t="s">
        <v>220</v>
      </c>
      <c r="H1805">
        <v>4397</v>
      </c>
      <c r="I1805">
        <v>13.19</v>
      </c>
      <c r="J1805">
        <v>2.37</v>
      </c>
      <c r="K1805">
        <v>4381.4399999999996</v>
      </c>
      <c r="L1805" s="5">
        <v>46277</v>
      </c>
      <c r="M1805" t="s">
        <v>3797</v>
      </c>
      <c r="N1805" t="s">
        <v>207</v>
      </c>
      <c r="O1805" t="s">
        <v>4098</v>
      </c>
      <c r="P1805" t="s">
        <v>208</v>
      </c>
      <c r="Q1805" t="s">
        <v>209</v>
      </c>
    </row>
    <row r="1806" spans="1:17" x14ac:dyDescent="0.3">
      <c r="A1806" t="s">
        <v>4099</v>
      </c>
      <c r="C1806" t="s">
        <v>4100</v>
      </c>
      <c r="D1806" t="s">
        <v>4100</v>
      </c>
      <c r="E1806" s="5">
        <v>46275</v>
      </c>
      <c r="F1806" t="s">
        <v>204</v>
      </c>
      <c r="G1806" t="s">
        <v>220</v>
      </c>
      <c r="H1806">
        <v>599</v>
      </c>
      <c r="I1806">
        <v>0</v>
      </c>
      <c r="J1806">
        <v>0</v>
      </c>
      <c r="K1806">
        <v>599</v>
      </c>
      <c r="L1806" s="5">
        <v>46277</v>
      </c>
      <c r="M1806" t="s">
        <v>3797</v>
      </c>
      <c r="N1806" t="s">
        <v>207</v>
      </c>
      <c r="O1806" t="s">
        <v>4100</v>
      </c>
      <c r="P1806" t="s">
        <v>208</v>
      </c>
      <c r="Q1806" t="s">
        <v>209</v>
      </c>
    </row>
    <row r="1807" spans="1:17" x14ac:dyDescent="0.3">
      <c r="A1807" t="s">
        <v>4101</v>
      </c>
      <c r="C1807" t="s">
        <v>4102</v>
      </c>
      <c r="D1807" t="s">
        <v>4102</v>
      </c>
      <c r="E1807" s="5">
        <v>46275</v>
      </c>
      <c r="F1807" t="s">
        <v>204</v>
      </c>
      <c r="G1807" t="s">
        <v>255</v>
      </c>
      <c r="H1807">
        <v>349</v>
      </c>
      <c r="I1807">
        <v>5.24</v>
      </c>
      <c r="J1807">
        <v>0.94</v>
      </c>
      <c r="K1807">
        <v>342.82</v>
      </c>
      <c r="L1807" s="5">
        <v>46277</v>
      </c>
      <c r="M1807" t="s">
        <v>3797</v>
      </c>
      <c r="N1807" t="s">
        <v>207</v>
      </c>
      <c r="O1807" t="s">
        <v>4102</v>
      </c>
      <c r="P1807" t="s">
        <v>208</v>
      </c>
      <c r="Q1807" t="s">
        <v>209</v>
      </c>
    </row>
    <row r="1808" spans="1:17" x14ac:dyDescent="0.3">
      <c r="A1808" t="s">
        <v>4103</v>
      </c>
      <c r="C1808" t="s">
        <v>4104</v>
      </c>
      <c r="D1808" t="s">
        <v>4104</v>
      </c>
      <c r="E1808" s="5">
        <v>46275</v>
      </c>
      <c r="F1808" t="s">
        <v>204</v>
      </c>
      <c r="G1808" t="s">
        <v>220</v>
      </c>
      <c r="H1808">
        <v>2247</v>
      </c>
      <c r="I1808">
        <v>6.74</v>
      </c>
      <c r="J1808">
        <v>1.21</v>
      </c>
      <c r="K1808">
        <v>2239.0500000000002</v>
      </c>
      <c r="L1808" s="5">
        <v>46277</v>
      </c>
      <c r="M1808" t="s">
        <v>3797</v>
      </c>
      <c r="N1808" t="s">
        <v>207</v>
      </c>
      <c r="O1808" t="s">
        <v>4104</v>
      </c>
      <c r="P1808" t="s">
        <v>208</v>
      </c>
      <c r="Q1808" t="s">
        <v>209</v>
      </c>
    </row>
    <row r="1809" spans="1:17" x14ac:dyDescent="0.3">
      <c r="A1809" t="s">
        <v>4105</v>
      </c>
      <c r="C1809" t="s">
        <v>4106</v>
      </c>
      <c r="D1809" t="s">
        <v>4106</v>
      </c>
      <c r="E1809" s="5">
        <v>46275</v>
      </c>
      <c r="F1809" t="s">
        <v>204</v>
      </c>
      <c r="G1809" t="s">
        <v>213</v>
      </c>
      <c r="H1809">
        <v>349</v>
      </c>
      <c r="I1809">
        <v>6.28</v>
      </c>
      <c r="J1809">
        <v>1.1299999999999999</v>
      </c>
      <c r="K1809">
        <v>341.59</v>
      </c>
      <c r="L1809" s="5">
        <v>46277</v>
      </c>
      <c r="M1809" t="s">
        <v>3797</v>
      </c>
      <c r="N1809" t="s">
        <v>207</v>
      </c>
      <c r="O1809" t="s">
        <v>4106</v>
      </c>
      <c r="P1809" t="s">
        <v>208</v>
      </c>
      <c r="Q1809" t="s">
        <v>209</v>
      </c>
    </row>
    <row r="1810" spans="1:17" x14ac:dyDescent="0.3">
      <c r="A1810" t="s">
        <v>4107</v>
      </c>
      <c r="C1810" t="s">
        <v>4108</v>
      </c>
      <c r="D1810" t="s">
        <v>4108</v>
      </c>
      <c r="E1810" s="5">
        <v>46275</v>
      </c>
      <c r="F1810" t="s">
        <v>204</v>
      </c>
      <c r="G1810" t="s">
        <v>205</v>
      </c>
      <c r="H1810">
        <v>3498</v>
      </c>
      <c r="I1810">
        <v>59.47</v>
      </c>
      <c r="J1810">
        <v>10.7</v>
      </c>
      <c r="K1810">
        <v>3427.83</v>
      </c>
      <c r="L1810" s="5">
        <v>46277</v>
      </c>
      <c r="M1810" t="s">
        <v>3797</v>
      </c>
      <c r="N1810" t="s">
        <v>207</v>
      </c>
      <c r="O1810" t="s">
        <v>4108</v>
      </c>
      <c r="P1810" t="s">
        <v>208</v>
      </c>
      <c r="Q1810" t="s">
        <v>209</v>
      </c>
    </row>
    <row r="1811" spans="1:17" x14ac:dyDescent="0.3">
      <c r="A1811" t="s">
        <v>4109</v>
      </c>
      <c r="C1811" t="s">
        <v>4110</v>
      </c>
      <c r="D1811" t="s">
        <v>4110</v>
      </c>
      <c r="E1811" s="5">
        <v>46275</v>
      </c>
      <c r="F1811" t="s">
        <v>204</v>
      </c>
      <c r="G1811" t="s">
        <v>213</v>
      </c>
      <c r="H1811">
        <v>6498</v>
      </c>
      <c r="I1811">
        <v>103.97</v>
      </c>
      <c r="J1811">
        <v>18.71</v>
      </c>
      <c r="K1811">
        <v>6375.32</v>
      </c>
      <c r="L1811" s="5">
        <v>46277</v>
      </c>
      <c r="M1811" t="s">
        <v>3797</v>
      </c>
      <c r="N1811" t="s">
        <v>207</v>
      </c>
      <c r="O1811" t="s">
        <v>4110</v>
      </c>
      <c r="P1811" t="s">
        <v>208</v>
      </c>
      <c r="Q1811" t="s">
        <v>209</v>
      </c>
    </row>
    <row r="1812" spans="1:17" x14ac:dyDescent="0.3">
      <c r="A1812" t="s">
        <v>4111</v>
      </c>
      <c r="C1812" t="s">
        <v>4112</v>
      </c>
      <c r="D1812" t="s">
        <v>4112</v>
      </c>
      <c r="E1812" s="5">
        <v>46275</v>
      </c>
      <c r="F1812" t="s">
        <v>204</v>
      </c>
      <c r="G1812" t="s">
        <v>213</v>
      </c>
      <c r="H1812">
        <v>1648</v>
      </c>
      <c r="I1812">
        <v>29.66</v>
      </c>
      <c r="J1812">
        <v>5.34</v>
      </c>
      <c r="K1812">
        <v>1613</v>
      </c>
      <c r="L1812" s="5">
        <v>46277</v>
      </c>
      <c r="M1812" t="s">
        <v>3797</v>
      </c>
      <c r="N1812" t="s">
        <v>207</v>
      </c>
      <c r="O1812" t="s">
        <v>4112</v>
      </c>
      <c r="P1812" t="s">
        <v>208</v>
      </c>
      <c r="Q1812" t="s">
        <v>209</v>
      </c>
    </row>
    <row r="1813" spans="1:17" x14ac:dyDescent="0.3">
      <c r="A1813" t="s">
        <v>4113</v>
      </c>
      <c r="C1813" t="s">
        <v>4114</v>
      </c>
      <c r="D1813" t="s">
        <v>4114</v>
      </c>
      <c r="E1813" s="5">
        <v>46275</v>
      </c>
      <c r="F1813" t="s">
        <v>204</v>
      </c>
      <c r="G1813" t="s">
        <v>220</v>
      </c>
      <c r="H1813">
        <v>1598</v>
      </c>
      <c r="I1813">
        <v>0</v>
      </c>
      <c r="J1813">
        <v>0</v>
      </c>
      <c r="K1813">
        <v>1598</v>
      </c>
      <c r="L1813" s="5">
        <v>46277</v>
      </c>
      <c r="M1813" t="s">
        <v>3797</v>
      </c>
      <c r="N1813" t="s">
        <v>207</v>
      </c>
      <c r="O1813" t="s">
        <v>4114</v>
      </c>
      <c r="P1813" t="s">
        <v>208</v>
      </c>
      <c r="Q1813" t="s">
        <v>209</v>
      </c>
    </row>
    <row r="1814" spans="1:17" x14ac:dyDescent="0.3">
      <c r="A1814" t="s">
        <v>4115</v>
      </c>
      <c r="C1814" t="s">
        <v>4116</v>
      </c>
      <c r="D1814" t="s">
        <v>4116</v>
      </c>
      <c r="E1814" s="5">
        <v>46275</v>
      </c>
      <c r="F1814" t="s">
        <v>204</v>
      </c>
      <c r="G1814" t="s">
        <v>220</v>
      </c>
      <c r="H1814">
        <v>1648</v>
      </c>
      <c r="I1814">
        <v>0</v>
      </c>
      <c r="J1814">
        <v>0</v>
      </c>
      <c r="K1814">
        <v>1648</v>
      </c>
      <c r="L1814" s="5">
        <v>46277</v>
      </c>
      <c r="M1814" t="s">
        <v>3797</v>
      </c>
      <c r="N1814" t="s">
        <v>207</v>
      </c>
      <c r="O1814" t="s">
        <v>4116</v>
      </c>
      <c r="P1814" t="s">
        <v>208</v>
      </c>
      <c r="Q1814" t="s">
        <v>209</v>
      </c>
    </row>
    <row r="1815" spans="1:17" x14ac:dyDescent="0.3">
      <c r="A1815" t="s">
        <v>4117</v>
      </c>
      <c r="C1815" t="s">
        <v>4118</v>
      </c>
      <c r="D1815" t="s">
        <v>4118</v>
      </c>
      <c r="E1815" s="5">
        <v>46275</v>
      </c>
      <c r="F1815" t="s">
        <v>204</v>
      </c>
      <c r="G1815" t="s">
        <v>220</v>
      </c>
      <c r="H1815">
        <v>499</v>
      </c>
      <c r="I1815">
        <v>0</v>
      </c>
      <c r="J1815">
        <v>0</v>
      </c>
      <c r="K1815">
        <v>499</v>
      </c>
      <c r="L1815" s="5">
        <v>46277</v>
      </c>
      <c r="M1815" t="s">
        <v>3797</v>
      </c>
      <c r="N1815" t="s">
        <v>207</v>
      </c>
      <c r="O1815" t="s">
        <v>4118</v>
      </c>
      <c r="P1815" t="s">
        <v>208</v>
      </c>
      <c r="Q1815" t="s">
        <v>209</v>
      </c>
    </row>
    <row r="1816" spans="1:17" x14ac:dyDescent="0.3">
      <c r="A1816" t="s">
        <v>4119</v>
      </c>
      <c r="C1816" t="s">
        <v>4120</v>
      </c>
      <c r="D1816" t="s">
        <v>4120</v>
      </c>
      <c r="E1816" s="5">
        <v>46275</v>
      </c>
      <c r="F1816" t="s">
        <v>204</v>
      </c>
      <c r="G1816" t="s">
        <v>213</v>
      </c>
      <c r="H1816">
        <v>2499</v>
      </c>
      <c r="I1816">
        <v>39.979999999999997</v>
      </c>
      <c r="J1816">
        <v>7.2</v>
      </c>
      <c r="K1816">
        <v>2451.8200000000002</v>
      </c>
      <c r="L1816" s="5">
        <v>46277</v>
      </c>
      <c r="M1816" t="s">
        <v>3797</v>
      </c>
      <c r="N1816" t="s">
        <v>207</v>
      </c>
      <c r="O1816" t="s">
        <v>4120</v>
      </c>
      <c r="P1816" t="s">
        <v>208</v>
      </c>
      <c r="Q1816" t="s">
        <v>209</v>
      </c>
    </row>
    <row r="1817" spans="1:17" x14ac:dyDescent="0.3">
      <c r="A1817" t="s">
        <v>4121</v>
      </c>
      <c r="C1817" t="s">
        <v>4122</v>
      </c>
      <c r="D1817" t="s">
        <v>4123</v>
      </c>
      <c r="E1817" s="5">
        <v>46275</v>
      </c>
      <c r="F1817" t="s">
        <v>204</v>
      </c>
      <c r="G1817" t="s">
        <v>220</v>
      </c>
      <c r="H1817">
        <v>499</v>
      </c>
      <c r="I1817">
        <v>0</v>
      </c>
      <c r="J1817">
        <v>0</v>
      </c>
      <c r="K1817">
        <v>499</v>
      </c>
      <c r="L1817" s="5">
        <v>46277</v>
      </c>
      <c r="M1817" t="s">
        <v>3797</v>
      </c>
      <c r="N1817" t="s">
        <v>207</v>
      </c>
      <c r="O1817" t="s">
        <v>4123</v>
      </c>
      <c r="P1817" t="s">
        <v>208</v>
      </c>
      <c r="Q1817" t="s">
        <v>209</v>
      </c>
    </row>
    <row r="1818" spans="1:17" x14ac:dyDescent="0.3">
      <c r="A1818" t="s">
        <v>4124</v>
      </c>
      <c r="C1818" t="s">
        <v>4125</v>
      </c>
      <c r="D1818" t="s">
        <v>4125</v>
      </c>
      <c r="E1818" s="5">
        <v>46275</v>
      </c>
      <c r="F1818" t="s">
        <v>204</v>
      </c>
      <c r="G1818" t="s">
        <v>205</v>
      </c>
      <c r="H1818">
        <v>7297</v>
      </c>
      <c r="I1818">
        <v>124.05</v>
      </c>
      <c r="J1818">
        <v>22.33</v>
      </c>
      <c r="K1818">
        <v>7150.62</v>
      </c>
      <c r="L1818" s="5">
        <v>46277</v>
      </c>
      <c r="M1818" t="s">
        <v>3797</v>
      </c>
      <c r="N1818" t="s">
        <v>207</v>
      </c>
      <c r="O1818" t="s">
        <v>4125</v>
      </c>
      <c r="P1818" t="s">
        <v>208</v>
      </c>
      <c r="Q1818" t="s">
        <v>209</v>
      </c>
    </row>
    <row r="1819" spans="1:17" x14ac:dyDescent="0.3">
      <c r="A1819" t="s">
        <v>4126</v>
      </c>
      <c r="C1819" t="s">
        <v>4127</v>
      </c>
      <c r="D1819" t="s">
        <v>4127</v>
      </c>
      <c r="E1819" s="5">
        <v>46275</v>
      </c>
      <c r="F1819" t="s">
        <v>204</v>
      </c>
      <c r="G1819" t="s">
        <v>220</v>
      </c>
      <c r="H1819">
        <v>1799</v>
      </c>
      <c r="I1819">
        <v>0</v>
      </c>
      <c r="J1819">
        <v>0</v>
      </c>
      <c r="K1819">
        <v>1799</v>
      </c>
      <c r="L1819" s="5">
        <v>46277</v>
      </c>
      <c r="M1819" t="s">
        <v>3797</v>
      </c>
      <c r="N1819" t="s">
        <v>207</v>
      </c>
      <c r="O1819" t="s">
        <v>4127</v>
      </c>
      <c r="P1819" t="s">
        <v>208</v>
      </c>
      <c r="Q1819" t="s">
        <v>209</v>
      </c>
    </row>
    <row r="1820" spans="1:17" x14ac:dyDescent="0.3">
      <c r="A1820" t="s">
        <v>4128</v>
      </c>
      <c r="C1820" t="s">
        <v>4129</v>
      </c>
      <c r="D1820" t="s">
        <v>4130</v>
      </c>
      <c r="E1820" s="5">
        <v>46275</v>
      </c>
      <c r="F1820" t="s">
        <v>204</v>
      </c>
      <c r="G1820" t="s">
        <v>255</v>
      </c>
      <c r="H1820">
        <v>1799</v>
      </c>
      <c r="I1820">
        <v>26.99</v>
      </c>
      <c r="J1820">
        <v>4.8600000000000003</v>
      </c>
      <c r="K1820">
        <v>1767.15</v>
      </c>
      <c r="L1820" s="5">
        <v>46277</v>
      </c>
      <c r="M1820" t="s">
        <v>3797</v>
      </c>
      <c r="N1820" t="s">
        <v>207</v>
      </c>
      <c r="O1820" t="s">
        <v>4130</v>
      </c>
      <c r="P1820" t="s">
        <v>208</v>
      </c>
      <c r="Q1820" t="s">
        <v>209</v>
      </c>
    </row>
    <row r="1821" spans="1:17" x14ac:dyDescent="0.3">
      <c r="A1821" t="s">
        <v>4131</v>
      </c>
      <c r="C1821" t="s">
        <v>4132</v>
      </c>
      <c r="D1821" t="s">
        <v>4132</v>
      </c>
      <c r="E1821" s="5">
        <v>46275</v>
      </c>
      <c r="F1821" t="s">
        <v>204</v>
      </c>
      <c r="G1821" t="s">
        <v>213</v>
      </c>
      <c r="H1821">
        <v>1299</v>
      </c>
      <c r="I1821">
        <v>23.38</v>
      </c>
      <c r="J1821">
        <v>4.21</v>
      </c>
      <c r="K1821">
        <v>1271.4100000000001</v>
      </c>
      <c r="L1821" s="5">
        <v>46277</v>
      </c>
      <c r="M1821" t="s">
        <v>3797</v>
      </c>
      <c r="N1821" t="s">
        <v>207</v>
      </c>
      <c r="O1821" t="s">
        <v>4132</v>
      </c>
      <c r="P1821" t="s">
        <v>208</v>
      </c>
      <c r="Q1821" t="s">
        <v>209</v>
      </c>
    </row>
    <row r="1822" spans="1:17" x14ac:dyDescent="0.3">
      <c r="A1822" t="s">
        <v>4133</v>
      </c>
      <c r="C1822" t="s">
        <v>4134</v>
      </c>
      <c r="D1822" t="s">
        <v>4134</v>
      </c>
      <c r="E1822" s="5">
        <v>46275</v>
      </c>
      <c r="F1822" t="s">
        <v>204</v>
      </c>
      <c r="G1822" t="s">
        <v>213</v>
      </c>
      <c r="H1822">
        <v>999</v>
      </c>
      <c r="I1822">
        <v>17.98</v>
      </c>
      <c r="J1822">
        <v>3.24</v>
      </c>
      <c r="K1822">
        <v>977.78</v>
      </c>
      <c r="L1822" s="5">
        <v>46277</v>
      </c>
      <c r="M1822" t="s">
        <v>3797</v>
      </c>
      <c r="N1822" t="s">
        <v>207</v>
      </c>
      <c r="O1822" t="s">
        <v>4134</v>
      </c>
      <c r="P1822" t="s">
        <v>208</v>
      </c>
      <c r="Q1822" t="s">
        <v>209</v>
      </c>
    </row>
    <row r="1823" spans="1:17" x14ac:dyDescent="0.3">
      <c r="A1823" t="s">
        <v>4135</v>
      </c>
      <c r="C1823" t="s">
        <v>4136</v>
      </c>
      <c r="D1823" t="s">
        <v>4136</v>
      </c>
      <c r="E1823" s="5">
        <v>46275</v>
      </c>
      <c r="F1823" t="s">
        <v>204</v>
      </c>
      <c r="G1823" t="s">
        <v>213</v>
      </c>
      <c r="H1823">
        <v>5998</v>
      </c>
      <c r="I1823">
        <v>95.97</v>
      </c>
      <c r="J1823">
        <v>17.27</v>
      </c>
      <c r="K1823">
        <v>5884.76</v>
      </c>
      <c r="L1823" s="5">
        <v>46277</v>
      </c>
      <c r="M1823" t="s">
        <v>3797</v>
      </c>
      <c r="N1823" t="s">
        <v>207</v>
      </c>
      <c r="O1823" t="s">
        <v>4136</v>
      </c>
      <c r="P1823" t="s">
        <v>208</v>
      </c>
      <c r="Q1823" t="s">
        <v>209</v>
      </c>
    </row>
    <row r="1824" spans="1:17" x14ac:dyDescent="0.3">
      <c r="A1824" t="s">
        <v>4137</v>
      </c>
      <c r="C1824" t="s">
        <v>4138</v>
      </c>
      <c r="D1824" t="s">
        <v>4138</v>
      </c>
      <c r="E1824" s="5">
        <v>46275</v>
      </c>
      <c r="F1824" t="s">
        <v>204</v>
      </c>
      <c r="G1824" t="s">
        <v>255</v>
      </c>
      <c r="H1824">
        <v>499</v>
      </c>
      <c r="I1824">
        <v>7.49</v>
      </c>
      <c r="J1824">
        <v>1.35</v>
      </c>
      <c r="K1824">
        <v>490.16</v>
      </c>
      <c r="L1824" s="5">
        <v>46277</v>
      </c>
      <c r="M1824" t="s">
        <v>3797</v>
      </c>
      <c r="N1824" t="s">
        <v>207</v>
      </c>
      <c r="O1824" t="s">
        <v>4138</v>
      </c>
      <c r="P1824" t="s">
        <v>208</v>
      </c>
      <c r="Q1824" t="s">
        <v>209</v>
      </c>
    </row>
    <row r="1825" spans="1:17" x14ac:dyDescent="0.3">
      <c r="A1825" t="s">
        <v>4139</v>
      </c>
      <c r="C1825" t="s">
        <v>4140</v>
      </c>
      <c r="D1825" t="s">
        <v>4141</v>
      </c>
      <c r="E1825" s="5">
        <v>46275</v>
      </c>
      <c r="F1825" t="s">
        <v>204</v>
      </c>
      <c r="G1825" t="s">
        <v>220</v>
      </c>
      <c r="H1825">
        <v>3499</v>
      </c>
      <c r="I1825">
        <v>10.5</v>
      </c>
      <c r="J1825">
        <v>1.89</v>
      </c>
      <c r="K1825">
        <v>3486.61</v>
      </c>
      <c r="L1825" s="5">
        <v>46277</v>
      </c>
      <c r="M1825" t="s">
        <v>3797</v>
      </c>
      <c r="N1825" t="s">
        <v>207</v>
      </c>
      <c r="O1825" t="s">
        <v>4141</v>
      </c>
      <c r="P1825" t="s">
        <v>208</v>
      </c>
      <c r="Q1825" t="s">
        <v>209</v>
      </c>
    </row>
    <row r="1826" spans="1:17" x14ac:dyDescent="0.3">
      <c r="A1826" t="s">
        <v>4142</v>
      </c>
      <c r="C1826" t="s">
        <v>4143</v>
      </c>
      <c r="D1826" t="s">
        <v>4143</v>
      </c>
      <c r="E1826" s="5">
        <v>46275</v>
      </c>
      <c r="F1826" t="s">
        <v>204</v>
      </c>
      <c r="G1826" t="s">
        <v>220</v>
      </c>
      <c r="H1826">
        <v>6298</v>
      </c>
      <c r="I1826">
        <v>18.89</v>
      </c>
      <c r="J1826">
        <v>3.4</v>
      </c>
      <c r="K1826">
        <v>6275.71</v>
      </c>
      <c r="L1826" s="5">
        <v>46277</v>
      </c>
      <c r="M1826" t="s">
        <v>3797</v>
      </c>
      <c r="N1826" t="s">
        <v>207</v>
      </c>
      <c r="O1826" t="s">
        <v>4143</v>
      </c>
      <c r="P1826" t="s">
        <v>208</v>
      </c>
      <c r="Q1826" t="s">
        <v>209</v>
      </c>
    </row>
    <row r="1827" spans="1:17" x14ac:dyDescent="0.3">
      <c r="A1827" t="s">
        <v>4144</v>
      </c>
      <c r="C1827" t="s">
        <v>4145</v>
      </c>
      <c r="D1827" t="s">
        <v>4145</v>
      </c>
      <c r="E1827" s="5">
        <v>46275</v>
      </c>
      <c r="F1827" t="s">
        <v>204</v>
      </c>
      <c r="G1827" t="s">
        <v>220</v>
      </c>
      <c r="H1827">
        <v>4999</v>
      </c>
      <c r="I1827">
        <v>15</v>
      </c>
      <c r="J1827">
        <v>2.7</v>
      </c>
      <c r="K1827">
        <v>4981.3</v>
      </c>
      <c r="L1827" s="5">
        <v>46277</v>
      </c>
      <c r="M1827" t="s">
        <v>3797</v>
      </c>
      <c r="N1827" t="s">
        <v>207</v>
      </c>
      <c r="O1827" t="s">
        <v>4145</v>
      </c>
      <c r="P1827" t="s">
        <v>208</v>
      </c>
      <c r="Q1827" t="s">
        <v>209</v>
      </c>
    </row>
    <row r="1828" spans="1:17" x14ac:dyDescent="0.3">
      <c r="A1828" t="s">
        <v>4146</v>
      </c>
      <c r="C1828" t="s">
        <v>4147</v>
      </c>
      <c r="D1828" t="s">
        <v>4147</v>
      </c>
      <c r="E1828" s="5">
        <v>46275</v>
      </c>
      <c r="F1828" t="s">
        <v>204</v>
      </c>
      <c r="G1828" t="s">
        <v>213</v>
      </c>
      <c r="H1828">
        <v>4999</v>
      </c>
      <c r="I1828">
        <v>79.98</v>
      </c>
      <c r="J1828">
        <v>14.4</v>
      </c>
      <c r="K1828">
        <v>4904.62</v>
      </c>
      <c r="L1828" s="5">
        <v>46277</v>
      </c>
      <c r="M1828" t="s">
        <v>3797</v>
      </c>
      <c r="N1828" t="s">
        <v>207</v>
      </c>
      <c r="O1828" t="s">
        <v>4147</v>
      </c>
      <c r="P1828" t="s">
        <v>208</v>
      </c>
      <c r="Q1828" t="s">
        <v>209</v>
      </c>
    </row>
    <row r="1829" spans="1:17" x14ac:dyDescent="0.3">
      <c r="A1829" t="s">
        <v>4148</v>
      </c>
      <c r="C1829" t="s">
        <v>4149</v>
      </c>
      <c r="D1829" t="s">
        <v>4149</v>
      </c>
      <c r="E1829" s="5">
        <v>46275</v>
      </c>
      <c r="F1829" t="s">
        <v>204</v>
      </c>
      <c r="G1829" t="s">
        <v>220</v>
      </c>
      <c r="H1829">
        <v>4999</v>
      </c>
      <c r="I1829">
        <v>15</v>
      </c>
      <c r="J1829">
        <v>2.7</v>
      </c>
      <c r="K1829">
        <v>4981.3</v>
      </c>
      <c r="L1829" s="5">
        <v>46277</v>
      </c>
      <c r="M1829" t="s">
        <v>3797</v>
      </c>
      <c r="N1829" t="s">
        <v>207</v>
      </c>
      <c r="O1829" t="s">
        <v>4149</v>
      </c>
      <c r="P1829" t="s">
        <v>208</v>
      </c>
      <c r="Q1829" t="s">
        <v>209</v>
      </c>
    </row>
    <row r="1830" spans="1:17" x14ac:dyDescent="0.3">
      <c r="A1830" t="s">
        <v>4150</v>
      </c>
      <c r="C1830" t="s">
        <v>4151</v>
      </c>
      <c r="D1830" t="s">
        <v>4151</v>
      </c>
      <c r="E1830" s="5">
        <v>46275</v>
      </c>
      <c r="F1830" t="s">
        <v>204</v>
      </c>
      <c r="G1830" t="s">
        <v>205</v>
      </c>
      <c r="H1830">
        <v>4298</v>
      </c>
      <c r="I1830">
        <v>73.069999999999993</v>
      </c>
      <c r="J1830">
        <v>13.15</v>
      </c>
      <c r="K1830">
        <v>4211.78</v>
      </c>
      <c r="L1830" s="5">
        <v>46277</v>
      </c>
      <c r="M1830" t="s">
        <v>3797</v>
      </c>
      <c r="N1830" t="s">
        <v>207</v>
      </c>
      <c r="O1830" t="s">
        <v>4151</v>
      </c>
      <c r="P1830" t="s">
        <v>208</v>
      </c>
      <c r="Q1830" t="s">
        <v>209</v>
      </c>
    </row>
    <row r="1831" spans="1:17" x14ac:dyDescent="0.3">
      <c r="A1831" t="s">
        <v>4152</v>
      </c>
      <c r="C1831" t="s">
        <v>4153</v>
      </c>
      <c r="D1831" t="s">
        <v>4153</v>
      </c>
      <c r="E1831" s="5">
        <v>46275</v>
      </c>
      <c r="F1831" t="s">
        <v>204</v>
      </c>
      <c r="G1831" t="s">
        <v>220</v>
      </c>
      <c r="H1831">
        <v>3499</v>
      </c>
      <c r="I1831">
        <v>10.5</v>
      </c>
      <c r="J1831">
        <v>1.89</v>
      </c>
      <c r="K1831">
        <v>3486.61</v>
      </c>
      <c r="L1831" s="5">
        <v>46277</v>
      </c>
      <c r="M1831" t="s">
        <v>3797</v>
      </c>
      <c r="N1831" t="s">
        <v>207</v>
      </c>
      <c r="O1831" t="s">
        <v>4153</v>
      </c>
      <c r="P1831" t="s">
        <v>208</v>
      </c>
      <c r="Q1831" t="s">
        <v>209</v>
      </c>
    </row>
    <row r="1832" spans="1:17" x14ac:dyDescent="0.3">
      <c r="A1832" t="s">
        <v>4154</v>
      </c>
      <c r="C1832" t="s">
        <v>4155</v>
      </c>
      <c r="D1832" t="s">
        <v>4155</v>
      </c>
      <c r="E1832" s="5">
        <v>46275</v>
      </c>
      <c r="F1832" t="s">
        <v>204</v>
      </c>
      <c r="G1832" t="s">
        <v>205</v>
      </c>
      <c r="H1832">
        <v>3597</v>
      </c>
      <c r="I1832">
        <v>61.15</v>
      </c>
      <c r="J1832">
        <v>11.01</v>
      </c>
      <c r="K1832">
        <v>3524.84</v>
      </c>
      <c r="L1832" s="5">
        <v>46277</v>
      </c>
      <c r="M1832" t="s">
        <v>3797</v>
      </c>
      <c r="N1832" t="s">
        <v>207</v>
      </c>
      <c r="O1832" t="s">
        <v>4155</v>
      </c>
      <c r="P1832" t="s">
        <v>208</v>
      </c>
      <c r="Q1832" t="s">
        <v>209</v>
      </c>
    </row>
    <row r="1833" spans="1:17" x14ac:dyDescent="0.3">
      <c r="A1833" t="s">
        <v>4156</v>
      </c>
      <c r="C1833" t="s">
        <v>4157</v>
      </c>
      <c r="D1833" t="s">
        <v>4157</v>
      </c>
      <c r="E1833" s="5">
        <v>46275</v>
      </c>
      <c r="F1833" t="s">
        <v>204</v>
      </c>
      <c r="G1833" t="s">
        <v>205</v>
      </c>
      <c r="H1833">
        <v>999</v>
      </c>
      <c r="I1833">
        <v>18.98</v>
      </c>
      <c r="J1833">
        <v>3.42</v>
      </c>
      <c r="K1833">
        <v>976.6</v>
      </c>
      <c r="L1833" s="5">
        <v>46277</v>
      </c>
      <c r="M1833" t="s">
        <v>3797</v>
      </c>
      <c r="N1833" t="s">
        <v>207</v>
      </c>
      <c r="O1833" t="s">
        <v>4157</v>
      </c>
      <c r="P1833" t="s">
        <v>208</v>
      </c>
      <c r="Q1833" t="s">
        <v>209</v>
      </c>
    </row>
    <row r="1834" spans="1:17" x14ac:dyDescent="0.3">
      <c r="A1834" t="s">
        <v>4158</v>
      </c>
      <c r="C1834" t="s">
        <v>4159</v>
      </c>
      <c r="D1834" t="s">
        <v>4159</v>
      </c>
      <c r="E1834" s="5">
        <v>46275</v>
      </c>
      <c r="F1834" t="s">
        <v>204</v>
      </c>
      <c r="G1834" t="s">
        <v>213</v>
      </c>
      <c r="H1834">
        <v>1799</v>
      </c>
      <c r="I1834">
        <v>32.380000000000003</v>
      </c>
      <c r="J1834">
        <v>5.83</v>
      </c>
      <c r="K1834">
        <v>1760.79</v>
      </c>
      <c r="L1834" s="5">
        <v>46277</v>
      </c>
      <c r="M1834" t="s">
        <v>3797</v>
      </c>
      <c r="N1834" t="s">
        <v>207</v>
      </c>
      <c r="O1834" t="s">
        <v>4159</v>
      </c>
      <c r="P1834" t="s">
        <v>208</v>
      </c>
      <c r="Q1834" t="s">
        <v>209</v>
      </c>
    </row>
    <row r="1835" spans="1:17" x14ac:dyDescent="0.3">
      <c r="A1835" t="s">
        <v>4160</v>
      </c>
      <c r="C1835" t="s">
        <v>4161</v>
      </c>
      <c r="D1835" t="s">
        <v>4161</v>
      </c>
      <c r="E1835" s="5">
        <v>46275</v>
      </c>
      <c r="F1835" t="s">
        <v>204</v>
      </c>
      <c r="G1835" t="s">
        <v>205</v>
      </c>
      <c r="H1835">
        <v>1799</v>
      </c>
      <c r="I1835">
        <v>34.18</v>
      </c>
      <c r="J1835">
        <v>6.15</v>
      </c>
      <c r="K1835">
        <v>1758.67</v>
      </c>
      <c r="L1835" s="5">
        <v>46277</v>
      </c>
      <c r="M1835" t="s">
        <v>3797</v>
      </c>
      <c r="N1835" t="s">
        <v>207</v>
      </c>
      <c r="O1835" t="s">
        <v>4161</v>
      </c>
      <c r="P1835" t="s">
        <v>208</v>
      </c>
      <c r="Q1835" t="s">
        <v>209</v>
      </c>
    </row>
    <row r="1836" spans="1:17" x14ac:dyDescent="0.3">
      <c r="A1836" t="s">
        <v>4162</v>
      </c>
      <c r="C1836" t="s">
        <v>4163</v>
      </c>
      <c r="D1836" t="s">
        <v>4163</v>
      </c>
      <c r="E1836" s="5">
        <v>46275</v>
      </c>
      <c r="F1836" t="s">
        <v>204</v>
      </c>
      <c r="G1836" t="s">
        <v>220</v>
      </c>
      <c r="H1836">
        <v>5498</v>
      </c>
      <c r="I1836">
        <v>16.489999999999998</v>
      </c>
      <c r="J1836">
        <v>2.97</v>
      </c>
      <c r="K1836">
        <v>5478.54</v>
      </c>
      <c r="L1836" s="5">
        <v>46277</v>
      </c>
      <c r="M1836" t="s">
        <v>3797</v>
      </c>
      <c r="N1836" t="s">
        <v>207</v>
      </c>
      <c r="O1836" t="s">
        <v>4163</v>
      </c>
      <c r="P1836" t="s">
        <v>208</v>
      </c>
      <c r="Q1836" t="s">
        <v>209</v>
      </c>
    </row>
    <row r="1837" spans="1:17" x14ac:dyDescent="0.3">
      <c r="A1837" t="s">
        <v>4164</v>
      </c>
      <c r="C1837" t="s">
        <v>4165</v>
      </c>
      <c r="D1837" t="s">
        <v>4166</v>
      </c>
      <c r="E1837" s="5">
        <v>46275</v>
      </c>
      <c r="F1837" t="s">
        <v>204</v>
      </c>
      <c r="G1837" t="s">
        <v>220</v>
      </c>
      <c r="H1837">
        <v>7497</v>
      </c>
      <c r="I1837">
        <v>22.49</v>
      </c>
      <c r="J1837">
        <v>4.05</v>
      </c>
      <c r="K1837">
        <v>7470.46</v>
      </c>
      <c r="L1837" s="5">
        <v>46277</v>
      </c>
      <c r="M1837" t="s">
        <v>3797</v>
      </c>
      <c r="N1837" t="s">
        <v>207</v>
      </c>
      <c r="O1837" t="s">
        <v>4166</v>
      </c>
      <c r="P1837" t="s">
        <v>208</v>
      </c>
      <c r="Q1837" t="s">
        <v>209</v>
      </c>
    </row>
    <row r="1838" spans="1:17" x14ac:dyDescent="0.3">
      <c r="A1838" t="s">
        <v>4167</v>
      </c>
      <c r="C1838" t="s">
        <v>4168</v>
      </c>
      <c r="D1838" t="s">
        <v>4169</v>
      </c>
      <c r="E1838" s="5">
        <v>46275</v>
      </c>
      <c r="F1838" t="s">
        <v>204</v>
      </c>
      <c r="G1838" t="s">
        <v>205</v>
      </c>
      <c r="H1838">
        <v>1499</v>
      </c>
      <c r="I1838">
        <v>28.48</v>
      </c>
      <c r="J1838">
        <v>5.13</v>
      </c>
      <c r="K1838">
        <v>1465.39</v>
      </c>
      <c r="L1838" s="5">
        <v>46277</v>
      </c>
      <c r="M1838" t="s">
        <v>3797</v>
      </c>
      <c r="N1838" t="s">
        <v>207</v>
      </c>
      <c r="O1838" t="s">
        <v>4169</v>
      </c>
      <c r="P1838" t="s">
        <v>208</v>
      </c>
      <c r="Q1838" t="s">
        <v>209</v>
      </c>
    </row>
    <row r="1839" spans="1:17" x14ac:dyDescent="0.3">
      <c r="A1839" t="s">
        <v>4170</v>
      </c>
      <c r="C1839" t="s">
        <v>4171</v>
      </c>
      <c r="D1839" t="s">
        <v>4171</v>
      </c>
      <c r="E1839" s="5">
        <v>46275</v>
      </c>
      <c r="F1839" t="s">
        <v>204</v>
      </c>
      <c r="G1839" t="s">
        <v>213</v>
      </c>
      <c r="H1839">
        <v>3499</v>
      </c>
      <c r="I1839">
        <v>55.98</v>
      </c>
      <c r="J1839">
        <v>10.08</v>
      </c>
      <c r="K1839">
        <v>3432.94</v>
      </c>
      <c r="L1839" s="5">
        <v>46277</v>
      </c>
      <c r="M1839" t="s">
        <v>3797</v>
      </c>
      <c r="N1839" t="s">
        <v>207</v>
      </c>
      <c r="O1839" t="s">
        <v>4171</v>
      </c>
      <c r="P1839" t="s">
        <v>208</v>
      </c>
      <c r="Q1839" t="s">
        <v>209</v>
      </c>
    </row>
    <row r="1840" spans="1:17" x14ac:dyDescent="0.3">
      <c r="A1840" t="s">
        <v>4172</v>
      </c>
      <c r="C1840" t="s">
        <v>4173</v>
      </c>
      <c r="D1840" t="s">
        <v>4173</v>
      </c>
      <c r="E1840" s="5">
        <v>46275</v>
      </c>
      <c r="F1840" t="s">
        <v>204</v>
      </c>
      <c r="G1840" t="s">
        <v>213</v>
      </c>
      <c r="H1840">
        <v>2999</v>
      </c>
      <c r="I1840">
        <v>47.98</v>
      </c>
      <c r="J1840">
        <v>8.64</v>
      </c>
      <c r="K1840">
        <v>2942.38</v>
      </c>
      <c r="L1840" s="5">
        <v>46277</v>
      </c>
      <c r="M1840" t="s">
        <v>3797</v>
      </c>
      <c r="N1840" t="s">
        <v>207</v>
      </c>
      <c r="O1840" t="s">
        <v>4173</v>
      </c>
      <c r="P1840" t="s">
        <v>208</v>
      </c>
      <c r="Q1840" t="s">
        <v>209</v>
      </c>
    </row>
    <row r="1841" spans="1:17" x14ac:dyDescent="0.3">
      <c r="A1841" t="s">
        <v>4174</v>
      </c>
      <c r="C1841" t="s">
        <v>4175</v>
      </c>
      <c r="D1841" t="s">
        <v>4175</v>
      </c>
      <c r="E1841" s="5">
        <v>46275</v>
      </c>
      <c r="F1841" t="s">
        <v>204</v>
      </c>
      <c r="G1841" t="s">
        <v>220</v>
      </c>
      <c r="H1841">
        <v>599</v>
      </c>
      <c r="I1841">
        <v>0</v>
      </c>
      <c r="J1841">
        <v>0</v>
      </c>
      <c r="K1841">
        <v>599</v>
      </c>
      <c r="L1841" s="5">
        <v>46277</v>
      </c>
      <c r="M1841" t="s">
        <v>3797</v>
      </c>
      <c r="N1841" t="s">
        <v>207</v>
      </c>
      <c r="O1841" t="s">
        <v>4175</v>
      </c>
      <c r="P1841" t="s">
        <v>208</v>
      </c>
      <c r="Q1841" t="s">
        <v>209</v>
      </c>
    </row>
    <row r="1842" spans="1:17" x14ac:dyDescent="0.3">
      <c r="A1842" t="s">
        <v>4176</v>
      </c>
      <c r="C1842" t="s">
        <v>4177</v>
      </c>
      <c r="D1842" t="s">
        <v>4177</v>
      </c>
      <c r="E1842" s="5">
        <v>46275</v>
      </c>
      <c r="F1842" t="s">
        <v>204</v>
      </c>
      <c r="G1842" t="s">
        <v>220</v>
      </c>
      <c r="H1842">
        <v>799</v>
      </c>
      <c r="I1842">
        <v>0</v>
      </c>
      <c r="J1842">
        <v>0</v>
      </c>
      <c r="K1842">
        <v>799</v>
      </c>
      <c r="L1842" s="5">
        <v>46277</v>
      </c>
      <c r="M1842" t="s">
        <v>3797</v>
      </c>
      <c r="N1842" t="s">
        <v>207</v>
      </c>
      <c r="O1842" t="s">
        <v>4177</v>
      </c>
      <c r="P1842" t="s">
        <v>208</v>
      </c>
      <c r="Q1842" t="s">
        <v>209</v>
      </c>
    </row>
    <row r="1843" spans="1:17" x14ac:dyDescent="0.3">
      <c r="A1843" t="s">
        <v>4178</v>
      </c>
      <c r="C1843" t="s">
        <v>4179</v>
      </c>
      <c r="D1843" t="s">
        <v>4179</v>
      </c>
      <c r="E1843" s="5">
        <v>46275</v>
      </c>
      <c r="F1843" t="s">
        <v>204</v>
      </c>
      <c r="G1843" t="s">
        <v>220</v>
      </c>
      <c r="H1843">
        <v>1148</v>
      </c>
      <c r="I1843">
        <v>0</v>
      </c>
      <c r="J1843">
        <v>0</v>
      </c>
      <c r="K1843">
        <v>1148</v>
      </c>
      <c r="L1843" s="5">
        <v>46277</v>
      </c>
      <c r="M1843" t="s">
        <v>3797</v>
      </c>
      <c r="N1843" t="s">
        <v>207</v>
      </c>
      <c r="O1843" t="s">
        <v>4179</v>
      </c>
      <c r="P1843" t="s">
        <v>208</v>
      </c>
      <c r="Q1843" t="s">
        <v>209</v>
      </c>
    </row>
    <row r="1844" spans="1:17" x14ac:dyDescent="0.3">
      <c r="A1844" t="s">
        <v>4180</v>
      </c>
      <c r="C1844" t="s">
        <v>4181</v>
      </c>
      <c r="D1844" t="s">
        <v>4181</v>
      </c>
      <c r="E1844" s="5">
        <v>46275</v>
      </c>
      <c r="F1844" t="s">
        <v>204</v>
      </c>
      <c r="G1844" t="s">
        <v>213</v>
      </c>
      <c r="H1844">
        <v>3597</v>
      </c>
      <c r="I1844">
        <v>57.55</v>
      </c>
      <c r="J1844">
        <v>10.36</v>
      </c>
      <c r="K1844">
        <v>3529.09</v>
      </c>
      <c r="L1844" s="5">
        <v>46277</v>
      </c>
      <c r="M1844" t="s">
        <v>3797</v>
      </c>
      <c r="N1844" t="s">
        <v>207</v>
      </c>
      <c r="O1844" t="s">
        <v>4181</v>
      </c>
      <c r="P1844" t="s">
        <v>208</v>
      </c>
      <c r="Q1844" t="s">
        <v>209</v>
      </c>
    </row>
    <row r="1845" spans="1:17" x14ac:dyDescent="0.3">
      <c r="A1845" t="s">
        <v>4182</v>
      </c>
      <c r="C1845" t="s">
        <v>4183</v>
      </c>
      <c r="D1845" t="s">
        <v>4183</v>
      </c>
      <c r="E1845" s="5">
        <v>46275</v>
      </c>
      <c r="F1845" t="s">
        <v>204</v>
      </c>
      <c r="G1845" t="s">
        <v>205</v>
      </c>
      <c r="H1845">
        <v>1799</v>
      </c>
      <c r="I1845">
        <v>34.18</v>
      </c>
      <c r="J1845">
        <v>6.15</v>
      </c>
      <c r="K1845">
        <v>1758.67</v>
      </c>
      <c r="L1845" s="5">
        <v>46277</v>
      </c>
      <c r="M1845" t="s">
        <v>3797</v>
      </c>
      <c r="N1845" t="s">
        <v>207</v>
      </c>
      <c r="O1845" t="s">
        <v>4183</v>
      </c>
      <c r="P1845" t="s">
        <v>208</v>
      </c>
      <c r="Q1845" t="s">
        <v>209</v>
      </c>
    </row>
    <row r="1846" spans="1:17" x14ac:dyDescent="0.3">
      <c r="A1846" t="s">
        <v>4184</v>
      </c>
      <c r="C1846" t="s">
        <v>4185</v>
      </c>
      <c r="D1846" t="s">
        <v>4185</v>
      </c>
      <c r="E1846" s="5">
        <v>46275</v>
      </c>
      <c r="F1846" t="s">
        <v>204</v>
      </c>
      <c r="G1846" t="s">
        <v>220</v>
      </c>
      <c r="H1846">
        <v>9798</v>
      </c>
      <c r="I1846">
        <v>29.39</v>
      </c>
      <c r="J1846">
        <v>5.29</v>
      </c>
      <c r="K1846">
        <v>9763.32</v>
      </c>
      <c r="L1846" s="5">
        <v>46277</v>
      </c>
      <c r="M1846" t="s">
        <v>3797</v>
      </c>
      <c r="N1846" t="s">
        <v>207</v>
      </c>
      <c r="O1846" t="s">
        <v>4185</v>
      </c>
      <c r="P1846" t="s">
        <v>208</v>
      </c>
      <c r="Q1846" t="s">
        <v>209</v>
      </c>
    </row>
    <row r="1847" spans="1:17" x14ac:dyDescent="0.3">
      <c r="A1847" t="s">
        <v>4186</v>
      </c>
      <c r="B1847" t="s">
        <v>1781</v>
      </c>
      <c r="E1847" s="5">
        <v>46275</v>
      </c>
      <c r="F1847" t="s">
        <v>921</v>
      </c>
      <c r="G1847" t="s">
        <v>205</v>
      </c>
      <c r="H1847">
        <v>8598</v>
      </c>
      <c r="I1847">
        <v>0</v>
      </c>
      <c r="J1847">
        <v>0</v>
      </c>
      <c r="K1847">
        <v>-8598</v>
      </c>
      <c r="L1847" s="5">
        <v>46277</v>
      </c>
      <c r="M1847" t="s">
        <v>3797</v>
      </c>
      <c r="N1847" t="s">
        <v>207</v>
      </c>
      <c r="O1847" t="s">
        <v>1782</v>
      </c>
      <c r="P1847" t="s">
        <v>208</v>
      </c>
    </row>
    <row r="1848" spans="1:17" x14ac:dyDescent="0.3">
      <c r="A1848" t="s">
        <v>4187</v>
      </c>
      <c r="B1848" t="s">
        <v>1427</v>
      </c>
      <c r="E1848" s="5">
        <v>46275</v>
      </c>
      <c r="F1848" t="s">
        <v>921</v>
      </c>
      <c r="G1848" t="s">
        <v>220</v>
      </c>
      <c r="H1848">
        <v>1798</v>
      </c>
      <c r="I1848">
        <v>0</v>
      </c>
      <c r="J1848">
        <v>0</v>
      </c>
      <c r="K1848">
        <v>-1798</v>
      </c>
      <c r="L1848" s="5">
        <v>46277</v>
      </c>
      <c r="M1848" t="s">
        <v>3797</v>
      </c>
      <c r="N1848" t="s">
        <v>207</v>
      </c>
      <c r="O1848" t="s">
        <v>1428</v>
      </c>
      <c r="P1848" t="s">
        <v>208</v>
      </c>
    </row>
    <row r="1849" spans="1:17" x14ac:dyDescent="0.3">
      <c r="A1849" t="s">
        <v>4188</v>
      </c>
      <c r="B1849" t="s">
        <v>1718</v>
      </c>
      <c r="E1849" s="5">
        <v>46275</v>
      </c>
      <c r="F1849" t="s">
        <v>921</v>
      </c>
      <c r="G1849" t="s">
        <v>220</v>
      </c>
      <c r="H1849">
        <v>8298</v>
      </c>
      <c r="I1849">
        <v>0</v>
      </c>
      <c r="J1849">
        <v>0</v>
      </c>
      <c r="K1849">
        <v>-8298</v>
      </c>
      <c r="L1849" s="5">
        <v>46277</v>
      </c>
      <c r="M1849" t="s">
        <v>3797</v>
      </c>
      <c r="N1849" t="s">
        <v>207</v>
      </c>
      <c r="O1849" t="s">
        <v>1719</v>
      </c>
      <c r="P1849" t="s">
        <v>208</v>
      </c>
    </row>
    <row r="1850" spans="1:17" x14ac:dyDescent="0.3">
      <c r="A1850" t="s">
        <v>4189</v>
      </c>
      <c r="B1850" t="s">
        <v>3600</v>
      </c>
      <c r="E1850" s="5">
        <v>46275</v>
      </c>
      <c r="F1850" t="s">
        <v>921</v>
      </c>
      <c r="G1850" t="s">
        <v>220</v>
      </c>
      <c r="H1850">
        <v>4297</v>
      </c>
      <c r="I1850">
        <v>0</v>
      </c>
      <c r="J1850">
        <v>0</v>
      </c>
      <c r="K1850">
        <v>-4297</v>
      </c>
      <c r="L1850" s="5">
        <v>46277</v>
      </c>
      <c r="M1850" t="s">
        <v>3797</v>
      </c>
      <c r="N1850" t="s">
        <v>207</v>
      </c>
      <c r="O1850" t="s">
        <v>3601</v>
      </c>
      <c r="P1850" t="s">
        <v>208</v>
      </c>
    </row>
    <row r="1851" spans="1:17" x14ac:dyDescent="0.3">
      <c r="A1851" t="s">
        <v>4190</v>
      </c>
      <c r="B1851" t="s">
        <v>2735</v>
      </c>
      <c r="E1851" s="5">
        <v>46275</v>
      </c>
      <c r="F1851" t="s">
        <v>921</v>
      </c>
      <c r="G1851" t="s">
        <v>213</v>
      </c>
      <c r="H1851">
        <v>12297</v>
      </c>
      <c r="I1851">
        <v>0</v>
      </c>
      <c r="J1851">
        <v>0</v>
      </c>
      <c r="K1851">
        <v>-12297</v>
      </c>
      <c r="L1851" s="5">
        <v>46277</v>
      </c>
      <c r="M1851" t="s">
        <v>3797</v>
      </c>
      <c r="N1851" t="s">
        <v>207</v>
      </c>
      <c r="O1851" t="s">
        <v>2736</v>
      </c>
      <c r="P1851" t="s">
        <v>208</v>
      </c>
    </row>
    <row r="1852" spans="1:17" x14ac:dyDescent="0.3">
      <c r="A1852" t="s">
        <v>4191</v>
      </c>
      <c r="B1852" t="s">
        <v>1573</v>
      </c>
      <c r="E1852" s="5">
        <v>46275</v>
      </c>
      <c r="F1852" t="s">
        <v>921</v>
      </c>
      <c r="G1852" t="s">
        <v>220</v>
      </c>
      <c r="H1852">
        <v>7999</v>
      </c>
      <c r="I1852">
        <v>0</v>
      </c>
      <c r="J1852">
        <v>0</v>
      </c>
      <c r="K1852">
        <v>-7999</v>
      </c>
      <c r="L1852" s="5">
        <v>46277</v>
      </c>
      <c r="M1852" t="s">
        <v>3797</v>
      </c>
      <c r="N1852" t="s">
        <v>207</v>
      </c>
      <c r="O1852" t="s">
        <v>1575</v>
      </c>
      <c r="P1852" t="s">
        <v>208</v>
      </c>
    </row>
    <row r="1853" spans="1:17" x14ac:dyDescent="0.3">
      <c r="A1853" t="s">
        <v>4192</v>
      </c>
      <c r="B1853" t="s">
        <v>3002</v>
      </c>
      <c r="E1853" s="5">
        <v>46275</v>
      </c>
      <c r="F1853" t="s">
        <v>921</v>
      </c>
      <c r="G1853" t="s">
        <v>205</v>
      </c>
      <c r="H1853">
        <v>1299</v>
      </c>
      <c r="I1853">
        <v>0</v>
      </c>
      <c r="J1853">
        <v>0</v>
      </c>
      <c r="K1853">
        <v>-1299</v>
      </c>
      <c r="L1853" s="5">
        <v>46277</v>
      </c>
      <c r="M1853" t="s">
        <v>3797</v>
      </c>
      <c r="N1853" t="s">
        <v>207</v>
      </c>
      <c r="O1853" t="s">
        <v>3003</v>
      </c>
      <c r="P1853" t="s">
        <v>208</v>
      </c>
    </row>
    <row r="1854" spans="1:17" x14ac:dyDescent="0.3">
      <c r="A1854" t="s">
        <v>4193</v>
      </c>
      <c r="B1854" t="s">
        <v>1597</v>
      </c>
      <c r="E1854" s="5">
        <v>46275</v>
      </c>
      <c r="F1854" t="s">
        <v>921</v>
      </c>
      <c r="G1854" t="s">
        <v>220</v>
      </c>
      <c r="H1854">
        <v>6797</v>
      </c>
      <c r="I1854">
        <v>0</v>
      </c>
      <c r="J1854">
        <v>0</v>
      </c>
      <c r="K1854">
        <v>-6797</v>
      </c>
      <c r="L1854" s="5">
        <v>46277</v>
      </c>
      <c r="M1854" t="s">
        <v>3797</v>
      </c>
      <c r="N1854" t="s">
        <v>207</v>
      </c>
      <c r="O1854" t="s">
        <v>1598</v>
      </c>
      <c r="P1854" t="s">
        <v>208</v>
      </c>
    </row>
    <row r="1855" spans="1:17" x14ac:dyDescent="0.3">
      <c r="A1855" t="s">
        <v>4194</v>
      </c>
      <c r="B1855" t="s">
        <v>1654</v>
      </c>
      <c r="E1855" s="5">
        <v>46275</v>
      </c>
      <c r="F1855" t="s">
        <v>921</v>
      </c>
      <c r="G1855" t="s">
        <v>213</v>
      </c>
      <c r="H1855">
        <v>7999</v>
      </c>
      <c r="I1855">
        <v>0</v>
      </c>
      <c r="J1855">
        <v>0</v>
      </c>
      <c r="K1855">
        <v>-7999</v>
      </c>
      <c r="L1855" s="5">
        <v>46277</v>
      </c>
      <c r="M1855" t="s">
        <v>3797</v>
      </c>
      <c r="N1855" t="s">
        <v>207</v>
      </c>
      <c r="O1855" t="s">
        <v>1655</v>
      </c>
      <c r="P1855" t="s">
        <v>208</v>
      </c>
    </row>
    <row r="1856" spans="1:17" x14ac:dyDescent="0.3">
      <c r="A1856" t="s">
        <v>4195</v>
      </c>
      <c r="B1856" t="s">
        <v>1862</v>
      </c>
      <c r="E1856" s="5">
        <v>46275</v>
      </c>
      <c r="F1856" t="s">
        <v>921</v>
      </c>
      <c r="G1856" t="s">
        <v>205</v>
      </c>
      <c r="H1856">
        <v>1098</v>
      </c>
      <c r="I1856">
        <v>0</v>
      </c>
      <c r="J1856">
        <v>0</v>
      </c>
      <c r="K1856">
        <v>-1098</v>
      </c>
      <c r="L1856" s="5">
        <v>46277</v>
      </c>
      <c r="M1856" t="s">
        <v>3797</v>
      </c>
      <c r="N1856" t="s">
        <v>207</v>
      </c>
      <c r="O1856" t="s">
        <v>1863</v>
      </c>
      <c r="P1856" t="s">
        <v>208</v>
      </c>
    </row>
    <row r="1857" spans="1:17" x14ac:dyDescent="0.3">
      <c r="A1857" t="s">
        <v>4196</v>
      </c>
      <c r="B1857" t="s">
        <v>2205</v>
      </c>
      <c r="E1857" s="5">
        <v>46275</v>
      </c>
      <c r="F1857" t="s">
        <v>921</v>
      </c>
      <c r="G1857" t="s">
        <v>220</v>
      </c>
      <c r="H1857">
        <v>5998</v>
      </c>
      <c r="I1857">
        <v>0</v>
      </c>
      <c r="J1857">
        <v>0</v>
      </c>
      <c r="K1857">
        <v>-5998</v>
      </c>
      <c r="L1857" s="5">
        <v>46277</v>
      </c>
      <c r="M1857" t="s">
        <v>3797</v>
      </c>
      <c r="N1857" t="s">
        <v>207</v>
      </c>
      <c r="O1857" t="s">
        <v>2206</v>
      </c>
      <c r="P1857" t="s">
        <v>208</v>
      </c>
    </row>
    <row r="1858" spans="1:17" x14ac:dyDescent="0.3">
      <c r="A1858" t="s">
        <v>4197</v>
      </c>
      <c r="C1858" t="s">
        <v>4198</v>
      </c>
      <c r="D1858" t="s">
        <v>4198</v>
      </c>
      <c r="E1858" s="5">
        <v>46276</v>
      </c>
      <c r="F1858" t="s">
        <v>204</v>
      </c>
      <c r="G1858" t="s">
        <v>213</v>
      </c>
      <c r="H1858">
        <v>499</v>
      </c>
      <c r="I1858">
        <v>8.98</v>
      </c>
      <c r="J1858">
        <v>1.62</v>
      </c>
      <c r="K1858">
        <v>488.4</v>
      </c>
      <c r="L1858" s="5">
        <v>46278</v>
      </c>
      <c r="M1858" t="s">
        <v>4199</v>
      </c>
      <c r="N1858" t="s">
        <v>207</v>
      </c>
      <c r="O1858" t="s">
        <v>4198</v>
      </c>
      <c r="P1858" t="s">
        <v>208</v>
      </c>
      <c r="Q1858" t="s">
        <v>209</v>
      </c>
    </row>
    <row r="1859" spans="1:17" x14ac:dyDescent="0.3">
      <c r="A1859" t="s">
        <v>4200</v>
      </c>
      <c r="C1859" t="s">
        <v>4201</v>
      </c>
      <c r="D1859" t="s">
        <v>4201</v>
      </c>
      <c r="E1859" s="5">
        <v>46276</v>
      </c>
      <c r="F1859" t="s">
        <v>204</v>
      </c>
      <c r="G1859" t="s">
        <v>220</v>
      </c>
      <c r="H1859">
        <v>2999</v>
      </c>
      <c r="I1859">
        <v>9</v>
      </c>
      <c r="J1859">
        <v>1.62</v>
      </c>
      <c r="K1859">
        <v>2988.38</v>
      </c>
      <c r="L1859" s="5">
        <v>46278</v>
      </c>
      <c r="M1859" t="s">
        <v>4199</v>
      </c>
      <c r="N1859" t="s">
        <v>207</v>
      </c>
      <c r="O1859" t="s">
        <v>4201</v>
      </c>
      <c r="P1859" t="s">
        <v>208</v>
      </c>
      <c r="Q1859" t="s">
        <v>209</v>
      </c>
    </row>
    <row r="1860" spans="1:17" x14ac:dyDescent="0.3">
      <c r="A1860" t="s">
        <v>4202</v>
      </c>
      <c r="C1860" t="s">
        <v>4203</v>
      </c>
      <c r="D1860" t="s">
        <v>4203</v>
      </c>
      <c r="E1860" s="5">
        <v>46276</v>
      </c>
      <c r="F1860" t="s">
        <v>204</v>
      </c>
      <c r="G1860" t="s">
        <v>220</v>
      </c>
      <c r="H1860">
        <v>599</v>
      </c>
      <c r="I1860">
        <v>0</v>
      </c>
      <c r="J1860">
        <v>0</v>
      </c>
      <c r="K1860">
        <v>599</v>
      </c>
      <c r="L1860" s="5">
        <v>46278</v>
      </c>
      <c r="M1860" t="s">
        <v>4199</v>
      </c>
      <c r="N1860" t="s">
        <v>207</v>
      </c>
      <c r="O1860" t="s">
        <v>4203</v>
      </c>
      <c r="P1860" t="s">
        <v>208</v>
      </c>
      <c r="Q1860" t="s">
        <v>209</v>
      </c>
    </row>
    <row r="1861" spans="1:17" x14ac:dyDescent="0.3">
      <c r="A1861" t="s">
        <v>4204</v>
      </c>
      <c r="C1861" t="s">
        <v>4205</v>
      </c>
      <c r="D1861" t="s">
        <v>4205</v>
      </c>
      <c r="E1861" s="5">
        <v>46276</v>
      </c>
      <c r="F1861" t="s">
        <v>204</v>
      </c>
      <c r="G1861" t="s">
        <v>205</v>
      </c>
      <c r="H1861">
        <v>2499</v>
      </c>
      <c r="I1861">
        <v>42.48</v>
      </c>
      <c r="J1861">
        <v>7.65</v>
      </c>
      <c r="K1861">
        <v>2448.87</v>
      </c>
      <c r="L1861" s="5">
        <v>46278</v>
      </c>
      <c r="M1861" t="s">
        <v>4199</v>
      </c>
      <c r="N1861" t="s">
        <v>207</v>
      </c>
      <c r="O1861" t="s">
        <v>4205</v>
      </c>
      <c r="P1861" t="s">
        <v>208</v>
      </c>
      <c r="Q1861" t="s">
        <v>209</v>
      </c>
    </row>
    <row r="1862" spans="1:17" x14ac:dyDescent="0.3">
      <c r="A1862" t="s">
        <v>4206</v>
      </c>
      <c r="C1862" t="s">
        <v>4207</v>
      </c>
      <c r="D1862" t="s">
        <v>4207</v>
      </c>
      <c r="E1862" s="5">
        <v>46276</v>
      </c>
      <c r="F1862" t="s">
        <v>204</v>
      </c>
      <c r="G1862" t="s">
        <v>213</v>
      </c>
      <c r="H1862">
        <v>2798</v>
      </c>
      <c r="I1862">
        <v>44.77</v>
      </c>
      <c r="J1862">
        <v>8.06</v>
      </c>
      <c r="K1862">
        <v>2745.17</v>
      </c>
      <c r="L1862" s="5">
        <v>46278</v>
      </c>
      <c r="M1862" t="s">
        <v>4199</v>
      </c>
      <c r="N1862" t="s">
        <v>207</v>
      </c>
      <c r="O1862" t="s">
        <v>4207</v>
      </c>
      <c r="P1862" t="s">
        <v>208</v>
      </c>
      <c r="Q1862" t="s">
        <v>209</v>
      </c>
    </row>
    <row r="1863" spans="1:17" x14ac:dyDescent="0.3">
      <c r="A1863" t="s">
        <v>4208</v>
      </c>
      <c r="C1863" t="s">
        <v>4209</v>
      </c>
      <c r="D1863" t="s">
        <v>4209</v>
      </c>
      <c r="E1863" s="5">
        <v>46276</v>
      </c>
      <c r="F1863" t="s">
        <v>204</v>
      </c>
      <c r="G1863" t="s">
        <v>213</v>
      </c>
      <c r="H1863">
        <v>9798</v>
      </c>
      <c r="I1863">
        <v>156.77000000000001</v>
      </c>
      <c r="J1863">
        <v>28.22</v>
      </c>
      <c r="K1863">
        <v>9613.01</v>
      </c>
      <c r="L1863" s="5">
        <v>46278</v>
      </c>
      <c r="M1863" t="s">
        <v>4199</v>
      </c>
      <c r="N1863" t="s">
        <v>207</v>
      </c>
      <c r="O1863" t="s">
        <v>4209</v>
      </c>
      <c r="P1863" t="s">
        <v>208</v>
      </c>
      <c r="Q1863" t="s">
        <v>209</v>
      </c>
    </row>
    <row r="1864" spans="1:17" x14ac:dyDescent="0.3">
      <c r="A1864" t="s">
        <v>4210</v>
      </c>
      <c r="C1864" t="s">
        <v>4211</v>
      </c>
      <c r="D1864" t="s">
        <v>4211</v>
      </c>
      <c r="E1864" s="5">
        <v>46276</v>
      </c>
      <c r="F1864" t="s">
        <v>204</v>
      </c>
      <c r="G1864" t="s">
        <v>205</v>
      </c>
      <c r="H1864">
        <v>349</v>
      </c>
      <c r="I1864">
        <v>6.63</v>
      </c>
      <c r="J1864">
        <v>1.19</v>
      </c>
      <c r="K1864">
        <v>341.18</v>
      </c>
      <c r="L1864" s="5">
        <v>46278</v>
      </c>
      <c r="M1864" t="s">
        <v>4199</v>
      </c>
      <c r="N1864" t="s">
        <v>207</v>
      </c>
      <c r="O1864" t="s">
        <v>4211</v>
      </c>
      <c r="P1864" t="s">
        <v>208</v>
      </c>
      <c r="Q1864" t="s">
        <v>209</v>
      </c>
    </row>
    <row r="1865" spans="1:17" x14ac:dyDescent="0.3">
      <c r="A1865" t="s">
        <v>4212</v>
      </c>
      <c r="C1865" t="s">
        <v>4213</v>
      </c>
      <c r="D1865" t="s">
        <v>4213</v>
      </c>
      <c r="E1865" s="5">
        <v>46276</v>
      </c>
      <c r="F1865" t="s">
        <v>204</v>
      </c>
      <c r="G1865" t="s">
        <v>220</v>
      </c>
      <c r="H1865">
        <v>8798</v>
      </c>
      <c r="I1865">
        <v>26.39</v>
      </c>
      <c r="J1865">
        <v>4.75</v>
      </c>
      <c r="K1865">
        <v>8766.86</v>
      </c>
      <c r="L1865" s="5">
        <v>46278</v>
      </c>
      <c r="M1865" t="s">
        <v>4199</v>
      </c>
      <c r="N1865" t="s">
        <v>207</v>
      </c>
      <c r="O1865" t="s">
        <v>4213</v>
      </c>
      <c r="P1865" t="s">
        <v>208</v>
      </c>
      <c r="Q1865" t="s">
        <v>209</v>
      </c>
    </row>
    <row r="1866" spans="1:17" x14ac:dyDescent="0.3">
      <c r="A1866" t="s">
        <v>4214</v>
      </c>
      <c r="C1866" t="s">
        <v>4215</v>
      </c>
      <c r="D1866" t="s">
        <v>4215</v>
      </c>
      <c r="E1866" s="5">
        <v>46276</v>
      </c>
      <c r="F1866" t="s">
        <v>204</v>
      </c>
      <c r="G1866" t="s">
        <v>220</v>
      </c>
      <c r="H1866">
        <v>5598</v>
      </c>
      <c r="I1866">
        <v>16.79</v>
      </c>
      <c r="J1866">
        <v>3.02</v>
      </c>
      <c r="K1866">
        <v>5578.19</v>
      </c>
      <c r="L1866" s="5">
        <v>46278</v>
      </c>
      <c r="M1866" t="s">
        <v>4199</v>
      </c>
      <c r="N1866" t="s">
        <v>207</v>
      </c>
      <c r="O1866" t="s">
        <v>4215</v>
      </c>
      <c r="P1866" t="s">
        <v>208</v>
      </c>
      <c r="Q1866" t="s">
        <v>209</v>
      </c>
    </row>
    <row r="1867" spans="1:17" x14ac:dyDescent="0.3">
      <c r="A1867" t="s">
        <v>4216</v>
      </c>
      <c r="C1867" t="s">
        <v>4217</v>
      </c>
      <c r="D1867" t="s">
        <v>4217</v>
      </c>
      <c r="E1867" s="5">
        <v>46276</v>
      </c>
      <c r="F1867" t="s">
        <v>204</v>
      </c>
      <c r="G1867" t="s">
        <v>213</v>
      </c>
      <c r="H1867">
        <v>6997</v>
      </c>
      <c r="I1867">
        <v>111.95</v>
      </c>
      <c r="J1867">
        <v>20.149999999999999</v>
      </c>
      <c r="K1867">
        <v>6864.9</v>
      </c>
      <c r="L1867" s="5">
        <v>46278</v>
      </c>
      <c r="M1867" t="s">
        <v>4199</v>
      </c>
      <c r="N1867" t="s">
        <v>207</v>
      </c>
      <c r="O1867" t="s">
        <v>4217</v>
      </c>
      <c r="P1867" t="s">
        <v>208</v>
      </c>
      <c r="Q1867" t="s">
        <v>209</v>
      </c>
    </row>
    <row r="1868" spans="1:17" x14ac:dyDescent="0.3">
      <c r="A1868" t="s">
        <v>4218</v>
      </c>
      <c r="C1868" t="s">
        <v>4219</v>
      </c>
      <c r="D1868" t="s">
        <v>4219</v>
      </c>
      <c r="E1868" s="5">
        <v>46276</v>
      </c>
      <c r="F1868" t="s">
        <v>204</v>
      </c>
      <c r="G1868" t="s">
        <v>213</v>
      </c>
      <c r="H1868">
        <v>7097</v>
      </c>
      <c r="I1868">
        <v>113.55</v>
      </c>
      <c r="J1868">
        <v>20.440000000000001</v>
      </c>
      <c r="K1868">
        <v>6963.01</v>
      </c>
      <c r="L1868" s="5">
        <v>46278</v>
      </c>
      <c r="M1868" t="s">
        <v>4199</v>
      </c>
      <c r="N1868" t="s">
        <v>207</v>
      </c>
      <c r="O1868" t="s">
        <v>4219</v>
      </c>
      <c r="P1868" t="s">
        <v>208</v>
      </c>
      <c r="Q1868" t="s">
        <v>209</v>
      </c>
    </row>
    <row r="1869" spans="1:17" x14ac:dyDescent="0.3">
      <c r="A1869" t="s">
        <v>4220</v>
      </c>
      <c r="C1869" t="s">
        <v>4221</v>
      </c>
      <c r="D1869" t="s">
        <v>4221</v>
      </c>
      <c r="E1869" s="5">
        <v>46276</v>
      </c>
      <c r="F1869" t="s">
        <v>204</v>
      </c>
      <c r="G1869" t="s">
        <v>220</v>
      </c>
      <c r="H1869">
        <v>1499</v>
      </c>
      <c r="I1869">
        <v>0</v>
      </c>
      <c r="J1869">
        <v>0</v>
      </c>
      <c r="K1869">
        <v>1499</v>
      </c>
      <c r="L1869" s="5">
        <v>46278</v>
      </c>
      <c r="M1869" t="s">
        <v>4199</v>
      </c>
      <c r="N1869" t="s">
        <v>207</v>
      </c>
      <c r="O1869" t="s">
        <v>4221</v>
      </c>
      <c r="P1869" t="s">
        <v>208</v>
      </c>
      <c r="Q1869" t="s">
        <v>209</v>
      </c>
    </row>
    <row r="1870" spans="1:17" x14ac:dyDescent="0.3">
      <c r="A1870" t="s">
        <v>4222</v>
      </c>
      <c r="C1870" t="s">
        <v>4223</v>
      </c>
      <c r="D1870" t="s">
        <v>4223</v>
      </c>
      <c r="E1870" s="5">
        <v>46276</v>
      </c>
      <c r="F1870" t="s">
        <v>204</v>
      </c>
      <c r="G1870" t="s">
        <v>220</v>
      </c>
      <c r="H1870">
        <v>299</v>
      </c>
      <c r="I1870">
        <v>0</v>
      </c>
      <c r="J1870">
        <v>0</v>
      </c>
      <c r="K1870">
        <v>299</v>
      </c>
      <c r="L1870" s="5">
        <v>46278</v>
      </c>
      <c r="M1870" t="s">
        <v>4199</v>
      </c>
      <c r="N1870" t="s">
        <v>207</v>
      </c>
      <c r="O1870" t="s">
        <v>4223</v>
      </c>
      <c r="P1870" t="s">
        <v>208</v>
      </c>
      <c r="Q1870" t="s">
        <v>209</v>
      </c>
    </row>
    <row r="1871" spans="1:17" x14ac:dyDescent="0.3">
      <c r="A1871" t="s">
        <v>4224</v>
      </c>
      <c r="C1871" t="s">
        <v>4225</v>
      </c>
      <c r="D1871" t="s">
        <v>4225</v>
      </c>
      <c r="E1871" s="5">
        <v>46276</v>
      </c>
      <c r="F1871" t="s">
        <v>204</v>
      </c>
      <c r="G1871" t="s">
        <v>205</v>
      </c>
      <c r="H1871">
        <v>8297</v>
      </c>
      <c r="I1871">
        <v>141.05000000000001</v>
      </c>
      <c r="J1871">
        <v>25.39</v>
      </c>
      <c r="K1871">
        <v>8130.56</v>
      </c>
      <c r="L1871" s="5">
        <v>46278</v>
      </c>
      <c r="M1871" t="s">
        <v>4199</v>
      </c>
      <c r="N1871" t="s">
        <v>207</v>
      </c>
      <c r="O1871" t="s">
        <v>4225</v>
      </c>
      <c r="P1871" t="s">
        <v>208</v>
      </c>
      <c r="Q1871" t="s">
        <v>209</v>
      </c>
    </row>
    <row r="1872" spans="1:17" x14ac:dyDescent="0.3">
      <c r="A1872" t="s">
        <v>4226</v>
      </c>
      <c r="C1872" t="s">
        <v>4227</v>
      </c>
      <c r="D1872" t="s">
        <v>4227</v>
      </c>
      <c r="E1872" s="5">
        <v>46276</v>
      </c>
      <c r="F1872" t="s">
        <v>204</v>
      </c>
      <c r="G1872" t="s">
        <v>220</v>
      </c>
      <c r="H1872">
        <v>7999</v>
      </c>
      <c r="I1872">
        <v>24</v>
      </c>
      <c r="J1872">
        <v>4.32</v>
      </c>
      <c r="K1872">
        <v>7970.68</v>
      </c>
      <c r="L1872" s="5">
        <v>46278</v>
      </c>
      <c r="M1872" t="s">
        <v>4199</v>
      </c>
      <c r="N1872" t="s">
        <v>207</v>
      </c>
      <c r="O1872" t="s">
        <v>4227</v>
      </c>
      <c r="P1872" t="s">
        <v>208</v>
      </c>
      <c r="Q1872" t="s">
        <v>209</v>
      </c>
    </row>
    <row r="1873" spans="1:17" x14ac:dyDescent="0.3">
      <c r="A1873" t="s">
        <v>4228</v>
      </c>
      <c r="C1873" t="s">
        <v>4229</v>
      </c>
      <c r="D1873" t="s">
        <v>4229</v>
      </c>
      <c r="E1873" s="5">
        <v>46276</v>
      </c>
      <c r="F1873" t="s">
        <v>204</v>
      </c>
      <c r="G1873" t="s">
        <v>213</v>
      </c>
      <c r="H1873">
        <v>1597</v>
      </c>
      <c r="I1873">
        <v>28.75</v>
      </c>
      <c r="J1873">
        <v>5.18</v>
      </c>
      <c r="K1873">
        <v>1563.07</v>
      </c>
      <c r="L1873" s="5">
        <v>46278</v>
      </c>
      <c r="M1873" t="s">
        <v>4199</v>
      </c>
      <c r="N1873" t="s">
        <v>207</v>
      </c>
      <c r="O1873" t="s">
        <v>4229</v>
      </c>
      <c r="P1873" t="s">
        <v>208</v>
      </c>
      <c r="Q1873" t="s">
        <v>209</v>
      </c>
    </row>
    <row r="1874" spans="1:17" x14ac:dyDescent="0.3">
      <c r="A1874" t="s">
        <v>4230</v>
      </c>
      <c r="C1874" t="s">
        <v>4231</v>
      </c>
      <c r="D1874" t="s">
        <v>4231</v>
      </c>
      <c r="E1874" s="5">
        <v>46276</v>
      </c>
      <c r="F1874" t="s">
        <v>204</v>
      </c>
      <c r="G1874" t="s">
        <v>220</v>
      </c>
      <c r="H1874">
        <v>1299</v>
      </c>
      <c r="I1874">
        <v>0</v>
      </c>
      <c r="J1874">
        <v>0</v>
      </c>
      <c r="K1874">
        <v>1299</v>
      </c>
      <c r="L1874" s="5">
        <v>46278</v>
      </c>
      <c r="M1874" t="s">
        <v>4199</v>
      </c>
      <c r="N1874" t="s">
        <v>207</v>
      </c>
      <c r="O1874" t="s">
        <v>4231</v>
      </c>
      <c r="P1874" t="s">
        <v>208</v>
      </c>
      <c r="Q1874" t="s">
        <v>209</v>
      </c>
    </row>
    <row r="1875" spans="1:17" x14ac:dyDescent="0.3">
      <c r="A1875" t="s">
        <v>4232</v>
      </c>
      <c r="C1875" t="s">
        <v>4233</v>
      </c>
      <c r="D1875" t="s">
        <v>4233</v>
      </c>
      <c r="E1875" s="5">
        <v>46276</v>
      </c>
      <c r="F1875" t="s">
        <v>204</v>
      </c>
      <c r="G1875" t="s">
        <v>220</v>
      </c>
      <c r="H1875">
        <v>3197</v>
      </c>
      <c r="I1875">
        <v>9.59</v>
      </c>
      <c r="J1875">
        <v>1.73</v>
      </c>
      <c r="K1875">
        <v>3185.68</v>
      </c>
      <c r="L1875" s="5">
        <v>46278</v>
      </c>
      <c r="M1875" t="s">
        <v>4199</v>
      </c>
      <c r="N1875" t="s">
        <v>207</v>
      </c>
      <c r="O1875" t="s">
        <v>4233</v>
      </c>
      <c r="P1875" t="s">
        <v>208</v>
      </c>
      <c r="Q1875" t="s">
        <v>209</v>
      </c>
    </row>
    <row r="1876" spans="1:17" x14ac:dyDescent="0.3">
      <c r="A1876" t="s">
        <v>4234</v>
      </c>
      <c r="C1876" t="s">
        <v>4235</v>
      </c>
      <c r="D1876" t="s">
        <v>4235</v>
      </c>
      <c r="E1876" s="5">
        <v>46276</v>
      </c>
      <c r="F1876" t="s">
        <v>204</v>
      </c>
      <c r="G1876" t="s">
        <v>213</v>
      </c>
      <c r="H1876">
        <v>2499</v>
      </c>
      <c r="I1876">
        <v>39.979999999999997</v>
      </c>
      <c r="J1876">
        <v>7.2</v>
      </c>
      <c r="K1876">
        <v>2451.8200000000002</v>
      </c>
      <c r="L1876" s="5">
        <v>46278</v>
      </c>
      <c r="M1876" t="s">
        <v>4199</v>
      </c>
      <c r="N1876" t="s">
        <v>207</v>
      </c>
      <c r="O1876" t="s">
        <v>4235</v>
      </c>
      <c r="P1876" t="s">
        <v>208</v>
      </c>
      <c r="Q1876" t="s">
        <v>209</v>
      </c>
    </row>
    <row r="1877" spans="1:17" x14ac:dyDescent="0.3">
      <c r="A1877" t="s">
        <v>4236</v>
      </c>
      <c r="C1877" t="s">
        <v>4237</v>
      </c>
      <c r="D1877" t="s">
        <v>4237</v>
      </c>
      <c r="E1877" s="5">
        <v>46276</v>
      </c>
      <c r="F1877" t="s">
        <v>204</v>
      </c>
      <c r="G1877" t="s">
        <v>220</v>
      </c>
      <c r="H1877">
        <v>799</v>
      </c>
      <c r="I1877">
        <v>0</v>
      </c>
      <c r="J1877">
        <v>0</v>
      </c>
      <c r="K1877">
        <v>799</v>
      </c>
      <c r="L1877" s="5">
        <v>46278</v>
      </c>
      <c r="M1877" t="s">
        <v>4199</v>
      </c>
      <c r="N1877" t="s">
        <v>207</v>
      </c>
      <c r="O1877" t="s">
        <v>4237</v>
      </c>
      <c r="P1877" t="s">
        <v>208</v>
      </c>
      <c r="Q1877" t="s">
        <v>209</v>
      </c>
    </row>
    <row r="1878" spans="1:17" x14ac:dyDescent="0.3">
      <c r="A1878" t="s">
        <v>4238</v>
      </c>
      <c r="C1878" t="s">
        <v>4239</v>
      </c>
      <c r="D1878" t="s">
        <v>4240</v>
      </c>
      <c r="E1878" s="5">
        <v>46276</v>
      </c>
      <c r="F1878" t="s">
        <v>204</v>
      </c>
      <c r="G1878" t="s">
        <v>220</v>
      </c>
      <c r="H1878">
        <v>2999</v>
      </c>
      <c r="I1878">
        <v>9</v>
      </c>
      <c r="J1878">
        <v>1.62</v>
      </c>
      <c r="K1878">
        <v>2988.38</v>
      </c>
      <c r="L1878" s="5">
        <v>46278</v>
      </c>
      <c r="M1878" t="s">
        <v>4199</v>
      </c>
      <c r="N1878" t="s">
        <v>207</v>
      </c>
      <c r="O1878" t="s">
        <v>4240</v>
      </c>
      <c r="P1878" t="s">
        <v>208</v>
      </c>
      <c r="Q1878" t="s">
        <v>209</v>
      </c>
    </row>
    <row r="1879" spans="1:17" x14ac:dyDescent="0.3">
      <c r="A1879" t="s">
        <v>4241</v>
      </c>
      <c r="C1879" t="s">
        <v>4242</v>
      </c>
      <c r="D1879" t="s">
        <v>4242</v>
      </c>
      <c r="E1879" s="5">
        <v>46276</v>
      </c>
      <c r="F1879" t="s">
        <v>204</v>
      </c>
      <c r="G1879" t="s">
        <v>213</v>
      </c>
      <c r="H1879">
        <v>8997</v>
      </c>
      <c r="I1879">
        <v>143.94999999999999</v>
      </c>
      <c r="J1879">
        <v>25.91</v>
      </c>
      <c r="K1879">
        <v>8827.14</v>
      </c>
      <c r="L1879" s="5">
        <v>46278</v>
      </c>
      <c r="M1879" t="s">
        <v>4199</v>
      </c>
      <c r="N1879" t="s">
        <v>207</v>
      </c>
      <c r="O1879" t="s">
        <v>4242</v>
      </c>
      <c r="P1879" t="s">
        <v>208</v>
      </c>
      <c r="Q1879" t="s">
        <v>209</v>
      </c>
    </row>
    <row r="1880" spans="1:17" x14ac:dyDescent="0.3">
      <c r="A1880" t="s">
        <v>4243</v>
      </c>
      <c r="C1880" t="s">
        <v>4244</v>
      </c>
      <c r="D1880" t="s">
        <v>4244</v>
      </c>
      <c r="E1880" s="5">
        <v>46276</v>
      </c>
      <c r="F1880" t="s">
        <v>204</v>
      </c>
      <c r="G1880" t="s">
        <v>205</v>
      </c>
      <c r="H1880">
        <v>9497</v>
      </c>
      <c r="I1880">
        <v>161.44999999999999</v>
      </c>
      <c r="J1880">
        <v>29.06</v>
      </c>
      <c r="K1880">
        <v>9306.49</v>
      </c>
      <c r="L1880" s="5">
        <v>46278</v>
      </c>
      <c r="M1880" t="s">
        <v>4199</v>
      </c>
      <c r="N1880" t="s">
        <v>207</v>
      </c>
      <c r="O1880" t="s">
        <v>4244</v>
      </c>
      <c r="P1880" t="s">
        <v>208</v>
      </c>
      <c r="Q1880" t="s">
        <v>209</v>
      </c>
    </row>
    <row r="1881" spans="1:17" x14ac:dyDescent="0.3">
      <c r="A1881" t="s">
        <v>4245</v>
      </c>
      <c r="C1881" t="s">
        <v>4246</v>
      </c>
      <c r="D1881" t="s">
        <v>4246</v>
      </c>
      <c r="E1881" s="5">
        <v>46276</v>
      </c>
      <c r="F1881" t="s">
        <v>204</v>
      </c>
      <c r="G1881" t="s">
        <v>213</v>
      </c>
      <c r="H1881">
        <v>1648</v>
      </c>
      <c r="I1881">
        <v>29.66</v>
      </c>
      <c r="J1881">
        <v>5.34</v>
      </c>
      <c r="K1881">
        <v>1613</v>
      </c>
      <c r="L1881" s="5">
        <v>46278</v>
      </c>
      <c r="M1881" t="s">
        <v>4199</v>
      </c>
      <c r="N1881" t="s">
        <v>207</v>
      </c>
      <c r="O1881" t="s">
        <v>4246</v>
      </c>
      <c r="P1881" t="s">
        <v>208</v>
      </c>
      <c r="Q1881" t="s">
        <v>209</v>
      </c>
    </row>
    <row r="1882" spans="1:17" x14ac:dyDescent="0.3">
      <c r="A1882" t="s">
        <v>4247</v>
      </c>
      <c r="C1882" t="s">
        <v>4248</v>
      </c>
      <c r="D1882" t="s">
        <v>4248</v>
      </c>
      <c r="E1882" s="5">
        <v>46276</v>
      </c>
      <c r="F1882" t="s">
        <v>204</v>
      </c>
      <c r="G1882" t="s">
        <v>220</v>
      </c>
      <c r="H1882">
        <v>4797</v>
      </c>
      <c r="I1882">
        <v>14.39</v>
      </c>
      <c r="J1882">
        <v>2.59</v>
      </c>
      <c r="K1882">
        <v>4780.0200000000004</v>
      </c>
      <c r="L1882" s="5">
        <v>46278</v>
      </c>
      <c r="M1882" t="s">
        <v>4199</v>
      </c>
      <c r="N1882" t="s">
        <v>207</v>
      </c>
      <c r="O1882" t="s">
        <v>4248</v>
      </c>
      <c r="P1882" t="s">
        <v>208</v>
      </c>
      <c r="Q1882" t="s">
        <v>209</v>
      </c>
    </row>
    <row r="1883" spans="1:17" x14ac:dyDescent="0.3">
      <c r="A1883" t="s">
        <v>4249</v>
      </c>
      <c r="C1883" t="s">
        <v>4250</v>
      </c>
      <c r="D1883" t="s">
        <v>4250</v>
      </c>
      <c r="E1883" s="5">
        <v>46276</v>
      </c>
      <c r="F1883" t="s">
        <v>204</v>
      </c>
      <c r="G1883" t="s">
        <v>205</v>
      </c>
      <c r="H1883">
        <v>2499</v>
      </c>
      <c r="I1883">
        <v>42.48</v>
      </c>
      <c r="J1883">
        <v>7.65</v>
      </c>
      <c r="K1883">
        <v>2448.87</v>
      </c>
      <c r="L1883" s="5">
        <v>46278</v>
      </c>
      <c r="M1883" t="s">
        <v>4199</v>
      </c>
      <c r="N1883" t="s">
        <v>207</v>
      </c>
      <c r="O1883" t="s">
        <v>4250</v>
      </c>
      <c r="P1883" t="s">
        <v>208</v>
      </c>
      <c r="Q1883" t="s">
        <v>209</v>
      </c>
    </row>
    <row r="1884" spans="1:17" x14ac:dyDescent="0.3">
      <c r="A1884" t="s">
        <v>4251</v>
      </c>
      <c r="C1884" t="s">
        <v>4252</v>
      </c>
      <c r="D1884" t="s">
        <v>4252</v>
      </c>
      <c r="E1884" s="5">
        <v>46276</v>
      </c>
      <c r="F1884" t="s">
        <v>204</v>
      </c>
      <c r="G1884" t="s">
        <v>255</v>
      </c>
      <c r="H1884">
        <v>4999</v>
      </c>
      <c r="I1884">
        <v>59.99</v>
      </c>
      <c r="J1884">
        <v>10.8</v>
      </c>
      <c r="K1884">
        <v>4928.21</v>
      </c>
      <c r="L1884" s="5">
        <v>46278</v>
      </c>
      <c r="M1884" t="s">
        <v>4199</v>
      </c>
      <c r="N1884" t="s">
        <v>207</v>
      </c>
      <c r="O1884" t="s">
        <v>4252</v>
      </c>
      <c r="P1884" t="s">
        <v>208</v>
      </c>
      <c r="Q1884" t="s">
        <v>209</v>
      </c>
    </row>
    <row r="1885" spans="1:17" x14ac:dyDescent="0.3">
      <c r="A1885" t="s">
        <v>4253</v>
      </c>
      <c r="C1885" t="s">
        <v>4254</v>
      </c>
      <c r="D1885" t="s">
        <v>4254</v>
      </c>
      <c r="E1885" s="5">
        <v>46276</v>
      </c>
      <c r="F1885" t="s">
        <v>204</v>
      </c>
      <c r="G1885" t="s">
        <v>220</v>
      </c>
      <c r="H1885">
        <v>5498</v>
      </c>
      <c r="I1885">
        <v>16.489999999999998</v>
      </c>
      <c r="J1885">
        <v>2.97</v>
      </c>
      <c r="K1885">
        <v>5478.54</v>
      </c>
      <c r="L1885" s="5">
        <v>46278</v>
      </c>
      <c r="M1885" t="s">
        <v>4199</v>
      </c>
      <c r="N1885" t="s">
        <v>207</v>
      </c>
      <c r="O1885" t="s">
        <v>4254</v>
      </c>
      <c r="P1885" t="s">
        <v>208</v>
      </c>
      <c r="Q1885" t="s">
        <v>209</v>
      </c>
    </row>
    <row r="1886" spans="1:17" x14ac:dyDescent="0.3">
      <c r="A1886" t="s">
        <v>4255</v>
      </c>
      <c r="C1886" t="s">
        <v>4256</v>
      </c>
      <c r="D1886" t="s">
        <v>4256</v>
      </c>
      <c r="E1886" s="5">
        <v>46276</v>
      </c>
      <c r="F1886" t="s">
        <v>204</v>
      </c>
      <c r="G1886" t="s">
        <v>220</v>
      </c>
      <c r="H1886">
        <v>1098</v>
      </c>
      <c r="I1886">
        <v>0</v>
      </c>
      <c r="J1886">
        <v>0</v>
      </c>
      <c r="K1886">
        <v>1098</v>
      </c>
      <c r="L1886" s="5">
        <v>46278</v>
      </c>
      <c r="M1886" t="s">
        <v>4199</v>
      </c>
      <c r="N1886" t="s">
        <v>207</v>
      </c>
      <c r="O1886" t="s">
        <v>4256</v>
      </c>
      <c r="P1886" t="s">
        <v>208</v>
      </c>
      <c r="Q1886" t="s">
        <v>209</v>
      </c>
    </row>
    <row r="1887" spans="1:17" x14ac:dyDescent="0.3">
      <c r="A1887" t="s">
        <v>4257</v>
      </c>
      <c r="C1887" t="s">
        <v>4258</v>
      </c>
      <c r="D1887" t="s">
        <v>4258</v>
      </c>
      <c r="E1887" s="5">
        <v>46276</v>
      </c>
      <c r="F1887" t="s">
        <v>204</v>
      </c>
      <c r="G1887" t="s">
        <v>213</v>
      </c>
      <c r="H1887">
        <v>7998</v>
      </c>
      <c r="I1887">
        <v>127.97</v>
      </c>
      <c r="J1887">
        <v>23.03</v>
      </c>
      <c r="K1887">
        <v>7847</v>
      </c>
      <c r="L1887" s="5">
        <v>46278</v>
      </c>
      <c r="M1887" t="s">
        <v>4199</v>
      </c>
      <c r="N1887" t="s">
        <v>207</v>
      </c>
      <c r="O1887" t="s">
        <v>4258</v>
      </c>
      <c r="P1887" t="s">
        <v>208</v>
      </c>
      <c r="Q1887" t="s">
        <v>209</v>
      </c>
    </row>
    <row r="1888" spans="1:17" x14ac:dyDescent="0.3">
      <c r="A1888" t="s">
        <v>4259</v>
      </c>
      <c r="C1888" t="s">
        <v>4260</v>
      </c>
      <c r="D1888" t="s">
        <v>4260</v>
      </c>
      <c r="E1888" s="5">
        <v>46276</v>
      </c>
      <c r="F1888" t="s">
        <v>204</v>
      </c>
      <c r="G1888" t="s">
        <v>205</v>
      </c>
      <c r="H1888">
        <v>799</v>
      </c>
      <c r="I1888">
        <v>15.18</v>
      </c>
      <c r="J1888">
        <v>2.73</v>
      </c>
      <c r="K1888">
        <v>781.09</v>
      </c>
      <c r="L1888" s="5">
        <v>46278</v>
      </c>
      <c r="M1888" t="s">
        <v>4199</v>
      </c>
      <c r="N1888" t="s">
        <v>207</v>
      </c>
      <c r="O1888" t="s">
        <v>4260</v>
      </c>
      <c r="P1888" t="s">
        <v>208</v>
      </c>
      <c r="Q1888" t="s">
        <v>209</v>
      </c>
    </row>
    <row r="1889" spans="1:17" x14ac:dyDescent="0.3">
      <c r="A1889" t="s">
        <v>4261</v>
      </c>
      <c r="C1889" t="s">
        <v>4262</v>
      </c>
      <c r="D1889" t="s">
        <v>4263</v>
      </c>
      <c r="E1889" s="5">
        <v>46276</v>
      </c>
      <c r="F1889" t="s">
        <v>204</v>
      </c>
      <c r="G1889" t="s">
        <v>220</v>
      </c>
      <c r="H1889">
        <v>499</v>
      </c>
      <c r="I1889">
        <v>0</v>
      </c>
      <c r="J1889">
        <v>0</v>
      </c>
      <c r="K1889">
        <v>499</v>
      </c>
      <c r="L1889" s="5">
        <v>46278</v>
      </c>
      <c r="M1889" t="s">
        <v>4199</v>
      </c>
      <c r="N1889" t="s">
        <v>207</v>
      </c>
      <c r="O1889" t="s">
        <v>4263</v>
      </c>
      <c r="P1889" t="s">
        <v>208</v>
      </c>
      <c r="Q1889" t="s">
        <v>209</v>
      </c>
    </row>
    <row r="1890" spans="1:17" x14ac:dyDescent="0.3">
      <c r="A1890" t="s">
        <v>4264</v>
      </c>
      <c r="C1890" t="s">
        <v>4265</v>
      </c>
      <c r="D1890" t="s">
        <v>4265</v>
      </c>
      <c r="E1890" s="5">
        <v>46276</v>
      </c>
      <c r="F1890" t="s">
        <v>204</v>
      </c>
      <c r="G1890" t="s">
        <v>213</v>
      </c>
      <c r="H1890">
        <v>3499</v>
      </c>
      <c r="I1890">
        <v>55.98</v>
      </c>
      <c r="J1890">
        <v>10.08</v>
      </c>
      <c r="K1890">
        <v>3432.94</v>
      </c>
      <c r="L1890" s="5">
        <v>46278</v>
      </c>
      <c r="M1890" t="s">
        <v>4199</v>
      </c>
      <c r="N1890" t="s">
        <v>207</v>
      </c>
      <c r="O1890" t="s">
        <v>4265</v>
      </c>
      <c r="P1890" t="s">
        <v>208</v>
      </c>
      <c r="Q1890" t="s">
        <v>209</v>
      </c>
    </row>
    <row r="1891" spans="1:17" x14ac:dyDescent="0.3">
      <c r="A1891" t="s">
        <v>4266</v>
      </c>
      <c r="C1891" t="s">
        <v>4267</v>
      </c>
      <c r="D1891" t="s">
        <v>4267</v>
      </c>
      <c r="E1891" s="5">
        <v>46276</v>
      </c>
      <c r="F1891" t="s">
        <v>204</v>
      </c>
      <c r="G1891" t="s">
        <v>213</v>
      </c>
      <c r="H1891">
        <v>1098</v>
      </c>
      <c r="I1891">
        <v>19.760000000000002</v>
      </c>
      <c r="J1891">
        <v>3.56</v>
      </c>
      <c r="K1891">
        <v>1074.68</v>
      </c>
      <c r="L1891" s="5">
        <v>46278</v>
      </c>
      <c r="M1891" t="s">
        <v>4199</v>
      </c>
      <c r="N1891" t="s">
        <v>207</v>
      </c>
      <c r="O1891" t="s">
        <v>4267</v>
      </c>
      <c r="P1891" t="s">
        <v>208</v>
      </c>
      <c r="Q1891" t="s">
        <v>209</v>
      </c>
    </row>
    <row r="1892" spans="1:17" x14ac:dyDescent="0.3">
      <c r="A1892" t="s">
        <v>4268</v>
      </c>
      <c r="C1892" t="s">
        <v>4269</v>
      </c>
      <c r="D1892" t="s">
        <v>4269</v>
      </c>
      <c r="E1892" s="5">
        <v>46276</v>
      </c>
      <c r="F1892" t="s">
        <v>204</v>
      </c>
      <c r="G1892" t="s">
        <v>220</v>
      </c>
      <c r="H1892">
        <v>2499</v>
      </c>
      <c r="I1892">
        <v>7.5</v>
      </c>
      <c r="J1892">
        <v>1.35</v>
      </c>
      <c r="K1892">
        <v>2490.15</v>
      </c>
      <c r="L1892" s="5">
        <v>46278</v>
      </c>
      <c r="M1892" t="s">
        <v>4199</v>
      </c>
      <c r="N1892" t="s">
        <v>207</v>
      </c>
      <c r="O1892" t="s">
        <v>4269</v>
      </c>
      <c r="P1892" t="s">
        <v>208</v>
      </c>
      <c r="Q1892" t="s">
        <v>209</v>
      </c>
    </row>
    <row r="1893" spans="1:17" x14ac:dyDescent="0.3">
      <c r="A1893" t="s">
        <v>4270</v>
      </c>
      <c r="C1893" t="s">
        <v>4271</v>
      </c>
      <c r="D1893" t="s">
        <v>4271</v>
      </c>
      <c r="E1893" s="5">
        <v>46276</v>
      </c>
      <c r="F1893" t="s">
        <v>204</v>
      </c>
      <c r="G1893" t="s">
        <v>220</v>
      </c>
      <c r="H1893">
        <v>1347</v>
      </c>
      <c r="I1893">
        <v>0</v>
      </c>
      <c r="J1893">
        <v>0</v>
      </c>
      <c r="K1893">
        <v>1347</v>
      </c>
      <c r="L1893" s="5">
        <v>46278</v>
      </c>
      <c r="M1893" t="s">
        <v>4199</v>
      </c>
      <c r="N1893" t="s">
        <v>207</v>
      </c>
      <c r="O1893" t="s">
        <v>4271</v>
      </c>
      <c r="P1893" t="s">
        <v>208</v>
      </c>
      <c r="Q1893" t="s">
        <v>209</v>
      </c>
    </row>
    <row r="1894" spans="1:17" x14ac:dyDescent="0.3">
      <c r="A1894" t="s">
        <v>4272</v>
      </c>
      <c r="C1894" t="s">
        <v>4273</v>
      </c>
      <c r="D1894" t="s">
        <v>4273</v>
      </c>
      <c r="E1894" s="5">
        <v>46276</v>
      </c>
      <c r="F1894" t="s">
        <v>204</v>
      </c>
      <c r="G1894" t="s">
        <v>220</v>
      </c>
      <c r="H1894">
        <v>8348</v>
      </c>
      <c r="I1894">
        <v>25.04</v>
      </c>
      <c r="J1894">
        <v>4.51</v>
      </c>
      <c r="K1894">
        <v>8318.4500000000007</v>
      </c>
      <c r="L1894" s="5">
        <v>46278</v>
      </c>
      <c r="M1894" t="s">
        <v>4199</v>
      </c>
      <c r="N1894" t="s">
        <v>207</v>
      </c>
      <c r="O1894" t="s">
        <v>4273</v>
      </c>
      <c r="P1894" t="s">
        <v>208</v>
      </c>
      <c r="Q1894" t="s">
        <v>209</v>
      </c>
    </row>
    <row r="1895" spans="1:17" x14ac:dyDescent="0.3">
      <c r="A1895" t="s">
        <v>4274</v>
      </c>
      <c r="C1895" t="s">
        <v>4275</v>
      </c>
      <c r="D1895" t="s">
        <v>4276</v>
      </c>
      <c r="E1895" s="5">
        <v>46276</v>
      </c>
      <c r="F1895" t="s">
        <v>204</v>
      </c>
      <c r="G1895" t="s">
        <v>213</v>
      </c>
      <c r="H1895">
        <v>4597</v>
      </c>
      <c r="I1895">
        <v>73.55</v>
      </c>
      <c r="J1895">
        <v>13.24</v>
      </c>
      <c r="K1895">
        <v>4510.21</v>
      </c>
      <c r="L1895" s="5">
        <v>46278</v>
      </c>
      <c r="M1895" t="s">
        <v>4199</v>
      </c>
      <c r="N1895" t="s">
        <v>207</v>
      </c>
      <c r="O1895" t="s">
        <v>4276</v>
      </c>
      <c r="P1895" t="s">
        <v>208</v>
      </c>
      <c r="Q1895" t="s">
        <v>209</v>
      </c>
    </row>
    <row r="1896" spans="1:17" x14ac:dyDescent="0.3">
      <c r="A1896" t="s">
        <v>4277</v>
      </c>
      <c r="C1896" t="s">
        <v>4278</v>
      </c>
      <c r="D1896" t="s">
        <v>4278</v>
      </c>
      <c r="E1896" s="5">
        <v>46276</v>
      </c>
      <c r="F1896" t="s">
        <v>204</v>
      </c>
      <c r="G1896" t="s">
        <v>220</v>
      </c>
      <c r="H1896">
        <v>349</v>
      </c>
      <c r="I1896">
        <v>0</v>
      </c>
      <c r="J1896">
        <v>0</v>
      </c>
      <c r="K1896">
        <v>349</v>
      </c>
      <c r="L1896" s="5">
        <v>46278</v>
      </c>
      <c r="M1896" t="s">
        <v>4199</v>
      </c>
      <c r="N1896" t="s">
        <v>207</v>
      </c>
      <c r="O1896" t="s">
        <v>4278</v>
      </c>
      <c r="P1896" t="s">
        <v>208</v>
      </c>
      <c r="Q1896" t="s">
        <v>209</v>
      </c>
    </row>
    <row r="1897" spans="1:17" x14ac:dyDescent="0.3">
      <c r="A1897" t="s">
        <v>4279</v>
      </c>
      <c r="C1897" t="s">
        <v>4280</v>
      </c>
      <c r="D1897" t="s">
        <v>4281</v>
      </c>
      <c r="E1897" s="5">
        <v>46276</v>
      </c>
      <c r="F1897" t="s">
        <v>204</v>
      </c>
      <c r="G1897" t="s">
        <v>220</v>
      </c>
      <c r="H1897">
        <v>2499</v>
      </c>
      <c r="I1897">
        <v>7.5</v>
      </c>
      <c r="J1897">
        <v>1.35</v>
      </c>
      <c r="K1897">
        <v>2490.15</v>
      </c>
      <c r="L1897" s="5">
        <v>46278</v>
      </c>
      <c r="M1897" t="s">
        <v>4199</v>
      </c>
      <c r="N1897" t="s">
        <v>207</v>
      </c>
      <c r="O1897" t="s">
        <v>4281</v>
      </c>
      <c r="P1897" t="s">
        <v>208</v>
      </c>
      <c r="Q1897" t="s">
        <v>209</v>
      </c>
    </row>
    <row r="1898" spans="1:17" x14ac:dyDescent="0.3">
      <c r="A1898" t="s">
        <v>4282</v>
      </c>
      <c r="C1898" t="s">
        <v>4283</v>
      </c>
      <c r="D1898" t="s">
        <v>4283</v>
      </c>
      <c r="E1898" s="5">
        <v>46276</v>
      </c>
      <c r="F1898" t="s">
        <v>204</v>
      </c>
      <c r="G1898" t="s">
        <v>220</v>
      </c>
      <c r="H1898">
        <v>4999</v>
      </c>
      <c r="I1898">
        <v>15</v>
      </c>
      <c r="J1898">
        <v>2.7</v>
      </c>
      <c r="K1898">
        <v>4981.3</v>
      </c>
      <c r="L1898" s="5">
        <v>46278</v>
      </c>
      <c r="M1898" t="s">
        <v>4199</v>
      </c>
      <c r="N1898" t="s">
        <v>207</v>
      </c>
      <c r="O1898" t="s">
        <v>4283</v>
      </c>
      <c r="P1898" t="s">
        <v>208</v>
      </c>
      <c r="Q1898" t="s">
        <v>209</v>
      </c>
    </row>
    <row r="1899" spans="1:17" x14ac:dyDescent="0.3">
      <c r="A1899" t="s">
        <v>4284</v>
      </c>
      <c r="C1899" t="s">
        <v>4285</v>
      </c>
      <c r="D1899" t="s">
        <v>4285</v>
      </c>
      <c r="E1899" s="5">
        <v>46276</v>
      </c>
      <c r="F1899" t="s">
        <v>204</v>
      </c>
      <c r="G1899" t="s">
        <v>205</v>
      </c>
      <c r="H1899">
        <v>3598</v>
      </c>
      <c r="I1899">
        <v>61.17</v>
      </c>
      <c r="J1899">
        <v>11.01</v>
      </c>
      <c r="K1899">
        <v>3525.82</v>
      </c>
      <c r="L1899" s="5">
        <v>46278</v>
      </c>
      <c r="M1899" t="s">
        <v>4199</v>
      </c>
      <c r="N1899" t="s">
        <v>207</v>
      </c>
      <c r="O1899" t="s">
        <v>4285</v>
      </c>
      <c r="P1899" t="s">
        <v>208</v>
      </c>
      <c r="Q1899" t="s">
        <v>209</v>
      </c>
    </row>
    <row r="1900" spans="1:17" x14ac:dyDescent="0.3">
      <c r="A1900" t="s">
        <v>4286</v>
      </c>
      <c r="C1900" t="s">
        <v>4287</v>
      </c>
      <c r="D1900" t="s">
        <v>4287</v>
      </c>
      <c r="E1900" s="5">
        <v>46276</v>
      </c>
      <c r="F1900" t="s">
        <v>204</v>
      </c>
      <c r="G1900" t="s">
        <v>220</v>
      </c>
      <c r="H1900">
        <v>1799</v>
      </c>
      <c r="I1900">
        <v>0</v>
      </c>
      <c r="J1900">
        <v>0</v>
      </c>
      <c r="K1900">
        <v>1799</v>
      </c>
      <c r="L1900" s="5">
        <v>46278</v>
      </c>
      <c r="M1900" t="s">
        <v>4199</v>
      </c>
      <c r="N1900" t="s">
        <v>207</v>
      </c>
      <c r="O1900" t="s">
        <v>4287</v>
      </c>
      <c r="P1900" t="s">
        <v>208</v>
      </c>
      <c r="Q1900" t="s">
        <v>209</v>
      </c>
    </row>
    <row r="1901" spans="1:17" x14ac:dyDescent="0.3">
      <c r="A1901" t="s">
        <v>4288</v>
      </c>
      <c r="C1901" t="s">
        <v>4289</v>
      </c>
      <c r="D1901" t="s">
        <v>4289</v>
      </c>
      <c r="E1901" s="5">
        <v>46276</v>
      </c>
      <c r="F1901" t="s">
        <v>204</v>
      </c>
      <c r="G1901" t="s">
        <v>220</v>
      </c>
      <c r="H1901">
        <v>999</v>
      </c>
      <c r="I1901">
        <v>0</v>
      </c>
      <c r="J1901">
        <v>0</v>
      </c>
      <c r="K1901">
        <v>999</v>
      </c>
      <c r="L1901" s="5">
        <v>46278</v>
      </c>
      <c r="M1901" t="s">
        <v>4199</v>
      </c>
      <c r="N1901" t="s">
        <v>207</v>
      </c>
      <c r="O1901" t="s">
        <v>4289</v>
      </c>
      <c r="P1901" t="s">
        <v>208</v>
      </c>
      <c r="Q1901" t="s">
        <v>209</v>
      </c>
    </row>
    <row r="1902" spans="1:17" x14ac:dyDescent="0.3">
      <c r="A1902" t="s">
        <v>4290</v>
      </c>
      <c r="C1902" t="s">
        <v>4291</v>
      </c>
      <c r="D1902" t="s">
        <v>4292</v>
      </c>
      <c r="E1902" s="5">
        <v>46276</v>
      </c>
      <c r="F1902" t="s">
        <v>204</v>
      </c>
      <c r="G1902" t="s">
        <v>213</v>
      </c>
      <c r="H1902">
        <v>4999</v>
      </c>
      <c r="I1902">
        <v>79.98</v>
      </c>
      <c r="J1902">
        <v>14.4</v>
      </c>
      <c r="K1902">
        <v>4904.62</v>
      </c>
      <c r="L1902" s="5">
        <v>46278</v>
      </c>
      <c r="M1902" t="s">
        <v>4199</v>
      </c>
      <c r="N1902" t="s">
        <v>207</v>
      </c>
      <c r="O1902" t="s">
        <v>4292</v>
      </c>
      <c r="P1902" t="s">
        <v>208</v>
      </c>
      <c r="Q1902" t="s">
        <v>209</v>
      </c>
    </row>
    <row r="1903" spans="1:17" x14ac:dyDescent="0.3">
      <c r="A1903" t="s">
        <v>4293</v>
      </c>
      <c r="C1903" t="s">
        <v>4294</v>
      </c>
      <c r="D1903" t="s">
        <v>4294</v>
      </c>
      <c r="E1903" s="5">
        <v>46276</v>
      </c>
      <c r="F1903" t="s">
        <v>204</v>
      </c>
      <c r="G1903" t="s">
        <v>205</v>
      </c>
      <c r="H1903">
        <v>2999</v>
      </c>
      <c r="I1903">
        <v>50.98</v>
      </c>
      <c r="J1903">
        <v>9.18</v>
      </c>
      <c r="K1903">
        <v>2938.84</v>
      </c>
      <c r="L1903" s="5">
        <v>46278</v>
      </c>
      <c r="M1903" t="s">
        <v>4199</v>
      </c>
      <c r="N1903" t="s">
        <v>207</v>
      </c>
      <c r="O1903" t="s">
        <v>4294</v>
      </c>
      <c r="P1903" t="s">
        <v>208</v>
      </c>
      <c r="Q1903" t="s">
        <v>209</v>
      </c>
    </row>
    <row r="1904" spans="1:17" x14ac:dyDescent="0.3">
      <c r="A1904" t="s">
        <v>4295</v>
      </c>
      <c r="C1904" t="s">
        <v>4296</v>
      </c>
      <c r="D1904" t="s">
        <v>4296</v>
      </c>
      <c r="E1904" s="5">
        <v>46276</v>
      </c>
      <c r="F1904" t="s">
        <v>204</v>
      </c>
      <c r="G1904" t="s">
        <v>213</v>
      </c>
      <c r="H1904">
        <v>5997</v>
      </c>
      <c r="I1904">
        <v>95.95</v>
      </c>
      <c r="J1904">
        <v>17.27</v>
      </c>
      <c r="K1904">
        <v>5883.78</v>
      </c>
      <c r="L1904" s="5">
        <v>46278</v>
      </c>
      <c r="M1904" t="s">
        <v>4199</v>
      </c>
      <c r="N1904" t="s">
        <v>207</v>
      </c>
      <c r="O1904" t="s">
        <v>4296</v>
      </c>
      <c r="P1904" t="s">
        <v>208</v>
      </c>
      <c r="Q1904" t="s">
        <v>209</v>
      </c>
    </row>
    <row r="1905" spans="1:17" x14ac:dyDescent="0.3">
      <c r="A1905" t="s">
        <v>4297</v>
      </c>
      <c r="C1905" t="s">
        <v>4298</v>
      </c>
      <c r="D1905" t="s">
        <v>4298</v>
      </c>
      <c r="E1905" s="5">
        <v>46276</v>
      </c>
      <c r="F1905" t="s">
        <v>204</v>
      </c>
      <c r="G1905" t="s">
        <v>213</v>
      </c>
      <c r="H1905">
        <v>6298</v>
      </c>
      <c r="I1905">
        <v>100.77</v>
      </c>
      <c r="J1905">
        <v>18.14</v>
      </c>
      <c r="K1905">
        <v>6179.09</v>
      </c>
      <c r="L1905" s="5">
        <v>46278</v>
      </c>
      <c r="M1905" t="s">
        <v>4199</v>
      </c>
      <c r="N1905" t="s">
        <v>207</v>
      </c>
      <c r="O1905" t="s">
        <v>4298</v>
      </c>
      <c r="P1905" t="s">
        <v>208</v>
      </c>
      <c r="Q1905" t="s">
        <v>209</v>
      </c>
    </row>
    <row r="1906" spans="1:17" x14ac:dyDescent="0.3">
      <c r="A1906" t="s">
        <v>4299</v>
      </c>
      <c r="C1906" t="s">
        <v>4300</v>
      </c>
      <c r="D1906" t="s">
        <v>4300</v>
      </c>
      <c r="E1906" s="5">
        <v>46276</v>
      </c>
      <c r="F1906" t="s">
        <v>204</v>
      </c>
      <c r="G1906" t="s">
        <v>213</v>
      </c>
      <c r="H1906">
        <v>1298</v>
      </c>
      <c r="I1906">
        <v>23.36</v>
      </c>
      <c r="J1906">
        <v>4.2</v>
      </c>
      <c r="K1906">
        <v>1270.44</v>
      </c>
      <c r="L1906" s="5">
        <v>46278</v>
      </c>
      <c r="M1906" t="s">
        <v>4199</v>
      </c>
      <c r="N1906" t="s">
        <v>207</v>
      </c>
      <c r="O1906" t="s">
        <v>4300</v>
      </c>
      <c r="P1906" t="s">
        <v>208</v>
      </c>
      <c r="Q1906" t="s">
        <v>209</v>
      </c>
    </row>
    <row r="1907" spans="1:17" x14ac:dyDescent="0.3">
      <c r="A1907" t="s">
        <v>4301</v>
      </c>
      <c r="C1907" t="s">
        <v>4302</v>
      </c>
      <c r="D1907" t="s">
        <v>4302</v>
      </c>
      <c r="E1907" s="5">
        <v>46276</v>
      </c>
      <c r="F1907" t="s">
        <v>204</v>
      </c>
      <c r="G1907" t="s">
        <v>213</v>
      </c>
      <c r="H1907">
        <v>6997</v>
      </c>
      <c r="I1907">
        <v>111.95</v>
      </c>
      <c r="J1907">
        <v>20.149999999999999</v>
      </c>
      <c r="K1907">
        <v>6864.9</v>
      </c>
      <c r="L1907" s="5">
        <v>46278</v>
      </c>
      <c r="M1907" t="s">
        <v>4199</v>
      </c>
      <c r="N1907" t="s">
        <v>207</v>
      </c>
      <c r="O1907" t="s">
        <v>4302</v>
      </c>
      <c r="P1907" t="s">
        <v>208</v>
      </c>
      <c r="Q1907" t="s">
        <v>209</v>
      </c>
    </row>
    <row r="1908" spans="1:17" x14ac:dyDescent="0.3">
      <c r="A1908" t="s">
        <v>4303</v>
      </c>
      <c r="C1908" t="s">
        <v>4304</v>
      </c>
      <c r="D1908" t="s">
        <v>4304</v>
      </c>
      <c r="E1908" s="5">
        <v>46276</v>
      </c>
      <c r="F1908" t="s">
        <v>204</v>
      </c>
      <c r="G1908" t="s">
        <v>213</v>
      </c>
      <c r="H1908">
        <v>3998</v>
      </c>
      <c r="I1908">
        <v>63.97</v>
      </c>
      <c r="J1908">
        <v>11.51</v>
      </c>
      <c r="K1908">
        <v>3922.52</v>
      </c>
      <c r="L1908" s="5">
        <v>46278</v>
      </c>
      <c r="M1908" t="s">
        <v>4199</v>
      </c>
      <c r="N1908" t="s">
        <v>207</v>
      </c>
      <c r="O1908" t="s">
        <v>4304</v>
      </c>
      <c r="P1908" t="s">
        <v>208</v>
      </c>
      <c r="Q1908" t="s">
        <v>209</v>
      </c>
    </row>
    <row r="1909" spans="1:17" x14ac:dyDescent="0.3">
      <c r="A1909" t="s">
        <v>4305</v>
      </c>
      <c r="C1909" t="s">
        <v>4306</v>
      </c>
      <c r="D1909" t="s">
        <v>4306</v>
      </c>
      <c r="E1909" s="5">
        <v>46276</v>
      </c>
      <c r="F1909" t="s">
        <v>204</v>
      </c>
      <c r="G1909" t="s">
        <v>220</v>
      </c>
      <c r="H1909">
        <v>10998</v>
      </c>
      <c r="I1909">
        <v>32.99</v>
      </c>
      <c r="J1909">
        <v>5.94</v>
      </c>
      <c r="K1909">
        <v>10959.07</v>
      </c>
      <c r="L1909" s="5">
        <v>46278</v>
      </c>
      <c r="M1909" t="s">
        <v>4199</v>
      </c>
      <c r="N1909" t="s">
        <v>207</v>
      </c>
      <c r="O1909" t="s">
        <v>4306</v>
      </c>
      <c r="P1909" t="s">
        <v>208</v>
      </c>
      <c r="Q1909" t="s">
        <v>209</v>
      </c>
    </row>
    <row r="1910" spans="1:17" x14ac:dyDescent="0.3">
      <c r="A1910" t="s">
        <v>4307</v>
      </c>
      <c r="C1910" t="s">
        <v>4308</v>
      </c>
      <c r="D1910" t="s">
        <v>4308</v>
      </c>
      <c r="E1910" s="5">
        <v>46276</v>
      </c>
      <c r="F1910" t="s">
        <v>204</v>
      </c>
      <c r="G1910" t="s">
        <v>255</v>
      </c>
      <c r="H1910">
        <v>2499</v>
      </c>
      <c r="I1910">
        <v>29.99</v>
      </c>
      <c r="J1910">
        <v>5.4</v>
      </c>
      <c r="K1910">
        <v>2463.61</v>
      </c>
      <c r="L1910" s="5">
        <v>46278</v>
      </c>
      <c r="M1910" t="s">
        <v>4199</v>
      </c>
      <c r="N1910" t="s">
        <v>207</v>
      </c>
      <c r="O1910" t="s">
        <v>4308</v>
      </c>
      <c r="P1910" t="s">
        <v>208</v>
      </c>
      <c r="Q1910" t="s">
        <v>209</v>
      </c>
    </row>
    <row r="1911" spans="1:17" x14ac:dyDescent="0.3">
      <c r="A1911" t="s">
        <v>4309</v>
      </c>
      <c r="C1911" t="s">
        <v>4310</v>
      </c>
      <c r="D1911" t="s">
        <v>4310</v>
      </c>
      <c r="E1911" s="5">
        <v>46276</v>
      </c>
      <c r="F1911" t="s">
        <v>204</v>
      </c>
      <c r="G1911" t="s">
        <v>220</v>
      </c>
      <c r="H1911">
        <v>5998</v>
      </c>
      <c r="I1911">
        <v>17.989999999999998</v>
      </c>
      <c r="J1911">
        <v>3.24</v>
      </c>
      <c r="K1911">
        <v>5976.77</v>
      </c>
      <c r="L1911" s="5">
        <v>46278</v>
      </c>
      <c r="M1911" t="s">
        <v>4199</v>
      </c>
      <c r="N1911" t="s">
        <v>207</v>
      </c>
      <c r="O1911" t="s">
        <v>4310</v>
      </c>
      <c r="P1911" t="s">
        <v>208</v>
      </c>
      <c r="Q1911" t="s">
        <v>209</v>
      </c>
    </row>
    <row r="1912" spans="1:17" x14ac:dyDescent="0.3">
      <c r="A1912" t="s">
        <v>4311</v>
      </c>
      <c r="C1912" t="s">
        <v>4312</v>
      </c>
      <c r="D1912" t="s">
        <v>4312</v>
      </c>
      <c r="E1912" s="5">
        <v>46276</v>
      </c>
      <c r="F1912" t="s">
        <v>204</v>
      </c>
      <c r="G1912" t="s">
        <v>220</v>
      </c>
      <c r="H1912">
        <v>5348</v>
      </c>
      <c r="I1912">
        <v>16.04</v>
      </c>
      <c r="J1912">
        <v>2.89</v>
      </c>
      <c r="K1912">
        <v>5329.07</v>
      </c>
      <c r="L1912" s="5">
        <v>46278</v>
      </c>
      <c r="M1912" t="s">
        <v>4199</v>
      </c>
      <c r="N1912" t="s">
        <v>207</v>
      </c>
      <c r="O1912" t="s">
        <v>4312</v>
      </c>
      <c r="P1912" t="s">
        <v>208</v>
      </c>
      <c r="Q1912" t="s">
        <v>209</v>
      </c>
    </row>
    <row r="1913" spans="1:17" x14ac:dyDescent="0.3">
      <c r="A1913" t="s">
        <v>4313</v>
      </c>
      <c r="C1913" t="s">
        <v>4314</v>
      </c>
      <c r="D1913" t="s">
        <v>4314</v>
      </c>
      <c r="E1913" s="5">
        <v>46276</v>
      </c>
      <c r="F1913" t="s">
        <v>204</v>
      </c>
      <c r="G1913" t="s">
        <v>220</v>
      </c>
      <c r="H1913">
        <v>5297</v>
      </c>
      <c r="I1913">
        <v>15.89</v>
      </c>
      <c r="J1913">
        <v>2.86</v>
      </c>
      <c r="K1913">
        <v>5278.25</v>
      </c>
      <c r="L1913" s="5">
        <v>46278</v>
      </c>
      <c r="M1913" t="s">
        <v>4199</v>
      </c>
      <c r="N1913" t="s">
        <v>207</v>
      </c>
      <c r="O1913" t="s">
        <v>4314</v>
      </c>
      <c r="P1913" t="s">
        <v>208</v>
      </c>
      <c r="Q1913" t="s">
        <v>209</v>
      </c>
    </row>
    <row r="1914" spans="1:17" x14ac:dyDescent="0.3">
      <c r="A1914" t="s">
        <v>4315</v>
      </c>
      <c r="C1914" t="s">
        <v>4316</v>
      </c>
      <c r="D1914" t="s">
        <v>4316</v>
      </c>
      <c r="E1914" s="5">
        <v>46276</v>
      </c>
      <c r="F1914" t="s">
        <v>204</v>
      </c>
      <c r="G1914" t="s">
        <v>213</v>
      </c>
      <c r="H1914">
        <v>7498</v>
      </c>
      <c r="I1914">
        <v>119.97</v>
      </c>
      <c r="J1914">
        <v>21.59</v>
      </c>
      <c r="K1914">
        <v>7356.44</v>
      </c>
      <c r="L1914" s="5">
        <v>46278</v>
      </c>
      <c r="M1914" t="s">
        <v>4199</v>
      </c>
      <c r="N1914" t="s">
        <v>207</v>
      </c>
      <c r="O1914" t="s">
        <v>4316</v>
      </c>
      <c r="P1914" t="s">
        <v>208</v>
      </c>
      <c r="Q1914" t="s">
        <v>209</v>
      </c>
    </row>
    <row r="1915" spans="1:17" x14ac:dyDescent="0.3">
      <c r="A1915" t="s">
        <v>4317</v>
      </c>
      <c r="C1915" t="s">
        <v>4318</v>
      </c>
      <c r="D1915" t="s">
        <v>4318</v>
      </c>
      <c r="E1915" s="5">
        <v>46276</v>
      </c>
      <c r="F1915" t="s">
        <v>204</v>
      </c>
      <c r="G1915" t="s">
        <v>220</v>
      </c>
      <c r="H1915">
        <v>999</v>
      </c>
      <c r="I1915">
        <v>0</v>
      </c>
      <c r="J1915">
        <v>0</v>
      </c>
      <c r="K1915">
        <v>999</v>
      </c>
      <c r="L1915" s="5">
        <v>46278</v>
      </c>
      <c r="M1915" t="s">
        <v>4199</v>
      </c>
      <c r="N1915" t="s">
        <v>207</v>
      </c>
      <c r="O1915" t="s">
        <v>4318</v>
      </c>
      <c r="P1915" t="s">
        <v>208</v>
      </c>
      <c r="Q1915" t="s">
        <v>209</v>
      </c>
    </row>
    <row r="1916" spans="1:17" x14ac:dyDescent="0.3">
      <c r="A1916" t="s">
        <v>4319</v>
      </c>
      <c r="C1916" t="s">
        <v>4320</v>
      </c>
      <c r="D1916" t="s">
        <v>4320</v>
      </c>
      <c r="E1916" s="5">
        <v>46276</v>
      </c>
      <c r="F1916" t="s">
        <v>204</v>
      </c>
      <c r="G1916" t="s">
        <v>213</v>
      </c>
      <c r="H1916">
        <v>2097</v>
      </c>
      <c r="I1916">
        <v>33.549999999999997</v>
      </c>
      <c r="J1916">
        <v>6.04</v>
      </c>
      <c r="K1916">
        <v>2057.41</v>
      </c>
      <c r="L1916" s="5">
        <v>46278</v>
      </c>
      <c r="M1916" t="s">
        <v>4199</v>
      </c>
      <c r="N1916" t="s">
        <v>207</v>
      </c>
      <c r="O1916" t="s">
        <v>4320</v>
      </c>
      <c r="P1916" t="s">
        <v>208</v>
      </c>
      <c r="Q1916" t="s">
        <v>209</v>
      </c>
    </row>
    <row r="1917" spans="1:17" x14ac:dyDescent="0.3">
      <c r="A1917" t="s">
        <v>4321</v>
      </c>
      <c r="C1917" t="s">
        <v>4322</v>
      </c>
      <c r="D1917" t="s">
        <v>4322</v>
      </c>
      <c r="E1917" s="5">
        <v>46276</v>
      </c>
      <c r="F1917" t="s">
        <v>204</v>
      </c>
      <c r="G1917" t="s">
        <v>213</v>
      </c>
      <c r="H1917">
        <v>5998</v>
      </c>
      <c r="I1917">
        <v>95.97</v>
      </c>
      <c r="J1917">
        <v>17.27</v>
      </c>
      <c r="K1917">
        <v>5884.76</v>
      </c>
      <c r="L1917" s="5">
        <v>46278</v>
      </c>
      <c r="M1917" t="s">
        <v>4199</v>
      </c>
      <c r="N1917" t="s">
        <v>207</v>
      </c>
      <c r="O1917" t="s">
        <v>4322</v>
      </c>
      <c r="P1917" t="s">
        <v>208</v>
      </c>
      <c r="Q1917" t="s">
        <v>209</v>
      </c>
    </row>
    <row r="1918" spans="1:17" x14ac:dyDescent="0.3">
      <c r="A1918" t="s">
        <v>4323</v>
      </c>
      <c r="C1918" t="s">
        <v>4324</v>
      </c>
      <c r="D1918" t="s">
        <v>4324</v>
      </c>
      <c r="E1918" s="5">
        <v>46276</v>
      </c>
      <c r="F1918" t="s">
        <v>204</v>
      </c>
      <c r="G1918" t="s">
        <v>220</v>
      </c>
      <c r="H1918">
        <v>299</v>
      </c>
      <c r="I1918">
        <v>0</v>
      </c>
      <c r="J1918">
        <v>0</v>
      </c>
      <c r="K1918">
        <v>299</v>
      </c>
      <c r="L1918" s="5">
        <v>46278</v>
      </c>
      <c r="M1918" t="s">
        <v>4199</v>
      </c>
      <c r="N1918" t="s">
        <v>207</v>
      </c>
      <c r="O1918" t="s">
        <v>4324</v>
      </c>
      <c r="P1918" t="s">
        <v>208</v>
      </c>
      <c r="Q1918" t="s">
        <v>209</v>
      </c>
    </row>
    <row r="1919" spans="1:17" x14ac:dyDescent="0.3">
      <c r="A1919" t="s">
        <v>4325</v>
      </c>
      <c r="C1919" t="s">
        <v>4326</v>
      </c>
      <c r="D1919" t="s">
        <v>4326</v>
      </c>
      <c r="E1919" s="5">
        <v>46276</v>
      </c>
      <c r="F1919" t="s">
        <v>204</v>
      </c>
      <c r="G1919" t="s">
        <v>220</v>
      </c>
      <c r="H1919">
        <v>599</v>
      </c>
      <c r="I1919">
        <v>0</v>
      </c>
      <c r="J1919">
        <v>0</v>
      </c>
      <c r="K1919">
        <v>599</v>
      </c>
      <c r="L1919" s="5">
        <v>46278</v>
      </c>
      <c r="M1919" t="s">
        <v>4199</v>
      </c>
      <c r="N1919" t="s">
        <v>207</v>
      </c>
      <c r="O1919" t="s">
        <v>4326</v>
      </c>
      <c r="P1919" t="s">
        <v>208</v>
      </c>
      <c r="Q1919" t="s">
        <v>209</v>
      </c>
    </row>
    <row r="1920" spans="1:17" x14ac:dyDescent="0.3">
      <c r="A1920" t="s">
        <v>4327</v>
      </c>
      <c r="C1920" t="s">
        <v>4328</v>
      </c>
      <c r="D1920" t="s">
        <v>4328</v>
      </c>
      <c r="E1920" s="5">
        <v>46276</v>
      </c>
      <c r="F1920" t="s">
        <v>204</v>
      </c>
      <c r="G1920" t="s">
        <v>205</v>
      </c>
      <c r="H1920">
        <v>9597</v>
      </c>
      <c r="I1920">
        <v>163.15</v>
      </c>
      <c r="J1920">
        <v>29.37</v>
      </c>
      <c r="K1920">
        <v>9404.48</v>
      </c>
      <c r="L1920" s="5">
        <v>46278</v>
      </c>
      <c r="M1920" t="s">
        <v>4199</v>
      </c>
      <c r="N1920" t="s">
        <v>207</v>
      </c>
      <c r="O1920" t="s">
        <v>4328</v>
      </c>
      <c r="P1920" t="s">
        <v>208</v>
      </c>
      <c r="Q1920" t="s">
        <v>209</v>
      </c>
    </row>
    <row r="1921" spans="1:17" x14ac:dyDescent="0.3">
      <c r="A1921" t="s">
        <v>4329</v>
      </c>
      <c r="C1921" t="s">
        <v>4330</v>
      </c>
      <c r="D1921" t="s">
        <v>4330</v>
      </c>
      <c r="E1921" s="5">
        <v>46276</v>
      </c>
      <c r="F1921" t="s">
        <v>204</v>
      </c>
      <c r="G1921" t="s">
        <v>213</v>
      </c>
      <c r="H1921">
        <v>1799</v>
      </c>
      <c r="I1921">
        <v>32.380000000000003</v>
      </c>
      <c r="J1921">
        <v>5.83</v>
      </c>
      <c r="K1921">
        <v>1760.79</v>
      </c>
      <c r="L1921" s="5">
        <v>46278</v>
      </c>
      <c r="M1921" t="s">
        <v>4199</v>
      </c>
      <c r="N1921" t="s">
        <v>207</v>
      </c>
      <c r="O1921" t="s">
        <v>4330</v>
      </c>
      <c r="P1921" t="s">
        <v>208</v>
      </c>
      <c r="Q1921" t="s">
        <v>209</v>
      </c>
    </row>
    <row r="1922" spans="1:17" x14ac:dyDescent="0.3">
      <c r="A1922" t="s">
        <v>4331</v>
      </c>
      <c r="C1922" t="s">
        <v>4332</v>
      </c>
      <c r="D1922" t="s">
        <v>4332</v>
      </c>
      <c r="E1922" s="5">
        <v>46276</v>
      </c>
      <c r="F1922" t="s">
        <v>204</v>
      </c>
      <c r="G1922" t="s">
        <v>220</v>
      </c>
      <c r="H1922">
        <v>349</v>
      </c>
      <c r="I1922">
        <v>0</v>
      </c>
      <c r="J1922">
        <v>0</v>
      </c>
      <c r="K1922">
        <v>349</v>
      </c>
      <c r="L1922" s="5">
        <v>46278</v>
      </c>
      <c r="M1922" t="s">
        <v>4199</v>
      </c>
      <c r="N1922" t="s">
        <v>207</v>
      </c>
      <c r="O1922" t="s">
        <v>4332</v>
      </c>
      <c r="P1922" t="s">
        <v>208</v>
      </c>
      <c r="Q1922" t="s">
        <v>209</v>
      </c>
    </row>
    <row r="1923" spans="1:17" x14ac:dyDescent="0.3">
      <c r="A1923" t="s">
        <v>4333</v>
      </c>
      <c r="C1923" t="s">
        <v>4334</v>
      </c>
      <c r="D1923" t="s">
        <v>4334</v>
      </c>
      <c r="E1923" s="5">
        <v>46276</v>
      </c>
      <c r="F1923" t="s">
        <v>204</v>
      </c>
      <c r="G1923" t="s">
        <v>220</v>
      </c>
      <c r="H1923">
        <v>7498</v>
      </c>
      <c r="I1923">
        <v>22.49</v>
      </c>
      <c r="J1923">
        <v>4.05</v>
      </c>
      <c r="K1923">
        <v>7471.46</v>
      </c>
      <c r="L1923" s="5">
        <v>46278</v>
      </c>
      <c r="M1923" t="s">
        <v>4199</v>
      </c>
      <c r="N1923" t="s">
        <v>207</v>
      </c>
      <c r="O1923" t="s">
        <v>4334</v>
      </c>
      <c r="P1923" t="s">
        <v>208</v>
      </c>
      <c r="Q1923" t="s">
        <v>209</v>
      </c>
    </row>
    <row r="1924" spans="1:17" x14ac:dyDescent="0.3">
      <c r="A1924" t="s">
        <v>4335</v>
      </c>
      <c r="C1924" t="s">
        <v>4336</v>
      </c>
      <c r="D1924" t="s">
        <v>4337</v>
      </c>
      <c r="E1924" s="5">
        <v>46276</v>
      </c>
      <c r="F1924" t="s">
        <v>204</v>
      </c>
      <c r="G1924" t="s">
        <v>205</v>
      </c>
      <c r="H1924">
        <v>799</v>
      </c>
      <c r="I1924">
        <v>15.18</v>
      </c>
      <c r="J1924">
        <v>2.73</v>
      </c>
      <c r="K1924">
        <v>781.09</v>
      </c>
      <c r="L1924" s="5">
        <v>46278</v>
      </c>
      <c r="M1924" t="s">
        <v>4199</v>
      </c>
      <c r="N1924" t="s">
        <v>207</v>
      </c>
      <c r="O1924" t="s">
        <v>4337</v>
      </c>
      <c r="P1924" t="s">
        <v>208</v>
      </c>
      <c r="Q1924" t="s">
        <v>209</v>
      </c>
    </row>
    <row r="1925" spans="1:17" x14ac:dyDescent="0.3">
      <c r="A1925" t="s">
        <v>4338</v>
      </c>
      <c r="C1925" t="s">
        <v>4339</v>
      </c>
      <c r="D1925" t="s">
        <v>4340</v>
      </c>
      <c r="E1925" s="5">
        <v>46276</v>
      </c>
      <c r="F1925" t="s">
        <v>204</v>
      </c>
      <c r="G1925" t="s">
        <v>213</v>
      </c>
      <c r="H1925">
        <v>2999</v>
      </c>
      <c r="I1925">
        <v>47.98</v>
      </c>
      <c r="J1925">
        <v>8.64</v>
      </c>
      <c r="K1925">
        <v>2942.38</v>
      </c>
      <c r="L1925" s="5">
        <v>46278</v>
      </c>
      <c r="M1925" t="s">
        <v>4199</v>
      </c>
      <c r="N1925" t="s">
        <v>207</v>
      </c>
      <c r="O1925" t="s">
        <v>4340</v>
      </c>
      <c r="P1925" t="s">
        <v>208</v>
      </c>
      <c r="Q1925" t="s">
        <v>209</v>
      </c>
    </row>
    <row r="1926" spans="1:17" x14ac:dyDescent="0.3">
      <c r="A1926" t="s">
        <v>4341</v>
      </c>
      <c r="C1926" t="s">
        <v>4342</v>
      </c>
      <c r="D1926" t="s">
        <v>4342</v>
      </c>
      <c r="E1926" s="5">
        <v>46276</v>
      </c>
      <c r="F1926" t="s">
        <v>204</v>
      </c>
      <c r="G1926" t="s">
        <v>220</v>
      </c>
      <c r="H1926">
        <v>299</v>
      </c>
      <c r="I1926">
        <v>0</v>
      </c>
      <c r="J1926">
        <v>0</v>
      </c>
      <c r="K1926">
        <v>299</v>
      </c>
      <c r="L1926" s="5">
        <v>46278</v>
      </c>
      <c r="M1926" t="s">
        <v>4199</v>
      </c>
      <c r="N1926" t="s">
        <v>207</v>
      </c>
      <c r="O1926" t="s">
        <v>4342</v>
      </c>
      <c r="P1926" t="s">
        <v>208</v>
      </c>
      <c r="Q1926" t="s">
        <v>209</v>
      </c>
    </row>
    <row r="1927" spans="1:17" x14ac:dyDescent="0.3">
      <c r="A1927" t="s">
        <v>4343</v>
      </c>
      <c r="C1927" t="s">
        <v>4344</v>
      </c>
      <c r="D1927" t="s">
        <v>4344</v>
      </c>
      <c r="E1927" s="5">
        <v>46276</v>
      </c>
      <c r="F1927" t="s">
        <v>204</v>
      </c>
      <c r="G1927" t="s">
        <v>205</v>
      </c>
      <c r="H1927">
        <v>1299</v>
      </c>
      <c r="I1927">
        <v>24.68</v>
      </c>
      <c r="J1927">
        <v>4.4400000000000004</v>
      </c>
      <c r="K1927">
        <v>1269.8800000000001</v>
      </c>
      <c r="L1927" s="5">
        <v>46278</v>
      </c>
      <c r="M1927" t="s">
        <v>4199</v>
      </c>
      <c r="N1927" t="s">
        <v>207</v>
      </c>
      <c r="O1927" t="s">
        <v>4344</v>
      </c>
      <c r="P1927" t="s">
        <v>208</v>
      </c>
      <c r="Q1927" t="s">
        <v>209</v>
      </c>
    </row>
    <row r="1928" spans="1:17" x14ac:dyDescent="0.3">
      <c r="A1928" t="s">
        <v>4345</v>
      </c>
      <c r="C1928" t="s">
        <v>4346</v>
      </c>
      <c r="D1928" t="s">
        <v>4346</v>
      </c>
      <c r="E1928" s="5">
        <v>46276</v>
      </c>
      <c r="F1928" t="s">
        <v>204</v>
      </c>
      <c r="G1928" t="s">
        <v>213</v>
      </c>
      <c r="H1928">
        <v>499</v>
      </c>
      <c r="I1928">
        <v>8.98</v>
      </c>
      <c r="J1928">
        <v>1.62</v>
      </c>
      <c r="K1928">
        <v>488.4</v>
      </c>
      <c r="L1928" s="5">
        <v>46278</v>
      </c>
      <c r="M1928" t="s">
        <v>4199</v>
      </c>
      <c r="N1928" t="s">
        <v>207</v>
      </c>
      <c r="O1928" t="s">
        <v>4346</v>
      </c>
      <c r="P1928" t="s">
        <v>208</v>
      </c>
      <c r="Q1928" t="s">
        <v>209</v>
      </c>
    </row>
    <row r="1929" spans="1:17" x14ac:dyDescent="0.3">
      <c r="A1929" t="s">
        <v>4347</v>
      </c>
      <c r="C1929" t="s">
        <v>4348</v>
      </c>
      <c r="D1929" t="s">
        <v>4348</v>
      </c>
      <c r="E1929" s="5">
        <v>46276</v>
      </c>
      <c r="F1929" t="s">
        <v>204</v>
      </c>
      <c r="G1929" t="s">
        <v>220</v>
      </c>
      <c r="H1929">
        <v>8097</v>
      </c>
      <c r="I1929">
        <v>24.29</v>
      </c>
      <c r="J1929">
        <v>4.37</v>
      </c>
      <c r="K1929">
        <v>8068.34</v>
      </c>
      <c r="L1929" s="5">
        <v>46278</v>
      </c>
      <c r="M1929" t="s">
        <v>4199</v>
      </c>
      <c r="N1929" t="s">
        <v>207</v>
      </c>
      <c r="O1929" t="s">
        <v>4348</v>
      </c>
      <c r="P1929" t="s">
        <v>208</v>
      </c>
      <c r="Q1929" t="s">
        <v>209</v>
      </c>
    </row>
    <row r="1930" spans="1:17" x14ac:dyDescent="0.3">
      <c r="A1930" t="s">
        <v>4349</v>
      </c>
      <c r="C1930" t="s">
        <v>4350</v>
      </c>
      <c r="D1930" t="s">
        <v>4350</v>
      </c>
      <c r="E1930" s="5">
        <v>46276</v>
      </c>
      <c r="F1930" t="s">
        <v>204</v>
      </c>
      <c r="G1930" t="s">
        <v>213</v>
      </c>
      <c r="H1930">
        <v>3298</v>
      </c>
      <c r="I1930">
        <v>52.77</v>
      </c>
      <c r="J1930">
        <v>9.5</v>
      </c>
      <c r="K1930">
        <v>3235.73</v>
      </c>
      <c r="L1930" s="5">
        <v>46278</v>
      </c>
      <c r="M1930" t="s">
        <v>4199</v>
      </c>
      <c r="N1930" t="s">
        <v>207</v>
      </c>
      <c r="O1930" t="s">
        <v>4350</v>
      </c>
      <c r="P1930" t="s">
        <v>208</v>
      </c>
      <c r="Q1930" t="s">
        <v>209</v>
      </c>
    </row>
    <row r="1931" spans="1:17" x14ac:dyDescent="0.3">
      <c r="A1931" t="s">
        <v>4351</v>
      </c>
      <c r="C1931" t="s">
        <v>4352</v>
      </c>
      <c r="D1931" t="s">
        <v>4353</v>
      </c>
      <c r="E1931" s="5">
        <v>46276</v>
      </c>
      <c r="F1931" t="s">
        <v>204</v>
      </c>
      <c r="G1931" t="s">
        <v>213</v>
      </c>
      <c r="H1931">
        <v>2499</v>
      </c>
      <c r="I1931">
        <v>39.979999999999997</v>
      </c>
      <c r="J1931">
        <v>7.2</v>
      </c>
      <c r="K1931">
        <v>2451.8200000000002</v>
      </c>
      <c r="L1931" s="5">
        <v>46278</v>
      </c>
      <c r="M1931" t="s">
        <v>4199</v>
      </c>
      <c r="N1931" t="s">
        <v>207</v>
      </c>
      <c r="O1931" t="s">
        <v>4353</v>
      </c>
      <c r="P1931" t="s">
        <v>208</v>
      </c>
      <c r="Q1931" t="s">
        <v>209</v>
      </c>
    </row>
    <row r="1932" spans="1:17" x14ac:dyDescent="0.3">
      <c r="A1932" t="s">
        <v>4354</v>
      </c>
      <c r="C1932" t="s">
        <v>4355</v>
      </c>
      <c r="D1932" t="s">
        <v>4355</v>
      </c>
      <c r="E1932" s="5">
        <v>46276</v>
      </c>
      <c r="F1932" t="s">
        <v>204</v>
      </c>
      <c r="G1932" t="s">
        <v>220</v>
      </c>
      <c r="H1932">
        <v>798</v>
      </c>
      <c r="I1932">
        <v>0</v>
      </c>
      <c r="J1932">
        <v>0</v>
      </c>
      <c r="K1932">
        <v>798</v>
      </c>
      <c r="L1932" s="5">
        <v>46278</v>
      </c>
      <c r="M1932" t="s">
        <v>4199</v>
      </c>
      <c r="N1932" t="s">
        <v>207</v>
      </c>
      <c r="O1932" t="s">
        <v>4355</v>
      </c>
      <c r="P1932" t="s">
        <v>208</v>
      </c>
      <c r="Q1932" t="s">
        <v>209</v>
      </c>
    </row>
    <row r="1933" spans="1:17" x14ac:dyDescent="0.3">
      <c r="A1933" t="s">
        <v>4356</v>
      </c>
      <c r="C1933" t="s">
        <v>4357</v>
      </c>
      <c r="D1933" t="s">
        <v>4357</v>
      </c>
      <c r="E1933" s="5">
        <v>46276</v>
      </c>
      <c r="F1933" t="s">
        <v>204</v>
      </c>
      <c r="G1933" t="s">
        <v>220</v>
      </c>
      <c r="H1933">
        <v>499</v>
      </c>
      <c r="I1933">
        <v>0</v>
      </c>
      <c r="J1933">
        <v>0</v>
      </c>
      <c r="K1933">
        <v>499</v>
      </c>
      <c r="L1933" s="5">
        <v>46278</v>
      </c>
      <c r="M1933" t="s">
        <v>4199</v>
      </c>
      <c r="N1933" t="s">
        <v>207</v>
      </c>
      <c r="O1933" t="s">
        <v>4357</v>
      </c>
      <c r="P1933" t="s">
        <v>208</v>
      </c>
      <c r="Q1933" t="s">
        <v>209</v>
      </c>
    </row>
    <row r="1934" spans="1:17" x14ac:dyDescent="0.3">
      <c r="A1934" t="s">
        <v>4358</v>
      </c>
      <c r="C1934" t="s">
        <v>4359</v>
      </c>
      <c r="D1934" t="s">
        <v>4360</v>
      </c>
      <c r="E1934" s="5">
        <v>46276</v>
      </c>
      <c r="F1934" t="s">
        <v>204</v>
      </c>
      <c r="G1934" t="s">
        <v>220</v>
      </c>
      <c r="H1934">
        <v>7498</v>
      </c>
      <c r="I1934">
        <v>22.49</v>
      </c>
      <c r="J1934">
        <v>4.05</v>
      </c>
      <c r="K1934">
        <v>7471.46</v>
      </c>
      <c r="L1934" s="5">
        <v>46278</v>
      </c>
      <c r="M1934" t="s">
        <v>4199</v>
      </c>
      <c r="N1934" t="s">
        <v>207</v>
      </c>
      <c r="O1934" t="s">
        <v>4360</v>
      </c>
      <c r="P1934" t="s">
        <v>208</v>
      </c>
      <c r="Q1934" t="s">
        <v>209</v>
      </c>
    </row>
    <row r="1935" spans="1:17" x14ac:dyDescent="0.3">
      <c r="A1935" t="s">
        <v>4361</v>
      </c>
      <c r="C1935" t="s">
        <v>4362</v>
      </c>
      <c r="D1935" t="s">
        <v>4363</v>
      </c>
      <c r="E1935" s="5">
        <v>46276</v>
      </c>
      <c r="F1935" t="s">
        <v>204</v>
      </c>
      <c r="G1935" t="s">
        <v>220</v>
      </c>
      <c r="H1935">
        <v>999</v>
      </c>
      <c r="I1935">
        <v>0</v>
      </c>
      <c r="J1935">
        <v>0</v>
      </c>
      <c r="K1935">
        <v>999</v>
      </c>
      <c r="L1935" s="5">
        <v>46278</v>
      </c>
      <c r="M1935" t="s">
        <v>4199</v>
      </c>
      <c r="N1935" t="s">
        <v>207</v>
      </c>
      <c r="O1935" t="s">
        <v>4363</v>
      </c>
      <c r="P1935" t="s">
        <v>208</v>
      </c>
      <c r="Q1935" t="s">
        <v>209</v>
      </c>
    </row>
    <row r="1936" spans="1:17" x14ac:dyDescent="0.3">
      <c r="A1936" t="s">
        <v>4364</v>
      </c>
      <c r="C1936" t="s">
        <v>4365</v>
      </c>
      <c r="D1936" t="s">
        <v>4365</v>
      </c>
      <c r="E1936" s="5">
        <v>46276</v>
      </c>
      <c r="F1936" t="s">
        <v>204</v>
      </c>
      <c r="G1936" t="s">
        <v>213</v>
      </c>
      <c r="H1936">
        <v>5597</v>
      </c>
      <c r="I1936">
        <v>89.55</v>
      </c>
      <c r="J1936">
        <v>16.12</v>
      </c>
      <c r="K1936">
        <v>5491.33</v>
      </c>
      <c r="L1936" s="5">
        <v>46278</v>
      </c>
      <c r="M1936" t="s">
        <v>4199</v>
      </c>
      <c r="N1936" t="s">
        <v>207</v>
      </c>
      <c r="O1936" t="s">
        <v>4365</v>
      </c>
      <c r="P1936" t="s">
        <v>208</v>
      </c>
      <c r="Q1936" t="s">
        <v>209</v>
      </c>
    </row>
    <row r="1937" spans="1:17" x14ac:dyDescent="0.3">
      <c r="A1937" t="s">
        <v>4366</v>
      </c>
      <c r="C1937" t="s">
        <v>4367</v>
      </c>
      <c r="D1937" t="s">
        <v>4367</v>
      </c>
      <c r="E1937" s="5">
        <v>46276</v>
      </c>
      <c r="F1937" t="s">
        <v>204</v>
      </c>
      <c r="G1937" t="s">
        <v>220</v>
      </c>
      <c r="H1937">
        <v>1499</v>
      </c>
      <c r="I1937">
        <v>0</v>
      </c>
      <c r="J1937">
        <v>0</v>
      </c>
      <c r="K1937">
        <v>1499</v>
      </c>
      <c r="L1937" s="5">
        <v>46278</v>
      </c>
      <c r="M1937" t="s">
        <v>4199</v>
      </c>
      <c r="N1937" t="s">
        <v>207</v>
      </c>
      <c r="O1937" t="s">
        <v>4367</v>
      </c>
      <c r="P1937" t="s">
        <v>208</v>
      </c>
      <c r="Q1937" t="s">
        <v>209</v>
      </c>
    </row>
    <row r="1938" spans="1:17" x14ac:dyDescent="0.3">
      <c r="A1938" t="s">
        <v>4368</v>
      </c>
      <c r="C1938" t="s">
        <v>4369</v>
      </c>
      <c r="D1938" t="s">
        <v>4369</v>
      </c>
      <c r="E1938" s="5">
        <v>46276</v>
      </c>
      <c r="F1938" t="s">
        <v>204</v>
      </c>
      <c r="G1938" t="s">
        <v>255</v>
      </c>
      <c r="H1938">
        <v>2499</v>
      </c>
      <c r="I1938">
        <v>29.99</v>
      </c>
      <c r="J1938">
        <v>5.4</v>
      </c>
      <c r="K1938">
        <v>2463.61</v>
      </c>
      <c r="L1938" s="5">
        <v>46278</v>
      </c>
      <c r="M1938" t="s">
        <v>4199</v>
      </c>
      <c r="N1938" t="s">
        <v>207</v>
      </c>
      <c r="O1938" t="s">
        <v>4369</v>
      </c>
      <c r="P1938" t="s">
        <v>208</v>
      </c>
      <c r="Q1938" t="s">
        <v>209</v>
      </c>
    </row>
    <row r="1939" spans="1:17" x14ac:dyDescent="0.3">
      <c r="A1939" t="s">
        <v>4370</v>
      </c>
      <c r="C1939" t="s">
        <v>4371</v>
      </c>
      <c r="D1939" t="s">
        <v>4371</v>
      </c>
      <c r="E1939" s="5">
        <v>46276</v>
      </c>
      <c r="F1939" t="s">
        <v>204</v>
      </c>
      <c r="G1939" t="s">
        <v>220</v>
      </c>
      <c r="H1939">
        <v>1598</v>
      </c>
      <c r="I1939">
        <v>0</v>
      </c>
      <c r="J1939">
        <v>0</v>
      </c>
      <c r="K1939">
        <v>1598</v>
      </c>
      <c r="L1939" s="5">
        <v>46278</v>
      </c>
      <c r="M1939" t="s">
        <v>4199</v>
      </c>
      <c r="N1939" t="s">
        <v>207</v>
      </c>
      <c r="O1939" t="s">
        <v>4371</v>
      </c>
      <c r="P1939" t="s">
        <v>208</v>
      </c>
      <c r="Q1939" t="s">
        <v>209</v>
      </c>
    </row>
    <row r="1940" spans="1:17" x14ac:dyDescent="0.3">
      <c r="A1940" t="s">
        <v>4372</v>
      </c>
      <c r="C1940" t="s">
        <v>4373</v>
      </c>
      <c r="D1940" t="s">
        <v>4373</v>
      </c>
      <c r="E1940" s="5">
        <v>46276</v>
      </c>
      <c r="F1940" t="s">
        <v>204</v>
      </c>
      <c r="G1940" t="s">
        <v>255</v>
      </c>
      <c r="H1940">
        <v>7999</v>
      </c>
      <c r="I1940">
        <v>95.99</v>
      </c>
      <c r="J1940">
        <v>17.28</v>
      </c>
      <c r="K1940">
        <v>7885.73</v>
      </c>
      <c r="L1940" s="5">
        <v>46278</v>
      </c>
      <c r="M1940" t="s">
        <v>4199</v>
      </c>
      <c r="N1940" t="s">
        <v>207</v>
      </c>
      <c r="O1940" t="s">
        <v>4373</v>
      </c>
      <c r="P1940" t="s">
        <v>208</v>
      </c>
      <c r="Q1940" t="s">
        <v>209</v>
      </c>
    </row>
    <row r="1941" spans="1:17" x14ac:dyDescent="0.3">
      <c r="A1941" t="s">
        <v>4374</v>
      </c>
      <c r="C1941" t="s">
        <v>4375</v>
      </c>
      <c r="D1941" t="s">
        <v>4375</v>
      </c>
      <c r="E1941" s="5">
        <v>46276</v>
      </c>
      <c r="F1941" t="s">
        <v>204</v>
      </c>
      <c r="G1941" t="s">
        <v>220</v>
      </c>
      <c r="H1941">
        <v>2848</v>
      </c>
      <c r="I1941">
        <v>8.5399999999999991</v>
      </c>
      <c r="J1941">
        <v>1.54</v>
      </c>
      <c r="K1941">
        <v>2837.92</v>
      </c>
      <c r="L1941" s="5">
        <v>46278</v>
      </c>
      <c r="M1941" t="s">
        <v>4199</v>
      </c>
      <c r="N1941" t="s">
        <v>207</v>
      </c>
      <c r="O1941" t="s">
        <v>4375</v>
      </c>
      <c r="P1941" t="s">
        <v>208</v>
      </c>
      <c r="Q1941" t="s">
        <v>209</v>
      </c>
    </row>
    <row r="1942" spans="1:17" x14ac:dyDescent="0.3">
      <c r="A1942" t="s">
        <v>4376</v>
      </c>
      <c r="C1942" t="s">
        <v>4377</v>
      </c>
      <c r="D1942" t="s">
        <v>4377</v>
      </c>
      <c r="E1942" s="5">
        <v>46276</v>
      </c>
      <c r="F1942" t="s">
        <v>204</v>
      </c>
      <c r="G1942" t="s">
        <v>220</v>
      </c>
      <c r="H1942">
        <v>3348</v>
      </c>
      <c r="I1942">
        <v>10.039999999999999</v>
      </c>
      <c r="J1942">
        <v>1.81</v>
      </c>
      <c r="K1942">
        <v>3336.15</v>
      </c>
      <c r="L1942" s="5">
        <v>46278</v>
      </c>
      <c r="M1942" t="s">
        <v>4199</v>
      </c>
      <c r="N1942" t="s">
        <v>207</v>
      </c>
      <c r="O1942" t="s">
        <v>4377</v>
      </c>
      <c r="P1942" t="s">
        <v>208</v>
      </c>
      <c r="Q1942" t="s">
        <v>209</v>
      </c>
    </row>
    <row r="1943" spans="1:17" x14ac:dyDescent="0.3">
      <c r="A1943" t="s">
        <v>4378</v>
      </c>
      <c r="C1943" t="s">
        <v>4379</v>
      </c>
      <c r="D1943" t="s">
        <v>4380</v>
      </c>
      <c r="E1943" s="5">
        <v>46276</v>
      </c>
      <c r="F1943" t="s">
        <v>204</v>
      </c>
      <c r="G1943" t="s">
        <v>220</v>
      </c>
      <c r="H1943">
        <v>2647</v>
      </c>
      <c r="I1943">
        <v>7.94</v>
      </c>
      <c r="J1943">
        <v>1.43</v>
      </c>
      <c r="K1943">
        <v>2637.63</v>
      </c>
      <c r="L1943" s="5">
        <v>46278</v>
      </c>
      <c r="M1943" t="s">
        <v>4199</v>
      </c>
      <c r="N1943" t="s">
        <v>207</v>
      </c>
      <c r="O1943" t="s">
        <v>4380</v>
      </c>
      <c r="P1943" t="s">
        <v>208</v>
      </c>
      <c r="Q1943" t="s">
        <v>209</v>
      </c>
    </row>
    <row r="1944" spans="1:17" x14ac:dyDescent="0.3">
      <c r="A1944" t="s">
        <v>4381</v>
      </c>
      <c r="C1944" t="s">
        <v>4382</v>
      </c>
      <c r="D1944" t="s">
        <v>4382</v>
      </c>
      <c r="E1944" s="5">
        <v>46276</v>
      </c>
      <c r="F1944" t="s">
        <v>204</v>
      </c>
      <c r="G1944" t="s">
        <v>213</v>
      </c>
      <c r="H1944">
        <v>1299</v>
      </c>
      <c r="I1944">
        <v>23.38</v>
      </c>
      <c r="J1944">
        <v>4.21</v>
      </c>
      <c r="K1944">
        <v>1271.4100000000001</v>
      </c>
      <c r="L1944" s="5">
        <v>46278</v>
      </c>
      <c r="M1944" t="s">
        <v>4199</v>
      </c>
      <c r="N1944" t="s">
        <v>207</v>
      </c>
      <c r="O1944" t="s">
        <v>4382</v>
      </c>
      <c r="P1944" t="s">
        <v>208</v>
      </c>
      <c r="Q1944" t="s">
        <v>209</v>
      </c>
    </row>
    <row r="1945" spans="1:17" x14ac:dyDescent="0.3">
      <c r="A1945" t="s">
        <v>4383</v>
      </c>
      <c r="C1945" t="s">
        <v>4384</v>
      </c>
      <c r="D1945" t="s">
        <v>4384</v>
      </c>
      <c r="E1945" s="5">
        <v>46276</v>
      </c>
      <c r="F1945" t="s">
        <v>204</v>
      </c>
      <c r="G1945" t="s">
        <v>205</v>
      </c>
      <c r="H1945">
        <v>3897</v>
      </c>
      <c r="I1945">
        <v>66.25</v>
      </c>
      <c r="J1945">
        <v>11.93</v>
      </c>
      <c r="K1945">
        <v>3818.82</v>
      </c>
      <c r="L1945" s="5">
        <v>46278</v>
      </c>
      <c r="M1945" t="s">
        <v>4199</v>
      </c>
      <c r="N1945" t="s">
        <v>207</v>
      </c>
      <c r="O1945" t="s">
        <v>4384</v>
      </c>
      <c r="P1945" t="s">
        <v>208</v>
      </c>
      <c r="Q1945" t="s">
        <v>209</v>
      </c>
    </row>
    <row r="1946" spans="1:17" x14ac:dyDescent="0.3">
      <c r="A1946" t="s">
        <v>4385</v>
      </c>
      <c r="C1946" t="s">
        <v>4386</v>
      </c>
      <c r="D1946" t="s">
        <v>4386</v>
      </c>
      <c r="E1946" s="5">
        <v>46276</v>
      </c>
      <c r="F1946" t="s">
        <v>204</v>
      </c>
      <c r="G1946" t="s">
        <v>220</v>
      </c>
      <c r="H1946">
        <v>1499</v>
      </c>
      <c r="I1946">
        <v>0</v>
      </c>
      <c r="J1946">
        <v>0</v>
      </c>
      <c r="K1946">
        <v>1499</v>
      </c>
      <c r="L1946" s="5">
        <v>46278</v>
      </c>
      <c r="M1946" t="s">
        <v>4199</v>
      </c>
      <c r="N1946" t="s">
        <v>207</v>
      </c>
      <c r="O1946" t="s">
        <v>4386</v>
      </c>
      <c r="P1946" t="s">
        <v>208</v>
      </c>
      <c r="Q1946" t="s">
        <v>209</v>
      </c>
    </row>
    <row r="1947" spans="1:17" x14ac:dyDescent="0.3">
      <c r="A1947" t="s">
        <v>4387</v>
      </c>
      <c r="C1947" t="s">
        <v>4388</v>
      </c>
      <c r="D1947" t="s">
        <v>4389</v>
      </c>
      <c r="E1947" s="5">
        <v>46276</v>
      </c>
      <c r="F1947" t="s">
        <v>204</v>
      </c>
      <c r="G1947" t="s">
        <v>213</v>
      </c>
      <c r="H1947">
        <v>2097</v>
      </c>
      <c r="I1947">
        <v>33.549999999999997</v>
      </c>
      <c r="J1947">
        <v>6.04</v>
      </c>
      <c r="K1947">
        <v>2057.41</v>
      </c>
      <c r="L1947" s="5">
        <v>46278</v>
      </c>
      <c r="M1947" t="s">
        <v>4199</v>
      </c>
      <c r="N1947" t="s">
        <v>207</v>
      </c>
      <c r="O1947" t="s">
        <v>4389</v>
      </c>
      <c r="P1947" t="s">
        <v>208</v>
      </c>
      <c r="Q1947" t="s">
        <v>209</v>
      </c>
    </row>
    <row r="1948" spans="1:17" x14ac:dyDescent="0.3">
      <c r="A1948" t="s">
        <v>4390</v>
      </c>
      <c r="C1948" t="s">
        <v>4391</v>
      </c>
      <c r="D1948" t="s">
        <v>4391</v>
      </c>
      <c r="E1948" s="5">
        <v>46276</v>
      </c>
      <c r="F1948" t="s">
        <v>204</v>
      </c>
      <c r="G1948" t="s">
        <v>220</v>
      </c>
      <c r="H1948">
        <v>3447</v>
      </c>
      <c r="I1948">
        <v>10.34</v>
      </c>
      <c r="J1948">
        <v>1.86</v>
      </c>
      <c r="K1948">
        <v>3434.8</v>
      </c>
      <c r="L1948" s="5">
        <v>46278</v>
      </c>
      <c r="M1948" t="s">
        <v>4199</v>
      </c>
      <c r="N1948" t="s">
        <v>207</v>
      </c>
      <c r="O1948" t="s">
        <v>4391</v>
      </c>
      <c r="P1948" t="s">
        <v>208</v>
      </c>
      <c r="Q1948" t="s">
        <v>209</v>
      </c>
    </row>
    <row r="1949" spans="1:17" x14ac:dyDescent="0.3">
      <c r="A1949" t="s">
        <v>4392</v>
      </c>
      <c r="C1949" t="s">
        <v>4393</v>
      </c>
      <c r="D1949" t="s">
        <v>4393</v>
      </c>
      <c r="E1949" s="5">
        <v>46276</v>
      </c>
      <c r="F1949" t="s">
        <v>204</v>
      </c>
      <c r="G1949" t="s">
        <v>220</v>
      </c>
      <c r="H1949">
        <v>599</v>
      </c>
      <c r="I1949">
        <v>0</v>
      </c>
      <c r="J1949">
        <v>0</v>
      </c>
      <c r="K1949">
        <v>599</v>
      </c>
      <c r="L1949" s="5">
        <v>46278</v>
      </c>
      <c r="M1949" t="s">
        <v>4199</v>
      </c>
      <c r="N1949" t="s">
        <v>207</v>
      </c>
      <c r="O1949" t="s">
        <v>4393</v>
      </c>
      <c r="P1949" t="s">
        <v>208</v>
      </c>
      <c r="Q1949" t="s">
        <v>209</v>
      </c>
    </row>
    <row r="1950" spans="1:17" x14ac:dyDescent="0.3">
      <c r="A1950" t="s">
        <v>4394</v>
      </c>
      <c r="C1950" t="s">
        <v>4395</v>
      </c>
      <c r="D1950" t="s">
        <v>4395</v>
      </c>
      <c r="E1950" s="5">
        <v>46276</v>
      </c>
      <c r="F1950" t="s">
        <v>204</v>
      </c>
      <c r="G1950" t="s">
        <v>220</v>
      </c>
      <c r="H1950">
        <v>1499</v>
      </c>
      <c r="I1950">
        <v>0</v>
      </c>
      <c r="J1950">
        <v>0</v>
      </c>
      <c r="K1950">
        <v>1499</v>
      </c>
      <c r="L1950" s="5">
        <v>46278</v>
      </c>
      <c r="M1950" t="s">
        <v>4199</v>
      </c>
      <c r="N1950" t="s">
        <v>207</v>
      </c>
      <c r="O1950" t="s">
        <v>4395</v>
      </c>
      <c r="P1950" t="s">
        <v>208</v>
      </c>
      <c r="Q1950" t="s">
        <v>209</v>
      </c>
    </row>
    <row r="1951" spans="1:17" x14ac:dyDescent="0.3">
      <c r="A1951" t="s">
        <v>4396</v>
      </c>
      <c r="C1951" t="s">
        <v>4397</v>
      </c>
      <c r="D1951" t="s">
        <v>4397</v>
      </c>
      <c r="E1951" s="5">
        <v>46276</v>
      </c>
      <c r="F1951" t="s">
        <v>204</v>
      </c>
      <c r="G1951" t="s">
        <v>220</v>
      </c>
      <c r="H1951">
        <v>5798</v>
      </c>
      <c r="I1951">
        <v>17.39</v>
      </c>
      <c r="J1951">
        <v>3.13</v>
      </c>
      <c r="K1951">
        <v>5777.48</v>
      </c>
      <c r="L1951" s="5">
        <v>46278</v>
      </c>
      <c r="M1951" t="s">
        <v>4199</v>
      </c>
      <c r="N1951" t="s">
        <v>207</v>
      </c>
      <c r="O1951" t="s">
        <v>4397</v>
      </c>
      <c r="P1951" t="s">
        <v>208</v>
      </c>
      <c r="Q1951" t="s">
        <v>209</v>
      </c>
    </row>
    <row r="1952" spans="1:17" x14ac:dyDescent="0.3">
      <c r="A1952" t="s">
        <v>4398</v>
      </c>
      <c r="C1952" t="s">
        <v>4399</v>
      </c>
      <c r="D1952" t="s">
        <v>4399</v>
      </c>
      <c r="E1952" s="5">
        <v>46276</v>
      </c>
      <c r="F1952" t="s">
        <v>204</v>
      </c>
      <c r="G1952" t="s">
        <v>220</v>
      </c>
      <c r="H1952">
        <v>6147</v>
      </c>
      <c r="I1952">
        <v>18.440000000000001</v>
      </c>
      <c r="J1952">
        <v>3.32</v>
      </c>
      <c r="K1952">
        <v>6125.24</v>
      </c>
      <c r="L1952" s="5">
        <v>46278</v>
      </c>
      <c r="M1952" t="s">
        <v>4199</v>
      </c>
      <c r="N1952" t="s">
        <v>207</v>
      </c>
      <c r="O1952" t="s">
        <v>4399</v>
      </c>
      <c r="P1952" t="s">
        <v>208</v>
      </c>
      <c r="Q1952" t="s">
        <v>209</v>
      </c>
    </row>
    <row r="1953" spans="1:17" x14ac:dyDescent="0.3">
      <c r="A1953" t="s">
        <v>4400</v>
      </c>
      <c r="C1953" t="s">
        <v>4401</v>
      </c>
      <c r="D1953" t="s">
        <v>4401</v>
      </c>
      <c r="E1953" s="5">
        <v>46276</v>
      </c>
      <c r="F1953" t="s">
        <v>204</v>
      </c>
      <c r="G1953" t="s">
        <v>213</v>
      </c>
      <c r="H1953">
        <v>1499</v>
      </c>
      <c r="I1953">
        <v>26.98</v>
      </c>
      <c r="J1953">
        <v>4.8600000000000003</v>
      </c>
      <c r="K1953">
        <v>1467.16</v>
      </c>
      <c r="L1953" s="5">
        <v>46278</v>
      </c>
      <c r="M1953" t="s">
        <v>4199</v>
      </c>
      <c r="N1953" t="s">
        <v>207</v>
      </c>
      <c r="O1953" t="s">
        <v>4401</v>
      </c>
      <c r="P1953" t="s">
        <v>208</v>
      </c>
      <c r="Q1953" t="s">
        <v>209</v>
      </c>
    </row>
    <row r="1954" spans="1:17" x14ac:dyDescent="0.3">
      <c r="A1954" t="s">
        <v>4402</v>
      </c>
      <c r="C1954" t="s">
        <v>4403</v>
      </c>
      <c r="D1954" t="s">
        <v>4403</v>
      </c>
      <c r="E1954" s="5">
        <v>46276</v>
      </c>
      <c r="F1954" t="s">
        <v>204</v>
      </c>
      <c r="G1954" t="s">
        <v>220</v>
      </c>
      <c r="H1954">
        <v>599</v>
      </c>
      <c r="I1954">
        <v>0</v>
      </c>
      <c r="J1954">
        <v>0</v>
      </c>
      <c r="K1954">
        <v>599</v>
      </c>
      <c r="L1954" s="5">
        <v>46278</v>
      </c>
      <c r="M1954" t="s">
        <v>4199</v>
      </c>
      <c r="N1954" t="s">
        <v>207</v>
      </c>
      <c r="O1954" t="s">
        <v>4403</v>
      </c>
      <c r="P1954" t="s">
        <v>208</v>
      </c>
      <c r="Q1954" t="s">
        <v>209</v>
      </c>
    </row>
    <row r="1955" spans="1:17" x14ac:dyDescent="0.3">
      <c r="A1955" t="s">
        <v>4404</v>
      </c>
      <c r="C1955" t="s">
        <v>4405</v>
      </c>
      <c r="D1955" t="s">
        <v>4405</v>
      </c>
      <c r="E1955" s="5">
        <v>46276</v>
      </c>
      <c r="F1955" t="s">
        <v>204</v>
      </c>
      <c r="G1955" t="s">
        <v>213</v>
      </c>
      <c r="H1955">
        <v>5297</v>
      </c>
      <c r="I1955">
        <v>84.75</v>
      </c>
      <c r="J1955">
        <v>15.26</v>
      </c>
      <c r="K1955">
        <v>5196.99</v>
      </c>
      <c r="L1955" s="5">
        <v>46278</v>
      </c>
      <c r="M1955" t="s">
        <v>4199</v>
      </c>
      <c r="N1955" t="s">
        <v>207</v>
      </c>
      <c r="O1955" t="s">
        <v>4405</v>
      </c>
      <c r="P1955" t="s">
        <v>208</v>
      </c>
      <c r="Q1955" t="s">
        <v>209</v>
      </c>
    </row>
    <row r="1956" spans="1:17" x14ac:dyDescent="0.3">
      <c r="A1956" t="s">
        <v>4406</v>
      </c>
      <c r="C1956" t="s">
        <v>4407</v>
      </c>
      <c r="D1956" t="s">
        <v>4407</v>
      </c>
      <c r="E1956" s="5">
        <v>46276</v>
      </c>
      <c r="F1956" t="s">
        <v>204</v>
      </c>
      <c r="G1956" t="s">
        <v>255</v>
      </c>
      <c r="H1956">
        <v>5498</v>
      </c>
      <c r="I1956">
        <v>65.98</v>
      </c>
      <c r="J1956">
        <v>11.88</v>
      </c>
      <c r="K1956">
        <v>5420.14</v>
      </c>
      <c r="L1956" s="5">
        <v>46278</v>
      </c>
      <c r="M1956" t="s">
        <v>4199</v>
      </c>
      <c r="N1956" t="s">
        <v>207</v>
      </c>
      <c r="O1956" t="s">
        <v>4407</v>
      </c>
      <c r="P1956" t="s">
        <v>208</v>
      </c>
      <c r="Q1956" t="s">
        <v>209</v>
      </c>
    </row>
    <row r="1957" spans="1:17" x14ac:dyDescent="0.3">
      <c r="A1957" t="s">
        <v>4408</v>
      </c>
      <c r="C1957" t="s">
        <v>4409</v>
      </c>
      <c r="D1957" t="s">
        <v>4410</v>
      </c>
      <c r="E1957" s="5">
        <v>46276</v>
      </c>
      <c r="F1957" t="s">
        <v>204</v>
      </c>
      <c r="G1957" t="s">
        <v>220</v>
      </c>
      <c r="H1957">
        <v>898</v>
      </c>
      <c r="I1957">
        <v>2.69</v>
      </c>
      <c r="J1957">
        <v>0.48</v>
      </c>
      <c r="K1957">
        <v>894.83</v>
      </c>
      <c r="L1957" s="5">
        <v>46278</v>
      </c>
      <c r="M1957" t="s">
        <v>4199</v>
      </c>
      <c r="N1957" t="s">
        <v>207</v>
      </c>
      <c r="O1957" t="s">
        <v>4410</v>
      </c>
      <c r="P1957" t="s">
        <v>208</v>
      </c>
      <c r="Q1957" t="s">
        <v>209</v>
      </c>
    </row>
    <row r="1958" spans="1:17" x14ac:dyDescent="0.3">
      <c r="A1958" t="s">
        <v>4411</v>
      </c>
      <c r="C1958" t="s">
        <v>4412</v>
      </c>
      <c r="D1958" t="s">
        <v>4412</v>
      </c>
      <c r="E1958" s="5">
        <v>46276</v>
      </c>
      <c r="F1958" t="s">
        <v>204</v>
      </c>
      <c r="G1958" t="s">
        <v>255</v>
      </c>
      <c r="H1958">
        <v>5097</v>
      </c>
      <c r="I1958">
        <v>61.16</v>
      </c>
      <c r="J1958">
        <v>11.01</v>
      </c>
      <c r="K1958">
        <v>5024.83</v>
      </c>
      <c r="L1958" s="5">
        <v>46278</v>
      </c>
      <c r="M1958" t="s">
        <v>4199</v>
      </c>
      <c r="N1958" t="s">
        <v>207</v>
      </c>
      <c r="O1958" t="s">
        <v>4412</v>
      </c>
      <c r="P1958" t="s">
        <v>208</v>
      </c>
      <c r="Q1958" t="s">
        <v>209</v>
      </c>
    </row>
    <row r="1959" spans="1:17" x14ac:dyDescent="0.3">
      <c r="A1959" t="s">
        <v>4413</v>
      </c>
      <c r="C1959" t="s">
        <v>4414</v>
      </c>
      <c r="D1959" t="s">
        <v>4414</v>
      </c>
      <c r="E1959" s="5">
        <v>46276</v>
      </c>
      <c r="F1959" t="s">
        <v>204</v>
      </c>
      <c r="G1959" t="s">
        <v>220</v>
      </c>
      <c r="H1959">
        <v>7999</v>
      </c>
      <c r="I1959">
        <v>24</v>
      </c>
      <c r="J1959">
        <v>4.32</v>
      </c>
      <c r="K1959">
        <v>7970.68</v>
      </c>
      <c r="L1959" s="5">
        <v>46278</v>
      </c>
      <c r="M1959" t="s">
        <v>4199</v>
      </c>
      <c r="N1959" t="s">
        <v>207</v>
      </c>
      <c r="O1959" t="s">
        <v>4414</v>
      </c>
      <c r="P1959" t="s">
        <v>208</v>
      </c>
      <c r="Q1959" t="s">
        <v>209</v>
      </c>
    </row>
    <row r="1960" spans="1:17" x14ac:dyDescent="0.3">
      <c r="A1960" t="s">
        <v>4415</v>
      </c>
      <c r="C1960" t="s">
        <v>4416</v>
      </c>
      <c r="D1960" t="s">
        <v>4416</v>
      </c>
      <c r="E1960" s="5">
        <v>46276</v>
      </c>
      <c r="F1960" t="s">
        <v>204</v>
      </c>
      <c r="G1960" t="s">
        <v>220</v>
      </c>
      <c r="H1960">
        <v>15998</v>
      </c>
      <c r="I1960">
        <v>47.99</v>
      </c>
      <c r="J1960">
        <v>8.64</v>
      </c>
      <c r="K1960">
        <v>15941.37</v>
      </c>
      <c r="L1960" s="5">
        <v>46278</v>
      </c>
      <c r="M1960" t="s">
        <v>4199</v>
      </c>
      <c r="N1960" t="s">
        <v>207</v>
      </c>
      <c r="O1960" t="s">
        <v>4416</v>
      </c>
      <c r="P1960" t="s">
        <v>208</v>
      </c>
      <c r="Q1960" t="s">
        <v>209</v>
      </c>
    </row>
    <row r="1961" spans="1:17" x14ac:dyDescent="0.3">
      <c r="A1961" t="s">
        <v>4417</v>
      </c>
      <c r="C1961" t="s">
        <v>4418</v>
      </c>
      <c r="D1961" t="s">
        <v>4418</v>
      </c>
      <c r="E1961" s="5">
        <v>46276</v>
      </c>
      <c r="F1961" t="s">
        <v>204</v>
      </c>
      <c r="G1961" t="s">
        <v>220</v>
      </c>
      <c r="H1961">
        <v>599</v>
      </c>
      <c r="I1961">
        <v>0</v>
      </c>
      <c r="J1961">
        <v>0</v>
      </c>
      <c r="K1961">
        <v>599</v>
      </c>
      <c r="L1961" s="5">
        <v>46278</v>
      </c>
      <c r="M1961" t="s">
        <v>4199</v>
      </c>
      <c r="N1961" t="s">
        <v>207</v>
      </c>
      <c r="O1961" t="s">
        <v>4418</v>
      </c>
      <c r="P1961" t="s">
        <v>208</v>
      </c>
      <c r="Q1961" t="s">
        <v>209</v>
      </c>
    </row>
    <row r="1962" spans="1:17" x14ac:dyDescent="0.3">
      <c r="A1962" t="s">
        <v>4419</v>
      </c>
      <c r="C1962" t="s">
        <v>4420</v>
      </c>
      <c r="D1962" t="s">
        <v>4420</v>
      </c>
      <c r="E1962" s="5">
        <v>46276</v>
      </c>
      <c r="F1962" t="s">
        <v>204</v>
      </c>
      <c r="G1962" t="s">
        <v>255</v>
      </c>
      <c r="H1962">
        <v>8297</v>
      </c>
      <c r="I1962">
        <v>99.56</v>
      </c>
      <c r="J1962">
        <v>17.920000000000002</v>
      </c>
      <c r="K1962">
        <v>8179.52</v>
      </c>
      <c r="L1962" s="5">
        <v>46278</v>
      </c>
      <c r="M1962" t="s">
        <v>4199</v>
      </c>
      <c r="N1962" t="s">
        <v>207</v>
      </c>
      <c r="O1962" t="s">
        <v>4420</v>
      </c>
      <c r="P1962" t="s">
        <v>208</v>
      </c>
      <c r="Q1962" t="s">
        <v>209</v>
      </c>
    </row>
    <row r="1963" spans="1:17" x14ac:dyDescent="0.3">
      <c r="A1963" t="s">
        <v>4421</v>
      </c>
      <c r="C1963" t="s">
        <v>4422</v>
      </c>
      <c r="D1963" t="s">
        <v>4422</v>
      </c>
      <c r="E1963" s="5">
        <v>46276</v>
      </c>
      <c r="F1963" t="s">
        <v>204</v>
      </c>
      <c r="G1963" t="s">
        <v>213</v>
      </c>
      <c r="H1963">
        <v>599</v>
      </c>
      <c r="I1963">
        <v>10.78</v>
      </c>
      <c r="J1963">
        <v>1.94</v>
      </c>
      <c r="K1963">
        <v>586.28</v>
      </c>
      <c r="L1963" s="5">
        <v>46278</v>
      </c>
      <c r="M1963" t="s">
        <v>4199</v>
      </c>
      <c r="N1963" t="s">
        <v>207</v>
      </c>
      <c r="O1963" t="s">
        <v>4422</v>
      </c>
      <c r="P1963" t="s">
        <v>208</v>
      </c>
      <c r="Q1963" t="s">
        <v>209</v>
      </c>
    </row>
    <row r="1964" spans="1:17" x14ac:dyDescent="0.3">
      <c r="A1964" t="s">
        <v>4423</v>
      </c>
      <c r="C1964" t="s">
        <v>4424</v>
      </c>
      <c r="D1964" t="s">
        <v>4424</v>
      </c>
      <c r="E1964" s="5">
        <v>46276</v>
      </c>
      <c r="F1964" t="s">
        <v>204</v>
      </c>
      <c r="G1964" t="s">
        <v>213</v>
      </c>
      <c r="H1964">
        <v>2999</v>
      </c>
      <c r="I1964">
        <v>47.98</v>
      </c>
      <c r="J1964">
        <v>8.64</v>
      </c>
      <c r="K1964">
        <v>2942.38</v>
      </c>
      <c r="L1964" s="5">
        <v>46278</v>
      </c>
      <c r="M1964" t="s">
        <v>4199</v>
      </c>
      <c r="N1964" t="s">
        <v>207</v>
      </c>
      <c r="O1964" t="s">
        <v>4424</v>
      </c>
      <c r="P1964" t="s">
        <v>208</v>
      </c>
      <c r="Q1964" t="s">
        <v>209</v>
      </c>
    </row>
    <row r="1965" spans="1:17" x14ac:dyDescent="0.3">
      <c r="A1965" t="s">
        <v>4425</v>
      </c>
      <c r="C1965" t="s">
        <v>4426</v>
      </c>
      <c r="D1965" t="s">
        <v>4426</v>
      </c>
      <c r="E1965" s="5">
        <v>46276</v>
      </c>
      <c r="F1965" t="s">
        <v>204</v>
      </c>
      <c r="G1965" t="s">
        <v>255</v>
      </c>
      <c r="H1965">
        <v>2499</v>
      </c>
      <c r="I1965">
        <v>29.99</v>
      </c>
      <c r="J1965">
        <v>5.4</v>
      </c>
      <c r="K1965">
        <v>2463.61</v>
      </c>
      <c r="L1965" s="5">
        <v>46278</v>
      </c>
      <c r="M1965" t="s">
        <v>4199</v>
      </c>
      <c r="N1965" t="s">
        <v>207</v>
      </c>
      <c r="O1965" t="s">
        <v>4426</v>
      </c>
      <c r="P1965" t="s">
        <v>208</v>
      </c>
      <c r="Q1965" t="s">
        <v>209</v>
      </c>
    </row>
    <row r="1966" spans="1:17" x14ac:dyDescent="0.3">
      <c r="A1966" t="s">
        <v>4427</v>
      </c>
      <c r="C1966" t="s">
        <v>4428</v>
      </c>
      <c r="D1966" t="s">
        <v>4428</v>
      </c>
      <c r="E1966" s="5">
        <v>46276</v>
      </c>
      <c r="F1966" t="s">
        <v>204</v>
      </c>
      <c r="G1966" t="s">
        <v>213</v>
      </c>
      <c r="H1966">
        <v>1799</v>
      </c>
      <c r="I1966">
        <v>32.380000000000003</v>
      </c>
      <c r="J1966">
        <v>5.83</v>
      </c>
      <c r="K1966">
        <v>1760.79</v>
      </c>
      <c r="L1966" s="5">
        <v>46278</v>
      </c>
      <c r="M1966" t="s">
        <v>4199</v>
      </c>
      <c r="N1966" t="s">
        <v>207</v>
      </c>
      <c r="O1966" t="s">
        <v>4428</v>
      </c>
      <c r="P1966" t="s">
        <v>208</v>
      </c>
      <c r="Q1966" t="s">
        <v>209</v>
      </c>
    </row>
    <row r="1967" spans="1:17" x14ac:dyDescent="0.3">
      <c r="A1967" t="s">
        <v>4429</v>
      </c>
      <c r="C1967" t="s">
        <v>4430</v>
      </c>
      <c r="D1967" t="s">
        <v>4430</v>
      </c>
      <c r="E1967" s="5">
        <v>46276</v>
      </c>
      <c r="F1967" t="s">
        <v>204</v>
      </c>
      <c r="G1967" t="s">
        <v>220</v>
      </c>
      <c r="H1967">
        <v>2999</v>
      </c>
      <c r="I1967">
        <v>9</v>
      </c>
      <c r="J1967">
        <v>1.62</v>
      </c>
      <c r="K1967">
        <v>2988.38</v>
      </c>
      <c r="L1967" s="5">
        <v>46278</v>
      </c>
      <c r="M1967" t="s">
        <v>4199</v>
      </c>
      <c r="N1967" t="s">
        <v>207</v>
      </c>
      <c r="O1967" t="s">
        <v>4430</v>
      </c>
      <c r="P1967" t="s">
        <v>208</v>
      </c>
      <c r="Q1967" t="s">
        <v>209</v>
      </c>
    </row>
    <row r="1968" spans="1:17" x14ac:dyDescent="0.3">
      <c r="A1968" t="s">
        <v>4431</v>
      </c>
      <c r="C1968" t="s">
        <v>4432</v>
      </c>
      <c r="D1968" t="s">
        <v>4433</v>
      </c>
      <c r="E1968" s="5">
        <v>46276</v>
      </c>
      <c r="F1968" t="s">
        <v>204</v>
      </c>
      <c r="G1968" t="s">
        <v>220</v>
      </c>
      <c r="H1968">
        <v>2999</v>
      </c>
      <c r="I1968">
        <v>9</v>
      </c>
      <c r="J1968">
        <v>1.62</v>
      </c>
      <c r="K1968">
        <v>2988.38</v>
      </c>
      <c r="L1968" s="5">
        <v>46278</v>
      </c>
      <c r="M1968" t="s">
        <v>4199</v>
      </c>
      <c r="N1968" t="s">
        <v>207</v>
      </c>
      <c r="O1968" t="s">
        <v>4433</v>
      </c>
      <c r="P1968" t="s">
        <v>208</v>
      </c>
      <c r="Q1968" t="s">
        <v>209</v>
      </c>
    </row>
    <row r="1969" spans="1:17" x14ac:dyDescent="0.3">
      <c r="A1969" t="s">
        <v>4434</v>
      </c>
      <c r="C1969" t="s">
        <v>4435</v>
      </c>
      <c r="D1969" t="s">
        <v>4435</v>
      </c>
      <c r="E1969" s="5">
        <v>46276</v>
      </c>
      <c r="F1969" t="s">
        <v>204</v>
      </c>
      <c r="G1969" t="s">
        <v>205</v>
      </c>
      <c r="H1969">
        <v>349</v>
      </c>
      <c r="I1969">
        <v>6.63</v>
      </c>
      <c r="J1969">
        <v>1.19</v>
      </c>
      <c r="K1969">
        <v>341.18</v>
      </c>
      <c r="L1969" s="5">
        <v>46278</v>
      </c>
      <c r="M1969" t="s">
        <v>4199</v>
      </c>
      <c r="N1969" t="s">
        <v>207</v>
      </c>
      <c r="O1969" t="s">
        <v>4435</v>
      </c>
      <c r="P1969" t="s">
        <v>208</v>
      </c>
      <c r="Q1969" t="s">
        <v>209</v>
      </c>
    </row>
    <row r="1970" spans="1:17" x14ac:dyDescent="0.3">
      <c r="A1970" t="s">
        <v>4436</v>
      </c>
      <c r="C1970" t="s">
        <v>4437</v>
      </c>
      <c r="D1970" t="s">
        <v>4438</v>
      </c>
      <c r="E1970" s="5">
        <v>46276</v>
      </c>
      <c r="F1970" t="s">
        <v>204</v>
      </c>
      <c r="G1970" t="s">
        <v>220</v>
      </c>
      <c r="H1970">
        <v>599</v>
      </c>
      <c r="I1970">
        <v>0</v>
      </c>
      <c r="J1970">
        <v>0</v>
      </c>
      <c r="K1970">
        <v>599</v>
      </c>
      <c r="L1970" s="5">
        <v>46278</v>
      </c>
      <c r="M1970" t="s">
        <v>4199</v>
      </c>
      <c r="N1970" t="s">
        <v>207</v>
      </c>
      <c r="O1970" t="s">
        <v>4438</v>
      </c>
      <c r="P1970" t="s">
        <v>208</v>
      </c>
      <c r="Q1970" t="s">
        <v>209</v>
      </c>
    </row>
    <row r="1971" spans="1:17" x14ac:dyDescent="0.3">
      <c r="A1971" t="s">
        <v>4439</v>
      </c>
      <c r="C1971" t="s">
        <v>4440</v>
      </c>
      <c r="D1971" t="s">
        <v>4440</v>
      </c>
      <c r="E1971" s="5">
        <v>46276</v>
      </c>
      <c r="F1971" t="s">
        <v>204</v>
      </c>
      <c r="G1971" t="s">
        <v>213</v>
      </c>
      <c r="H1971">
        <v>1498</v>
      </c>
      <c r="I1971">
        <v>26.96</v>
      </c>
      <c r="J1971">
        <v>4.8499999999999996</v>
      </c>
      <c r="K1971">
        <v>1466.19</v>
      </c>
      <c r="L1971" s="5">
        <v>46278</v>
      </c>
      <c r="M1971" t="s">
        <v>4199</v>
      </c>
      <c r="N1971" t="s">
        <v>207</v>
      </c>
      <c r="O1971" t="s">
        <v>4440</v>
      </c>
      <c r="P1971" t="s">
        <v>208</v>
      </c>
      <c r="Q1971" t="s">
        <v>209</v>
      </c>
    </row>
    <row r="1972" spans="1:17" x14ac:dyDescent="0.3">
      <c r="A1972" t="s">
        <v>4441</v>
      </c>
      <c r="C1972" t="s">
        <v>4442</v>
      </c>
      <c r="D1972" t="s">
        <v>4442</v>
      </c>
      <c r="E1972" s="5">
        <v>46276</v>
      </c>
      <c r="F1972" t="s">
        <v>204</v>
      </c>
      <c r="G1972" t="s">
        <v>255</v>
      </c>
      <c r="H1972">
        <v>11097</v>
      </c>
      <c r="I1972">
        <v>99.87</v>
      </c>
      <c r="J1972">
        <v>17.98</v>
      </c>
      <c r="K1972">
        <v>10979.15</v>
      </c>
      <c r="L1972" s="5">
        <v>46278</v>
      </c>
      <c r="M1972" t="s">
        <v>4199</v>
      </c>
      <c r="N1972" t="s">
        <v>207</v>
      </c>
      <c r="O1972" t="s">
        <v>4442</v>
      </c>
      <c r="P1972" t="s">
        <v>208</v>
      </c>
      <c r="Q1972" t="s">
        <v>209</v>
      </c>
    </row>
    <row r="1973" spans="1:17" x14ac:dyDescent="0.3">
      <c r="A1973" t="s">
        <v>4443</v>
      </c>
      <c r="C1973" t="s">
        <v>4444</v>
      </c>
      <c r="D1973" t="s">
        <v>4444</v>
      </c>
      <c r="E1973" s="5">
        <v>46276</v>
      </c>
      <c r="F1973" t="s">
        <v>204</v>
      </c>
      <c r="G1973" t="s">
        <v>220</v>
      </c>
      <c r="H1973">
        <v>1298</v>
      </c>
      <c r="I1973">
        <v>0</v>
      </c>
      <c r="J1973">
        <v>0</v>
      </c>
      <c r="K1973">
        <v>1298</v>
      </c>
      <c r="L1973" s="5">
        <v>46278</v>
      </c>
      <c r="M1973" t="s">
        <v>4199</v>
      </c>
      <c r="N1973" t="s">
        <v>207</v>
      </c>
      <c r="O1973" t="s">
        <v>4444</v>
      </c>
      <c r="P1973" t="s">
        <v>208</v>
      </c>
      <c r="Q1973" t="s">
        <v>209</v>
      </c>
    </row>
    <row r="1974" spans="1:17" x14ac:dyDescent="0.3">
      <c r="A1974" t="s">
        <v>4445</v>
      </c>
      <c r="C1974" t="s">
        <v>4446</v>
      </c>
      <c r="D1974" t="s">
        <v>4446</v>
      </c>
      <c r="E1974" s="5">
        <v>46276</v>
      </c>
      <c r="F1974" t="s">
        <v>204</v>
      </c>
      <c r="G1974" t="s">
        <v>213</v>
      </c>
      <c r="H1974">
        <v>349</v>
      </c>
      <c r="I1974">
        <v>6.28</v>
      </c>
      <c r="J1974">
        <v>1.1299999999999999</v>
      </c>
      <c r="K1974">
        <v>341.59</v>
      </c>
      <c r="L1974" s="5">
        <v>46278</v>
      </c>
      <c r="M1974" t="s">
        <v>4199</v>
      </c>
      <c r="N1974" t="s">
        <v>207</v>
      </c>
      <c r="O1974" t="s">
        <v>4446</v>
      </c>
      <c r="P1974" t="s">
        <v>208</v>
      </c>
      <c r="Q1974" t="s">
        <v>209</v>
      </c>
    </row>
    <row r="1975" spans="1:17" x14ac:dyDescent="0.3">
      <c r="A1975" t="s">
        <v>4447</v>
      </c>
      <c r="C1975" t="s">
        <v>4448</v>
      </c>
      <c r="D1975" t="s">
        <v>4448</v>
      </c>
      <c r="E1975" s="5">
        <v>46276</v>
      </c>
      <c r="F1975" t="s">
        <v>204</v>
      </c>
      <c r="G1975" t="s">
        <v>220</v>
      </c>
      <c r="H1975">
        <v>3348</v>
      </c>
      <c r="I1975">
        <v>10.039999999999999</v>
      </c>
      <c r="J1975">
        <v>1.81</v>
      </c>
      <c r="K1975">
        <v>3336.15</v>
      </c>
      <c r="L1975" s="5">
        <v>46278</v>
      </c>
      <c r="M1975" t="s">
        <v>4199</v>
      </c>
      <c r="N1975" t="s">
        <v>207</v>
      </c>
      <c r="O1975" t="s">
        <v>4448</v>
      </c>
      <c r="P1975" t="s">
        <v>208</v>
      </c>
      <c r="Q1975" t="s">
        <v>209</v>
      </c>
    </row>
    <row r="1976" spans="1:17" x14ac:dyDescent="0.3">
      <c r="A1976" t="s">
        <v>4449</v>
      </c>
      <c r="C1976" t="s">
        <v>4450</v>
      </c>
      <c r="D1976" t="s">
        <v>4450</v>
      </c>
      <c r="E1976" s="5">
        <v>46276</v>
      </c>
      <c r="F1976" t="s">
        <v>204</v>
      </c>
      <c r="G1976" t="s">
        <v>213</v>
      </c>
      <c r="H1976">
        <v>999</v>
      </c>
      <c r="I1976">
        <v>17.98</v>
      </c>
      <c r="J1976">
        <v>3.24</v>
      </c>
      <c r="K1976">
        <v>977.78</v>
      </c>
      <c r="L1976" s="5">
        <v>46278</v>
      </c>
      <c r="M1976" t="s">
        <v>4199</v>
      </c>
      <c r="N1976" t="s">
        <v>207</v>
      </c>
      <c r="O1976" t="s">
        <v>4450</v>
      </c>
      <c r="P1976" t="s">
        <v>208</v>
      </c>
      <c r="Q1976" t="s">
        <v>209</v>
      </c>
    </row>
    <row r="1977" spans="1:17" x14ac:dyDescent="0.3">
      <c r="A1977" t="s">
        <v>4451</v>
      </c>
      <c r="C1977" t="s">
        <v>4452</v>
      </c>
      <c r="D1977" t="s">
        <v>4452</v>
      </c>
      <c r="E1977" s="5">
        <v>46276</v>
      </c>
      <c r="F1977" t="s">
        <v>204</v>
      </c>
      <c r="G1977" t="s">
        <v>220</v>
      </c>
      <c r="H1977">
        <v>998</v>
      </c>
      <c r="I1977">
        <v>0</v>
      </c>
      <c r="J1977">
        <v>0</v>
      </c>
      <c r="K1977">
        <v>998</v>
      </c>
      <c r="L1977" s="5">
        <v>46278</v>
      </c>
      <c r="M1977" t="s">
        <v>4199</v>
      </c>
      <c r="N1977" t="s">
        <v>207</v>
      </c>
      <c r="O1977" t="s">
        <v>4452</v>
      </c>
      <c r="P1977" t="s">
        <v>208</v>
      </c>
      <c r="Q1977" t="s">
        <v>209</v>
      </c>
    </row>
    <row r="1978" spans="1:17" x14ac:dyDescent="0.3">
      <c r="A1978" t="s">
        <v>4453</v>
      </c>
      <c r="C1978" t="s">
        <v>4454</v>
      </c>
      <c r="D1978" t="s">
        <v>4454</v>
      </c>
      <c r="E1978" s="5">
        <v>46276</v>
      </c>
      <c r="F1978" t="s">
        <v>204</v>
      </c>
      <c r="G1978" t="s">
        <v>220</v>
      </c>
      <c r="H1978">
        <v>5297</v>
      </c>
      <c r="I1978">
        <v>15.89</v>
      </c>
      <c r="J1978">
        <v>2.86</v>
      </c>
      <c r="K1978">
        <v>5278.25</v>
      </c>
      <c r="L1978" s="5">
        <v>46278</v>
      </c>
      <c r="M1978" t="s">
        <v>4199</v>
      </c>
      <c r="N1978" t="s">
        <v>207</v>
      </c>
      <c r="O1978" t="s">
        <v>4454</v>
      </c>
      <c r="P1978" t="s">
        <v>208</v>
      </c>
      <c r="Q1978" t="s">
        <v>209</v>
      </c>
    </row>
    <row r="1979" spans="1:17" x14ac:dyDescent="0.3">
      <c r="A1979" t="s">
        <v>4455</v>
      </c>
      <c r="C1979" t="s">
        <v>4456</v>
      </c>
      <c r="D1979" t="s">
        <v>4456</v>
      </c>
      <c r="E1979" s="5">
        <v>46276</v>
      </c>
      <c r="F1979" t="s">
        <v>204</v>
      </c>
      <c r="G1979" t="s">
        <v>205</v>
      </c>
      <c r="H1979">
        <v>1299</v>
      </c>
      <c r="I1979">
        <v>24.68</v>
      </c>
      <c r="J1979">
        <v>4.4400000000000004</v>
      </c>
      <c r="K1979">
        <v>1269.8800000000001</v>
      </c>
      <c r="L1979" s="5">
        <v>46278</v>
      </c>
      <c r="M1979" t="s">
        <v>4199</v>
      </c>
      <c r="N1979" t="s">
        <v>207</v>
      </c>
      <c r="O1979" t="s">
        <v>4456</v>
      </c>
      <c r="P1979" t="s">
        <v>208</v>
      </c>
      <c r="Q1979" t="s">
        <v>209</v>
      </c>
    </row>
    <row r="1980" spans="1:17" x14ac:dyDescent="0.3">
      <c r="A1980" t="s">
        <v>4457</v>
      </c>
      <c r="C1980" t="s">
        <v>4458</v>
      </c>
      <c r="D1980" t="s">
        <v>4458</v>
      </c>
      <c r="E1980" s="5">
        <v>46276</v>
      </c>
      <c r="F1980" t="s">
        <v>204</v>
      </c>
      <c r="G1980" t="s">
        <v>220</v>
      </c>
      <c r="H1980">
        <v>2999</v>
      </c>
      <c r="I1980">
        <v>9</v>
      </c>
      <c r="J1980">
        <v>1.62</v>
      </c>
      <c r="K1980">
        <v>2988.38</v>
      </c>
      <c r="L1980" s="5">
        <v>46278</v>
      </c>
      <c r="M1980" t="s">
        <v>4199</v>
      </c>
      <c r="N1980" t="s">
        <v>207</v>
      </c>
      <c r="O1980" t="s">
        <v>4458</v>
      </c>
      <c r="P1980" t="s">
        <v>208</v>
      </c>
      <c r="Q1980" t="s">
        <v>209</v>
      </c>
    </row>
    <row r="1981" spans="1:17" x14ac:dyDescent="0.3">
      <c r="A1981" t="s">
        <v>4459</v>
      </c>
      <c r="C1981" t="s">
        <v>4460</v>
      </c>
      <c r="D1981" t="s">
        <v>4460</v>
      </c>
      <c r="E1981" s="5">
        <v>46276</v>
      </c>
      <c r="F1981" t="s">
        <v>204</v>
      </c>
      <c r="G1981" t="s">
        <v>220</v>
      </c>
      <c r="H1981">
        <v>1299</v>
      </c>
      <c r="I1981">
        <v>0</v>
      </c>
      <c r="J1981">
        <v>0</v>
      </c>
      <c r="K1981">
        <v>1299</v>
      </c>
      <c r="L1981" s="5">
        <v>46278</v>
      </c>
      <c r="M1981" t="s">
        <v>4199</v>
      </c>
      <c r="N1981" t="s">
        <v>207</v>
      </c>
      <c r="O1981" t="s">
        <v>4460</v>
      </c>
      <c r="P1981" t="s">
        <v>208</v>
      </c>
      <c r="Q1981" t="s">
        <v>209</v>
      </c>
    </row>
    <row r="1982" spans="1:17" x14ac:dyDescent="0.3">
      <c r="A1982" t="s">
        <v>4461</v>
      </c>
      <c r="C1982" t="s">
        <v>4462</v>
      </c>
      <c r="D1982" t="s">
        <v>4462</v>
      </c>
      <c r="E1982" s="5">
        <v>46276</v>
      </c>
      <c r="F1982" t="s">
        <v>204</v>
      </c>
      <c r="G1982" t="s">
        <v>220</v>
      </c>
      <c r="H1982">
        <v>648</v>
      </c>
      <c r="I1982">
        <v>0</v>
      </c>
      <c r="J1982">
        <v>0</v>
      </c>
      <c r="K1982">
        <v>648</v>
      </c>
      <c r="L1982" s="5">
        <v>46278</v>
      </c>
      <c r="M1982" t="s">
        <v>4199</v>
      </c>
      <c r="N1982" t="s">
        <v>207</v>
      </c>
      <c r="O1982" t="s">
        <v>4462</v>
      </c>
      <c r="P1982" t="s">
        <v>208</v>
      </c>
      <c r="Q1982" t="s">
        <v>209</v>
      </c>
    </row>
    <row r="1983" spans="1:17" x14ac:dyDescent="0.3">
      <c r="A1983" t="s">
        <v>4463</v>
      </c>
      <c r="C1983" t="s">
        <v>4464</v>
      </c>
      <c r="D1983" t="s">
        <v>4464</v>
      </c>
      <c r="E1983" s="5">
        <v>46276</v>
      </c>
      <c r="F1983" t="s">
        <v>204</v>
      </c>
      <c r="G1983" t="s">
        <v>213</v>
      </c>
      <c r="H1983">
        <v>2499</v>
      </c>
      <c r="I1983">
        <v>39.979999999999997</v>
      </c>
      <c r="J1983">
        <v>7.2</v>
      </c>
      <c r="K1983">
        <v>2451.8200000000002</v>
      </c>
      <c r="L1983" s="5">
        <v>46278</v>
      </c>
      <c r="M1983" t="s">
        <v>4199</v>
      </c>
      <c r="N1983" t="s">
        <v>207</v>
      </c>
      <c r="O1983" t="s">
        <v>4464</v>
      </c>
      <c r="P1983" t="s">
        <v>208</v>
      </c>
      <c r="Q1983" t="s">
        <v>209</v>
      </c>
    </row>
    <row r="1984" spans="1:17" x14ac:dyDescent="0.3">
      <c r="A1984" t="s">
        <v>4465</v>
      </c>
      <c r="C1984" t="s">
        <v>4466</v>
      </c>
      <c r="D1984" t="s">
        <v>4466</v>
      </c>
      <c r="E1984" s="5">
        <v>46276</v>
      </c>
      <c r="F1984" t="s">
        <v>204</v>
      </c>
      <c r="G1984" t="s">
        <v>213</v>
      </c>
      <c r="H1984">
        <v>2999</v>
      </c>
      <c r="I1984">
        <v>47.98</v>
      </c>
      <c r="J1984">
        <v>8.64</v>
      </c>
      <c r="K1984">
        <v>2942.38</v>
      </c>
      <c r="L1984" s="5">
        <v>46278</v>
      </c>
      <c r="M1984" t="s">
        <v>4199</v>
      </c>
      <c r="N1984" t="s">
        <v>207</v>
      </c>
      <c r="O1984" t="s">
        <v>4466</v>
      </c>
      <c r="P1984" t="s">
        <v>208</v>
      </c>
      <c r="Q1984" t="s">
        <v>209</v>
      </c>
    </row>
    <row r="1985" spans="1:17" x14ac:dyDescent="0.3">
      <c r="A1985" t="s">
        <v>4467</v>
      </c>
      <c r="C1985" t="s">
        <v>4468</v>
      </c>
      <c r="D1985" t="s">
        <v>4468</v>
      </c>
      <c r="E1985" s="5">
        <v>46276</v>
      </c>
      <c r="F1985" t="s">
        <v>204</v>
      </c>
      <c r="G1985" t="s">
        <v>220</v>
      </c>
      <c r="H1985">
        <v>349</v>
      </c>
      <c r="I1985">
        <v>0</v>
      </c>
      <c r="J1985">
        <v>0</v>
      </c>
      <c r="K1985">
        <v>349</v>
      </c>
      <c r="L1985" s="5">
        <v>46278</v>
      </c>
      <c r="M1985" t="s">
        <v>4199</v>
      </c>
      <c r="N1985" t="s">
        <v>207</v>
      </c>
      <c r="O1985" t="s">
        <v>4468</v>
      </c>
      <c r="P1985" t="s">
        <v>208</v>
      </c>
      <c r="Q1985" t="s">
        <v>209</v>
      </c>
    </row>
    <row r="1986" spans="1:17" x14ac:dyDescent="0.3">
      <c r="A1986" t="s">
        <v>4469</v>
      </c>
      <c r="C1986" t="s">
        <v>4470</v>
      </c>
      <c r="D1986" t="s">
        <v>4470</v>
      </c>
      <c r="E1986" s="5">
        <v>46276</v>
      </c>
      <c r="F1986" t="s">
        <v>204</v>
      </c>
      <c r="G1986" t="s">
        <v>220</v>
      </c>
      <c r="H1986">
        <v>8348</v>
      </c>
      <c r="I1986">
        <v>25.04</v>
      </c>
      <c r="J1986">
        <v>4.51</v>
      </c>
      <c r="K1986">
        <v>8318.4500000000007</v>
      </c>
      <c r="L1986" s="5">
        <v>46278</v>
      </c>
      <c r="M1986" t="s">
        <v>4199</v>
      </c>
      <c r="N1986" t="s">
        <v>207</v>
      </c>
      <c r="O1986" t="s">
        <v>4470</v>
      </c>
      <c r="P1986" t="s">
        <v>208</v>
      </c>
      <c r="Q1986" t="s">
        <v>209</v>
      </c>
    </row>
    <row r="1987" spans="1:17" x14ac:dyDescent="0.3">
      <c r="A1987" t="s">
        <v>4471</v>
      </c>
      <c r="C1987" t="s">
        <v>4472</v>
      </c>
      <c r="D1987" t="s">
        <v>4472</v>
      </c>
      <c r="E1987" s="5">
        <v>46276</v>
      </c>
      <c r="F1987" t="s">
        <v>204</v>
      </c>
      <c r="G1987" t="s">
        <v>213</v>
      </c>
      <c r="H1987">
        <v>5697</v>
      </c>
      <c r="I1987">
        <v>91.15</v>
      </c>
      <c r="J1987">
        <v>16.41</v>
      </c>
      <c r="K1987">
        <v>5589.44</v>
      </c>
      <c r="L1987" s="5">
        <v>46278</v>
      </c>
      <c r="M1987" t="s">
        <v>4199</v>
      </c>
      <c r="N1987" t="s">
        <v>207</v>
      </c>
      <c r="O1987" t="s">
        <v>4472</v>
      </c>
      <c r="P1987" t="s">
        <v>208</v>
      </c>
      <c r="Q1987" t="s">
        <v>209</v>
      </c>
    </row>
    <row r="1988" spans="1:17" x14ac:dyDescent="0.3">
      <c r="A1988" t="s">
        <v>4473</v>
      </c>
      <c r="C1988" t="s">
        <v>4474</v>
      </c>
      <c r="D1988" t="s">
        <v>4474</v>
      </c>
      <c r="E1988" s="5">
        <v>46276</v>
      </c>
      <c r="F1988" t="s">
        <v>204</v>
      </c>
      <c r="G1988" t="s">
        <v>205</v>
      </c>
      <c r="H1988">
        <v>1398</v>
      </c>
      <c r="I1988">
        <v>26.56</v>
      </c>
      <c r="J1988">
        <v>4.78</v>
      </c>
      <c r="K1988">
        <v>1366.66</v>
      </c>
      <c r="L1988" s="5">
        <v>46278</v>
      </c>
      <c r="M1988" t="s">
        <v>4199</v>
      </c>
      <c r="N1988" t="s">
        <v>207</v>
      </c>
      <c r="O1988" t="s">
        <v>4474</v>
      </c>
      <c r="P1988" t="s">
        <v>208</v>
      </c>
      <c r="Q1988" t="s">
        <v>209</v>
      </c>
    </row>
    <row r="1989" spans="1:17" x14ac:dyDescent="0.3">
      <c r="A1989" t="s">
        <v>4475</v>
      </c>
      <c r="C1989" t="s">
        <v>4476</v>
      </c>
      <c r="D1989" t="s">
        <v>4476</v>
      </c>
      <c r="E1989" s="5">
        <v>46276</v>
      </c>
      <c r="F1989" t="s">
        <v>204</v>
      </c>
      <c r="G1989" t="s">
        <v>220</v>
      </c>
      <c r="H1989">
        <v>7999</v>
      </c>
      <c r="I1989">
        <v>24</v>
      </c>
      <c r="J1989">
        <v>4.32</v>
      </c>
      <c r="K1989">
        <v>7970.68</v>
      </c>
      <c r="L1989" s="5">
        <v>46278</v>
      </c>
      <c r="M1989" t="s">
        <v>4199</v>
      </c>
      <c r="N1989" t="s">
        <v>207</v>
      </c>
      <c r="O1989" t="s">
        <v>4476</v>
      </c>
      <c r="P1989" t="s">
        <v>208</v>
      </c>
      <c r="Q1989" t="s">
        <v>209</v>
      </c>
    </row>
    <row r="1990" spans="1:17" x14ac:dyDescent="0.3">
      <c r="A1990" t="s">
        <v>4477</v>
      </c>
      <c r="C1990" t="s">
        <v>4478</v>
      </c>
      <c r="D1990" t="s">
        <v>4478</v>
      </c>
      <c r="E1990" s="5">
        <v>46276</v>
      </c>
      <c r="F1990" t="s">
        <v>204</v>
      </c>
      <c r="G1990" t="s">
        <v>220</v>
      </c>
      <c r="H1990">
        <v>6647</v>
      </c>
      <c r="I1990">
        <v>19.940000000000001</v>
      </c>
      <c r="J1990">
        <v>3.59</v>
      </c>
      <c r="K1990">
        <v>6623.47</v>
      </c>
      <c r="L1990" s="5">
        <v>46278</v>
      </c>
      <c r="M1990" t="s">
        <v>4199</v>
      </c>
      <c r="N1990" t="s">
        <v>207</v>
      </c>
      <c r="O1990" t="s">
        <v>4478</v>
      </c>
      <c r="P1990" t="s">
        <v>208</v>
      </c>
      <c r="Q1990" t="s">
        <v>209</v>
      </c>
    </row>
    <row r="1991" spans="1:17" x14ac:dyDescent="0.3">
      <c r="A1991" t="s">
        <v>4479</v>
      </c>
      <c r="C1991" t="s">
        <v>4480</v>
      </c>
      <c r="D1991" t="s">
        <v>4480</v>
      </c>
      <c r="E1991" s="5">
        <v>46276</v>
      </c>
      <c r="F1991" t="s">
        <v>204</v>
      </c>
      <c r="G1991" t="s">
        <v>213</v>
      </c>
      <c r="H1991">
        <v>3498</v>
      </c>
      <c r="I1991">
        <v>55.97</v>
      </c>
      <c r="J1991">
        <v>10.07</v>
      </c>
      <c r="K1991">
        <v>3431.96</v>
      </c>
      <c r="L1991" s="5">
        <v>46278</v>
      </c>
      <c r="M1991" t="s">
        <v>4199</v>
      </c>
      <c r="N1991" t="s">
        <v>207</v>
      </c>
      <c r="O1991" t="s">
        <v>4480</v>
      </c>
      <c r="P1991" t="s">
        <v>208</v>
      </c>
      <c r="Q1991" t="s">
        <v>209</v>
      </c>
    </row>
    <row r="1992" spans="1:17" x14ac:dyDescent="0.3">
      <c r="A1992" t="s">
        <v>4481</v>
      </c>
      <c r="C1992" t="s">
        <v>4482</v>
      </c>
      <c r="D1992" t="s">
        <v>4483</v>
      </c>
      <c r="E1992" s="5">
        <v>46276</v>
      </c>
      <c r="F1992" t="s">
        <v>204</v>
      </c>
      <c r="G1992" t="s">
        <v>220</v>
      </c>
      <c r="H1992">
        <v>3499</v>
      </c>
      <c r="I1992">
        <v>10.5</v>
      </c>
      <c r="J1992">
        <v>1.89</v>
      </c>
      <c r="K1992">
        <v>3486.61</v>
      </c>
      <c r="L1992" s="5">
        <v>46278</v>
      </c>
      <c r="M1992" t="s">
        <v>4199</v>
      </c>
      <c r="N1992" t="s">
        <v>207</v>
      </c>
      <c r="O1992" t="s">
        <v>4483</v>
      </c>
      <c r="P1992" t="s">
        <v>208</v>
      </c>
      <c r="Q1992" t="s">
        <v>209</v>
      </c>
    </row>
    <row r="1993" spans="1:17" x14ac:dyDescent="0.3">
      <c r="A1993" t="s">
        <v>4484</v>
      </c>
      <c r="C1993" t="s">
        <v>4485</v>
      </c>
      <c r="D1993" t="s">
        <v>4485</v>
      </c>
      <c r="E1993" s="5">
        <v>46276</v>
      </c>
      <c r="F1993" t="s">
        <v>204</v>
      </c>
      <c r="G1993" t="s">
        <v>255</v>
      </c>
      <c r="H1993">
        <v>799</v>
      </c>
      <c r="I1993">
        <v>11.99</v>
      </c>
      <c r="J1993">
        <v>2.16</v>
      </c>
      <c r="K1993">
        <v>784.85</v>
      </c>
      <c r="L1993" s="5">
        <v>46278</v>
      </c>
      <c r="M1993" t="s">
        <v>4199</v>
      </c>
      <c r="N1993" t="s">
        <v>207</v>
      </c>
      <c r="O1993" t="s">
        <v>4485</v>
      </c>
      <c r="P1993" t="s">
        <v>208</v>
      </c>
      <c r="Q1993" t="s">
        <v>209</v>
      </c>
    </row>
    <row r="1994" spans="1:17" x14ac:dyDescent="0.3">
      <c r="A1994" t="s">
        <v>4486</v>
      </c>
      <c r="C1994" t="s">
        <v>4487</v>
      </c>
      <c r="D1994" t="s">
        <v>4487</v>
      </c>
      <c r="E1994" s="5">
        <v>46276</v>
      </c>
      <c r="F1994" t="s">
        <v>204</v>
      </c>
      <c r="G1994" t="s">
        <v>220</v>
      </c>
      <c r="H1994">
        <v>9498</v>
      </c>
      <c r="I1994">
        <v>28.49</v>
      </c>
      <c r="J1994">
        <v>5.13</v>
      </c>
      <c r="K1994">
        <v>9464.3799999999992</v>
      </c>
      <c r="L1994" s="5">
        <v>46278</v>
      </c>
      <c r="M1994" t="s">
        <v>4199</v>
      </c>
      <c r="N1994" t="s">
        <v>207</v>
      </c>
      <c r="O1994" t="s">
        <v>4487</v>
      </c>
      <c r="P1994" t="s">
        <v>208</v>
      </c>
      <c r="Q1994" t="s">
        <v>209</v>
      </c>
    </row>
    <row r="1995" spans="1:17" x14ac:dyDescent="0.3">
      <c r="A1995" t="s">
        <v>4488</v>
      </c>
      <c r="C1995" t="s">
        <v>4489</v>
      </c>
      <c r="D1995" t="s">
        <v>4490</v>
      </c>
      <c r="E1995" s="5">
        <v>46276</v>
      </c>
      <c r="F1995" t="s">
        <v>204</v>
      </c>
      <c r="G1995" t="s">
        <v>220</v>
      </c>
      <c r="H1995">
        <v>7999</v>
      </c>
      <c r="I1995">
        <v>24</v>
      </c>
      <c r="J1995">
        <v>4.32</v>
      </c>
      <c r="K1995">
        <v>7970.68</v>
      </c>
      <c r="L1995" s="5">
        <v>46278</v>
      </c>
      <c r="M1995" t="s">
        <v>4199</v>
      </c>
      <c r="N1995" t="s">
        <v>207</v>
      </c>
      <c r="O1995" t="s">
        <v>4490</v>
      </c>
      <c r="P1995" t="s">
        <v>208</v>
      </c>
      <c r="Q1995" t="s">
        <v>209</v>
      </c>
    </row>
    <row r="1996" spans="1:17" x14ac:dyDescent="0.3">
      <c r="A1996" t="s">
        <v>4491</v>
      </c>
      <c r="C1996" t="s">
        <v>4492</v>
      </c>
      <c r="D1996" t="s">
        <v>4492</v>
      </c>
      <c r="E1996" s="5">
        <v>46276</v>
      </c>
      <c r="F1996" t="s">
        <v>204</v>
      </c>
      <c r="G1996" t="s">
        <v>220</v>
      </c>
      <c r="H1996">
        <v>2499</v>
      </c>
      <c r="I1996">
        <v>7.5</v>
      </c>
      <c r="J1996">
        <v>1.35</v>
      </c>
      <c r="K1996">
        <v>2490.15</v>
      </c>
      <c r="L1996" s="5">
        <v>46278</v>
      </c>
      <c r="M1996" t="s">
        <v>4199</v>
      </c>
      <c r="N1996" t="s">
        <v>207</v>
      </c>
      <c r="O1996" t="s">
        <v>4492</v>
      </c>
      <c r="P1996" t="s">
        <v>208</v>
      </c>
      <c r="Q1996" t="s">
        <v>209</v>
      </c>
    </row>
    <row r="1997" spans="1:17" x14ac:dyDescent="0.3">
      <c r="A1997" t="s">
        <v>4493</v>
      </c>
      <c r="C1997" t="s">
        <v>4494</v>
      </c>
      <c r="D1997" t="s">
        <v>4495</v>
      </c>
      <c r="E1997" s="5">
        <v>46276</v>
      </c>
      <c r="F1997" t="s">
        <v>204</v>
      </c>
      <c r="G1997" t="s">
        <v>205</v>
      </c>
      <c r="H1997">
        <v>4999</v>
      </c>
      <c r="I1997">
        <v>84.98</v>
      </c>
      <c r="J1997">
        <v>15.3</v>
      </c>
      <c r="K1997">
        <v>4898.72</v>
      </c>
      <c r="L1997" s="5">
        <v>46278</v>
      </c>
      <c r="M1997" t="s">
        <v>4199</v>
      </c>
      <c r="N1997" t="s">
        <v>207</v>
      </c>
      <c r="O1997" t="s">
        <v>4495</v>
      </c>
      <c r="P1997" t="s">
        <v>208</v>
      </c>
      <c r="Q1997" t="s">
        <v>209</v>
      </c>
    </row>
    <row r="1998" spans="1:17" x14ac:dyDescent="0.3">
      <c r="A1998" t="s">
        <v>4496</v>
      </c>
      <c r="C1998" t="s">
        <v>4497</v>
      </c>
      <c r="D1998" t="s">
        <v>4497</v>
      </c>
      <c r="E1998" s="5">
        <v>46276</v>
      </c>
      <c r="F1998" t="s">
        <v>204</v>
      </c>
      <c r="G1998" t="s">
        <v>213</v>
      </c>
      <c r="H1998">
        <v>299</v>
      </c>
      <c r="I1998">
        <v>5.38</v>
      </c>
      <c r="J1998">
        <v>0.97</v>
      </c>
      <c r="K1998">
        <v>292.64999999999998</v>
      </c>
      <c r="L1998" s="5">
        <v>46278</v>
      </c>
      <c r="M1998" t="s">
        <v>4199</v>
      </c>
      <c r="N1998" t="s">
        <v>207</v>
      </c>
      <c r="O1998" t="s">
        <v>4497</v>
      </c>
      <c r="P1998" t="s">
        <v>208</v>
      </c>
      <c r="Q1998" t="s">
        <v>209</v>
      </c>
    </row>
    <row r="1999" spans="1:17" x14ac:dyDescent="0.3">
      <c r="A1999" t="s">
        <v>4498</v>
      </c>
      <c r="C1999" t="s">
        <v>4499</v>
      </c>
      <c r="D1999" t="s">
        <v>4500</v>
      </c>
      <c r="E1999" s="5">
        <v>46276</v>
      </c>
      <c r="F1999" t="s">
        <v>204</v>
      </c>
      <c r="G1999" t="s">
        <v>255</v>
      </c>
      <c r="H1999">
        <v>798</v>
      </c>
      <c r="I1999">
        <v>11.97</v>
      </c>
      <c r="J1999">
        <v>2.15</v>
      </c>
      <c r="K1999">
        <v>783.88</v>
      </c>
      <c r="L1999" s="5">
        <v>46278</v>
      </c>
      <c r="M1999" t="s">
        <v>4199</v>
      </c>
      <c r="N1999" t="s">
        <v>207</v>
      </c>
      <c r="O1999" t="s">
        <v>4500</v>
      </c>
      <c r="P1999" t="s">
        <v>208</v>
      </c>
      <c r="Q1999" t="s">
        <v>209</v>
      </c>
    </row>
    <row r="2000" spans="1:17" x14ac:dyDescent="0.3">
      <c r="A2000" t="s">
        <v>4501</v>
      </c>
      <c r="C2000" t="s">
        <v>4502</v>
      </c>
      <c r="D2000" t="s">
        <v>4503</v>
      </c>
      <c r="E2000" s="5">
        <v>46276</v>
      </c>
      <c r="F2000" t="s">
        <v>204</v>
      </c>
      <c r="G2000" t="s">
        <v>220</v>
      </c>
      <c r="H2000">
        <v>6297</v>
      </c>
      <c r="I2000">
        <v>18.89</v>
      </c>
      <c r="J2000">
        <v>3.4</v>
      </c>
      <c r="K2000">
        <v>6274.71</v>
      </c>
      <c r="L2000" s="5">
        <v>46278</v>
      </c>
      <c r="M2000" t="s">
        <v>4199</v>
      </c>
      <c r="N2000" t="s">
        <v>207</v>
      </c>
      <c r="O2000" t="s">
        <v>4503</v>
      </c>
      <c r="P2000" t="s">
        <v>208</v>
      </c>
      <c r="Q2000" t="s">
        <v>209</v>
      </c>
    </row>
    <row r="2001" spans="1:17" x14ac:dyDescent="0.3">
      <c r="A2001" t="s">
        <v>4504</v>
      </c>
      <c r="C2001" t="s">
        <v>4505</v>
      </c>
      <c r="D2001" t="s">
        <v>4505</v>
      </c>
      <c r="E2001" s="5">
        <v>46276</v>
      </c>
      <c r="F2001" t="s">
        <v>204</v>
      </c>
      <c r="G2001" t="s">
        <v>220</v>
      </c>
      <c r="H2001">
        <v>8498</v>
      </c>
      <c r="I2001">
        <v>25.49</v>
      </c>
      <c r="J2001">
        <v>4.59</v>
      </c>
      <c r="K2001">
        <v>8467.92</v>
      </c>
      <c r="L2001" s="5">
        <v>46278</v>
      </c>
      <c r="M2001" t="s">
        <v>4199</v>
      </c>
      <c r="N2001" t="s">
        <v>207</v>
      </c>
      <c r="O2001" t="s">
        <v>4505</v>
      </c>
      <c r="P2001" t="s">
        <v>208</v>
      </c>
      <c r="Q2001" t="s">
        <v>209</v>
      </c>
    </row>
    <row r="2002" spans="1:17" x14ac:dyDescent="0.3">
      <c r="A2002" t="s">
        <v>4506</v>
      </c>
      <c r="C2002" t="s">
        <v>4507</v>
      </c>
      <c r="D2002" t="s">
        <v>4507</v>
      </c>
      <c r="E2002" s="5">
        <v>46276</v>
      </c>
      <c r="F2002" t="s">
        <v>204</v>
      </c>
      <c r="G2002" t="s">
        <v>220</v>
      </c>
      <c r="H2002">
        <v>8597</v>
      </c>
      <c r="I2002">
        <v>25.79</v>
      </c>
      <c r="J2002">
        <v>4.6399999999999997</v>
      </c>
      <c r="K2002">
        <v>8566.57</v>
      </c>
      <c r="L2002" s="5">
        <v>46278</v>
      </c>
      <c r="M2002" t="s">
        <v>4199</v>
      </c>
      <c r="N2002" t="s">
        <v>207</v>
      </c>
      <c r="O2002" t="s">
        <v>4507</v>
      </c>
      <c r="P2002" t="s">
        <v>208</v>
      </c>
      <c r="Q2002" t="s">
        <v>209</v>
      </c>
    </row>
    <row r="2003" spans="1:17" x14ac:dyDescent="0.3">
      <c r="A2003" t="s">
        <v>4508</v>
      </c>
      <c r="C2003" t="s">
        <v>4509</v>
      </c>
      <c r="D2003" t="s">
        <v>4509</v>
      </c>
      <c r="E2003" s="5">
        <v>46276</v>
      </c>
      <c r="F2003" t="s">
        <v>204</v>
      </c>
      <c r="G2003" t="s">
        <v>213</v>
      </c>
      <c r="H2003">
        <v>8798</v>
      </c>
      <c r="I2003">
        <v>140.77000000000001</v>
      </c>
      <c r="J2003">
        <v>25.34</v>
      </c>
      <c r="K2003">
        <v>8631.89</v>
      </c>
      <c r="L2003" s="5">
        <v>46278</v>
      </c>
      <c r="M2003" t="s">
        <v>4199</v>
      </c>
      <c r="N2003" t="s">
        <v>207</v>
      </c>
      <c r="O2003" t="s">
        <v>4509</v>
      </c>
      <c r="P2003" t="s">
        <v>208</v>
      </c>
      <c r="Q2003" t="s">
        <v>209</v>
      </c>
    </row>
    <row r="2004" spans="1:17" x14ac:dyDescent="0.3">
      <c r="A2004" t="s">
        <v>4510</v>
      </c>
      <c r="C2004" t="s">
        <v>4511</v>
      </c>
      <c r="D2004" t="s">
        <v>4511</v>
      </c>
      <c r="E2004" s="5">
        <v>46276</v>
      </c>
      <c r="F2004" t="s">
        <v>204</v>
      </c>
      <c r="G2004" t="s">
        <v>220</v>
      </c>
      <c r="H2004">
        <v>1299</v>
      </c>
      <c r="I2004">
        <v>0</v>
      </c>
      <c r="J2004">
        <v>0</v>
      </c>
      <c r="K2004">
        <v>1299</v>
      </c>
      <c r="L2004" s="5">
        <v>46278</v>
      </c>
      <c r="M2004" t="s">
        <v>4199</v>
      </c>
      <c r="N2004" t="s">
        <v>207</v>
      </c>
      <c r="O2004" t="s">
        <v>4511</v>
      </c>
      <c r="P2004" t="s">
        <v>208</v>
      </c>
      <c r="Q2004" t="s">
        <v>209</v>
      </c>
    </row>
    <row r="2005" spans="1:17" x14ac:dyDescent="0.3">
      <c r="A2005" t="s">
        <v>4512</v>
      </c>
      <c r="C2005" t="s">
        <v>4513</v>
      </c>
      <c r="D2005" t="s">
        <v>4513</v>
      </c>
      <c r="E2005" s="5">
        <v>46276</v>
      </c>
      <c r="F2005" t="s">
        <v>204</v>
      </c>
      <c r="G2005" t="s">
        <v>220</v>
      </c>
      <c r="H2005">
        <v>2998</v>
      </c>
      <c r="I2005">
        <v>8.99</v>
      </c>
      <c r="J2005">
        <v>1.62</v>
      </c>
      <c r="K2005">
        <v>2987.39</v>
      </c>
      <c r="L2005" s="5">
        <v>46278</v>
      </c>
      <c r="M2005" t="s">
        <v>4199</v>
      </c>
      <c r="N2005" t="s">
        <v>207</v>
      </c>
      <c r="O2005" t="s">
        <v>4513</v>
      </c>
      <c r="P2005" t="s">
        <v>208</v>
      </c>
      <c r="Q2005" t="s">
        <v>209</v>
      </c>
    </row>
    <row r="2006" spans="1:17" x14ac:dyDescent="0.3">
      <c r="A2006" t="s">
        <v>4514</v>
      </c>
      <c r="C2006" t="s">
        <v>4515</v>
      </c>
      <c r="D2006" t="s">
        <v>4515</v>
      </c>
      <c r="E2006" s="5">
        <v>46276</v>
      </c>
      <c r="F2006" t="s">
        <v>204</v>
      </c>
      <c r="G2006" t="s">
        <v>220</v>
      </c>
      <c r="H2006">
        <v>8498</v>
      </c>
      <c r="I2006">
        <v>25.49</v>
      </c>
      <c r="J2006">
        <v>4.59</v>
      </c>
      <c r="K2006">
        <v>8467.92</v>
      </c>
      <c r="L2006" s="5">
        <v>46278</v>
      </c>
      <c r="M2006" t="s">
        <v>4199</v>
      </c>
      <c r="N2006" t="s">
        <v>207</v>
      </c>
      <c r="O2006" t="s">
        <v>4515</v>
      </c>
      <c r="P2006" t="s">
        <v>208</v>
      </c>
      <c r="Q2006" t="s">
        <v>209</v>
      </c>
    </row>
    <row r="2007" spans="1:17" x14ac:dyDescent="0.3">
      <c r="A2007" t="s">
        <v>4516</v>
      </c>
      <c r="C2007" t="s">
        <v>4517</v>
      </c>
      <c r="D2007" t="s">
        <v>4517</v>
      </c>
      <c r="E2007" s="5">
        <v>46276</v>
      </c>
      <c r="F2007" t="s">
        <v>204</v>
      </c>
      <c r="G2007" t="s">
        <v>220</v>
      </c>
      <c r="H2007">
        <v>1799</v>
      </c>
      <c r="I2007">
        <v>0</v>
      </c>
      <c r="J2007">
        <v>0</v>
      </c>
      <c r="K2007">
        <v>1799</v>
      </c>
      <c r="L2007" s="5">
        <v>46278</v>
      </c>
      <c r="M2007" t="s">
        <v>4199</v>
      </c>
      <c r="N2007" t="s">
        <v>207</v>
      </c>
      <c r="O2007" t="s">
        <v>4517</v>
      </c>
      <c r="P2007" t="s">
        <v>208</v>
      </c>
      <c r="Q2007" t="s">
        <v>209</v>
      </c>
    </row>
    <row r="2008" spans="1:17" x14ac:dyDescent="0.3">
      <c r="A2008" t="s">
        <v>4518</v>
      </c>
      <c r="C2008" t="s">
        <v>4519</v>
      </c>
      <c r="D2008" t="s">
        <v>4519</v>
      </c>
      <c r="E2008" s="5">
        <v>46276</v>
      </c>
      <c r="F2008" t="s">
        <v>204</v>
      </c>
      <c r="G2008" t="s">
        <v>220</v>
      </c>
      <c r="H2008">
        <v>2999</v>
      </c>
      <c r="I2008">
        <v>9</v>
      </c>
      <c r="J2008">
        <v>1.62</v>
      </c>
      <c r="K2008">
        <v>2988.38</v>
      </c>
      <c r="L2008" s="5">
        <v>46278</v>
      </c>
      <c r="M2008" t="s">
        <v>4199</v>
      </c>
      <c r="N2008" t="s">
        <v>207</v>
      </c>
      <c r="O2008" t="s">
        <v>4519</v>
      </c>
      <c r="P2008" t="s">
        <v>208</v>
      </c>
      <c r="Q2008" t="s">
        <v>209</v>
      </c>
    </row>
    <row r="2009" spans="1:17" x14ac:dyDescent="0.3">
      <c r="A2009" t="s">
        <v>4520</v>
      </c>
      <c r="C2009" t="s">
        <v>4521</v>
      </c>
      <c r="D2009" t="s">
        <v>4522</v>
      </c>
      <c r="E2009" s="5">
        <v>46276</v>
      </c>
      <c r="F2009" t="s">
        <v>204</v>
      </c>
      <c r="G2009" t="s">
        <v>220</v>
      </c>
      <c r="H2009">
        <v>999</v>
      </c>
      <c r="I2009">
        <v>0</v>
      </c>
      <c r="J2009">
        <v>0</v>
      </c>
      <c r="K2009">
        <v>999</v>
      </c>
      <c r="L2009" s="5">
        <v>46278</v>
      </c>
      <c r="M2009" t="s">
        <v>4199</v>
      </c>
      <c r="N2009" t="s">
        <v>207</v>
      </c>
      <c r="O2009" t="s">
        <v>4522</v>
      </c>
      <c r="P2009" t="s">
        <v>208</v>
      </c>
      <c r="Q2009" t="s">
        <v>209</v>
      </c>
    </row>
    <row r="2010" spans="1:17" x14ac:dyDescent="0.3">
      <c r="A2010" t="s">
        <v>4523</v>
      </c>
      <c r="C2010" t="s">
        <v>4524</v>
      </c>
      <c r="D2010" t="s">
        <v>4524</v>
      </c>
      <c r="E2010" s="5">
        <v>46276</v>
      </c>
      <c r="F2010" t="s">
        <v>204</v>
      </c>
      <c r="G2010" t="s">
        <v>220</v>
      </c>
      <c r="H2010">
        <v>1299</v>
      </c>
      <c r="I2010">
        <v>0</v>
      </c>
      <c r="J2010">
        <v>0</v>
      </c>
      <c r="K2010">
        <v>1299</v>
      </c>
      <c r="L2010" s="5">
        <v>46278</v>
      </c>
      <c r="M2010" t="s">
        <v>4199</v>
      </c>
      <c r="N2010" t="s">
        <v>207</v>
      </c>
      <c r="O2010" t="s">
        <v>4524</v>
      </c>
      <c r="P2010" t="s">
        <v>208</v>
      </c>
      <c r="Q2010" t="s">
        <v>209</v>
      </c>
    </row>
    <row r="2011" spans="1:17" x14ac:dyDescent="0.3">
      <c r="A2011" t="s">
        <v>4525</v>
      </c>
      <c r="C2011" t="s">
        <v>4526</v>
      </c>
      <c r="D2011" t="s">
        <v>4526</v>
      </c>
      <c r="E2011" s="5">
        <v>46276</v>
      </c>
      <c r="F2011" t="s">
        <v>204</v>
      </c>
      <c r="G2011" t="s">
        <v>220</v>
      </c>
      <c r="H2011">
        <v>1499</v>
      </c>
      <c r="I2011">
        <v>0</v>
      </c>
      <c r="J2011">
        <v>0</v>
      </c>
      <c r="K2011">
        <v>1499</v>
      </c>
      <c r="L2011" s="5">
        <v>46278</v>
      </c>
      <c r="M2011" t="s">
        <v>4199</v>
      </c>
      <c r="N2011" t="s">
        <v>207</v>
      </c>
      <c r="O2011" t="s">
        <v>4526</v>
      </c>
      <c r="P2011" t="s">
        <v>208</v>
      </c>
      <c r="Q2011" t="s">
        <v>209</v>
      </c>
    </row>
    <row r="2012" spans="1:17" x14ac:dyDescent="0.3">
      <c r="A2012" t="s">
        <v>4527</v>
      </c>
      <c r="C2012" t="s">
        <v>4528</v>
      </c>
      <c r="D2012" t="s">
        <v>4528</v>
      </c>
      <c r="E2012" s="5">
        <v>46276</v>
      </c>
      <c r="F2012" t="s">
        <v>204</v>
      </c>
      <c r="G2012" t="s">
        <v>220</v>
      </c>
      <c r="H2012">
        <v>5498</v>
      </c>
      <c r="I2012">
        <v>16.489999999999998</v>
      </c>
      <c r="J2012">
        <v>2.97</v>
      </c>
      <c r="K2012">
        <v>5478.54</v>
      </c>
      <c r="L2012" s="5">
        <v>46278</v>
      </c>
      <c r="M2012" t="s">
        <v>4199</v>
      </c>
      <c r="N2012" t="s">
        <v>207</v>
      </c>
      <c r="O2012" t="s">
        <v>4528</v>
      </c>
      <c r="P2012" t="s">
        <v>208</v>
      </c>
      <c r="Q2012" t="s">
        <v>209</v>
      </c>
    </row>
    <row r="2013" spans="1:17" x14ac:dyDescent="0.3">
      <c r="A2013" t="s">
        <v>4529</v>
      </c>
      <c r="C2013" t="s">
        <v>4530</v>
      </c>
      <c r="D2013" t="s">
        <v>4530</v>
      </c>
      <c r="E2013" s="5">
        <v>46276</v>
      </c>
      <c r="F2013" t="s">
        <v>204</v>
      </c>
      <c r="G2013" t="s">
        <v>220</v>
      </c>
      <c r="H2013">
        <v>3298</v>
      </c>
      <c r="I2013">
        <v>9.89</v>
      </c>
      <c r="J2013">
        <v>1.78</v>
      </c>
      <c r="K2013">
        <v>3286.33</v>
      </c>
      <c r="L2013" s="5">
        <v>46278</v>
      </c>
      <c r="M2013" t="s">
        <v>4199</v>
      </c>
      <c r="N2013" t="s">
        <v>207</v>
      </c>
      <c r="O2013" t="s">
        <v>4530</v>
      </c>
      <c r="P2013" t="s">
        <v>208</v>
      </c>
      <c r="Q2013" t="s">
        <v>209</v>
      </c>
    </row>
    <row r="2014" spans="1:17" x14ac:dyDescent="0.3">
      <c r="A2014" t="s">
        <v>4531</v>
      </c>
      <c r="C2014" t="s">
        <v>4532</v>
      </c>
      <c r="D2014" t="s">
        <v>4533</v>
      </c>
      <c r="E2014" s="5">
        <v>46276</v>
      </c>
      <c r="F2014" t="s">
        <v>204</v>
      </c>
      <c r="G2014" t="s">
        <v>220</v>
      </c>
      <c r="H2014">
        <v>2998</v>
      </c>
      <c r="I2014">
        <v>8.99</v>
      </c>
      <c r="J2014">
        <v>1.62</v>
      </c>
      <c r="K2014">
        <v>2987.39</v>
      </c>
      <c r="L2014" s="5">
        <v>46278</v>
      </c>
      <c r="M2014" t="s">
        <v>4199</v>
      </c>
      <c r="N2014" t="s">
        <v>207</v>
      </c>
      <c r="O2014" t="s">
        <v>4533</v>
      </c>
      <c r="P2014" t="s">
        <v>208</v>
      </c>
      <c r="Q2014" t="s">
        <v>209</v>
      </c>
    </row>
    <row r="2015" spans="1:17" x14ac:dyDescent="0.3">
      <c r="A2015" t="s">
        <v>4534</v>
      </c>
      <c r="C2015" t="s">
        <v>4535</v>
      </c>
      <c r="D2015" t="s">
        <v>4535</v>
      </c>
      <c r="E2015" s="5">
        <v>46276</v>
      </c>
      <c r="F2015" t="s">
        <v>204</v>
      </c>
      <c r="G2015" t="s">
        <v>213</v>
      </c>
      <c r="H2015">
        <v>499</v>
      </c>
      <c r="I2015">
        <v>8.98</v>
      </c>
      <c r="J2015">
        <v>1.62</v>
      </c>
      <c r="K2015">
        <v>488.4</v>
      </c>
      <c r="L2015" s="5">
        <v>46278</v>
      </c>
      <c r="M2015" t="s">
        <v>4199</v>
      </c>
      <c r="N2015" t="s">
        <v>207</v>
      </c>
      <c r="O2015" t="s">
        <v>4535</v>
      </c>
      <c r="P2015" t="s">
        <v>208</v>
      </c>
      <c r="Q2015" t="s">
        <v>209</v>
      </c>
    </row>
    <row r="2016" spans="1:17" x14ac:dyDescent="0.3">
      <c r="A2016" t="s">
        <v>4536</v>
      </c>
      <c r="C2016" t="s">
        <v>4537</v>
      </c>
      <c r="D2016" t="s">
        <v>4537</v>
      </c>
      <c r="E2016" s="5">
        <v>46276</v>
      </c>
      <c r="F2016" t="s">
        <v>204</v>
      </c>
      <c r="G2016" t="s">
        <v>213</v>
      </c>
      <c r="H2016">
        <v>4999</v>
      </c>
      <c r="I2016">
        <v>79.98</v>
      </c>
      <c r="J2016">
        <v>14.4</v>
      </c>
      <c r="K2016">
        <v>4904.62</v>
      </c>
      <c r="L2016" s="5">
        <v>46278</v>
      </c>
      <c r="M2016" t="s">
        <v>4199</v>
      </c>
      <c r="N2016" t="s">
        <v>207</v>
      </c>
      <c r="O2016" t="s">
        <v>4537</v>
      </c>
      <c r="P2016" t="s">
        <v>208</v>
      </c>
      <c r="Q2016" t="s">
        <v>209</v>
      </c>
    </row>
    <row r="2017" spans="1:17" x14ac:dyDescent="0.3">
      <c r="A2017" t="s">
        <v>4538</v>
      </c>
      <c r="C2017" t="s">
        <v>4539</v>
      </c>
      <c r="D2017" t="s">
        <v>4539</v>
      </c>
      <c r="E2017" s="5">
        <v>46276</v>
      </c>
      <c r="F2017" t="s">
        <v>204</v>
      </c>
      <c r="G2017" t="s">
        <v>255</v>
      </c>
      <c r="H2017">
        <v>2999</v>
      </c>
      <c r="I2017">
        <v>35.99</v>
      </c>
      <c r="J2017">
        <v>6.48</v>
      </c>
      <c r="K2017">
        <v>2956.53</v>
      </c>
      <c r="L2017" s="5">
        <v>46278</v>
      </c>
      <c r="M2017" t="s">
        <v>4199</v>
      </c>
      <c r="N2017" t="s">
        <v>207</v>
      </c>
      <c r="O2017" t="s">
        <v>4539</v>
      </c>
      <c r="P2017" t="s">
        <v>208</v>
      </c>
      <c r="Q2017" t="s">
        <v>209</v>
      </c>
    </row>
    <row r="2018" spans="1:17" x14ac:dyDescent="0.3">
      <c r="A2018" t="s">
        <v>4540</v>
      </c>
      <c r="C2018" t="s">
        <v>4541</v>
      </c>
      <c r="D2018" t="s">
        <v>4542</v>
      </c>
      <c r="E2018" s="5">
        <v>46276</v>
      </c>
      <c r="F2018" t="s">
        <v>204</v>
      </c>
      <c r="G2018" t="s">
        <v>220</v>
      </c>
      <c r="H2018">
        <v>4298</v>
      </c>
      <c r="I2018">
        <v>12.89</v>
      </c>
      <c r="J2018">
        <v>2.3199999999999998</v>
      </c>
      <c r="K2018">
        <v>4282.79</v>
      </c>
      <c r="L2018" s="5">
        <v>46278</v>
      </c>
      <c r="M2018" t="s">
        <v>4199</v>
      </c>
      <c r="N2018" t="s">
        <v>207</v>
      </c>
      <c r="O2018" t="s">
        <v>4542</v>
      </c>
      <c r="P2018" t="s">
        <v>208</v>
      </c>
      <c r="Q2018" t="s">
        <v>209</v>
      </c>
    </row>
    <row r="2019" spans="1:17" x14ac:dyDescent="0.3">
      <c r="A2019" t="s">
        <v>4543</v>
      </c>
      <c r="C2019" t="s">
        <v>4544</v>
      </c>
      <c r="D2019" t="s">
        <v>4544</v>
      </c>
      <c r="E2019" s="5">
        <v>46276</v>
      </c>
      <c r="F2019" t="s">
        <v>204</v>
      </c>
      <c r="G2019" t="s">
        <v>213</v>
      </c>
      <c r="H2019">
        <v>1997</v>
      </c>
      <c r="I2019">
        <v>35.950000000000003</v>
      </c>
      <c r="J2019">
        <v>6.47</v>
      </c>
      <c r="K2019">
        <v>1954.58</v>
      </c>
      <c r="L2019" s="5">
        <v>46278</v>
      </c>
      <c r="M2019" t="s">
        <v>4199</v>
      </c>
      <c r="N2019" t="s">
        <v>207</v>
      </c>
      <c r="O2019" t="s">
        <v>4544</v>
      </c>
      <c r="P2019" t="s">
        <v>208</v>
      </c>
      <c r="Q2019" t="s">
        <v>209</v>
      </c>
    </row>
    <row r="2020" spans="1:17" x14ac:dyDescent="0.3">
      <c r="A2020" t="s">
        <v>4545</v>
      </c>
      <c r="C2020" t="s">
        <v>4546</v>
      </c>
      <c r="D2020" t="s">
        <v>4546</v>
      </c>
      <c r="E2020" s="5">
        <v>46276</v>
      </c>
      <c r="F2020" t="s">
        <v>204</v>
      </c>
      <c r="G2020" t="s">
        <v>255</v>
      </c>
      <c r="H2020">
        <v>5998</v>
      </c>
      <c r="I2020">
        <v>71.98</v>
      </c>
      <c r="J2020">
        <v>12.96</v>
      </c>
      <c r="K2020">
        <v>5913.06</v>
      </c>
      <c r="L2020" s="5">
        <v>46278</v>
      </c>
      <c r="M2020" t="s">
        <v>4199</v>
      </c>
      <c r="N2020" t="s">
        <v>207</v>
      </c>
      <c r="O2020" t="s">
        <v>4546</v>
      </c>
      <c r="P2020" t="s">
        <v>208</v>
      </c>
      <c r="Q2020" t="s">
        <v>209</v>
      </c>
    </row>
    <row r="2021" spans="1:17" x14ac:dyDescent="0.3">
      <c r="A2021" t="s">
        <v>4547</v>
      </c>
      <c r="C2021" t="s">
        <v>4548</v>
      </c>
      <c r="D2021" t="s">
        <v>4548</v>
      </c>
      <c r="E2021" s="5">
        <v>46276</v>
      </c>
      <c r="F2021" t="s">
        <v>204</v>
      </c>
      <c r="G2021" t="s">
        <v>220</v>
      </c>
      <c r="H2021">
        <v>8797</v>
      </c>
      <c r="I2021">
        <v>26.39</v>
      </c>
      <c r="J2021">
        <v>4.75</v>
      </c>
      <c r="K2021">
        <v>8765.86</v>
      </c>
      <c r="L2021" s="5">
        <v>46278</v>
      </c>
      <c r="M2021" t="s">
        <v>4199</v>
      </c>
      <c r="N2021" t="s">
        <v>207</v>
      </c>
      <c r="O2021" t="s">
        <v>4548</v>
      </c>
      <c r="P2021" t="s">
        <v>208</v>
      </c>
      <c r="Q2021" t="s">
        <v>209</v>
      </c>
    </row>
    <row r="2022" spans="1:17" x14ac:dyDescent="0.3">
      <c r="A2022" t="s">
        <v>4549</v>
      </c>
      <c r="C2022" t="s">
        <v>4550</v>
      </c>
      <c r="D2022" t="s">
        <v>4550</v>
      </c>
      <c r="E2022" s="5">
        <v>46276</v>
      </c>
      <c r="F2022" t="s">
        <v>204</v>
      </c>
      <c r="G2022" t="s">
        <v>220</v>
      </c>
      <c r="H2022">
        <v>499</v>
      </c>
      <c r="I2022">
        <v>0</v>
      </c>
      <c r="J2022">
        <v>0</v>
      </c>
      <c r="K2022">
        <v>499</v>
      </c>
      <c r="L2022" s="5">
        <v>46278</v>
      </c>
      <c r="M2022" t="s">
        <v>4199</v>
      </c>
      <c r="N2022" t="s">
        <v>207</v>
      </c>
      <c r="O2022" t="s">
        <v>4550</v>
      </c>
      <c r="P2022" t="s">
        <v>208</v>
      </c>
      <c r="Q2022" t="s">
        <v>209</v>
      </c>
    </row>
    <row r="2023" spans="1:17" x14ac:dyDescent="0.3">
      <c r="A2023" t="s">
        <v>4551</v>
      </c>
      <c r="C2023" t="s">
        <v>4552</v>
      </c>
      <c r="D2023" t="s">
        <v>4552</v>
      </c>
      <c r="E2023" s="5">
        <v>46276</v>
      </c>
      <c r="F2023" t="s">
        <v>204</v>
      </c>
      <c r="G2023" t="s">
        <v>220</v>
      </c>
      <c r="H2023">
        <v>1499</v>
      </c>
      <c r="I2023">
        <v>0</v>
      </c>
      <c r="J2023">
        <v>0</v>
      </c>
      <c r="K2023">
        <v>1499</v>
      </c>
      <c r="L2023" s="5">
        <v>46278</v>
      </c>
      <c r="M2023" t="s">
        <v>4199</v>
      </c>
      <c r="N2023" t="s">
        <v>207</v>
      </c>
      <c r="O2023" t="s">
        <v>4552</v>
      </c>
      <c r="P2023" t="s">
        <v>208</v>
      </c>
      <c r="Q2023" t="s">
        <v>209</v>
      </c>
    </row>
    <row r="2024" spans="1:17" x14ac:dyDescent="0.3">
      <c r="A2024" t="s">
        <v>4553</v>
      </c>
      <c r="C2024" t="s">
        <v>4554</v>
      </c>
      <c r="D2024" t="s">
        <v>4554</v>
      </c>
      <c r="E2024" s="5">
        <v>46276</v>
      </c>
      <c r="F2024" t="s">
        <v>204</v>
      </c>
      <c r="G2024" t="s">
        <v>220</v>
      </c>
      <c r="H2024">
        <v>499</v>
      </c>
      <c r="I2024">
        <v>0</v>
      </c>
      <c r="J2024">
        <v>0</v>
      </c>
      <c r="K2024">
        <v>499</v>
      </c>
      <c r="L2024" s="5">
        <v>46278</v>
      </c>
      <c r="M2024" t="s">
        <v>4199</v>
      </c>
      <c r="N2024" t="s">
        <v>207</v>
      </c>
      <c r="O2024" t="s">
        <v>4554</v>
      </c>
      <c r="P2024" t="s">
        <v>208</v>
      </c>
      <c r="Q2024" t="s">
        <v>209</v>
      </c>
    </row>
    <row r="2025" spans="1:17" x14ac:dyDescent="0.3">
      <c r="A2025" t="s">
        <v>4555</v>
      </c>
      <c r="C2025" t="s">
        <v>4556</v>
      </c>
      <c r="D2025" t="s">
        <v>4556</v>
      </c>
      <c r="E2025" s="5">
        <v>46276</v>
      </c>
      <c r="F2025" t="s">
        <v>204</v>
      </c>
      <c r="G2025" t="s">
        <v>220</v>
      </c>
      <c r="H2025">
        <v>5298</v>
      </c>
      <c r="I2025">
        <v>15.89</v>
      </c>
      <c r="J2025">
        <v>2.86</v>
      </c>
      <c r="K2025">
        <v>5279.25</v>
      </c>
      <c r="L2025" s="5">
        <v>46278</v>
      </c>
      <c r="M2025" t="s">
        <v>4199</v>
      </c>
      <c r="N2025" t="s">
        <v>207</v>
      </c>
      <c r="O2025" t="s">
        <v>4556</v>
      </c>
      <c r="P2025" t="s">
        <v>208</v>
      </c>
      <c r="Q2025" t="s">
        <v>209</v>
      </c>
    </row>
    <row r="2026" spans="1:17" x14ac:dyDescent="0.3">
      <c r="A2026" t="s">
        <v>4557</v>
      </c>
      <c r="C2026" t="s">
        <v>4558</v>
      </c>
      <c r="D2026" t="s">
        <v>4558</v>
      </c>
      <c r="E2026" s="5">
        <v>46276</v>
      </c>
      <c r="F2026" t="s">
        <v>204</v>
      </c>
      <c r="G2026" t="s">
        <v>213</v>
      </c>
      <c r="H2026">
        <v>299</v>
      </c>
      <c r="I2026">
        <v>5.38</v>
      </c>
      <c r="J2026">
        <v>0.97</v>
      </c>
      <c r="K2026">
        <v>292.64999999999998</v>
      </c>
      <c r="L2026" s="5">
        <v>46278</v>
      </c>
      <c r="M2026" t="s">
        <v>4199</v>
      </c>
      <c r="N2026" t="s">
        <v>207</v>
      </c>
      <c r="O2026" t="s">
        <v>4558</v>
      </c>
      <c r="P2026" t="s">
        <v>208</v>
      </c>
      <c r="Q2026" t="s">
        <v>209</v>
      </c>
    </row>
    <row r="2027" spans="1:17" x14ac:dyDescent="0.3">
      <c r="A2027" t="s">
        <v>4559</v>
      </c>
      <c r="C2027" t="s">
        <v>4560</v>
      </c>
      <c r="D2027" t="s">
        <v>4560</v>
      </c>
      <c r="E2027" s="5">
        <v>46276</v>
      </c>
      <c r="F2027" t="s">
        <v>204</v>
      </c>
      <c r="G2027" t="s">
        <v>220</v>
      </c>
      <c r="H2027">
        <v>999</v>
      </c>
      <c r="I2027">
        <v>0</v>
      </c>
      <c r="J2027">
        <v>0</v>
      </c>
      <c r="K2027">
        <v>999</v>
      </c>
      <c r="L2027" s="5">
        <v>46278</v>
      </c>
      <c r="M2027" t="s">
        <v>4199</v>
      </c>
      <c r="N2027" t="s">
        <v>207</v>
      </c>
      <c r="O2027" t="s">
        <v>4560</v>
      </c>
      <c r="P2027" t="s">
        <v>208</v>
      </c>
      <c r="Q2027" t="s">
        <v>209</v>
      </c>
    </row>
    <row r="2028" spans="1:17" x14ac:dyDescent="0.3">
      <c r="A2028" t="s">
        <v>4561</v>
      </c>
      <c r="C2028" t="s">
        <v>4562</v>
      </c>
      <c r="D2028" t="s">
        <v>4562</v>
      </c>
      <c r="E2028" s="5">
        <v>46276</v>
      </c>
      <c r="F2028" t="s">
        <v>204</v>
      </c>
      <c r="G2028" t="s">
        <v>205</v>
      </c>
      <c r="H2028">
        <v>299</v>
      </c>
      <c r="I2028">
        <v>5.68</v>
      </c>
      <c r="J2028">
        <v>1.02</v>
      </c>
      <c r="K2028">
        <v>292.3</v>
      </c>
      <c r="L2028" s="5">
        <v>46278</v>
      </c>
      <c r="M2028" t="s">
        <v>4199</v>
      </c>
      <c r="N2028" t="s">
        <v>207</v>
      </c>
      <c r="O2028" t="s">
        <v>4562</v>
      </c>
      <c r="P2028" t="s">
        <v>208</v>
      </c>
      <c r="Q2028" t="s">
        <v>209</v>
      </c>
    </row>
    <row r="2029" spans="1:17" x14ac:dyDescent="0.3">
      <c r="A2029" t="s">
        <v>4563</v>
      </c>
      <c r="C2029" t="s">
        <v>4564</v>
      </c>
      <c r="D2029" t="s">
        <v>4564</v>
      </c>
      <c r="E2029" s="5">
        <v>46276</v>
      </c>
      <c r="F2029" t="s">
        <v>204</v>
      </c>
      <c r="G2029" t="s">
        <v>220</v>
      </c>
      <c r="H2029">
        <v>299</v>
      </c>
      <c r="I2029">
        <v>0</v>
      </c>
      <c r="J2029">
        <v>0</v>
      </c>
      <c r="K2029">
        <v>299</v>
      </c>
      <c r="L2029" s="5">
        <v>46278</v>
      </c>
      <c r="M2029" t="s">
        <v>4199</v>
      </c>
      <c r="N2029" t="s">
        <v>207</v>
      </c>
      <c r="O2029" t="s">
        <v>4564</v>
      </c>
      <c r="P2029" t="s">
        <v>208</v>
      </c>
      <c r="Q2029" t="s">
        <v>209</v>
      </c>
    </row>
    <row r="2030" spans="1:17" x14ac:dyDescent="0.3">
      <c r="A2030" t="s">
        <v>4565</v>
      </c>
      <c r="C2030" t="s">
        <v>4566</v>
      </c>
      <c r="D2030" t="s">
        <v>4566</v>
      </c>
      <c r="E2030" s="5">
        <v>46276</v>
      </c>
      <c r="F2030" t="s">
        <v>204</v>
      </c>
      <c r="G2030" t="s">
        <v>220</v>
      </c>
      <c r="H2030">
        <v>349</v>
      </c>
      <c r="I2030">
        <v>0</v>
      </c>
      <c r="J2030">
        <v>0</v>
      </c>
      <c r="K2030">
        <v>349</v>
      </c>
      <c r="L2030" s="5">
        <v>46278</v>
      </c>
      <c r="M2030" t="s">
        <v>4199</v>
      </c>
      <c r="N2030" t="s">
        <v>207</v>
      </c>
      <c r="O2030" t="s">
        <v>4566</v>
      </c>
      <c r="P2030" t="s">
        <v>208</v>
      </c>
      <c r="Q2030" t="s">
        <v>209</v>
      </c>
    </row>
    <row r="2031" spans="1:17" x14ac:dyDescent="0.3">
      <c r="A2031" t="s">
        <v>4567</v>
      </c>
      <c r="C2031" t="s">
        <v>4568</v>
      </c>
      <c r="D2031" t="s">
        <v>4568</v>
      </c>
      <c r="E2031" s="5">
        <v>46276</v>
      </c>
      <c r="F2031" t="s">
        <v>204</v>
      </c>
      <c r="G2031" t="s">
        <v>220</v>
      </c>
      <c r="H2031">
        <v>3499</v>
      </c>
      <c r="I2031">
        <v>10.5</v>
      </c>
      <c r="J2031">
        <v>1.89</v>
      </c>
      <c r="K2031">
        <v>3486.61</v>
      </c>
      <c r="L2031" s="5">
        <v>46278</v>
      </c>
      <c r="M2031" t="s">
        <v>4199</v>
      </c>
      <c r="N2031" t="s">
        <v>207</v>
      </c>
      <c r="O2031" t="s">
        <v>4568</v>
      </c>
      <c r="P2031" t="s">
        <v>208</v>
      </c>
      <c r="Q2031" t="s">
        <v>209</v>
      </c>
    </row>
    <row r="2032" spans="1:17" x14ac:dyDescent="0.3">
      <c r="A2032" t="s">
        <v>4569</v>
      </c>
      <c r="C2032" t="s">
        <v>4570</v>
      </c>
      <c r="D2032" t="s">
        <v>4571</v>
      </c>
      <c r="E2032" s="5">
        <v>46276</v>
      </c>
      <c r="F2032" t="s">
        <v>204</v>
      </c>
      <c r="G2032" t="s">
        <v>205</v>
      </c>
      <c r="H2032">
        <v>6497</v>
      </c>
      <c r="I2032">
        <v>110.45</v>
      </c>
      <c r="J2032">
        <v>19.88</v>
      </c>
      <c r="K2032">
        <v>6366.67</v>
      </c>
      <c r="L2032" s="5">
        <v>46278</v>
      </c>
      <c r="M2032" t="s">
        <v>4199</v>
      </c>
      <c r="N2032" t="s">
        <v>207</v>
      </c>
      <c r="O2032" t="s">
        <v>4571</v>
      </c>
      <c r="P2032" t="s">
        <v>208</v>
      </c>
      <c r="Q2032" t="s">
        <v>209</v>
      </c>
    </row>
    <row r="2033" spans="1:17" x14ac:dyDescent="0.3">
      <c r="A2033" t="s">
        <v>4572</v>
      </c>
      <c r="C2033" t="s">
        <v>4573</v>
      </c>
      <c r="D2033" t="s">
        <v>4573</v>
      </c>
      <c r="E2033" s="5">
        <v>46276</v>
      </c>
      <c r="F2033" t="s">
        <v>204</v>
      </c>
      <c r="G2033" t="s">
        <v>213</v>
      </c>
      <c r="H2033">
        <v>3798</v>
      </c>
      <c r="I2033">
        <v>60.77</v>
      </c>
      <c r="J2033">
        <v>10.94</v>
      </c>
      <c r="K2033">
        <v>3726.29</v>
      </c>
      <c r="L2033" s="5">
        <v>46278</v>
      </c>
      <c r="M2033" t="s">
        <v>4199</v>
      </c>
      <c r="N2033" t="s">
        <v>207</v>
      </c>
      <c r="O2033" t="s">
        <v>4573</v>
      </c>
      <c r="P2033" t="s">
        <v>208</v>
      </c>
      <c r="Q2033" t="s">
        <v>209</v>
      </c>
    </row>
    <row r="2034" spans="1:17" x14ac:dyDescent="0.3">
      <c r="A2034" t="s">
        <v>4574</v>
      </c>
      <c r="C2034" t="s">
        <v>4575</v>
      </c>
      <c r="D2034" t="s">
        <v>4575</v>
      </c>
      <c r="E2034" s="5">
        <v>46276</v>
      </c>
      <c r="F2034" t="s">
        <v>204</v>
      </c>
      <c r="G2034" t="s">
        <v>205</v>
      </c>
      <c r="H2034">
        <v>798</v>
      </c>
      <c r="I2034">
        <v>15.16</v>
      </c>
      <c r="J2034">
        <v>2.73</v>
      </c>
      <c r="K2034">
        <v>780.11</v>
      </c>
      <c r="L2034" s="5">
        <v>46278</v>
      </c>
      <c r="M2034" t="s">
        <v>4199</v>
      </c>
      <c r="N2034" t="s">
        <v>207</v>
      </c>
      <c r="O2034" t="s">
        <v>4575</v>
      </c>
      <c r="P2034" t="s">
        <v>208</v>
      </c>
      <c r="Q2034" t="s">
        <v>209</v>
      </c>
    </row>
    <row r="2035" spans="1:17" x14ac:dyDescent="0.3">
      <c r="A2035" t="s">
        <v>4576</v>
      </c>
      <c r="C2035" t="s">
        <v>4577</v>
      </c>
      <c r="D2035" t="s">
        <v>4577</v>
      </c>
      <c r="E2035" s="5">
        <v>46276</v>
      </c>
      <c r="F2035" t="s">
        <v>204</v>
      </c>
      <c r="G2035" t="s">
        <v>220</v>
      </c>
      <c r="H2035">
        <v>599</v>
      </c>
      <c r="I2035">
        <v>0</v>
      </c>
      <c r="J2035">
        <v>0</v>
      </c>
      <c r="K2035">
        <v>599</v>
      </c>
      <c r="L2035" s="5">
        <v>46278</v>
      </c>
      <c r="M2035" t="s">
        <v>4199</v>
      </c>
      <c r="N2035" t="s">
        <v>207</v>
      </c>
      <c r="O2035" t="s">
        <v>4577</v>
      </c>
      <c r="P2035" t="s">
        <v>208</v>
      </c>
      <c r="Q2035" t="s">
        <v>209</v>
      </c>
    </row>
    <row r="2036" spans="1:17" x14ac:dyDescent="0.3">
      <c r="A2036" t="s">
        <v>4578</v>
      </c>
      <c r="C2036" t="s">
        <v>4579</v>
      </c>
      <c r="D2036" t="s">
        <v>4579</v>
      </c>
      <c r="E2036" s="5">
        <v>46276</v>
      </c>
      <c r="F2036" t="s">
        <v>204</v>
      </c>
      <c r="G2036" t="s">
        <v>213</v>
      </c>
      <c r="H2036">
        <v>13297</v>
      </c>
      <c r="I2036">
        <v>212.75</v>
      </c>
      <c r="J2036">
        <v>38.299999999999997</v>
      </c>
      <c r="K2036">
        <v>13045.95</v>
      </c>
      <c r="L2036" s="5">
        <v>46278</v>
      </c>
      <c r="M2036" t="s">
        <v>4199</v>
      </c>
      <c r="N2036" t="s">
        <v>207</v>
      </c>
      <c r="O2036" t="s">
        <v>4579</v>
      </c>
      <c r="P2036" t="s">
        <v>208</v>
      </c>
      <c r="Q2036" t="s">
        <v>209</v>
      </c>
    </row>
    <row r="2037" spans="1:17" x14ac:dyDescent="0.3">
      <c r="A2037" t="s">
        <v>4580</v>
      </c>
      <c r="C2037" t="s">
        <v>4581</v>
      </c>
      <c r="D2037" t="s">
        <v>4581</v>
      </c>
      <c r="E2037" s="5">
        <v>46276</v>
      </c>
      <c r="F2037" t="s">
        <v>204</v>
      </c>
      <c r="G2037" t="s">
        <v>255</v>
      </c>
      <c r="H2037">
        <v>1799</v>
      </c>
      <c r="I2037">
        <v>26.99</v>
      </c>
      <c r="J2037">
        <v>4.8600000000000003</v>
      </c>
      <c r="K2037">
        <v>1767.15</v>
      </c>
      <c r="L2037" s="5">
        <v>46278</v>
      </c>
      <c r="M2037" t="s">
        <v>4199</v>
      </c>
      <c r="N2037" t="s">
        <v>207</v>
      </c>
      <c r="O2037" t="s">
        <v>4581</v>
      </c>
      <c r="P2037" t="s">
        <v>208</v>
      </c>
      <c r="Q2037" t="s">
        <v>209</v>
      </c>
    </row>
    <row r="2038" spans="1:17" x14ac:dyDescent="0.3">
      <c r="A2038" t="s">
        <v>4582</v>
      </c>
      <c r="C2038" t="s">
        <v>4583</v>
      </c>
      <c r="D2038" t="s">
        <v>4583</v>
      </c>
      <c r="E2038" s="5">
        <v>46276</v>
      </c>
      <c r="F2038" t="s">
        <v>204</v>
      </c>
      <c r="G2038" t="s">
        <v>220</v>
      </c>
      <c r="H2038">
        <v>1799</v>
      </c>
      <c r="I2038">
        <v>0</v>
      </c>
      <c r="J2038">
        <v>0</v>
      </c>
      <c r="K2038">
        <v>1799</v>
      </c>
      <c r="L2038" s="5">
        <v>46278</v>
      </c>
      <c r="M2038" t="s">
        <v>4199</v>
      </c>
      <c r="N2038" t="s">
        <v>207</v>
      </c>
      <c r="O2038" t="s">
        <v>4583</v>
      </c>
      <c r="P2038" t="s">
        <v>208</v>
      </c>
      <c r="Q2038" t="s">
        <v>209</v>
      </c>
    </row>
    <row r="2039" spans="1:17" x14ac:dyDescent="0.3">
      <c r="A2039" t="s">
        <v>4584</v>
      </c>
      <c r="C2039" t="s">
        <v>4585</v>
      </c>
      <c r="D2039" t="s">
        <v>4585</v>
      </c>
      <c r="E2039" s="5">
        <v>46276</v>
      </c>
      <c r="F2039" t="s">
        <v>204</v>
      </c>
      <c r="G2039" t="s">
        <v>255</v>
      </c>
      <c r="H2039">
        <v>299</v>
      </c>
      <c r="I2039">
        <v>4.49</v>
      </c>
      <c r="J2039">
        <v>0.81</v>
      </c>
      <c r="K2039">
        <v>293.7</v>
      </c>
      <c r="L2039" s="5">
        <v>46278</v>
      </c>
      <c r="M2039" t="s">
        <v>4199</v>
      </c>
      <c r="N2039" t="s">
        <v>207</v>
      </c>
      <c r="O2039" t="s">
        <v>4585</v>
      </c>
      <c r="P2039" t="s">
        <v>208</v>
      </c>
      <c r="Q2039" t="s">
        <v>209</v>
      </c>
    </row>
    <row r="2040" spans="1:17" x14ac:dyDescent="0.3">
      <c r="A2040" t="s">
        <v>4586</v>
      </c>
      <c r="C2040" t="s">
        <v>4587</v>
      </c>
      <c r="D2040" t="s">
        <v>4587</v>
      </c>
      <c r="E2040" s="5">
        <v>46276</v>
      </c>
      <c r="F2040" t="s">
        <v>204</v>
      </c>
      <c r="G2040" t="s">
        <v>205</v>
      </c>
      <c r="H2040">
        <v>599</v>
      </c>
      <c r="I2040">
        <v>11.38</v>
      </c>
      <c r="J2040">
        <v>2.0499999999999998</v>
      </c>
      <c r="K2040">
        <v>585.57000000000005</v>
      </c>
      <c r="L2040" s="5">
        <v>46278</v>
      </c>
      <c r="M2040" t="s">
        <v>4199</v>
      </c>
      <c r="N2040" t="s">
        <v>207</v>
      </c>
      <c r="O2040" t="s">
        <v>4587</v>
      </c>
      <c r="P2040" t="s">
        <v>208</v>
      </c>
      <c r="Q2040" t="s">
        <v>209</v>
      </c>
    </row>
    <row r="2041" spans="1:17" x14ac:dyDescent="0.3">
      <c r="A2041" t="s">
        <v>4588</v>
      </c>
      <c r="C2041" t="s">
        <v>4589</v>
      </c>
      <c r="D2041" t="s">
        <v>4589</v>
      </c>
      <c r="E2041" s="5">
        <v>46276</v>
      </c>
      <c r="F2041" t="s">
        <v>204</v>
      </c>
      <c r="G2041" t="s">
        <v>213</v>
      </c>
      <c r="H2041">
        <v>4999</v>
      </c>
      <c r="I2041">
        <v>79.98</v>
      </c>
      <c r="J2041">
        <v>14.4</v>
      </c>
      <c r="K2041">
        <v>4904.62</v>
      </c>
      <c r="L2041" s="5">
        <v>46278</v>
      </c>
      <c r="M2041" t="s">
        <v>4199</v>
      </c>
      <c r="N2041" t="s">
        <v>207</v>
      </c>
      <c r="O2041" t="s">
        <v>4589</v>
      </c>
      <c r="P2041" t="s">
        <v>208</v>
      </c>
      <c r="Q2041" t="s">
        <v>209</v>
      </c>
    </row>
    <row r="2042" spans="1:17" x14ac:dyDescent="0.3">
      <c r="A2042" t="s">
        <v>4590</v>
      </c>
      <c r="C2042" t="s">
        <v>4591</v>
      </c>
      <c r="D2042" t="s">
        <v>4591</v>
      </c>
      <c r="E2042" s="5">
        <v>46276</v>
      </c>
      <c r="F2042" t="s">
        <v>204</v>
      </c>
      <c r="G2042" t="s">
        <v>220</v>
      </c>
      <c r="H2042">
        <v>4999</v>
      </c>
      <c r="I2042">
        <v>15</v>
      </c>
      <c r="J2042">
        <v>2.7</v>
      </c>
      <c r="K2042">
        <v>4981.3</v>
      </c>
      <c r="L2042" s="5">
        <v>46278</v>
      </c>
      <c r="M2042" t="s">
        <v>4199</v>
      </c>
      <c r="N2042" t="s">
        <v>207</v>
      </c>
      <c r="O2042" t="s">
        <v>4591</v>
      </c>
      <c r="P2042" t="s">
        <v>208</v>
      </c>
      <c r="Q2042" t="s">
        <v>209</v>
      </c>
    </row>
    <row r="2043" spans="1:17" x14ac:dyDescent="0.3">
      <c r="A2043" t="s">
        <v>4592</v>
      </c>
      <c r="C2043" t="s">
        <v>4593</v>
      </c>
      <c r="D2043" t="s">
        <v>4593</v>
      </c>
      <c r="E2043" s="5">
        <v>46276</v>
      </c>
      <c r="F2043" t="s">
        <v>204</v>
      </c>
      <c r="G2043" t="s">
        <v>220</v>
      </c>
      <c r="H2043">
        <v>1598</v>
      </c>
      <c r="I2043">
        <v>0</v>
      </c>
      <c r="J2043">
        <v>0</v>
      </c>
      <c r="K2043">
        <v>1598</v>
      </c>
      <c r="L2043" s="5">
        <v>46278</v>
      </c>
      <c r="M2043" t="s">
        <v>4199</v>
      </c>
      <c r="N2043" t="s">
        <v>207</v>
      </c>
      <c r="O2043" t="s">
        <v>4593</v>
      </c>
      <c r="P2043" t="s">
        <v>208</v>
      </c>
      <c r="Q2043" t="s">
        <v>209</v>
      </c>
    </row>
    <row r="2044" spans="1:17" x14ac:dyDescent="0.3">
      <c r="A2044" t="s">
        <v>4594</v>
      </c>
      <c r="C2044" t="s">
        <v>4595</v>
      </c>
      <c r="D2044" t="s">
        <v>4595</v>
      </c>
      <c r="E2044" s="5">
        <v>46276</v>
      </c>
      <c r="F2044" t="s">
        <v>204</v>
      </c>
      <c r="G2044" t="s">
        <v>220</v>
      </c>
      <c r="H2044">
        <v>1299</v>
      </c>
      <c r="I2044">
        <v>0</v>
      </c>
      <c r="J2044">
        <v>0</v>
      </c>
      <c r="K2044">
        <v>1299</v>
      </c>
      <c r="L2044" s="5">
        <v>46278</v>
      </c>
      <c r="M2044" t="s">
        <v>4199</v>
      </c>
      <c r="N2044" t="s">
        <v>207</v>
      </c>
      <c r="O2044" t="s">
        <v>4595</v>
      </c>
      <c r="P2044" t="s">
        <v>208</v>
      </c>
      <c r="Q2044" t="s">
        <v>209</v>
      </c>
    </row>
    <row r="2045" spans="1:17" x14ac:dyDescent="0.3">
      <c r="A2045" t="s">
        <v>4596</v>
      </c>
      <c r="C2045" t="s">
        <v>4597</v>
      </c>
      <c r="D2045" t="s">
        <v>4598</v>
      </c>
      <c r="E2045" s="5">
        <v>46276</v>
      </c>
      <c r="F2045" t="s">
        <v>204</v>
      </c>
      <c r="G2045" t="s">
        <v>213</v>
      </c>
      <c r="H2045">
        <v>1798</v>
      </c>
      <c r="I2045">
        <v>32.36</v>
      </c>
      <c r="J2045">
        <v>5.82</v>
      </c>
      <c r="K2045">
        <v>1759.82</v>
      </c>
      <c r="L2045" s="5">
        <v>46278</v>
      </c>
      <c r="M2045" t="s">
        <v>4199</v>
      </c>
      <c r="N2045" t="s">
        <v>207</v>
      </c>
      <c r="O2045" t="s">
        <v>4598</v>
      </c>
      <c r="P2045" t="s">
        <v>208</v>
      </c>
      <c r="Q2045" t="s">
        <v>209</v>
      </c>
    </row>
    <row r="2046" spans="1:17" x14ac:dyDescent="0.3">
      <c r="A2046" t="s">
        <v>4599</v>
      </c>
      <c r="C2046" t="s">
        <v>4600</v>
      </c>
      <c r="D2046" t="s">
        <v>4601</v>
      </c>
      <c r="E2046" s="5">
        <v>46276</v>
      </c>
      <c r="F2046" t="s">
        <v>204</v>
      </c>
      <c r="G2046" t="s">
        <v>213</v>
      </c>
      <c r="H2046">
        <v>3597</v>
      </c>
      <c r="I2046">
        <v>57.55</v>
      </c>
      <c r="J2046">
        <v>10.36</v>
      </c>
      <c r="K2046">
        <v>3529.09</v>
      </c>
      <c r="L2046" s="5">
        <v>46278</v>
      </c>
      <c r="M2046" t="s">
        <v>4199</v>
      </c>
      <c r="N2046" t="s">
        <v>207</v>
      </c>
      <c r="O2046" t="s">
        <v>4601</v>
      </c>
      <c r="P2046" t="s">
        <v>208</v>
      </c>
      <c r="Q2046" t="s">
        <v>209</v>
      </c>
    </row>
    <row r="2047" spans="1:17" x14ac:dyDescent="0.3">
      <c r="A2047" t="s">
        <v>4602</v>
      </c>
      <c r="C2047" t="s">
        <v>4603</v>
      </c>
      <c r="D2047" t="s">
        <v>4603</v>
      </c>
      <c r="E2047" s="5">
        <v>46276</v>
      </c>
      <c r="F2047" t="s">
        <v>204</v>
      </c>
      <c r="G2047" t="s">
        <v>213</v>
      </c>
      <c r="H2047">
        <v>7999</v>
      </c>
      <c r="I2047">
        <v>127.98</v>
      </c>
      <c r="J2047">
        <v>23.04</v>
      </c>
      <c r="K2047">
        <v>7847.98</v>
      </c>
      <c r="L2047" s="5">
        <v>46278</v>
      </c>
      <c r="M2047" t="s">
        <v>4199</v>
      </c>
      <c r="N2047" t="s">
        <v>207</v>
      </c>
      <c r="O2047" t="s">
        <v>4603</v>
      </c>
      <c r="P2047" t="s">
        <v>208</v>
      </c>
      <c r="Q2047" t="s">
        <v>209</v>
      </c>
    </row>
    <row r="2048" spans="1:17" x14ac:dyDescent="0.3">
      <c r="A2048" t="s">
        <v>4604</v>
      </c>
      <c r="C2048" t="s">
        <v>4605</v>
      </c>
      <c r="D2048" t="s">
        <v>4606</v>
      </c>
      <c r="E2048" s="5">
        <v>46276</v>
      </c>
      <c r="F2048" t="s">
        <v>204</v>
      </c>
      <c r="G2048" t="s">
        <v>220</v>
      </c>
      <c r="H2048">
        <v>999</v>
      </c>
      <c r="I2048">
        <v>0</v>
      </c>
      <c r="J2048">
        <v>0</v>
      </c>
      <c r="K2048">
        <v>999</v>
      </c>
      <c r="L2048" s="5">
        <v>46278</v>
      </c>
      <c r="M2048" t="s">
        <v>4199</v>
      </c>
      <c r="N2048" t="s">
        <v>207</v>
      </c>
      <c r="O2048" t="s">
        <v>4606</v>
      </c>
      <c r="P2048" t="s">
        <v>208</v>
      </c>
      <c r="Q2048" t="s">
        <v>209</v>
      </c>
    </row>
    <row r="2049" spans="1:17" x14ac:dyDescent="0.3">
      <c r="A2049" t="s">
        <v>4607</v>
      </c>
      <c r="C2049" t="s">
        <v>4608</v>
      </c>
      <c r="D2049" t="s">
        <v>4609</v>
      </c>
      <c r="E2049" s="5">
        <v>46276</v>
      </c>
      <c r="F2049" t="s">
        <v>204</v>
      </c>
      <c r="G2049" t="s">
        <v>205</v>
      </c>
      <c r="H2049">
        <v>3499</v>
      </c>
      <c r="I2049">
        <v>59.48</v>
      </c>
      <c r="J2049">
        <v>10.71</v>
      </c>
      <c r="K2049">
        <v>3428.81</v>
      </c>
      <c r="L2049" s="5">
        <v>46278</v>
      </c>
      <c r="M2049" t="s">
        <v>4199</v>
      </c>
      <c r="N2049" t="s">
        <v>207</v>
      </c>
      <c r="O2049" t="s">
        <v>4609</v>
      </c>
      <c r="P2049" t="s">
        <v>208</v>
      </c>
      <c r="Q2049" t="s">
        <v>209</v>
      </c>
    </row>
    <row r="2050" spans="1:17" x14ac:dyDescent="0.3">
      <c r="A2050" t="s">
        <v>4610</v>
      </c>
      <c r="C2050" t="s">
        <v>4611</v>
      </c>
      <c r="D2050" t="s">
        <v>4611</v>
      </c>
      <c r="E2050" s="5">
        <v>46276</v>
      </c>
      <c r="F2050" t="s">
        <v>204</v>
      </c>
      <c r="G2050" t="s">
        <v>213</v>
      </c>
      <c r="H2050">
        <v>3848</v>
      </c>
      <c r="I2050">
        <v>61.57</v>
      </c>
      <c r="J2050">
        <v>11.08</v>
      </c>
      <c r="K2050">
        <v>3775.35</v>
      </c>
      <c r="L2050" s="5">
        <v>46278</v>
      </c>
      <c r="M2050" t="s">
        <v>4199</v>
      </c>
      <c r="N2050" t="s">
        <v>207</v>
      </c>
      <c r="O2050" t="s">
        <v>4611</v>
      </c>
      <c r="P2050" t="s">
        <v>208</v>
      </c>
      <c r="Q2050" t="s">
        <v>209</v>
      </c>
    </row>
    <row r="2051" spans="1:17" x14ac:dyDescent="0.3">
      <c r="A2051" t="s">
        <v>4612</v>
      </c>
      <c r="C2051" t="s">
        <v>4613</v>
      </c>
      <c r="D2051" t="s">
        <v>4614</v>
      </c>
      <c r="E2051" s="5">
        <v>46276</v>
      </c>
      <c r="F2051" t="s">
        <v>204</v>
      </c>
      <c r="G2051" t="s">
        <v>220</v>
      </c>
      <c r="H2051">
        <v>2999</v>
      </c>
      <c r="I2051">
        <v>9</v>
      </c>
      <c r="J2051">
        <v>1.62</v>
      </c>
      <c r="K2051">
        <v>2988.38</v>
      </c>
      <c r="L2051" s="5">
        <v>46278</v>
      </c>
      <c r="M2051" t="s">
        <v>4199</v>
      </c>
      <c r="N2051" t="s">
        <v>207</v>
      </c>
      <c r="O2051" t="s">
        <v>4614</v>
      </c>
      <c r="P2051" t="s">
        <v>208</v>
      </c>
      <c r="Q2051" t="s">
        <v>209</v>
      </c>
    </row>
    <row r="2052" spans="1:17" x14ac:dyDescent="0.3">
      <c r="A2052" t="s">
        <v>4615</v>
      </c>
      <c r="C2052" t="s">
        <v>4616</v>
      </c>
      <c r="D2052" t="s">
        <v>4616</v>
      </c>
      <c r="E2052" s="5">
        <v>46276</v>
      </c>
      <c r="F2052" t="s">
        <v>204</v>
      </c>
      <c r="G2052" t="s">
        <v>213</v>
      </c>
      <c r="H2052">
        <v>6397</v>
      </c>
      <c r="I2052">
        <v>102.35</v>
      </c>
      <c r="J2052">
        <v>18.420000000000002</v>
      </c>
      <c r="K2052">
        <v>6276.23</v>
      </c>
      <c r="L2052" s="5">
        <v>46278</v>
      </c>
      <c r="M2052" t="s">
        <v>4199</v>
      </c>
      <c r="N2052" t="s">
        <v>207</v>
      </c>
      <c r="O2052" t="s">
        <v>4616</v>
      </c>
      <c r="P2052" t="s">
        <v>208</v>
      </c>
      <c r="Q2052" t="s">
        <v>209</v>
      </c>
    </row>
    <row r="2053" spans="1:17" x14ac:dyDescent="0.3">
      <c r="A2053" t="s">
        <v>4617</v>
      </c>
      <c r="C2053" t="s">
        <v>4618</v>
      </c>
      <c r="D2053" t="s">
        <v>4618</v>
      </c>
      <c r="E2053" s="5">
        <v>46276</v>
      </c>
      <c r="F2053" t="s">
        <v>204</v>
      </c>
      <c r="G2053" t="s">
        <v>213</v>
      </c>
      <c r="H2053">
        <v>2499</v>
      </c>
      <c r="I2053">
        <v>39.979999999999997</v>
      </c>
      <c r="J2053">
        <v>7.2</v>
      </c>
      <c r="K2053">
        <v>2451.8200000000002</v>
      </c>
      <c r="L2053" s="5">
        <v>46278</v>
      </c>
      <c r="M2053" t="s">
        <v>4199</v>
      </c>
      <c r="N2053" t="s">
        <v>207</v>
      </c>
      <c r="O2053" t="s">
        <v>4618</v>
      </c>
      <c r="P2053" t="s">
        <v>208</v>
      </c>
      <c r="Q2053" t="s">
        <v>209</v>
      </c>
    </row>
    <row r="2054" spans="1:17" x14ac:dyDescent="0.3">
      <c r="A2054" t="s">
        <v>4619</v>
      </c>
      <c r="C2054" t="s">
        <v>4620</v>
      </c>
      <c r="D2054" t="s">
        <v>4620</v>
      </c>
      <c r="E2054" s="5">
        <v>46276</v>
      </c>
      <c r="F2054" t="s">
        <v>204</v>
      </c>
      <c r="G2054" t="s">
        <v>213</v>
      </c>
      <c r="H2054">
        <v>3298</v>
      </c>
      <c r="I2054">
        <v>52.77</v>
      </c>
      <c r="J2054">
        <v>9.5</v>
      </c>
      <c r="K2054">
        <v>3235.73</v>
      </c>
      <c r="L2054" s="5">
        <v>46278</v>
      </c>
      <c r="M2054" t="s">
        <v>4199</v>
      </c>
      <c r="N2054" t="s">
        <v>207</v>
      </c>
      <c r="O2054" t="s">
        <v>4620</v>
      </c>
      <c r="P2054" t="s">
        <v>208</v>
      </c>
      <c r="Q2054" t="s">
        <v>209</v>
      </c>
    </row>
    <row r="2055" spans="1:17" x14ac:dyDescent="0.3">
      <c r="A2055" t="s">
        <v>4621</v>
      </c>
      <c r="C2055" t="s">
        <v>4622</v>
      </c>
      <c r="D2055" t="s">
        <v>4622</v>
      </c>
      <c r="E2055" s="5">
        <v>46276</v>
      </c>
      <c r="F2055" t="s">
        <v>204</v>
      </c>
      <c r="G2055" t="s">
        <v>213</v>
      </c>
      <c r="H2055">
        <v>5097</v>
      </c>
      <c r="I2055">
        <v>81.55</v>
      </c>
      <c r="J2055">
        <v>14.68</v>
      </c>
      <c r="K2055">
        <v>5000.7700000000004</v>
      </c>
      <c r="L2055" s="5">
        <v>46278</v>
      </c>
      <c r="M2055" t="s">
        <v>4199</v>
      </c>
      <c r="N2055" t="s">
        <v>207</v>
      </c>
      <c r="O2055" t="s">
        <v>4622</v>
      </c>
      <c r="P2055" t="s">
        <v>208</v>
      </c>
      <c r="Q2055" t="s">
        <v>209</v>
      </c>
    </row>
    <row r="2056" spans="1:17" x14ac:dyDescent="0.3">
      <c r="A2056" t="s">
        <v>4623</v>
      </c>
      <c r="C2056" t="s">
        <v>4624</v>
      </c>
      <c r="D2056" t="s">
        <v>4624</v>
      </c>
      <c r="E2056" s="5">
        <v>46276</v>
      </c>
      <c r="F2056" t="s">
        <v>204</v>
      </c>
      <c r="G2056" t="s">
        <v>220</v>
      </c>
      <c r="H2056">
        <v>349</v>
      </c>
      <c r="I2056">
        <v>0</v>
      </c>
      <c r="J2056">
        <v>0</v>
      </c>
      <c r="K2056">
        <v>349</v>
      </c>
      <c r="L2056" s="5">
        <v>46278</v>
      </c>
      <c r="M2056" t="s">
        <v>4199</v>
      </c>
      <c r="N2056" t="s">
        <v>207</v>
      </c>
      <c r="O2056" t="s">
        <v>4624</v>
      </c>
      <c r="P2056" t="s">
        <v>208</v>
      </c>
      <c r="Q2056" t="s">
        <v>209</v>
      </c>
    </row>
    <row r="2057" spans="1:17" x14ac:dyDescent="0.3">
      <c r="A2057" t="s">
        <v>4625</v>
      </c>
      <c r="C2057" t="s">
        <v>4626</v>
      </c>
      <c r="D2057" t="s">
        <v>4627</v>
      </c>
      <c r="E2057" s="5">
        <v>46276</v>
      </c>
      <c r="F2057" t="s">
        <v>204</v>
      </c>
      <c r="G2057" t="s">
        <v>220</v>
      </c>
      <c r="H2057">
        <v>1499</v>
      </c>
      <c r="I2057">
        <v>0</v>
      </c>
      <c r="J2057">
        <v>0</v>
      </c>
      <c r="K2057">
        <v>1499</v>
      </c>
      <c r="L2057" s="5">
        <v>46278</v>
      </c>
      <c r="M2057" t="s">
        <v>4199</v>
      </c>
      <c r="N2057" t="s">
        <v>207</v>
      </c>
      <c r="O2057" t="s">
        <v>4627</v>
      </c>
      <c r="P2057" t="s">
        <v>208</v>
      </c>
      <c r="Q2057" t="s">
        <v>209</v>
      </c>
    </row>
    <row r="2058" spans="1:17" x14ac:dyDescent="0.3">
      <c r="A2058" t="s">
        <v>4628</v>
      </c>
      <c r="C2058" t="s">
        <v>4629</v>
      </c>
      <c r="D2058" t="s">
        <v>4629</v>
      </c>
      <c r="E2058" s="5">
        <v>46276</v>
      </c>
      <c r="F2058" t="s">
        <v>204</v>
      </c>
      <c r="G2058" t="s">
        <v>213</v>
      </c>
      <c r="H2058">
        <v>598</v>
      </c>
      <c r="I2058">
        <v>10.76</v>
      </c>
      <c r="J2058">
        <v>1.94</v>
      </c>
      <c r="K2058">
        <v>585.29999999999995</v>
      </c>
      <c r="L2058" s="5">
        <v>46278</v>
      </c>
      <c r="M2058" t="s">
        <v>4199</v>
      </c>
      <c r="N2058" t="s">
        <v>207</v>
      </c>
      <c r="O2058" t="s">
        <v>4629</v>
      </c>
      <c r="P2058" t="s">
        <v>208</v>
      </c>
      <c r="Q2058" t="s">
        <v>209</v>
      </c>
    </row>
    <row r="2059" spans="1:17" x14ac:dyDescent="0.3">
      <c r="A2059" t="s">
        <v>4630</v>
      </c>
      <c r="C2059" t="s">
        <v>4631</v>
      </c>
      <c r="D2059" t="s">
        <v>4631</v>
      </c>
      <c r="E2059" s="5">
        <v>46276</v>
      </c>
      <c r="F2059" t="s">
        <v>204</v>
      </c>
      <c r="G2059" t="s">
        <v>220</v>
      </c>
      <c r="H2059">
        <v>299</v>
      </c>
      <c r="I2059">
        <v>0</v>
      </c>
      <c r="J2059">
        <v>0</v>
      </c>
      <c r="K2059">
        <v>299</v>
      </c>
      <c r="L2059" s="5">
        <v>46278</v>
      </c>
      <c r="M2059" t="s">
        <v>4199</v>
      </c>
      <c r="N2059" t="s">
        <v>207</v>
      </c>
      <c r="O2059" t="s">
        <v>4631</v>
      </c>
      <c r="P2059" t="s">
        <v>208</v>
      </c>
      <c r="Q2059" t="s">
        <v>209</v>
      </c>
    </row>
    <row r="2060" spans="1:17" x14ac:dyDescent="0.3">
      <c r="A2060" t="s">
        <v>4632</v>
      </c>
      <c r="C2060" t="s">
        <v>4633</v>
      </c>
      <c r="D2060" t="s">
        <v>4633</v>
      </c>
      <c r="E2060" s="5">
        <v>46276</v>
      </c>
      <c r="F2060" t="s">
        <v>204</v>
      </c>
      <c r="G2060" t="s">
        <v>213</v>
      </c>
      <c r="H2060">
        <v>2998</v>
      </c>
      <c r="I2060">
        <v>47.97</v>
      </c>
      <c r="J2060">
        <v>8.6300000000000008</v>
      </c>
      <c r="K2060">
        <v>2941.4</v>
      </c>
      <c r="L2060" s="5">
        <v>46278</v>
      </c>
      <c r="M2060" t="s">
        <v>4199</v>
      </c>
      <c r="N2060" t="s">
        <v>207</v>
      </c>
      <c r="O2060" t="s">
        <v>4633</v>
      </c>
      <c r="P2060" t="s">
        <v>208</v>
      </c>
      <c r="Q2060" t="s">
        <v>209</v>
      </c>
    </row>
    <row r="2061" spans="1:17" x14ac:dyDescent="0.3">
      <c r="A2061" t="s">
        <v>4634</v>
      </c>
      <c r="C2061" t="s">
        <v>4635</v>
      </c>
      <c r="D2061" t="s">
        <v>4636</v>
      </c>
      <c r="E2061" s="5">
        <v>46276</v>
      </c>
      <c r="F2061" t="s">
        <v>204</v>
      </c>
      <c r="G2061" t="s">
        <v>213</v>
      </c>
      <c r="H2061">
        <v>349</v>
      </c>
      <c r="I2061">
        <v>6.28</v>
      </c>
      <c r="J2061">
        <v>1.1299999999999999</v>
      </c>
      <c r="K2061">
        <v>341.59</v>
      </c>
      <c r="L2061" s="5">
        <v>46278</v>
      </c>
      <c r="M2061" t="s">
        <v>4199</v>
      </c>
      <c r="N2061" t="s">
        <v>207</v>
      </c>
      <c r="O2061" t="s">
        <v>4636</v>
      </c>
      <c r="P2061" t="s">
        <v>208</v>
      </c>
      <c r="Q2061" t="s">
        <v>209</v>
      </c>
    </row>
    <row r="2062" spans="1:17" x14ac:dyDescent="0.3">
      <c r="A2062" t="s">
        <v>4637</v>
      </c>
      <c r="C2062" t="s">
        <v>4638</v>
      </c>
      <c r="D2062" t="s">
        <v>4638</v>
      </c>
      <c r="E2062" s="5">
        <v>46276</v>
      </c>
      <c r="F2062" t="s">
        <v>204</v>
      </c>
      <c r="G2062" t="s">
        <v>220</v>
      </c>
      <c r="H2062">
        <v>2498</v>
      </c>
      <c r="I2062">
        <v>7.49</v>
      </c>
      <c r="J2062">
        <v>1.35</v>
      </c>
      <c r="K2062">
        <v>2489.16</v>
      </c>
      <c r="L2062" s="5">
        <v>46278</v>
      </c>
      <c r="M2062" t="s">
        <v>4199</v>
      </c>
      <c r="N2062" t="s">
        <v>207</v>
      </c>
      <c r="O2062" t="s">
        <v>4638</v>
      </c>
      <c r="P2062" t="s">
        <v>208</v>
      </c>
      <c r="Q2062" t="s">
        <v>209</v>
      </c>
    </row>
    <row r="2063" spans="1:17" x14ac:dyDescent="0.3">
      <c r="A2063" t="s">
        <v>4639</v>
      </c>
      <c r="B2063" t="s">
        <v>3305</v>
      </c>
      <c r="E2063" s="5">
        <v>46276</v>
      </c>
      <c r="F2063" t="s">
        <v>921</v>
      </c>
      <c r="G2063" t="s">
        <v>220</v>
      </c>
      <c r="H2063">
        <v>4999</v>
      </c>
      <c r="I2063">
        <v>0</v>
      </c>
      <c r="J2063">
        <v>0</v>
      </c>
      <c r="K2063">
        <v>-4999</v>
      </c>
      <c r="L2063" s="5">
        <v>46278</v>
      </c>
      <c r="M2063" t="s">
        <v>4199</v>
      </c>
      <c r="N2063" t="s">
        <v>207</v>
      </c>
      <c r="O2063" t="s">
        <v>3306</v>
      </c>
      <c r="P2063" t="s">
        <v>208</v>
      </c>
    </row>
    <row r="2064" spans="1:17" x14ac:dyDescent="0.3">
      <c r="A2064" t="s">
        <v>4640</v>
      </c>
      <c r="B2064" t="s">
        <v>3996</v>
      </c>
      <c r="E2064" s="5">
        <v>46276</v>
      </c>
      <c r="F2064" t="s">
        <v>921</v>
      </c>
      <c r="G2064" t="s">
        <v>213</v>
      </c>
      <c r="H2064">
        <v>1499</v>
      </c>
      <c r="I2064">
        <v>0</v>
      </c>
      <c r="J2064">
        <v>0</v>
      </c>
      <c r="K2064">
        <v>-1499</v>
      </c>
      <c r="L2064" s="5">
        <v>46278</v>
      </c>
      <c r="M2064" t="s">
        <v>4199</v>
      </c>
      <c r="N2064" t="s">
        <v>207</v>
      </c>
      <c r="O2064" t="s">
        <v>3997</v>
      </c>
      <c r="P2064" t="s">
        <v>208</v>
      </c>
    </row>
    <row r="2065" spans="1:17" x14ac:dyDescent="0.3">
      <c r="A2065" t="s">
        <v>4641</v>
      </c>
      <c r="B2065" t="s">
        <v>3287</v>
      </c>
      <c r="E2065" s="5">
        <v>46276</v>
      </c>
      <c r="F2065" t="s">
        <v>921</v>
      </c>
      <c r="G2065" t="s">
        <v>220</v>
      </c>
      <c r="H2065">
        <v>6797</v>
      </c>
      <c r="I2065">
        <v>0</v>
      </c>
      <c r="J2065">
        <v>0</v>
      </c>
      <c r="K2065">
        <v>-6797</v>
      </c>
      <c r="L2065" s="5">
        <v>46278</v>
      </c>
      <c r="M2065" t="s">
        <v>4199</v>
      </c>
      <c r="N2065" t="s">
        <v>207</v>
      </c>
      <c r="O2065" t="s">
        <v>3289</v>
      </c>
      <c r="P2065" t="s">
        <v>208</v>
      </c>
    </row>
    <row r="2066" spans="1:17" x14ac:dyDescent="0.3">
      <c r="A2066" t="s">
        <v>4642</v>
      </c>
      <c r="B2066" t="s">
        <v>3113</v>
      </c>
      <c r="E2066" s="5">
        <v>46276</v>
      </c>
      <c r="F2066" t="s">
        <v>921</v>
      </c>
      <c r="G2066" t="s">
        <v>255</v>
      </c>
      <c r="H2066">
        <v>9998</v>
      </c>
      <c r="I2066">
        <v>0</v>
      </c>
      <c r="J2066">
        <v>0</v>
      </c>
      <c r="K2066">
        <v>-9998</v>
      </c>
      <c r="L2066" s="5">
        <v>46278</v>
      </c>
      <c r="M2066" t="s">
        <v>4199</v>
      </c>
      <c r="N2066" t="s">
        <v>207</v>
      </c>
      <c r="O2066" t="s">
        <v>3114</v>
      </c>
      <c r="P2066" t="s">
        <v>208</v>
      </c>
    </row>
    <row r="2067" spans="1:17" x14ac:dyDescent="0.3">
      <c r="A2067" t="s">
        <v>4643</v>
      </c>
      <c r="B2067" t="s">
        <v>3684</v>
      </c>
      <c r="E2067" s="5">
        <v>46276</v>
      </c>
      <c r="F2067" t="s">
        <v>921</v>
      </c>
      <c r="G2067" t="s">
        <v>213</v>
      </c>
      <c r="H2067">
        <v>349</v>
      </c>
      <c r="I2067">
        <v>0</v>
      </c>
      <c r="J2067">
        <v>0</v>
      </c>
      <c r="K2067">
        <v>-349</v>
      </c>
      <c r="L2067" s="5">
        <v>46278</v>
      </c>
      <c r="M2067" t="s">
        <v>4199</v>
      </c>
      <c r="N2067" t="s">
        <v>207</v>
      </c>
      <c r="O2067" t="s">
        <v>3685</v>
      </c>
      <c r="P2067" t="s">
        <v>208</v>
      </c>
    </row>
    <row r="2068" spans="1:17" x14ac:dyDescent="0.3">
      <c r="A2068" t="s">
        <v>4644</v>
      </c>
      <c r="B2068" t="s">
        <v>3833</v>
      </c>
      <c r="E2068" s="5">
        <v>46276</v>
      </c>
      <c r="F2068" t="s">
        <v>921</v>
      </c>
      <c r="G2068" t="s">
        <v>220</v>
      </c>
      <c r="H2068">
        <v>299</v>
      </c>
      <c r="I2068">
        <v>0</v>
      </c>
      <c r="J2068">
        <v>0</v>
      </c>
      <c r="K2068">
        <v>-299</v>
      </c>
      <c r="L2068" s="5">
        <v>46278</v>
      </c>
      <c r="M2068" t="s">
        <v>4199</v>
      </c>
      <c r="N2068" t="s">
        <v>207</v>
      </c>
      <c r="O2068" t="s">
        <v>3834</v>
      </c>
      <c r="P2068" t="s">
        <v>208</v>
      </c>
    </row>
    <row r="2069" spans="1:17" x14ac:dyDescent="0.3">
      <c r="A2069" t="s">
        <v>4645</v>
      </c>
      <c r="B2069" t="s">
        <v>3467</v>
      </c>
      <c r="E2069" s="5">
        <v>46276</v>
      </c>
      <c r="F2069" t="s">
        <v>921</v>
      </c>
      <c r="G2069" t="s">
        <v>220</v>
      </c>
      <c r="H2069">
        <v>3499</v>
      </c>
      <c r="I2069">
        <v>0</v>
      </c>
      <c r="J2069">
        <v>0</v>
      </c>
      <c r="K2069">
        <v>-3499</v>
      </c>
      <c r="L2069" s="5">
        <v>46278</v>
      </c>
      <c r="M2069" t="s">
        <v>4199</v>
      </c>
      <c r="N2069" t="s">
        <v>207</v>
      </c>
      <c r="O2069" t="s">
        <v>3468</v>
      </c>
      <c r="P2069" t="s">
        <v>208</v>
      </c>
    </row>
    <row r="2070" spans="1:17" x14ac:dyDescent="0.3">
      <c r="A2070" t="s">
        <v>4646</v>
      </c>
      <c r="B2070" t="s">
        <v>3033</v>
      </c>
      <c r="E2070" s="5">
        <v>46276</v>
      </c>
      <c r="F2070" t="s">
        <v>921</v>
      </c>
      <c r="G2070" t="s">
        <v>220</v>
      </c>
      <c r="H2070">
        <v>5348</v>
      </c>
      <c r="I2070">
        <v>0</v>
      </c>
      <c r="J2070">
        <v>0</v>
      </c>
      <c r="K2070">
        <v>-5348</v>
      </c>
      <c r="L2070" s="5">
        <v>46278</v>
      </c>
      <c r="M2070" t="s">
        <v>4199</v>
      </c>
      <c r="N2070" t="s">
        <v>207</v>
      </c>
      <c r="O2070" t="s">
        <v>3034</v>
      </c>
      <c r="P2070" t="s">
        <v>208</v>
      </c>
    </row>
    <row r="2071" spans="1:17" x14ac:dyDescent="0.3">
      <c r="A2071" t="s">
        <v>4647</v>
      </c>
      <c r="B2071" t="s">
        <v>1890</v>
      </c>
      <c r="E2071" s="5">
        <v>46276</v>
      </c>
      <c r="F2071" t="s">
        <v>921</v>
      </c>
      <c r="G2071" t="s">
        <v>213</v>
      </c>
      <c r="H2071">
        <v>1198</v>
      </c>
      <c r="I2071">
        <v>0</v>
      </c>
      <c r="J2071">
        <v>0</v>
      </c>
      <c r="K2071">
        <v>-1198</v>
      </c>
      <c r="L2071" s="5">
        <v>46278</v>
      </c>
      <c r="M2071" t="s">
        <v>4199</v>
      </c>
      <c r="N2071" t="s">
        <v>207</v>
      </c>
      <c r="O2071" t="s">
        <v>1891</v>
      </c>
      <c r="P2071" t="s">
        <v>208</v>
      </c>
    </row>
    <row r="2072" spans="1:17" x14ac:dyDescent="0.3">
      <c r="A2072" t="s">
        <v>4648</v>
      </c>
      <c r="B2072" t="s">
        <v>4124</v>
      </c>
      <c r="E2072" s="5">
        <v>46276</v>
      </c>
      <c r="F2072" t="s">
        <v>921</v>
      </c>
      <c r="G2072" t="s">
        <v>205</v>
      </c>
      <c r="H2072">
        <v>7297</v>
      </c>
      <c r="I2072">
        <v>0</v>
      </c>
      <c r="J2072">
        <v>0</v>
      </c>
      <c r="K2072">
        <v>-7297</v>
      </c>
      <c r="L2072" s="5">
        <v>46278</v>
      </c>
      <c r="M2072" t="s">
        <v>4199</v>
      </c>
      <c r="N2072" t="s">
        <v>207</v>
      </c>
      <c r="O2072" t="s">
        <v>4125</v>
      </c>
      <c r="P2072" t="s">
        <v>208</v>
      </c>
    </row>
    <row r="2073" spans="1:17" x14ac:dyDescent="0.3">
      <c r="A2073" t="s">
        <v>4649</v>
      </c>
      <c r="B2073" t="s">
        <v>3439</v>
      </c>
      <c r="E2073" s="5">
        <v>46276</v>
      </c>
      <c r="F2073" t="s">
        <v>921</v>
      </c>
      <c r="G2073" t="s">
        <v>255</v>
      </c>
      <c r="H2073">
        <v>9798</v>
      </c>
      <c r="I2073">
        <v>0</v>
      </c>
      <c r="J2073">
        <v>0</v>
      </c>
      <c r="K2073">
        <v>-9798</v>
      </c>
      <c r="L2073" s="5">
        <v>46278</v>
      </c>
      <c r="M2073" t="s">
        <v>4199</v>
      </c>
      <c r="N2073" t="s">
        <v>207</v>
      </c>
      <c r="O2073" t="s">
        <v>3440</v>
      </c>
      <c r="P2073" t="s">
        <v>208</v>
      </c>
    </row>
    <row r="2074" spans="1:17" x14ac:dyDescent="0.3">
      <c r="A2074" t="s">
        <v>4650</v>
      </c>
      <c r="B2074" t="s">
        <v>2248</v>
      </c>
      <c r="E2074" s="5">
        <v>46276</v>
      </c>
      <c r="F2074" t="s">
        <v>921</v>
      </c>
      <c r="G2074" t="s">
        <v>220</v>
      </c>
      <c r="H2074">
        <v>1798</v>
      </c>
      <c r="I2074">
        <v>0</v>
      </c>
      <c r="J2074">
        <v>0</v>
      </c>
      <c r="K2074">
        <v>-1798</v>
      </c>
      <c r="L2074" s="5">
        <v>46278</v>
      </c>
      <c r="M2074" t="s">
        <v>4199</v>
      </c>
      <c r="N2074" t="s">
        <v>207</v>
      </c>
      <c r="O2074" t="s">
        <v>2249</v>
      </c>
      <c r="P2074" t="s">
        <v>208</v>
      </c>
    </row>
    <row r="2075" spans="1:17" x14ac:dyDescent="0.3">
      <c r="A2075" t="s">
        <v>4651</v>
      </c>
      <c r="C2075" t="s">
        <v>4652</v>
      </c>
      <c r="D2075" t="s">
        <v>4652</v>
      </c>
      <c r="E2075" s="5">
        <v>46277</v>
      </c>
      <c r="F2075" t="s">
        <v>204</v>
      </c>
      <c r="G2075" t="s">
        <v>220</v>
      </c>
      <c r="H2075">
        <v>349</v>
      </c>
      <c r="I2075">
        <v>0</v>
      </c>
      <c r="J2075">
        <v>0</v>
      </c>
      <c r="K2075">
        <v>349</v>
      </c>
      <c r="L2075" s="5">
        <v>46279</v>
      </c>
      <c r="M2075" t="s">
        <v>4653</v>
      </c>
      <c r="N2075" t="s">
        <v>207</v>
      </c>
      <c r="O2075" t="s">
        <v>4652</v>
      </c>
      <c r="P2075" t="s">
        <v>208</v>
      </c>
      <c r="Q2075" t="s">
        <v>209</v>
      </c>
    </row>
    <row r="2076" spans="1:17" x14ac:dyDescent="0.3">
      <c r="A2076" t="s">
        <v>4654</v>
      </c>
      <c r="C2076" t="s">
        <v>4655</v>
      </c>
      <c r="D2076" t="s">
        <v>4656</v>
      </c>
      <c r="E2076" s="5">
        <v>46277</v>
      </c>
      <c r="F2076" t="s">
        <v>204</v>
      </c>
      <c r="G2076" t="s">
        <v>205</v>
      </c>
      <c r="H2076">
        <v>2999</v>
      </c>
      <c r="I2076">
        <v>50.98</v>
      </c>
      <c r="J2076">
        <v>9.18</v>
      </c>
      <c r="K2076">
        <v>2938.84</v>
      </c>
      <c r="L2076" s="5">
        <v>46279</v>
      </c>
      <c r="M2076" t="s">
        <v>4653</v>
      </c>
      <c r="N2076" t="s">
        <v>207</v>
      </c>
      <c r="O2076" t="s">
        <v>4656</v>
      </c>
      <c r="P2076" t="s">
        <v>208</v>
      </c>
      <c r="Q2076" t="s">
        <v>209</v>
      </c>
    </row>
    <row r="2077" spans="1:17" x14ac:dyDescent="0.3">
      <c r="A2077" t="s">
        <v>4657</v>
      </c>
      <c r="C2077" t="s">
        <v>4658</v>
      </c>
      <c r="D2077" t="s">
        <v>4658</v>
      </c>
      <c r="E2077" s="5">
        <v>46277</v>
      </c>
      <c r="F2077" t="s">
        <v>204</v>
      </c>
      <c r="G2077" t="s">
        <v>220</v>
      </c>
      <c r="H2077">
        <v>4298</v>
      </c>
      <c r="I2077">
        <v>12.89</v>
      </c>
      <c r="J2077">
        <v>2.3199999999999998</v>
      </c>
      <c r="K2077">
        <v>4282.79</v>
      </c>
      <c r="L2077" s="5">
        <v>46279</v>
      </c>
      <c r="M2077" t="s">
        <v>4653</v>
      </c>
      <c r="N2077" t="s">
        <v>207</v>
      </c>
      <c r="O2077" t="s">
        <v>4658</v>
      </c>
      <c r="P2077" t="s">
        <v>208</v>
      </c>
      <c r="Q2077" t="s">
        <v>209</v>
      </c>
    </row>
    <row r="2078" spans="1:17" x14ac:dyDescent="0.3">
      <c r="A2078" t="s">
        <v>4659</v>
      </c>
      <c r="C2078" t="s">
        <v>4660</v>
      </c>
      <c r="D2078" t="s">
        <v>4660</v>
      </c>
      <c r="E2078" s="5">
        <v>46277</v>
      </c>
      <c r="F2078" t="s">
        <v>204</v>
      </c>
      <c r="G2078" t="s">
        <v>205</v>
      </c>
      <c r="H2078">
        <v>3598</v>
      </c>
      <c r="I2078">
        <v>61.17</v>
      </c>
      <c r="J2078">
        <v>11.01</v>
      </c>
      <c r="K2078">
        <v>3525.82</v>
      </c>
      <c r="L2078" s="5">
        <v>46279</v>
      </c>
      <c r="M2078" t="s">
        <v>4653</v>
      </c>
      <c r="N2078" t="s">
        <v>207</v>
      </c>
      <c r="O2078" t="s">
        <v>4660</v>
      </c>
      <c r="P2078" t="s">
        <v>208</v>
      </c>
      <c r="Q2078" t="s">
        <v>209</v>
      </c>
    </row>
    <row r="2079" spans="1:17" x14ac:dyDescent="0.3">
      <c r="A2079" t="s">
        <v>4661</v>
      </c>
      <c r="C2079" t="s">
        <v>4662</v>
      </c>
      <c r="D2079" t="s">
        <v>4662</v>
      </c>
      <c r="E2079" s="5">
        <v>46277</v>
      </c>
      <c r="F2079" t="s">
        <v>204</v>
      </c>
      <c r="G2079" t="s">
        <v>213</v>
      </c>
      <c r="H2079">
        <v>1098</v>
      </c>
      <c r="I2079">
        <v>19.760000000000002</v>
      </c>
      <c r="J2079">
        <v>3.56</v>
      </c>
      <c r="K2079">
        <v>1074.68</v>
      </c>
      <c r="L2079" s="5">
        <v>46279</v>
      </c>
      <c r="M2079" t="s">
        <v>4653</v>
      </c>
      <c r="N2079" t="s">
        <v>207</v>
      </c>
      <c r="O2079" t="s">
        <v>4662</v>
      </c>
      <c r="P2079" t="s">
        <v>208</v>
      </c>
      <c r="Q2079" t="s">
        <v>209</v>
      </c>
    </row>
    <row r="2080" spans="1:17" x14ac:dyDescent="0.3">
      <c r="A2080" t="s">
        <v>4663</v>
      </c>
      <c r="C2080" t="s">
        <v>4664</v>
      </c>
      <c r="D2080" t="s">
        <v>4664</v>
      </c>
      <c r="E2080" s="5">
        <v>46277</v>
      </c>
      <c r="F2080" t="s">
        <v>204</v>
      </c>
      <c r="G2080" t="s">
        <v>220</v>
      </c>
      <c r="H2080">
        <v>299</v>
      </c>
      <c r="I2080">
        <v>0</v>
      </c>
      <c r="J2080">
        <v>0</v>
      </c>
      <c r="K2080">
        <v>299</v>
      </c>
      <c r="L2080" s="5">
        <v>46279</v>
      </c>
      <c r="M2080" t="s">
        <v>4653</v>
      </c>
      <c r="N2080" t="s">
        <v>207</v>
      </c>
      <c r="O2080" t="s">
        <v>4664</v>
      </c>
      <c r="P2080" t="s">
        <v>208</v>
      </c>
      <c r="Q2080" t="s">
        <v>209</v>
      </c>
    </row>
    <row r="2081" spans="1:17" x14ac:dyDescent="0.3">
      <c r="A2081" t="s">
        <v>4665</v>
      </c>
      <c r="C2081" t="s">
        <v>4666</v>
      </c>
      <c r="D2081" t="s">
        <v>4666</v>
      </c>
      <c r="E2081" s="5">
        <v>46277</v>
      </c>
      <c r="F2081" t="s">
        <v>204</v>
      </c>
      <c r="G2081" t="s">
        <v>213</v>
      </c>
      <c r="H2081">
        <v>5497</v>
      </c>
      <c r="I2081">
        <v>87.95</v>
      </c>
      <c r="J2081">
        <v>15.83</v>
      </c>
      <c r="K2081">
        <v>5393.22</v>
      </c>
      <c r="L2081" s="5">
        <v>46279</v>
      </c>
      <c r="M2081" t="s">
        <v>4653</v>
      </c>
      <c r="N2081" t="s">
        <v>207</v>
      </c>
      <c r="O2081" t="s">
        <v>4666</v>
      </c>
      <c r="P2081" t="s">
        <v>208</v>
      </c>
      <c r="Q2081" t="s">
        <v>209</v>
      </c>
    </row>
    <row r="2082" spans="1:17" x14ac:dyDescent="0.3">
      <c r="A2082" t="s">
        <v>4667</v>
      </c>
      <c r="C2082" t="s">
        <v>4668</v>
      </c>
      <c r="D2082" t="s">
        <v>4668</v>
      </c>
      <c r="E2082" s="5">
        <v>46277</v>
      </c>
      <c r="F2082" t="s">
        <v>204</v>
      </c>
      <c r="G2082" t="s">
        <v>220</v>
      </c>
      <c r="H2082">
        <v>3798</v>
      </c>
      <c r="I2082">
        <v>11.39</v>
      </c>
      <c r="J2082">
        <v>2.0499999999999998</v>
      </c>
      <c r="K2082">
        <v>3784.56</v>
      </c>
      <c r="L2082" s="5">
        <v>46279</v>
      </c>
      <c r="M2082" t="s">
        <v>4653</v>
      </c>
      <c r="N2082" t="s">
        <v>207</v>
      </c>
      <c r="O2082" t="s">
        <v>4668</v>
      </c>
      <c r="P2082" t="s">
        <v>208</v>
      </c>
      <c r="Q2082" t="s">
        <v>209</v>
      </c>
    </row>
    <row r="2083" spans="1:17" x14ac:dyDescent="0.3">
      <c r="A2083" t="s">
        <v>4669</v>
      </c>
      <c r="C2083" t="s">
        <v>4670</v>
      </c>
      <c r="D2083" t="s">
        <v>4671</v>
      </c>
      <c r="E2083" s="5">
        <v>46277</v>
      </c>
      <c r="F2083" t="s">
        <v>204</v>
      </c>
      <c r="G2083" t="s">
        <v>220</v>
      </c>
      <c r="H2083">
        <v>9847</v>
      </c>
      <c r="I2083">
        <v>29.54</v>
      </c>
      <c r="J2083">
        <v>5.32</v>
      </c>
      <c r="K2083">
        <v>9812.14</v>
      </c>
      <c r="L2083" s="5">
        <v>46279</v>
      </c>
      <c r="M2083" t="s">
        <v>4653</v>
      </c>
      <c r="N2083" t="s">
        <v>207</v>
      </c>
      <c r="O2083" t="s">
        <v>4671</v>
      </c>
      <c r="P2083" t="s">
        <v>208</v>
      </c>
      <c r="Q2083" t="s">
        <v>209</v>
      </c>
    </row>
    <row r="2084" spans="1:17" x14ac:dyDescent="0.3">
      <c r="A2084" t="s">
        <v>4672</v>
      </c>
      <c r="C2084" t="s">
        <v>4673</v>
      </c>
      <c r="D2084" t="s">
        <v>4673</v>
      </c>
      <c r="E2084" s="5">
        <v>46277</v>
      </c>
      <c r="F2084" t="s">
        <v>204</v>
      </c>
      <c r="G2084" t="s">
        <v>255</v>
      </c>
      <c r="H2084">
        <v>1299</v>
      </c>
      <c r="I2084">
        <v>19.489999999999998</v>
      </c>
      <c r="J2084">
        <v>3.51</v>
      </c>
      <c r="K2084">
        <v>1276</v>
      </c>
      <c r="L2084" s="5">
        <v>46279</v>
      </c>
      <c r="M2084" t="s">
        <v>4653</v>
      </c>
      <c r="N2084" t="s">
        <v>207</v>
      </c>
      <c r="O2084" t="s">
        <v>4673</v>
      </c>
      <c r="P2084" t="s">
        <v>208</v>
      </c>
      <c r="Q2084" t="s">
        <v>209</v>
      </c>
    </row>
    <row r="2085" spans="1:17" x14ac:dyDescent="0.3">
      <c r="A2085" t="s">
        <v>4674</v>
      </c>
      <c r="C2085" t="s">
        <v>4675</v>
      </c>
      <c r="D2085" t="s">
        <v>4675</v>
      </c>
      <c r="E2085" s="5">
        <v>46277</v>
      </c>
      <c r="F2085" t="s">
        <v>204</v>
      </c>
      <c r="G2085" t="s">
        <v>213</v>
      </c>
      <c r="H2085">
        <v>2998</v>
      </c>
      <c r="I2085">
        <v>47.97</v>
      </c>
      <c r="J2085">
        <v>8.6300000000000008</v>
      </c>
      <c r="K2085">
        <v>2941.4</v>
      </c>
      <c r="L2085" s="5">
        <v>46279</v>
      </c>
      <c r="M2085" t="s">
        <v>4653</v>
      </c>
      <c r="N2085" t="s">
        <v>207</v>
      </c>
      <c r="O2085" t="s">
        <v>4675</v>
      </c>
      <c r="P2085" t="s">
        <v>208</v>
      </c>
      <c r="Q2085" t="s">
        <v>209</v>
      </c>
    </row>
    <row r="2086" spans="1:17" x14ac:dyDescent="0.3">
      <c r="A2086" t="s">
        <v>4676</v>
      </c>
      <c r="C2086" t="s">
        <v>4677</v>
      </c>
      <c r="D2086" t="s">
        <v>4678</v>
      </c>
      <c r="E2086" s="5">
        <v>46277</v>
      </c>
      <c r="F2086" t="s">
        <v>204</v>
      </c>
      <c r="G2086" t="s">
        <v>220</v>
      </c>
      <c r="H2086">
        <v>3298</v>
      </c>
      <c r="I2086">
        <v>9.89</v>
      </c>
      <c r="J2086">
        <v>1.78</v>
      </c>
      <c r="K2086">
        <v>3286.33</v>
      </c>
      <c r="L2086" s="5">
        <v>46279</v>
      </c>
      <c r="M2086" t="s">
        <v>4653</v>
      </c>
      <c r="N2086" t="s">
        <v>207</v>
      </c>
      <c r="O2086" t="s">
        <v>4678</v>
      </c>
      <c r="P2086" t="s">
        <v>208</v>
      </c>
      <c r="Q2086" t="s">
        <v>209</v>
      </c>
    </row>
    <row r="2087" spans="1:17" x14ac:dyDescent="0.3">
      <c r="A2087" t="s">
        <v>4679</v>
      </c>
      <c r="C2087" t="s">
        <v>4680</v>
      </c>
      <c r="D2087" t="s">
        <v>4680</v>
      </c>
      <c r="E2087" s="5">
        <v>46277</v>
      </c>
      <c r="F2087" t="s">
        <v>204</v>
      </c>
      <c r="G2087" t="s">
        <v>220</v>
      </c>
      <c r="H2087">
        <v>2998</v>
      </c>
      <c r="I2087">
        <v>8.99</v>
      </c>
      <c r="J2087">
        <v>1.62</v>
      </c>
      <c r="K2087">
        <v>2987.39</v>
      </c>
      <c r="L2087" s="5">
        <v>46279</v>
      </c>
      <c r="M2087" t="s">
        <v>4653</v>
      </c>
      <c r="N2087" t="s">
        <v>207</v>
      </c>
      <c r="O2087" t="s">
        <v>4680</v>
      </c>
      <c r="P2087" t="s">
        <v>208</v>
      </c>
      <c r="Q2087" t="s">
        <v>209</v>
      </c>
    </row>
    <row r="2088" spans="1:17" x14ac:dyDescent="0.3">
      <c r="A2088" t="s">
        <v>4681</v>
      </c>
      <c r="C2088" t="s">
        <v>4682</v>
      </c>
      <c r="D2088" t="s">
        <v>4682</v>
      </c>
      <c r="E2088" s="5">
        <v>46277</v>
      </c>
      <c r="F2088" t="s">
        <v>204</v>
      </c>
      <c r="G2088" t="s">
        <v>205</v>
      </c>
      <c r="H2088">
        <v>3498</v>
      </c>
      <c r="I2088">
        <v>59.47</v>
      </c>
      <c r="J2088">
        <v>10.7</v>
      </c>
      <c r="K2088">
        <v>3427.83</v>
      </c>
      <c r="L2088" s="5">
        <v>46279</v>
      </c>
      <c r="M2088" t="s">
        <v>4653</v>
      </c>
      <c r="N2088" t="s">
        <v>207</v>
      </c>
      <c r="O2088" t="s">
        <v>4682</v>
      </c>
      <c r="P2088" t="s">
        <v>208</v>
      </c>
      <c r="Q2088" t="s">
        <v>209</v>
      </c>
    </row>
    <row r="2089" spans="1:17" x14ac:dyDescent="0.3">
      <c r="A2089" t="s">
        <v>4683</v>
      </c>
      <c r="C2089" t="s">
        <v>4684</v>
      </c>
      <c r="D2089" t="s">
        <v>4684</v>
      </c>
      <c r="E2089" s="5">
        <v>46277</v>
      </c>
      <c r="F2089" t="s">
        <v>204</v>
      </c>
      <c r="G2089" t="s">
        <v>220</v>
      </c>
      <c r="H2089">
        <v>1799</v>
      </c>
      <c r="I2089">
        <v>0</v>
      </c>
      <c r="J2089">
        <v>0</v>
      </c>
      <c r="K2089">
        <v>1799</v>
      </c>
      <c r="L2089" s="5">
        <v>46279</v>
      </c>
      <c r="M2089" t="s">
        <v>4653</v>
      </c>
      <c r="N2089" t="s">
        <v>207</v>
      </c>
      <c r="O2089" t="s">
        <v>4684</v>
      </c>
      <c r="P2089" t="s">
        <v>208</v>
      </c>
      <c r="Q2089" t="s">
        <v>209</v>
      </c>
    </row>
    <row r="2090" spans="1:17" x14ac:dyDescent="0.3">
      <c r="A2090" t="s">
        <v>4685</v>
      </c>
      <c r="C2090" t="s">
        <v>4686</v>
      </c>
      <c r="D2090" t="s">
        <v>4686</v>
      </c>
      <c r="E2090" s="5">
        <v>46277</v>
      </c>
      <c r="F2090" t="s">
        <v>204</v>
      </c>
      <c r="G2090" t="s">
        <v>220</v>
      </c>
      <c r="H2090">
        <v>1499</v>
      </c>
      <c r="I2090">
        <v>0</v>
      </c>
      <c r="J2090">
        <v>0</v>
      </c>
      <c r="K2090">
        <v>1499</v>
      </c>
      <c r="L2090" s="5">
        <v>46279</v>
      </c>
      <c r="M2090" t="s">
        <v>4653</v>
      </c>
      <c r="N2090" t="s">
        <v>207</v>
      </c>
      <c r="O2090" t="s">
        <v>4686</v>
      </c>
      <c r="P2090" t="s">
        <v>208</v>
      </c>
      <c r="Q2090" t="s">
        <v>209</v>
      </c>
    </row>
    <row r="2091" spans="1:17" x14ac:dyDescent="0.3">
      <c r="A2091" t="s">
        <v>4687</v>
      </c>
      <c r="C2091" t="s">
        <v>4688</v>
      </c>
      <c r="D2091" t="s">
        <v>4688</v>
      </c>
      <c r="E2091" s="5">
        <v>46277</v>
      </c>
      <c r="F2091" t="s">
        <v>204</v>
      </c>
      <c r="G2091" t="s">
        <v>213</v>
      </c>
      <c r="H2091">
        <v>1298</v>
      </c>
      <c r="I2091">
        <v>23.36</v>
      </c>
      <c r="J2091">
        <v>4.2</v>
      </c>
      <c r="K2091">
        <v>1270.44</v>
      </c>
      <c r="L2091" s="5">
        <v>46279</v>
      </c>
      <c r="M2091" t="s">
        <v>4653</v>
      </c>
      <c r="N2091" t="s">
        <v>207</v>
      </c>
      <c r="O2091" t="s">
        <v>4688</v>
      </c>
      <c r="P2091" t="s">
        <v>208</v>
      </c>
      <c r="Q2091" t="s">
        <v>209</v>
      </c>
    </row>
    <row r="2092" spans="1:17" x14ac:dyDescent="0.3">
      <c r="A2092" t="s">
        <v>4689</v>
      </c>
      <c r="C2092" t="s">
        <v>4690</v>
      </c>
      <c r="D2092" t="s">
        <v>4690</v>
      </c>
      <c r="E2092" s="5">
        <v>46277</v>
      </c>
      <c r="F2092" t="s">
        <v>204</v>
      </c>
      <c r="G2092" t="s">
        <v>255</v>
      </c>
      <c r="H2092">
        <v>1299</v>
      </c>
      <c r="I2092">
        <v>19.489999999999998</v>
      </c>
      <c r="J2092">
        <v>3.51</v>
      </c>
      <c r="K2092">
        <v>1276</v>
      </c>
      <c r="L2092" s="5">
        <v>46279</v>
      </c>
      <c r="M2092" t="s">
        <v>4653</v>
      </c>
      <c r="N2092" t="s">
        <v>207</v>
      </c>
      <c r="O2092" t="s">
        <v>4690</v>
      </c>
      <c r="P2092" t="s">
        <v>208</v>
      </c>
      <c r="Q2092" t="s">
        <v>209</v>
      </c>
    </row>
    <row r="2093" spans="1:17" x14ac:dyDescent="0.3">
      <c r="A2093" t="s">
        <v>4691</v>
      </c>
      <c r="C2093" t="s">
        <v>4692</v>
      </c>
      <c r="D2093" t="s">
        <v>4693</v>
      </c>
      <c r="E2093" s="5">
        <v>46277</v>
      </c>
      <c r="F2093" t="s">
        <v>204</v>
      </c>
      <c r="G2093" t="s">
        <v>213</v>
      </c>
      <c r="H2093">
        <v>5847</v>
      </c>
      <c r="I2093">
        <v>93.55</v>
      </c>
      <c r="J2093">
        <v>16.84</v>
      </c>
      <c r="K2093">
        <v>5736.61</v>
      </c>
      <c r="L2093" s="5">
        <v>46279</v>
      </c>
      <c r="M2093" t="s">
        <v>4653</v>
      </c>
      <c r="N2093" t="s">
        <v>207</v>
      </c>
      <c r="O2093" t="s">
        <v>4693</v>
      </c>
      <c r="P2093" t="s">
        <v>208</v>
      </c>
      <c r="Q2093" t="s">
        <v>209</v>
      </c>
    </row>
    <row r="2094" spans="1:17" x14ac:dyDescent="0.3">
      <c r="A2094" t="s">
        <v>4694</v>
      </c>
      <c r="C2094" t="s">
        <v>4695</v>
      </c>
      <c r="D2094" t="s">
        <v>4696</v>
      </c>
      <c r="E2094" s="5">
        <v>46277</v>
      </c>
      <c r="F2094" t="s">
        <v>204</v>
      </c>
      <c r="G2094" t="s">
        <v>220</v>
      </c>
      <c r="H2094">
        <v>2597</v>
      </c>
      <c r="I2094">
        <v>7.79</v>
      </c>
      <c r="J2094">
        <v>1.4</v>
      </c>
      <c r="K2094">
        <v>2587.81</v>
      </c>
      <c r="L2094" s="5">
        <v>46279</v>
      </c>
      <c r="M2094" t="s">
        <v>4653</v>
      </c>
      <c r="N2094" t="s">
        <v>207</v>
      </c>
      <c r="O2094" t="s">
        <v>4696</v>
      </c>
      <c r="P2094" t="s">
        <v>208</v>
      </c>
      <c r="Q2094" t="s">
        <v>209</v>
      </c>
    </row>
    <row r="2095" spans="1:17" x14ac:dyDescent="0.3">
      <c r="A2095" t="s">
        <v>4697</v>
      </c>
      <c r="C2095" t="s">
        <v>4698</v>
      </c>
      <c r="D2095" t="s">
        <v>4698</v>
      </c>
      <c r="E2095" s="5">
        <v>46277</v>
      </c>
      <c r="F2095" t="s">
        <v>204</v>
      </c>
      <c r="G2095" t="s">
        <v>220</v>
      </c>
      <c r="H2095">
        <v>1499</v>
      </c>
      <c r="I2095">
        <v>0</v>
      </c>
      <c r="J2095">
        <v>0</v>
      </c>
      <c r="K2095">
        <v>1499</v>
      </c>
      <c r="L2095" s="5">
        <v>46279</v>
      </c>
      <c r="M2095" t="s">
        <v>4653</v>
      </c>
      <c r="N2095" t="s">
        <v>207</v>
      </c>
      <c r="O2095" t="s">
        <v>4698</v>
      </c>
      <c r="P2095" t="s">
        <v>208</v>
      </c>
      <c r="Q2095" t="s">
        <v>209</v>
      </c>
    </row>
    <row r="2096" spans="1:17" x14ac:dyDescent="0.3">
      <c r="A2096" t="s">
        <v>4699</v>
      </c>
      <c r="C2096" t="s">
        <v>4700</v>
      </c>
      <c r="D2096" t="s">
        <v>4700</v>
      </c>
      <c r="E2096" s="5">
        <v>46277</v>
      </c>
      <c r="F2096" t="s">
        <v>204</v>
      </c>
      <c r="G2096" t="s">
        <v>213</v>
      </c>
      <c r="H2096">
        <v>2848</v>
      </c>
      <c r="I2096">
        <v>45.57</v>
      </c>
      <c r="J2096">
        <v>8.1999999999999993</v>
      </c>
      <c r="K2096">
        <v>2794.23</v>
      </c>
      <c r="L2096" s="5">
        <v>46279</v>
      </c>
      <c r="M2096" t="s">
        <v>4653</v>
      </c>
      <c r="N2096" t="s">
        <v>207</v>
      </c>
      <c r="O2096" t="s">
        <v>4700</v>
      </c>
      <c r="P2096" t="s">
        <v>208</v>
      </c>
      <c r="Q2096" t="s">
        <v>209</v>
      </c>
    </row>
    <row r="2097" spans="1:17" x14ac:dyDescent="0.3">
      <c r="A2097" t="s">
        <v>4701</v>
      </c>
      <c r="C2097" t="s">
        <v>4702</v>
      </c>
      <c r="D2097" t="s">
        <v>4702</v>
      </c>
      <c r="E2097" s="5">
        <v>46277</v>
      </c>
      <c r="F2097" t="s">
        <v>204</v>
      </c>
      <c r="G2097" t="s">
        <v>220</v>
      </c>
      <c r="H2097">
        <v>299</v>
      </c>
      <c r="I2097">
        <v>0</v>
      </c>
      <c r="J2097">
        <v>0</v>
      </c>
      <c r="K2097">
        <v>299</v>
      </c>
      <c r="L2097" s="5">
        <v>46279</v>
      </c>
      <c r="M2097" t="s">
        <v>4653</v>
      </c>
      <c r="N2097" t="s">
        <v>207</v>
      </c>
      <c r="O2097" t="s">
        <v>4702</v>
      </c>
      <c r="P2097" t="s">
        <v>208</v>
      </c>
      <c r="Q2097" t="s">
        <v>209</v>
      </c>
    </row>
    <row r="2098" spans="1:17" x14ac:dyDescent="0.3">
      <c r="A2098" t="s">
        <v>4703</v>
      </c>
      <c r="C2098" t="s">
        <v>4704</v>
      </c>
      <c r="D2098" t="s">
        <v>4704</v>
      </c>
      <c r="E2098" s="5">
        <v>46277</v>
      </c>
      <c r="F2098" t="s">
        <v>204</v>
      </c>
      <c r="G2098" t="s">
        <v>213</v>
      </c>
      <c r="H2098">
        <v>499</v>
      </c>
      <c r="I2098">
        <v>8.98</v>
      </c>
      <c r="J2098">
        <v>1.62</v>
      </c>
      <c r="K2098">
        <v>488.4</v>
      </c>
      <c r="L2098" s="5">
        <v>46279</v>
      </c>
      <c r="M2098" t="s">
        <v>4653</v>
      </c>
      <c r="N2098" t="s">
        <v>207</v>
      </c>
      <c r="O2098" t="s">
        <v>4704</v>
      </c>
      <c r="P2098" t="s">
        <v>208</v>
      </c>
      <c r="Q2098" t="s">
        <v>209</v>
      </c>
    </row>
    <row r="2099" spans="1:17" x14ac:dyDescent="0.3">
      <c r="A2099" t="s">
        <v>4705</v>
      </c>
      <c r="C2099" t="s">
        <v>4706</v>
      </c>
      <c r="D2099" t="s">
        <v>4706</v>
      </c>
      <c r="E2099" s="5">
        <v>46277</v>
      </c>
      <c r="F2099" t="s">
        <v>204</v>
      </c>
      <c r="G2099" t="s">
        <v>220</v>
      </c>
      <c r="H2099">
        <v>599</v>
      </c>
      <c r="I2099">
        <v>0</v>
      </c>
      <c r="J2099">
        <v>0</v>
      </c>
      <c r="K2099">
        <v>599</v>
      </c>
      <c r="L2099" s="5">
        <v>46279</v>
      </c>
      <c r="M2099" t="s">
        <v>4653</v>
      </c>
      <c r="N2099" t="s">
        <v>207</v>
      </c>
      <c r="O2099" t="s">
        <v>4706</v>
      </c>
      <c r="P2099" t="s">
        <v>208</v>
      </c>
      <c r="Q2099" t="s">
        <v>209</v>
      </c>
    </row>
    <row r="2100" spans="1:17" x14ac:dyDescent="0.3">
      <c r="A2100" t="s">
        <v>4707</v>
      </c>
      <c r="C2100" t="s">
        <v>4708</v>
      </c>
      <c r="D2100" t="s">
        <v>4708</v>
      </c>
      <c r="E2100" s="5">
        <v>46277</v>
      </c>
      <c r="F2100" t="s">
        <v>204</v>
      </c>
      <c r="G2100" t="s">
        <v>220</v>
      </c>
      <c r="H2100">
        <v>5298</v>
      </c>
      <c r="I2100">
        <v>15.89</v>
      </c>
      <c r="J2100">
        <v>2.86</v>
      </c>
      <c r="K2100">
        <v>5279.25</v>
      </c>
      <c r="L2100" s="5">
        <v>46279</v>
      </c>
      <c r="M2100" t="s">
        <v>4653</v>
      </c>
      <c r="N2100" t="s">
        <v>207</v>
      </c>
      <c r="O2100" t="s">
        <v>4708</v>
      </c>
      <c r="P2100" t="s">
        <v>208</v>
      </c>
      <c r="Q2100" t="s">
        <v>209</v>
      </c>
    </row>
    <row r="2101" spans="1:17" x14ac:dyDescent="0.3">
      <c r="A2101" t="s">
        <v>4709</v>
      </c>
      <c r="C2101" t="s">
        <v>4710</v>
      </c>
      <c r="D2101" t="s">
        <v>4710</v>
      </c>
      <c r="E2101" s="5">
        <v>46277</v>
      </c>
      <c r="F2101" t="s">
        <v>204</v>
      </c>
      <c r="G2101" t="s">
        <v>220</v>
      </c>
      <c r="H2101">
        <v>2798</v>
      </c>
      <c r="I2101">
        <v>8.39</v>
      </c>
      <c r="J2101">
        <v>1.51</v>
      </c>
      <c r="K2101">
        <v>2788.1</v>
      </c>
      <c r="L2101" s="5">
        <v>46279</v>
      </c>
      <c r="M2101" t="s">
        <v>4653</v>
      </c>
      <c r="N2101" t="s">
        <v>207</v>
      </c>
      <c r="O2101" t="s">
        <v>4710</v>
      </c>
      <c r="P2101" t="s">
        <v>208</v>
      </c>
      <c r="Q2101" t="s">
        <v>209</v>
      </c>
    </row>
    <row r="2102" spans="1:17" x14ac:dyDescent="0.3">
      <c r="A2102" t="s">
        <v>4711</v>
      </c>
      <c r="C2102" t="s">
        <v>4712</v>
      </c>
      <c r="D2102" t="s">
        <v>4712</v>
      </c>
      <c r="E2102" s="5">
        <v>46277</v>
      </c>
      <c r="F2102" t="s">
        <v>204</v>
      </c>
      <c r="G2102" t="s">
        <v>220</v>
      </c>
      <c r="H2102">
        <v>499</v>
      </c>
      <c r="I2102">
        <v>1.5</v>
      </c>
      <c r="J2102">
        <v>0.27</v>
      </c>
      <c r="K2102">
        <v>497.23</v>
      </c>
      <c r="L2102" s="5">
        <v>46279</v>
      </c>
      <c r="M2102" t="s">
        <v>4653</v>
      </c>
      <c r="N2102" t="s">
        <v>207</v>
      </c>
      <c r="O2102" t="s">
        <v>4712</v>
      </c>
      <c r="P2102" t="s">
        <v>208</v>
      </c>
      <c r="Q2102" t="s">
        <v>209</v>
      </c>
    </row>
    <row r="2103" spans="1:17" x14ac:dyDescent="0.3">
      <c r="A2103" t="s">
        <v>4713</v>
      </c>
      <c r="C2103" t="s">
        <v>4714</v>
      </c>
      <c r="D2103" t="s">
        <v>4714</v>
      </c>
      <c r="E2103" s="5">
        <v>46277</v>
      </c>
      <c r="F2103" t="s">
        <v>204</v>
      </c>
      <c r="G2103" t="s">
        <v>220</v>
      </c>
      <c r="H2103">
        <v>8998</v>
      </c>
      <c r="I2103">
        <v>26.99</v>
      </c>
      <c r="J2103">
        <v>4.8600000000000003</v>
      </c>
      <c r="K2103">
        <v>8966.15</v>
      </c>
      <c r="L2103" s="5">
        <v>46279</v>
      </c>
      <c r="M2103" t="s">
        <v>4653</v>
      </c>
      <c r="N2103" t="s">
        <v>207</v>
      </c>
      <c r="O2103" t="s">
        <v>4714</v>
      </c>
      <c r="P2103" t="s">
        <v>208</v>
      </c>
      <c r="Q2103" t="s">
        <v>209</v>
      </c>
    </row>
    <row r="2104" spans="1:17" x14ac:dyDescent="0.3">
      <c r="A2104" t="s">
        <v>4715</v>
      </c>
      <c r="C2104" t="s">
        <v>4716</v>
      </c>
      <c r="D2104" t="s">
        <v>4716</v>
      </c>
      <c r="E2104" s="5">
        <v>46277</v>
      </c>
      <c r="F2104" t="s">
        <v>204</v>
      </c>
      <c r="G2104" t="s">
        <v>220</v>
      </c>
      <c r="H2104">
        <v>2098</v>
      </c>
      <c r="I2104">
        <v>6.29</v>
      </c>
      <c r="J2104">
        <v>1.1299999999999999</v>
      </c>
      <c r="K2104">
        <v>2090.58</v>
      </c>
      <c r="L2104" s="5">
        <v>46279</v>
      </c>
      <c r="M2104" t="s">
        <v>4653</v>
      </c>
      <c r="N2104" t="s">
        <v>207</v>
      </c>
      <c r="O2104" t="s">
        <v>4716</v>
      </c>
      <c r="P2104" t="s">
        <v>208</v>
      </c>
      <c r="Q2104" t="s">
        <v>209</v>
      </c>
    </row>
    <row r="2105" spans="1:17" x14ac:dyDescent="0.3">
      <c r="A2105" t="s">
        <v>4717</v>
      </c>
      <c r="C2105" t="s">
        <v>4718</v>
      </c>
      <c r="D2105" t="s">
        <v>4718</v>
      </c>
      <c r="E2105" s="5">
        <v>46277</v>
      </c>
      <c r="F2105" t="s">
        <v>204</v>
      </c>
      <c r="G2105" t="s">
        <v>220</v>
      </c>
      <c r="H2105">
        <v>1799</v>
      </c>
      <c r="I2105">
        <v>0</v>
      </c>
      <c r="J2105">
        <v>0</v>
      </c>
      <c r="K2105">
        <v>1799</v>
      </c>
      <c r="L2105" s="5">
        <v>46279</v>
      </c>
      <c r="M2105" t="s">
        <v>4653</v>
      </c>
      <c r="N2105" t="s">
        <v>207</v>
      </c>
      <c r="O2105" t="s">
        <v>4718</v>
      </c>
      <c r="P2105" t="s">
        <v>208</v>
      </c>
      <c r="Q2105" t="s">
        <v>209</v>
      </c>
    </row>
    <row r="2106" spans="1:17" x14ac:dyDescent="0.3">
      <c r="A2106" t="s">
        <v>4719</v>
      </c>
      <c r="C2106" t="s">
        <v>4720</v>
      </c>
      <c r="D2106" t="s">
        <v>4720</v>
      </c>
      <c r="E2106" s="5">
        <v>46277</v>
      </c>
      <c r="F2106" t="s">
        <v>204</v>
      </c>
      <c r="G2106" t="s">
        <v>213</v>
      </c>
      <c r="H2106">
        <v>999</v>
      </c>
      <c r="I2106">
        <v>17.98</v>
      </c>
      <c r="J2106">
        <v>3.24</v>
      </c>
      <c r="K2106">
        <v>977.78</v>
      </c>
      <c r="L2106" s="5">
        <v>46279</v>
      </c>
      <c r="M2106" t="s">
        <v>4653</v>
      </c>
      <c r="N2106" t="s">
        <v>207</v>
      </c>
      <c r="O2106" t="s">
        <v>4720</v>
      </c>
      <c r="P2106" t="s">
        <v>208</v>
      </c>
      <c r="Q2106" t="s">
        <v>209</v>
      </c>
    </row>
    <row r="2107" spans="1:17" x14ac:dyDescent="0.3">
      <c r="A2107" t="s">
        <v>4721</v>
      </c>
      <c r="C2107" t="s">
        <v>4722</v>
      </c>
      <c r="D2107" t="s">
        <v>4722</v>
      </c>
      <c r="E2107" s="5">
        <v>46277</v>
      </c>
      <c r="F2107" t="s">
        <v>204</v>
      </c>
      <c r="G2107" t="s">
        <v>213</v>
      </c>
      <c r="H2107">
        <v>5998</v>
      </c>
      <c r="I2107">
        <v>95.97</v>
      </c>
      <c r="J2107">
        <v>17.27</v>
      </c>
      <c r="K2107">
        <v>5884.76</v>
      </c>
      <c r="L2107" s="5">
        <v>46279</v>
      </c>
      <c r="M2107" t="s">
        <v>4653</v>
      </c>
      <c r="N2107" t="s">
        <v>207</v>
      </c>
      <c r="O2107" t="s">
        <v>4722</v>
      </c>
      <c r="P2107" t="s">
        <v>208</v>
      </c>
      <c r="Q2107" t="s">
        <v>209</v>
      </c>
    </row>
    <row r="2108" spans="1:17" x14ac:dyDescent="0.3">
      <c r="A2108" t="s">
        <v>4723</v>
      </c>
      <c r="C2108" t="s">
        <v>4724</v>
      </c>
      <c r="D2108" t="s">
        <v>4724</v>
      </c>
      <c r="E2108" s="5">
        <v>46277</v>
      </c>
      <c r="F2108" t="s">
        <v>204</v>
      </c>
      <c r="G2108" t="s">
        <v>220</v>
      </c>
      <c r="H2108">
        <v>8348</v>
      </c>
      <c r="I2108">
        <v>25.04</v>
      </c>
      <c r="J2108">
        <v>4.51</v>
      </c>
      <c r="K2108">
        <v>8318.4500000000007</v>
      </c>
      <c r="L2108" s="5">
        <v>46279</v>
      </c>
      <c r="M2108" t="s">
        <v>4653</v>
      </c>
      <c r="N2108" t="s">
        <v>207</v>
      </c>
      <c r="O2108" t="s">
        <v>4724</v>
      </c>
      <c r="P2108" t="s">
        <v>208</v>
      </c>
      <c r="Q2108" t="s">
        <v>209</v>
      </c>
    </row>
    <row r="2109" spans="1:17" x14ac:dyDescent="0.3">
      <c r="A2109" t="s">
        <v>4725</v>
      </c>
      <c r="C2109" t="s">
        <v>4726</v>
      </c>
      <c r="D2109" t="s">
        <v>4727</v>
      </c>
      <c r="E2109" s="5">
        <v>46277</v>
      </c>
      <c r="F2109" t="s">
        <v>204</v>
      </c>
      <c r="G2109" t="s">
        <v>220</v>
      </c>
      <c r="H2109">
        <v>8997</v>
      </c>
      <c r="I2109">
        <v>26.99</v>
      </c>
      <c r="J2109">
        <v>4.8600000000000003</v>
      </c>
      <c r="K2109">
        <v>8965.15</v>
      </c>
      <c r="L2109" s="5">
        <v>46279</v>
      </c>
      <c r="M2109" t="s">
        <v>4653</v>
      </c>
      <c r="N2109" t="s">
        <v>207</v>
      </c>
      <c r="O2109" t="s">
        <v>4727</v>
      </c>
      <c r="P2109" t="s">
        <v>208</v>
      </c>
      <c r="Q2109" t="s">
        <v>209</v>
      </c>
    </row>
    <row r="2110" spans="1:17" x14ac:dyDescent="0.3">
      <c r="A2110" t="s">
        <v>4728</v>
      </c>
      <c r="C2110" t="s">
        <v>4729</v>
      </c>
      <c r="D2110" t="s">
        <v>4729</v>
      </c>
      <c r="E2110" s="5">
        <v>46277</v>
      </c>
      <c r="F2110" t="s">
        <v>204</v>
      </c>
      <c r="G2110" t="s">
        <v>213</v>
      </c>
      <c r="H2110">
        <v>5597</v>
      </c>
      <c r="I2110">
        <v>89.55</v>
      </c>
      <c r="J2110">
        <v>16.12</v>
      </c>
      <c r="K2110">
        <v>5491.33</v>
      </c>
      <c r="L2110" s="5">
        <v>46279</v>
      </c>
      <c r="M2110" t="s">
        <v>4653</v>
      </c>
      <c r="N2110" t="s">
        <v>207</v>
      </c>
      <c r="O2110" t="s">
        <v>4729</v>
      </c>
      <c r="P2110" t="s">
        <v>208</v>
      </c>
      <c r="Q2110" t="s">
        <v>209</v>
      </c>
    </row>
    <row r="2111" spans="1:17" x14ac:dyDescent="0.3">
      <c r="A2111" t="s">
        <v>4730</v>
      </c>
      <c r="C2111" t="s">
        <v>4731</v>
      </c>
      <c r="D2111" t="s">
        <v>4731</v>
      </c>
      <c r="E2111" s="5">
        <v>46277</v>
      </c>
      <c r="F2111" t="s">
        <v>204</v>
      </c>
      <c r="G2111" t="s">
        <v>220</v>
      </c>
      <c r="H2111">
        <v>11097</v>
      </c>
      <c r="I2111">
        <v>33.29</v>
      </c>
      <c r="J2111">
        <v>5.99</v>
      </c>
      <c r="K2111">
        <v>11057.72</v>
      </c>
      <c r="L2111" s="5">
        <v>46279</v>
      </c>
      <c r="M2111" t="s">
        <v>4653</v>
      </c>
      <c r="N2111" t="s">
        <v>207</v>
      </c>
      <c r="O2111" t="s">
        <v>4731</v>
      </c>
      <c r="P2111" t="s">
        <v>208</v>
      </c>
      <c r="Q2111" t="s">
        <v>209</v>
      </c>
    </row>
    <row r="2112" spans="1:17" x14ac:dyDescent="0.3">
      <c r="A2112" t="s">
        <v>4732</v>
      </c>
      <c r="C2112" t="s">
        <v>4733</v>
      </c>
      <c r="D2112" t="s">
        <v>4733</v>
      </c>
      <c r="E2112" s="5">
        <v>46277</v>
      </c>
      <c r="F2112" t="s">
        <v>204</v>
      </c>
      <c r="G2112" t="s">
        <v>213</v>
      </c>
      <c r="H2112">
        <v>1799</v>
      </c>
      <c r="I2112">
        <v>32.380000000000003</v>
      </c>
      <c r="J2112">
        <v>5.83</v>
      </c>
      <c r="K2112">
        <v>1760.79</v>
      </c>
      <c r="L2112" s="5">
        <v>46279</v>
      </c>
      <c r="M2112" t="s">
        <v>4653</v>
      </c>
      <c r="N2112" t="s">
        <v>207</v>
      </c>
      <c r="O2112" t="s">
        <v>4733</v>
      </c>
      <c r="P2112" t="s">
        <v>208</v>
      </c>
      <c r="Q2112" t="s">
        <v>209</v>
      </c>
    </row>
    <row r="2113" spans="1:17" x14ac:dyDescent="0.3">
      <c r="A2113" t="s">
        <v>4734</v>
      </c>
      <c r="C2113" t="s">
        <v>4735</v>
      </c>
      <c r="D2113" t="s">
        <v>4735</v>
      </c>
      <c r="E2113" s="5">
        <v>46277</v>
      </c>
      <c r="F2113" t="s">
        <v>204</v>
      </c>
      <c r="G2113" t="s">
        <v>220</v>
      </c>
      <c r="H2113">
        <v>1799</v>
      </c>
      <c r="I2113">
        <v>0</v>
      </c>
      <c r="J2113">
        <v>0</v>
      </c>
      <c r="K2113">
        <v>1799</v>
      </c>
      <c r="L2113" s="5">
        <v>46279</v>
      </c>
      <c r="M2113" t="s">
        <v>4653</v>
      </c>
      <c r="N2113" t="s">
        <v>207</v>
      </c>
      <c r="O2113" t="s">
        <v>4735</v>
      </c>
      <c r="P2113" t="s">
        <v>208</v>
      </c>
      <c r="Q2113" t="s">
        <v>209</v>
      </c>
    </row>
    <row r="2114" spans="1:17" x14ac:dyDescent="0.3">
      <c r="A2114" t="s">
        <v>4736</v>
      </c>
      <c r="C2114" t="s">
        <v>4737</v>
      </c>
      <c r="D2114" t="s">
        <v>4737</v>
      </c>
      <c r="E2114" s="5">
        <v>46277</v>
      </c>
      <c r="F2114" t="s">
        <v>204</v>
      </c>
      <c r="G2114" t="s">
        <v>220</v>
      </c>
      <c r="H2114">
        <v>2499</v>
      </c>
      <c r="I2114">
        <v>7.5</v>
      </c>
      <c r="J2114">
        <v>1.35</v>
      </c>
      <c r="K2114">
        <v>2490.15</v>
      </c>
      <c r="L2114" s="5">
        <v>46279</v>
      </c>
      <c r="M2114" t="s">
        <v>4653</v>
      </c>
      <c r="N2114" t="s">
        <v>207</v>
      </c>
      <c r="O2114" t="s">
        <v>4737</v>
      </c>
      <c r="P2114" t="s">
        <v>208</v>
      </c>
      <c r="Q2114" t="s">
        <v>209</v>
      </c>
    </row>
    <row r="2115" spans="1:17" x14ac:dyDescent="0.3">
      <c r="A2115" t="s">
        <v>4738</v>
      </c>
      <c r="C2115" t="s">
        <v>4739</v>
      </c>
      <c r="D2115" t="s">
        <v>4739</v>
      </c>
      <c r="E2115" s="5">
        <v>46277</v>
      </c>
      <c r="F2115" t="s">
        <v>204</v>
      </c>
      <c r="G2115" t="s">
        <v>220</v>
      </c>
      <c r="H2115">
        <v>349</v>
      </c>
      <c r="I2115">
        <v>0</v>
      </c>
      <c r="J2115">
        <v>0</v>
      </c>
      <c r="K2115">
        <v>349</v>
      </c>
      <c r="L2115" s="5">
        <v>46279</v>
      </c>
      <c r="M2115" t="s">
        <v>4653</v>
      </c>
      <c r="N2115" t="s">
        <v>207</v>
      </c>
      <c r="O2115" t="s">
        <v>4739</v>
      </c>
      <c r="P2115" t="s">
        <v>208</v>
      </c>
      <c r="Q2115" t="s">
        <v>209</v>
      </c>
    </row>
    <row r="2116" spans="1:17" x14ac:dyDescent="0.3">
      <c r="A2116" t="s">
        <v>4740</v>
      </c>
      <c r="C2116" t="s">
        <v>4741</v>
      </c>
      <c r="D2116" t="s">
        <v>4741</v>
      </c>
      <c r="E2116" s="5">
        <v>46277</v>
      </c>
      <c r="F2116" t="s">
        <v>204</v>
      </c>
      <c r="G2116" t="s">
        <v>220</v>
      </c>
      <c r="H2116">
        <v>1499</v>
      </c>
      <c r="I2116">
        <v>0</v>
      </c>
      <c r="J2116">
        <v>0</v>
      </c>
      <c r="K2116">
        <v>1499</v>
      </c>
      <c r="L2116" s="5">
        <v>46279</v>
      </c>
      <c r="M2116" t="s">
        <v>4653</v>
      </c>
      <c r="N2116" t="s">
        <v>207</v>
      </c>
      <c r="O2116" t="s">
        <v>4741</v>
      </c>
      <c r="P2116" t="s">
        <v>208</v>
      </c>
      <c r="Q2116" t="s">
        <v>209</v>
      </c>
    </row>
    <row r="2117" spans="1:17" x14ac:dyDescent="0.3">
      <c r="A2117" t="s">
        <v>4742</v>
      </c>
      <c r="C2117" t="s">
        <v>4743</v>
      </c>
      <c r="D2117" t="s">
        <v>4743</v>
      </c>
      <c r="E2117" s="5">
        <v>46277</v>
      </c>
      <c r="F2117" t="s">
        <v>204</v>
      </c>
      <c r="G2117" t="s">
        <v>220</v>
      </c>
      <c r="H2117">
        <v>2499</v>
      </c>
      <c r="I2117">
        <v>7.5</v>
      </c>
      <c r="J2117">
        <v>1.35</v>
      </c>
      <c r="K2117">
        <v>2490.15</v>
      </c>
      <c r="L2117" s="5">
        <v>46279</v>
      </c>
      <c r="M2117" t="s">
        <v>4653</v>
      </c>
      <c r="N2117" t="s">
        <v>207</v>
      </c>
      <c r="O2117" t="s">
        <v>4743</v>
      </c>
      <c r="P2117" t="s">
        <v>208</v>
      </c>
      <c r="Q2117" t="s">
        <v>209</v>
      </c>
    </row>
    <row r="2118" spans="1:17" x14ac:dyDescent="0.3">
      <c r="A2118" t="s">
        <v>4744</v>
      </c>
      <c r="C2118" t="s">
        <v>4745</v>
      </c>
      <c r="D2118" t="s">
        <v>4746</v>
      </c>
      <c r="E2118" s="5">
        <v>46277</v>
      </c>
      <c r="F2118" t="s">
        <v>204</v>
      </c>
      <c r="G2118" t="s">
        <v>220</v>
      </c>
      <c r="H2118">
        <v>7999</v>
      </c>
      <c r="I2118">
        <v>24</v>
      </c>
      <c r="J2118">
        <v>4.32</v>
      </c>
      <c r="K2118">
        <v>7970.68</v>
      </c>
      <c r="L2118" s="5">
        <v>46279</v>
      </c>
      <c r="M2118" t="s">
        <v>4653</v>
      </c>
      <c r="N2118" t="s">
        <v>207</v>
      </c>
      <c r="O2118" t="s">
        <v>4746</v>
      </c>
      <c r="P2118" t="s">
        <v>208</v>
      </c>
      <c r="Q2118" t="s">
        <v>209</v>
      </c>
    </row>
    <row r="2119" spans="1:17" x14ac:dyDescent="0.3">
      <c r="A2119" t="s">
        <v>4747</v>
      </c>
      <c r="C2119" t="s">
        <v>4748</v>
      </c>
      <c r="D2119" t="s">
        <v>4748</v>
      </c>
      <c r="E2119" s="5">
        <v>46277</v>
      </c>
      <c r="F2119" t="s">
        <v>204</v>
      </c>
      <c r="G2119" t="s">
        <v>255</v>
      </c>
      <c r="H2119">
        <v>1799</v>
      </c>
      <c r="I2119">
        <v>26.99</v>
      </c>
      <c r="J2119">
        <v>4.8600000000000003</v>
      </c>
      <c r="K2119">
        <v>1767.15</v>
      </c>
      <c r="L2119" s="5">
        <v>46279</v>
      </c>
      <c r="M2119" t="s">
        <v>4653</v>
      </c>
      <c r="N2119" t="s">
        <v>207</v>
      </c>
      <c r="O2119" t="s">
        <v>4748</v>
      </c>
      <c r="P2119" t="s">
        <v>208</v>
      </c>
      <c r="Q2119" t="s">
        <v>209</v>
      </c>
    </row>
    <row r="2120" spans="1:17" x14ac:dyDescent="0.3">
      <c r="A2120" t="s">
        <v>4749</v>
      </c>
      <c r="C2120" t="s">
        <v>4750</v>
      </c>
      <c r="D2120" t="s">
        <v>4751</v>
      </c>
      <c r="E2120" s="5">
        <v>46277</v>
      </c>
      <c r="F2120" t="s">
        <v>204</v>
      </c>
      <c r="G2120" t="s">
        <v>220</v>
      </c>
      <c r="H2120">
        <v>1299</v>
      </c>
      <c r="I2120">
        <v>0</v>
      </c>
      <c r="J2120">
        <v>0</v>
      </c>
      <c r="K2120">
        <v>1299</v>
      </c>
      <c r="L2120" s="5">
        <v>46279</v>
      </c>
      <c r="M2120" t="s">
        <v>4653</v>
      </c>
      <c r="N2120" t="s">
        <v>207</v>
      </c>
      <c r="O2120" t="s">
        <v>4751</v>
      </c>
      <c r="P2120" t="s">
        <v>208</v>
      </c>
      <c r="Q2120" t="s">
        <v>209</v>
      </c>
    </row>
    <row r="2121" spans="1:17" x14ac:dyDescent="0.3">
      <c r="A2121" t="s">
        <v>4752</v>
      </c>
      <c r="C2121" t="s">
        <v>4753</v>
      </c>
      <c r="D2121" t="s">
        <v>4753</v>
      </c>
      <c r="E2121" s="5">
        <v>46277</v>
      </c>
      <c r="F2121" t="s">
        <v>204</v>
      </c>
      <c r="G2121" t="s">
        <v>213</v>
      </c>
      <c r="H2121">
        <v>299</v>
      </c>
      <c r="I2121">
        <v>5.38</v>
      </c>
      <c r="J2121">
        <v>0.97</v>
      </c>
      <c r="K2121">
        <v>292.64999999999998</v>
      </c>
      <c r="L2121" s="5">
        <v>46279</v>
      </c>
      <c r="M2121" t="s">
        <v>4653</v>
      </c>
      <c r="N2121" t="s">
        <v>207</v>
      </c>
      <c r="O2121" t="s">
        <v>4753</v>
      </c>
      <c r="P2121" t="s">
        <v>208</v>
      </c>
      <c r="Q2121" t="s">
        <v>209</v>
      </c>
    </row>
    <row r="2122" spans="1:17" x14ac:dyDescent="0.3">
      <c r="A2122" t="s">
        <v>4754</v>
      </c>
      <c r="C2122" t="s">
        <v>4755</v>
      </c>
      <c r="D2122" t="s">
        <v>4756</v>
      </c>
      <c r="E2122" s="5">
        <v>46277</v>
      </c>
      <c r="F2122" t="s">
        <v>204</v>
      </c>
      <c r="G2122" t="s">
        <v>220</v>
      </c>
      <c r="H2122">
        <v>3499</v>
      </c>
      <c r="I2122">
        <v>10.5</v>
      </c>
      <c r="J2122">
        <v>1.89</v>
      </c>
      <c r="K2122">
        <v>3486.61</v>
      </c>
      <c r="L2122" s="5">
        <v>46279</v>
      </c>
      <c r="M2122" t="s">
        <v>4653</v>
      </c>
      <c r="N2122" t="s">
        <v>207</v>
      </c>
      <c r="O2122" t="s">
        <v>4756</v>
      </c>
      <c r="P2122" t="s">
        <v>208</v>
      </c>
      <c r="Q2122" t="s">
        <v>209</v>
      </c>
    </row>
    <row r="2123" spans="1:17" x14ac:dyDescent="0.3">
      <c r="A2123" t="s">
        <v>4757</v>
      </c>
      <c r="C2123" t="s">
        <v>4758</v>
      </c>
      <c r="D2123" t="s">
        <v>4759</v>
      </c>
      <c r="E2123" s="5">
        <v>46277</v>
      </c>
      <c r="F2123" t="s">
        <v>204</v>
      </c>
      <c r="G2123" t="s">
        <v>213</v>
      </c>
      <c r="H2123">
        <v>3298</v>
      </c>
      <c r="I2123">
        <v>52.77</v>
      </c>
      <c r="J2123">
        <v>9.5</v>
      </c>
      <c r="K2123">
        <v>3235.73</v>
      </c>
      <c r="L2123" s="5">
        <v>46279</v>
      </c>
      <c r="M2123" t="s">
        <v>4653</v>
      </c>
      <c r="N2123" t="s">
        <v>207</v>
      </c>
      <c r="O2123" t="s">
        <v>4759</v>
      </c>
      <c r="P2123" t="s">
        <v>208</v>
      </c>
      <c r="Q2123" t="s">
        <v>209</v>
      </c>
    </row>
    <row r="2124" spans="1:17" x14ac:dyDescent="0.3">
      <c r="A2124" t="s">
        <v>4760</v>
      </c>
      <c r="C2124" t="s">
        <v>4761</v>
      </c>
      <c r="D2124" t="s">
        <v>4762</v>
      </c>
      <c r="E2124" s="5">
        <v>46277</v>
      </c>
      <c r="F2124" t="s">
        <v>204</v>
      </c>
      <c r="G2124" t="s">
        <v>220</v>
      </c>
      <c r="H2124">
        <v>4999</v>
      </c>
      <c r="I2124">
        <v>15</v>
      </c>
      <c r="J2124">
        <v>2.7</v>
      </c>
      <c r="K2124">
        <v>4981.3</v>
      </c>
      <c r="L2124" s="5">
        <v>46279</v>
      </c>
      <c r="M2124" t="s">
        <v>4653</v>
      </c>
      <c r="N2124" t="s">
        <v>207</v>
      </c>
      <c r="O2124" t="s">
        <v>4762</v>
      </c>
      <c r="P2124" t="s">
        <v>208</v>
      </c>
      <c r="Q2124" t="s">
        <v>209</v>
      </c>
    </row>
    <row r="2125" spans="1:17" x14ac:dyDescent="0.3">
      <c r="A2125" t="s">
        <v>4763</v>
      </c>
      <c r="C2125" t="s">
        <v>4764</v>
      </c>
      <c r="D2125" t="s">
        <v>4764</v>
      </c>
      <c r="E2125" s="5">
        <v>46277</v>
      </c>
      <c r="F2125" t="s">
        <v>204</v>
      </c>
      <c r="G2125" t="s">
        <v>220</v>
      </c>
      <c r="H2125">
        <v>4999</v>
      </c>
      <c r="I2125">
        <v>15</v>
      </c>
      <c r="J2125">
        <v>2.7</v>
      </c>
      <c r="K2125">
        <v>4981.3</v>
      </c>
      <c r="L2125" s="5">
        <v>46279</v>
      </c>
      <c r="M2125" t="s">
        <v>4653</v>
      </c>
      <c r="N2125" t="s">
        <v>207</v>
      </c>
      <c r="O2125" t="s">
        <v>4764</v>
      </c>
      <c r="P2125" t="s">
        <v>208</v>
      </c>
      <c r="Q2125" t="s">
        <v>209</v>
      </c>
    </row>
    <row r="2126" spans="1:17" x14ac:dyDescent="0.3">
      <c r="A2126" t="s">
        <v>4765</v>
      </c>
      <c r="C2126" t="s">
        <v>4766</v>
      </c>
      <c r="D2126" t="s">
        <v>4766</v>
      </c>
      <c r="E2126" s="5">
        <v>46277</v>
      </c>
      <c r="F2126" t="s">
        <v>204</v>
      </c>
      <c r="G2126" t="s">
        <v>213</v>
      </c>
      <c r="H2126">
        <v>349</v>
      </c>
      <c r="I2126">
        <v>6.28</v>
      </c>
      <c r="J2126">
        <v>1.1299999999999999</v>
      </c>
      <c r="K2126">
        <v>341.59</v>
      </c>
      <c r="L2126" s="5">
        <v>46279</v>
      </c>
      <c r="M2126" t="s">
        <v>4653</v>
      </c>
      <c r="N2126" t="s">
        <v>207</v>
      </c>
      <c r="O2126" t="s">
        <v>4766</v>
      </c>
      <c r="P2126" t="s">
        <v>208</v>
      </c>
      <c r="Q2126" t="s">
        <v>209</v>
      </c>
    </row>
    <row r="2127" spans="1:17" x14ac:dyDescent="0.3">
      <c r="A2127" t="s">
        <v>4767</v>
      </c>
      <c r="C2127" t="s">
        <v>4768</v>
      </c>
      <c r="D2127" t="s">
        <v>4768</v>
      </c>
      <c r="E2127" s="5">
        <v>46277</v>
      </c>
      <c r="F2127" t="s">
        <v>204</v>
      </c>
      <c r="G2127" t="s">
        <v>220</v>
      </c>
      <c r="H2127">
        <v>799</v>
      </c>
      <c r="I2127">
        <v>0</v>
      </c>
      <c r="J2127">
        <v>0</v>
      </c>
      <c r="K2127">
        <v>799</v>
      </c>
      <c r="L2127" s="5">
        <v>46279</v>
      </c>
      <c r="M2127" t="s">
        <v>4653</v>
      </c>
      <c r="N2127" t="s">
        <v>207</v>
      </c>
      <c r="O2127" t="s">
        <v>4768</v>
      </c>
      <c r="P2127" t="s">
        <v>208</v>
      </c>
      <c r="Q2127" t="s">
        <v>209</v>
      </c>
    </row>
    <row r="2128" spans="1:17" x14ac:dyDescent="0.3">
      <c r="A2128" t="s">
        <v>4769</v>
      </c>
      <c r="C2128" t="s">
        <v>4770</v>
      </c>
      <c r="D2128" t="s">
        <v>4770</v>
      </c>
      <c r="E2128" s="5">
        <v>46277</v>
      </c>
      <c r="F2128" t="s">
        <v>204</v>
      </c>
      <c r="G2128" t="s">
        <v>220</v>
      </c>
      <c r="H2128">
        <v>599</v>
      </c>
      <c r="I2128">
        <v>0</v>
      </c>
      <c r="J2128">
        <v>0</v>
      </c>
      <c r="K2128">
        <v>599</v>
      </c>
      <c r="L2128" s="5">
        <v>46279</v>
      </c>
      <c r="M2128" t="s">
        <v>4653</v>
      </c>
      <c r="N2128" t="s">
        <v>207</v>
      </c>
      <c r="O2128" t="s">
        <v>4770</v>
      </c>
      <c r="P2128" t="s">
        <v>208</v>
      </c>
      <c r="Q2128" t="s">
        <v>209</v>
      </c>
    </row>
    <row r="2129" spans="1:17" x14ac:dyDescent="0.3">
      <c r="A2129" t="s">
        <v>4771</v>
      </c>
      <c r="C2129" t="s">
        <v>4772</v>
      </c>
      <c r="D2129" t="s">
        <v>4773</v>
      </c>
      <c r="E2129" s="5">
        <v>46277</v>
      </c>
      <c r="F2129" t="s">
        <v>204</v>
      </c>
      <c r="G2129" t="s">
        <v>213</v>
      </c>
      <c r="H2129">
        <v>499</v>
      </c>
      <c r="I2129">
        <v>8.98</v>
      </c>
      <c r="J2129">
        <v>1.62</v>
      </c>
      <c r="K2129">
        <v>488.4</v>
      </c>
      <c r="L2129" s="5">
        <v>46279</v>
      </c>
      <c r="M2129" t="s">
        <v>4653</v>
      </c>
      <c r="N2129" t="s">
        <v>207</v>
      </c>
      <c r="O2129" t="s">
        <v>4773</v>
      </c>
      <c r="P2129" t="s">
        <v>208</v>
      </c>
      <c r="Q2129" t="s">
        <v>209</v>
      </c>
    </row>
    <row r="2130" spans="1:17" x14ac:dyDescent="0.3">
      <c r="A2130" t="s">
        <v>4774</v>
      </c>
      <c r="C2130" t="s">
        <v>4775</v>
      </c>
      <c r="D2130" t="s">
        <v>4775</v>
      </c>
      <c r="E2130" s="5">
        <v>46277</v>
      </c>
      <c r="F2130" t="s">
        <v>204</v>
      </c>
      <c r="G2130" t="s">
        <v>213</v>
      </c>
      <c r="H2130">
        <v>299</v>
      </c>
      <c r="I2130">
        <v>5.38</v>
      </c>
      <c r="J2130">
        <v>0.97</v>
      </c>
      <c r="K2130">
        <v>292.64999999999998</v>
      </c>
      <c r="L2130" s="5">
        <v>46279</v>
      </c>
      <c r="M2130" t="s">
        <v>4653</v>
      </c>
      <c r="N2130" t="s">
        <v>207</v>
      </c>
      <c r="O2130" t="s">
        <v>4775</v>
      </c>
      <c r="P2130" t="s">
        <v>208</v>
      </c>
      <c r="Q2130" t="s">
        <v>209</v>
      </c>
    </row>
    <row r="2131" spans="1:17" x14ac:dyDescent="0.3">
      <c r="A2131" t="s">
        <v>4776</v>
      </c>
      <c r="C2131" t="s">
        <v>4777</v>
      </c>
      <c r="D2131" t="s">
        <v>4777</v>
      </c>
      <c r="E2131" s="5">
        <v>46277</v>
      </c>
      <c r="F2131" t="s">
        <v>204</v>
      </c>
      <c r="G2131" t="s">
        <v>220</v>
      </c>
      <c r="H2131">
        <v>1848</v>
      </c>
      <c r="I2131">
        <v>0</v>
      </c>
      <c r="J2131">
        <v>0</v>
      </c>
      <c r="K2131">
        <v>1848</v>
      </c>
      <c r="L2131" s="5">
        <v>46279</v>
      </c>
      <c r="M2131" t="s">
        <v>4653</v>
      </c>
      <c r="N2131" t="s">
        <v>207</v>
      </c>
      <c r="O2131" t="s">
        <v>4777</v>
      </c>
      <c r="P2131" t="s">
        <v>208</v>
      </c>
      <c r="Q2131" t="s">
        <v>209</v>
      </c>
    </row>
    <row r="2132" spans="1:17" x14ac:dyDescent="0.3">
      <c r="A2132" t="s">
        <v>4778</v>
      </c>
      <c r="C2132" t="s">
        <v>4779</v>
      </c>
      <c r="D2132" t="s">
        <v>4780</v>
      </c>
      <c r="E2132" s="5">
        <v>46277</v>
      </c>
      <c r="F2132" t="s">
        <v>204</v>
      </c>
      <c r="G2132" t="s">
        <v>213</v>
      </c>
      <c r="H2132">
        <v>2398</v>
      </c>
      <c r="I2132">
        <v>38.369999999999997</v>
      </c>
      <c r="J2132">
        <v>6.91</v>
      </c>
      <c r="K2132">
        <v>2352.7199999999998</v>
      </c>
      <c r="L2132" s="5">
        <v>46279</v>
      </c>
      <c r="M2132" t="s">
        <v>4653</v>
      </c>
      <c r="N2132" t="s">
        <v>207</v>
      </c>
      <c r="O2132" t="s">
        <v>4780</v>
      </c>
      <c r="P2132" t="s">
        <v>208</v>
      </c>
      <c r="Q2132" t="s">
        <v>209</v>
      </c>
    </row>
    <row r="2133" spans="1:17" x14ac:dyDescent="0.3">
      <c r="A2133" t="s">
        <v>4781</v>
      </c>
      <c r="C2133" t="s">
        <v>4782</v>
      </c>
      <c r="D2133" t="s">
        <v>4782</v>
      </c>
      <c r="E2133" s="5">
        <v>46277</v>
      </c>
      <c r="F2133" t="s">
        <v>204</v>
      </c>
      <c r="G2133" t="s">
        <v>220</v>
      </c>
      <c r="H2133">
        <v>5998</v>
      </c>
      <c r="I2133">
        <v>17.989999999999998</v>
      </c>
      <c r="J2133">
        <v>3.24</v>
      </c>
      <c r="K2133">
        <v>5976.77</v>
      </c>
      <c r="L2133" s="5">
        <v>46279</v>
      </c>
      <c r="M2133" t="s">
        <v>4653</v>
      </c>
      <c r="N2133" t="s">
        <v>207</v>
      </c>
      <c r="O2133" t="s">
        <v>4782</v>
      </c>
      <c r="P2133" t="s">
        <v>208</v>
      </c>
      <c r="Q2133" t="s">
        <v>209</v>
      </c>
    </row>
    <row r="2134" spans="1:17" x14ac:dyDescent="0.3">
      <c r="A2134" t="s">
        <v>4783</v>
      </c>
      <c r="C2134" t="s">
        <v>4784</v>
      </c>
      <c r="D2134" t="s">
        <v>4784</v>
      </c>
      <c r="E2134" s="5">
        <v>46277</v>
      </c>
      <c r="F2134" t="s">
        <v>204</v>
      </c>
      <c r="G2134" t="s">
        <v>220</v>
      </c>
      <c r="H2134">
        <v>999</v>
      </c>
      <c r="I2134">
        <v>0</v>
      </c>
      <c r="J2134">
        <v>0</v>
      </c>
      <c r="K2134">
        <v>999</v>
      </c>
      <c r="L2134" s="5">
        <v>46279</v>
      </c>
      <c r="M2134" t="s">
        <v>4653</v>
      </c>
      <c r="N2134" t="s">
        <v>207</v>
      </c>
      <c r="O2134" t="s">
        <v>4784</v>
      </c>
      <c r="P2134" t="s">
        <v>208</v>
      </c>
      <c r="Q2134" t="s">
        <v>209</v>
      </c>
    </row>
    <row r="2135" spans="1:17" x14ac:dyDescent="0.3">
      <c r="A2135" t="s">
        <v>4785</v>
      </c>
      <c r="C2135" t="s">
        <v>4786</v>
      </c>
      <c r="D2135" t="s">
        <v>4786</v>
      </c>
      <c r="E2135" s="5">
        <v>46277</v>
      </c>
      <c r="F2135" t="s">
        <v>204</v>
      </c>
      <c r="G2135" t="s">
        <v>205</v>
      </c>
      <c r="H2135">
        <v>2298</v>
      </c>
      <c r="I2135">
        <v>39.07</v>
      </c>
      <c r="J2135">
        <v>7.03</v>
      </c>
      <c r="K2135">
        <v>2251.9</v>
      </c>
      <c r="L2135" s="5">
        <v>46279</v>
      </c>
      <c r="M2135" t="s">
        <v>4653</v>
      </c>
      <c r="N2135" t="s">
        <v>207</v>
      </c>
      <c r="O2135" t="s">
        <v>4786</v>
      </c>
      <c r="P2135" t="s">
        <v>208</v>
      </c>
      <c r="Q2135" t="s">
        <v>209</v>
      </c>
    </row>
    <row r="2136" spans="1:17" x14ac:dyDescent="0.3">
      <c r="A2136" t="s">
        <v>4787</v>
      </c>
      <c r="C2136" t="s">
        <v>4788</v>
      </c>
      <c r="D2136" t="s">
        <v>4789</v>
      </c>
      <c r="E2136" s="5">
        <v>46277</v>
      </c>
      <c r="F2136" t="s">
        <v>204</v>
      </c>
      <c r="G2136" t="s">
        <v>213</v>
      </c>
      <c r="H2136">
        <v>7999</v>
      </c>
      <c r="I2136">
        <v>127.98</v>
      </c>
      <c r="J2136">
        <v>23.04</v>
      </c>
      <c r="K2136">
        <v>7847.98</v>
      </c>
      <c r="L2136" s="5">
        <v>46279</v>
      </c>
      <c r="M2136" t="s">
        <v>4653</v>
      </c>
      <c r="N2136" t="s">
        <v>207</v>
      </c>
      <c r="O2136" t="s">
        <v>4789</v>
      </c>
      <c r="P2136" t="s">
        <v>208</v>
      </c>
      <c r="Q2136" t="s">
        <v>209</v>
      </c>
    </row>
    <row r="2137" spans="1:17" x14ac:dyDescent="0.3">
      <c r="A2137" t="s">
        <v>4790</v>
      </c>
      <c r="C2137" t="s">
        <v>4791</v>
      </c>
      <c r="D2137" t="s">
        <v>4791</v>
      </c>
      <c r="E2137" s="5">
        <v>46277</v>
      </c>
      <c r="F2137" t="s">
        <v>204</v>
      </c>
      <c r="G2137" t="s">
        <v>213</v>
      </c>
      <c r="H2137">
        <v>3098</v>
      </c>
      <c r="I2137">
        <v>49.57</v>
      </c>
      <c r="J2137">
        <v>8.92</v>
      </c>
      <c r="K2137">
        <v>3039.51</v>
      </c>
      <c r="L2137" s="5">
        <v>46279</v>
      </c>
      <c r="M2137" t="s">
        <v>4653</v>
      </c>
      <c r="N2137" t="s">
        <v>207</v>
      </c>
      <c r="O2137" t="s">
        <v>4791</v>
      </c>
      <c r="P2137" t="s">
        <v>208</v>
      </c>
      <c r="Q2137" t="s">
        <v>209</v>
      </c>
    </row>
    <row r="2138" spans="1:17" x14ac:dyDescent="0.3">
      <c r="A2138" t="s">
        <v>4792</v>
      </c>
      <c r="C2138" t="s">
        <v>4793</v>
      </c>
      <c r="D2138" t="s">
        <v>4793</v>
      </c>
      <c r="E2138" s="5">
        <v>46277</v>
      </c>
      <c r="F2138" t="s">
        <v>204</v>
      </c>
      <c r="G2138" t="s">
        <v>213</v>
      </c>
      <c r="H2138">
        <v>3397</v>
      </c>
      <c r="I2138">
        <v>54.35</v>
      </c>
      <c r="J2138">
        <v>9.7799999999999994</v>
      </c>
      <c r="K2138">
        <v>3332.87</v>
      </c>
      <c r="L2138" s="5">
        <v>46279</v>
      </c>
      <c r="M2138" t="s">
        <v>4653</v>
      </c>
      <c r="N2138" t="s">
        <v>207</v>
      </c>
      <c r="O2138" t="s">
        <v>4793</v>
      </c>
      <c r="P2138" t="s">
        <v>208</v>
      </c>
      <c r="Q2138" t="s">
        <v>209</v>
      </c>
    </row>
    <row r="2139" spans="1:17" x14ac:dyDescent="0.3">
      <c r="A2139" t="s">
        <v>4794</v>
      </c>
      <c r="C2139" t="s">
        <v>4795</v>
      </c>
      <c r="D2139" t="s">
        <v>4795</v>
      </c>
      <c r="E2139" s="5">
        <v>46277</v>
      </c>
      <c r="F2139" t="s">
        <v>204</v>
      </c>
      <c r="G2139" t="s">
        <v>213</v>
      </c>
      <c r="H2139">
        <v>1298</v>
      </c>
      <c r="I2139">
        <v>23.36</v>
      </c>
      <c r="J2139">
        <v>4.2</v>
      </c>
      <c r="K2139">
        <v>1270.44</v>
      </c>
      <c r="L2139" s="5">
        <v>46279</v>
      </c>
      <c r="M2139" t="s">
        <v>4653</v>
      </c>
      <c r="N2139" t="s">
        <v>207</v>
      </c>
      <c r="O2139" t="s">
        <v>4795</v>
      </c>
      <c r="P2139" t="s">
        <v>208</v>
      </c>
      <c r="Q2139" t="s">
        <v>209</v>
      </c>
    </row>
    <row r="2140" spans="1:17" x14ac:dyDescent="0.3">
      <c r="A2140" t="s">
        <v>4796</v>
      </c>
      <c r="C2140" t="s">
        <v>4797</v>
      </c>
      <c r="D2140" t="s">
        <v>4797</v>
      </c>
      <c r="E2140" s="5">
        <v>46277</v>
      </c>
      <c r="F2140" t="s">
        <v>204</v>
      </c>
      <c r="G2140" t="s">
        <v>205</v>
      </c>
      <c r="H2140">
        <v>1299</v>
      </c>
      <c r="I2140">
        <v>24.68</v>
      </c>
      <c r="J2140">
        <v>4.4400000000000004</v>
      </c>
      <c r="K2140">
        <v>1269.8800000000001</v>
      </c>
      <c r="L2140" s="5">
        <v>46279</v>
      </c>
      <c r="M2140" t="s">
        <v>4653</v>
      </c>
      <c r="N2140" t="s">
        <v>207</v>
      </c>
      <c r="O2140" t="s">
        <v>4797</v>
      </c>
      <c r="P2140" t="s">
        <v>208</v>
      </c>
      <c r="Q2140" t="s">
        <v>209</v>
      </c>
    </row>
    <row r="2141" spans="1:17" x14ac:dyDescent="0.3">
      <c r="A2141" t="s">
        <v>4798</v>
      </c>
      <c r="C2141" t="s">
        <v>4799</v>
      </c>
      <c r="D2141" t="s">
        <v>4799</v>
      </c>
      <c r="E2141" s="5">
        <v>46277</v>
      </c>
      <c r="F2141" t="s">
        <v>204</v>
      </c>
      <c r="G2141" t="s">
        <v>213</v>
      </c>
      <c r="H2141">
        <v>2999</v>
      </c>
      <c r="I2141">
        <v>47.98</v>
      </c>
      <c r="J2141">
        <v>8.64</v>
      </c>
      <c r="K2141">
        <v>2942.38</v>
      </c>
      <c r="L2141" s="5">
        <v>46279</v>
      </c>
      <c r="M2141" t="s">
        <v>4653</v>
      </c>
      <c r="N2141" t="s">
        <v>207</v>
      </c>
      <c r="O2141" t="s">
        <v>4799</v>
      </c>
      <c r="P2141" t="s">
        <v>208</v>
      </c>
      <c r="Q2141" t="s">
        <v>209</v>
      </c>
    </row>
    <row r="2142" spans="1:17" x14ac:dyDescent="0.3">
      <c r="A2142" t="s">
        <v>4800</v>
      </c>
      <c r="C2142" t="s">
        <v>4801</v>
      </c>
      <c r="D2142" t="s">
        <v>4801</v>
      </c>
      <c r="E2142" s="5">
        <v>46277</v>
      </c>
      <c r="F2142" t="s">
        <v>204</v>
      </c>
      <c r="G2142" t="s">
        <v>220</v>
      </c>
      <c r="H2142">
        <v>8798</v>
      </c>
      <c r="I2142">
        <v>26.39</v>
      </c>
      <c r="J2142">
        <v>4.75</v>
      </c>
      <c r="K2142">
        <v>8766.86</v>
      </c>
      <c r="L2142" s="5">
        <v>46279</v>
      </c>
      <c r="M2142" t="s">
        <v>4653</v>
      </c>
      <c r="N2142" t="s">
        <v>207</v>
      </c>
      <c r="O2142" t="s">
        <v>4801</v>
      </c>
      <c r="P2142" t="s">
        <v>208</v>
      </c>
      <c r="Q2142" t="s">
        <v>209</v>
      </c>
    </row>
    <row r="2143" spans="1:17" x14ac:dyDescent="0.3">
      <c r="A2143" t="s">
        <v>4802</v>
      </c>
      <c r="C2143" t="s">
        <v>4803</v>
      </c>
      <c r="D2143" t="s">
        <v>4803</v>
      </c>
      <c r="E2143" s="5">
        <v>46277</v>
      </c>
      <c r="F2143" t="s">
        <v>204</v>
      </c>
      <c r="G2143" t="s">
        <v>205</v>
      </c>
      <c r="H2143">
        <v>999</v>
      </c>
      <c r="I2143">
        <v>18.98</v>
      </c>
      <c r="J2143">
        <v>3.42</v>
      </c>
      <c r="K2143">
        <v>976.6</v>
      </c>
      <c r="L2143" s="5">
        <v>46279</v>
      </c>
      <c r="M2143" t="s">
        <v>4653</v>
      </c>
      <c r="N2143" t="s">
        <v>207</v>
      </c>
      <c r="O2143" t="s">
        <v>4803</v>
      </c>
      <c r="P2143" t="s">
        <v>208</v>
      </c>
      <c r="Q2143" t="s">
        <v>209</v>
      </c>
    </row>
    <row r="2144" spans="1:17" x14ac:dyDescent="0.3">
      <c r="A2144" t="s">
        <v>4804</v>
      </c>
      <c r="C2144" t="s">
        <v>4805</v>
      </c>
      <c r="D2144" t="s">
        <v>4805</v>
      </c>
      <c r="E2144" s="5">
        <v>46277</v>
      </c>
      <c r="F2144" t="s">
        <v>204</v>
      </c>
      <c r="G2144" t="s">
        <v>220</v>
      </c>
      <c r="H2144">
        <v>999</v>
      </c>
      <c r="I2144">
        <v>0</v>
      </c>
      <c r="J2144">
        <v>0</v>
      </c>
      <c r="K2144">
        <v>999</v>
      </c>
      <c r="L2144" s="5">
        <v>46279</v>
      </c>
      <c r="M2144" t="s">
        <v>4653</v>
      </c>
      <c r="N2144" t="s">
        <v>207</v>
      </c>
      <c r="O2144" t="s">
        <v>4805</v>
      </c>
      <c r="P2144" t="s">
        <v>208</v>
      </c>
      <c r="Q2144" t="s">
        <v>209</v>
      </c>
    </row>
    <row r="2145" spans="1:17" x14ac:dyDescent="0.3">
      <c r="A2145" t="s">
        <v>4806</v>
      </c>
      <c r="C2145" t="s">
        <v>4807</v>
      </c>
      <c r="D2145" t="s">
        <v>4807</v>
      </c>
      <c r="E2145" s="5">
        <v>46277</v>
      </c>
      <c r="F2145" t="s">
        <v>204</v>
      </c>
      <c r="G2145" t="s">
        <v>220</v>
      </c>
      <c r="H2145">
        <v>7999</v>
      </c>
      <c r="I2145">
        <v>24</v>
      </c>
      <c r="J2145">
        <v>4.32</v>
      </c>
      <c r="K2145">
        <v>7970.68</v>
      </c>
      <c r="L2145" s="5">
        <v>46279</v>
      </c>
      <c r="M2145" t="s">
        <v>4653</v>
      </c>
      <c r="N2145" t="s">
        <v>207</v>
      </c>
      <c r="O2145" t="s">
        <v>4807</v>
      </c>
      <c r="P2145" t="s">
        <v>208</v>
      </c>
      <c r="Q2145" t="s">
        <v>209</v>
      </c>
    </row>
    <row r="2146" spans="1:17" x14ac:dyDescent="0.3">
      <c r="A2146" t="s">
        <v>4808</v>
      </c>
      <c r="C2146" t="s">
        <v>4809</v>
      </c>
      <c r="D2146" t="s">
        <v>4809</v>
      </c>
      <c r="E2146" s="5">
        <v>46277</v>
      </c>
      <c r="F2146" t="s">
        <v>204</v>
      </c>
      <c r="G2146" t="s">
        <v>205</v>
      </c>
      <c r="H2146">
        <v>848</v>
      </c>
      <c r="I2146">
        <v>16.11</v>
      </c>
      <c r="J2146">
        <v>2.9</v>
      </c>
      <c r="K2146">
        <v>828.99</v>
      </c>
      <c r="L2146" s="5">
        <v>46279</v>
      </c>
      <c r="M2146" t="s">
        <v>4653</v>
      </c>
      <c r="N2146" t="s">
        <v>207</v>
      </c>
      <c r="O2146" t="s">
        <v>4809</v>
      </c>
      <c r="P2146" t="s">
        <v>208</v>
      </c>
      <c r="Q2146" t="s">
        <v>209</v>
      </c>
    </row>
    <row r="2147" spans="1:17" x14ac:dyDescent="0.3">
      <c r="A2147" t="s">
        <v>4810</v>
      </c>
      <c r="C2147" t="s">
        <v>4811</v>
      </c>
      <c r="D2147" t="s">
        <v>4811</v>
      </c>
      <c r="E2147" s="5">
        <v>46277</v>
      </c>
      <c r="F2147" t="s">
        <v>204</v>
      </c>
      <c r="G2147" t="s">
        <v>220</v>
      </c>
      <c r="H2147">
        <v>5897</v>
      </c>
      <c r="I2147">
        <v>17.690000000000001</v>
      </c>
      <c r="J2147">
        <v>3.18</v>
      </c>
      <c r="K2147">
        <v>5876.13</v>
      </c>
      <c r="L2147" s="5">
        <v>46279</v>
      </c>
      <c r="M2147" t="s">
        <v>4653</v>
      </c>
      <c r="N2147" t="s">
        <v>207</v>
      </c>
      <c r="O2147" t="s">
        <v>4811</v>
      </c>
      <c r="P2147" t="s">
        <v>208</v>
      </c>
      <c r="Q2147" t="s">
        <v>209</v>
      </c>
    </row>
    <row r="2148" spans="1:17" x14ac:dyDescent="0.3">
      <c r="A2148" t="s">
        <v>4812</v>
      </c>
      <c r="C2148" t="s">
        <v>4813</v>
      </c>
      <c r="D2148" t="s">
        <v>4813</v>
      </c>
      <c r="E2148" s="5">
        <v>46277</v>
      </c>
      <c r="F2148" t="s">
        <v>204</v>
      </c>
      <c r="G2148" t="s">
        <v>205</v>
      </c>
      <c r="H2148">
        <v>1198</v>
      </c>
      <c r="I2148">
        <v>22.76</v>
      </c>
      <c r="J2148">
        <v>4.0999999999999996</v>
      </c>
      <c r="K2148">
        <v>1171.1400000000001</v>
      </c>
      <c r="L2148" s="5">
        <v>46279</v>
      </c>
      <c r="M2148" t="s">
        <v>4653</v>
      </c>
      <c r="N2148" t="s">
        <v>207</v>
      </c>
      <c r="O2148" t="s">
        <v>4813</v>
      </c>
      <c r="P2148" t="s">
        <v>208</v>
      </c>
      <c r="Q2148" t="s">
        <v>209</v>
      </c>
    </row>
    <row r="2149" spans="1:17" x14ac:dyDescent="0.3">
      <c r="A2149" t="s">
        <v>4814</v>
      </c>
      <c r="C2149" t="s">
        <v>4815</v>
      </c>
      <c r="D2149" t="s">
        <v>4815</v>
      </c>
      <c r="E2149" s="5">
        <v>46277</v>
      </c>
      <c r="F2149" t="s">
        <v>204</v>
      </c>
      <c r="G2149" t="s">
        <v>205</v>
      </c>
      <c r="H2149">
        <v>17797</v>
      </c>
      <c r="I2149">
        <v>302.55</v>
      </c>
      <c r="J2149">
        <v>54.46</v>
      </c>
      <c r="K2149">
        <v>17439.990000000002</v>
      </c>
      <c r="L2149" s="5">
        <v>46279</v>
      </c>
      <c r="M2149" t="s">
        <v>4653</v>
      </c>
      <c r="N2149" t="s">
        <v>207</v>
      </c>
      <c r="O2149" t="s">
        <v>4815</v>
      </c>
      <c r="P2149" t="s">
        <v>208</v>
      </c>
      <c r="Q2149" t="s">
        <v>209</v>
      </c>
    </row>
    <row r="2150" spans="1:17" x14ac:dyDescent="0.3">
      <c r="A2150" t="s">
        <v>4816</v>
      </c>
      <c r="C2150" t="s">
        <v>4817</v>
      </c>
      <c r="D2150" t="s">
        <v>4817</v>
      </c>
      <c r="E2150" s="5">
        <v>46277</v>
      </c>
      <c r="F2150" t="s">
        <v>204</v>
      </c>
      <c r="G2150" t="s">
        <v>213</v>
      </c>
      <c r="H2150">
        <v>2197</v>
      </c>
      <c r="I2150">
        <v>35.15</v>
      </c>
      <c r="J2150">
        <v>6.33</v>
      </c>
      <c r="K2150">
        <v>2155.52</v>
      </c>
      <c r="L2150" s="5">
        <v>46279</v>
      </c>
      <c r="M2150" t="s">
        <v>4653</v>
      </c>
      <c r="N2150" t="s">
        <v>207</v>
      </c>
      <c r="O2150" t="s">
        <v>4817</v>
      </c>
      <c r="P2150" t="s">
        <v>208</v>
      </c>
      <c r="Q2150" t="s">
        <v>209</v>
      </c>
    </row>
    <row r="2151" spans="1:17" x14ac:dyDescent="0.3">
      <c r="A2151" t="s">
        <v>4818</v>
      </c>
      <c r="C2151" t="s">
        <v>4819</v>
      </c>
      <c r="D2151" t="s">
        <v>4819</v>
      </c>
      <c r="E2151" s="5">
        <v>46277</v>
      </c>
      <c r="F2151" t="s">
        <v>204</v>
      </c>
      <c r="G2151" t="s">
        <v>255</v>
      </c>
      <c r="H2151">
        <v>4999</v>
      </c>
      <c r="I2151">
        <v>59.99</v>
      </c>
      <c r="J2151">
        <v>10.8</v>
      </c>
      <c r="K2151">
        <v>4928.21</v>
      </c>
      <c r="L2151" s="5">
        <v>46279</v>
      </c>
      <c r="M2151" t="s">
        <v>4653</v>
      </c>
      <c r="N2151" t="s">
        <v>207</v>
      </c>
      <c r="O2151" t="s">
        <v>4819</v>
      </c>
      <c r="P2151" t="s">
        <v>208</v>
      </c>
      <c r="Q2151" t="s">
        <v>209</v>
      </c>
    </row>
    <row r="2152" spans="1:17" x14ac:dyDescent="0.3">
      <c r="A2152" t="s">
        <v>4820</v>
      </c>
      <c r="C2152" t="s">
        <v>4821</v>
      </c>
      <c r="D2152" t="s">
        <v>4821</v>
      </c>
      <c r="E2152" s="5">
        <v>46277</v>
      </c>
      <c r="F2152" t="s">
        <v>204</v>
      </c>
      <c r="G2152" t="s">
        <v>213</v>
      </c>
      <c r="H2152">
        <v>1299</v>
      </c>
      <c r="I2152">
        <v>23.38</v>
      </c>
      <c r="J2152">
        <v>4.21</v>
      </c>
      <c r="K2152">
        <v>1271.4100000000001</v>
      </c>
      <c r="L2152" s="5">
        <v>46279</v>
      </c>
      <c r="M2152" t="s">
        <v>4653</v>
      </c>
      <c r="N2152" t="s">
        <v>207</v>
      </c>
      <c r="O2152" t="s">
        <v>4821</v>
      </c>
      <c r="P2152" t="s">
        <v>208</v>
      </c>
      <c r="Q2152" t="s">
        <v>209</v>
      </c>
    </row>
    <row r="2153" spans="1:17" x14ac:dyDescent="0.3">
      <c r="A2153" t="s">
        <v>4822</v>
      </c>
      <c r="C2153" t="s">
        <v>4823</v>
      </c>
      <c r="D2153" t="s">
        <v>4823</v>
      </c>
      <c r="E2153" s="5">
        <v>46277</v>
      </c>
      <c r="F2153" t="s">
        <v>204</v>
      </c>
      <c r="G2153" t="s">
        <v>205</v>
      </c>
      <c r="H2153">
        <v>8598</v>
      </c>
      <c r="I2153">
        <v>146.16999999999999</v>
      </c>
      <c r="J2153">
        <v>26.31</v>
      </c>
      <c r="K2153">
        <v>8425.52</v>
      </c>
      <c r="L2153" s="5">
        <v>46279</v>
      </c>
      <c r="M2153" t="s">
        <v>4653</v>
      </c>
      <c r="N2153" t="s">
        <v>207</v>
      </c>
      <c r="O2153" t="s">
        <v>4823</v>
      </c>
      <c r="P2153" t="s">
        <v>208</v>
      </c>
      <c r="Q2153" t="s">
        <v>209</v>
      </c>
    </row>
    <row r="2154" spans="1:17" x14ac:dyDescent="0.3">
      <c r="A2154" t="s">
        <v>4824</v>
      </c>
      <c r="C2154" t="s">
        <v>4825</v>
      </c>
      <c r="D2154" t="s">
        <v>4825</v>
      </c>
      <c r="E2154" s="5">
        <v>46277</v>
      </c>
      <c r="F2154" t="s">
        <v>204</v>
      </c>
      <c r="G2154" t="s">
        <v>255</v>
      </c>
      <c r="H2154">
        <v>1947</v>
      </c>
      <c r="I2154">
        <v>29.21</v>
      </c>
      <c r="J2154">
        <v>5.26</v>
      </c>
      <c r="K2154">
        <v>1912.53</v>
      </c>
      <c r="L2154" s="5">
        <v>46279</v>
      </c>
      <c r="M2154" t="s">
        <v>4653</v>
      </c>
      <c r="N2154" t="s">
        <v>207</v>
      </c>
      <c r="O2154" t="s">
        <v>4825</v>
      </c>
      <c r="P2154" t="s">
        <v>208</v>
      </c>
      <c r="Q2154" t="s">
        <v>209</v>
      </c>
    </row>
    <row r="2155" spans="1:17" x14ac:dyDescent="0.3">
      <c r="A2155" t="s">
        <v>4826</v>
      </c>
      <c r="C2155" t="s">
        <v>4827</v>
      </c>
      <c r="D2155" t="s">
        <v>4827</v>
      </c>
      <c r="E2155" s="5">
        <v>46277</v>
      </c>
      <c r="F2155" t="s">
        <v>204</v>
      </c>
      <c r="G2155" t="s">
        <v>220</v>
      </c>
      <c r="H2155">
        <v>6997</v>
      </c>
      <c r="I2155">
        <v>20.99</v>
      </c>
      <c r="J2155">
        <v>3.78</v>
      </c>
      <c r="K2155">
        <v>6972.23</v>
      </c>
      <c r="L2155" s="5">
        <v>46279</v>
      </c>
      <c r="M2155" t="s">
        <v>4653</v>
      </c>
      <c r="N2155" t="s">
        <v>207</v>
      </c>
      <c r="O2155" t="s">
        <v>4827</v>
      </c>
      <c r="P2155" t="s">
        <v>208</v>
      </c>
      <c r="Q2155" t="s">
        <v>209</v>
      </c>
    </row>
    <row r="2156" spans="1:17" x14ac:dyDescent="0.3">
      <c r="A2156" t="s">
        <v>4828</v>
      </c>
      <c r="C2156" t="s">
        <v>4829</v>
      </c>
      <c r="D2156" t="s">
        <v>4829</v>
      </c>
      <c r="E2156" s="5">
        <v>46277</v>
      </c>
      <c r="F2156" t="s">
        <v>204</v>
      </c>
      <c r="G2156" t="s">
        <v>213</v>
      </c>
      <c r="H2156">
        <v>299</v>
      </c>
      <c r="I2156">
        <v>5.38</v>
      </c>
      <c r="J2156">
        <v>0.97</v>
      </c>
      <c r="K2156">
        <v>292.64999999999998</v>
      </c>
      <c r="L2156" s="5">
        <v>46279</v>
      </c>
      <c r="M2156" t="s">
        <v>4653</v>
      </c>
      <c r="N2156" t="s">
        <v>207</v>
      </c>
      <c r="O2156" t="s">
        <v>4829</v>
      </c>
      <c r="P2156" t="s">
        <v>208</v>
      </c>
      <c r="Q2156" t="s">
        <v>209</v>
      </c>
    </row>
    <row r="2157" spans="1:17" x14ac:dyDescent="0.3">
      <c r="A2157" t="s">
        <v>4830</v>
      </c>
      <c r="C2157" t="s">
        <v>4831</v>
      </c>
      <c r="D2157" t="s">
        <v>4831</v>
      </c>
      <c r="E2157" s="5">
        <v>46277</v>
      </c>
      <c r="F2157" t="s">
        <v>204</v>
      </c>
      <c r="G2157" t="s">
        <v>205</v>
      </c>
      <c r="H2157">
        <v>499</v>
      </c>
      <c r="I2157">
        <v>9.48</v>
      </c>
      <c r="J2157">
        <v>1.71</v>
      </c>
      <c r="K2157">
        <v>487.81</v>
      </c>
      <c r="L2157" s="5">
        <v>46279</v>
      </c>
      <c r="M2157" t="s">
        <v>4653</v>
      </c>
      <c r="N2157" t="s">
        <v>207</v>
      </c>
      <c r="O2157" t="s">
        <v>4831</v>
      </c>
      <c r="P2157" t="s">
        <v>208</v>
      </c>
      <c r="Q2157" t="s">
        <v>209</v>
      </c>
    </row>
    <row r="2158" spans="1:17" x14ac:dyDescent="0.3">
      <c r="A2158" t="s">
        <v>4832</v>
      </c>
      <c r="C2158" t="s">
        <v>4833</v>
      </c>
      <c r="D2158" t="s">
        <v>4833</v>
      </c>
      <c r="E2158" s="5">
        <v>46277</v>
      </c>
      <c r="F2158" t="s">
        <v>204</v>
      </c>
      <c r="G2158" t="s">
        <v>205</v>
      </c>
      <c r="H2158">
        <v>299</v>
      </c>
      <c r="I2158">
        <v>5.68</v>
      </c>
      <c r="J2158">
        <v>1.02</v>
      </c>
      <c r="K2158">
        <v>292.3</v>
      </c>
      <c r="L2158" s="5">
        <v>46279</v>
      </c>
      <c r="M2158" t="s">
        <v>4653</v>
      </c>
      <c r="N2158" t="s">
        <v>207</v>
      </c>
      <c r="O2158" t="s">
        <v>4833</v>
      </c>
      <c r="P2158" t="s">
        <v>208</v>
      </c>
      <c r="Q2158" t="s">
        <v>209</v>
      </c>
    </row>
    <row r="2159" spans="1:17" x14ac:dyDescent="0.3">
      <c r="A2159" t="s">
        <v>4834</v>
      </c>
      <c r="C2159" t="s">
        <v>4835</v>
      </c>
      <c r="D2159" t="s">
        <v>4835</v>
      </c>
      <c r="E2159" s="5">
        <v>46277</v>
      </c>
      <c r="F2159" t="s">
        <v>204</v>
      </c>
      <c r="G2159" t="s">
        <v>220</v>
      </c>
      <c r="H2159">
        <v>1499</v>
      </c>
      <c r="I2159">
        <v>0</v>
      </c>
      <c r="J2159">
        <v>0</v>
      </c>
      <c r="K2159">
        <v>1499</v>
      </c>
      <c r="L2159" s="5">
        <v>46279</v>
      </c>
      <c r="M2159" t="s">
        <v>4653</v>
      </c>
      <c r="N2159" t="s">
        <v>207</v>
      </c>
      <c r="O2159" t="s">
        <v>4835</v>
      </c>
      <c r="P2159" t="s">
        <v>208</v>
      </c>
      <c r="Q2159" t="s">
        <v>209</v>
      </c>
    </row>
    <row r="2160" spans="1:17" x14ac:dyDescent="0.3">
      <c r="A2160" t="s">
        <v>4836</v>
      </c>
      <c r="C2160" t="s">
        <v>4837</v>
      </c>
      <c r="D2160" t="s">
        <v>4837</v>
      </c>
      <c r="E2160" s="5">
        <v>46277</v>
      </c>
      <c r="F2160" t="s">
        <v>204</v>
      </c>
      <c r="G2160" t="s">
        <v>220</v>
      </c>
      <c r="H2160">
        <v>6097</v>
      </c>
      <c r="I2160">
        <v>18.29</v>
      </c>
      <c r="J2160">
        <v>3.29</v>
      </c>
      <c r="K2160">
        <v>6075.42</v>
      </c>
      <c r="L2160" s="5">
        <v>46279</v>
      </c>
      <c r="M2160" t="s">
        <v>4653</v>
      </c>
      <c r="N2160" t="s">
        <v>207</v>
      </c>
      <c r="O2160" t="s">
        <v>4837</v>
      </c>
      <c r="P2160" t="s">
        <v>208</v>
      </c>
      <c r="Q2160" t="s">
        <v>209</v>
      </c>
    </row>
    <row r="2161" spans="1:17" x14ac:dyDescent="0.3">
      <c r="A2161" t="s">
        <v>4838</v>
      </c>
      <c r="C2161" t="s">
        <v>4839</v>
      </c>
      <c r="D2161" t="s">
        <v>4839</v>
      </c>
      <c r="E2161" s="5">
        <v>46277</v>
      </c>
      <c r="F2161" t="s">
        <v>204</v>
      </c>
      <c r="G2161" t="s">
        <v>220</v>
      </c>
      <c r="H2161">
        <v>1499</v>
      </c>
      <c r="I2161">
        <v>0</v>
      </c>
      <c r="J2161">
        <v>0</v>
      </c>
      <c r="K2161">
        <v>1499</v>
      </c>
      <c r="L2161" s="5">
        <v>46279</v>
      </c>
      <c r="M2161" t="s">
        <v>4653</v>
      </c>
      <c r="N2161" t="s">
        <v>207</v>
      </c>
      <c r="O2161" t="s">
        <v>4839</v>
      </c>
      <c r="P2161" t="s">
        <v>208</v>
      </c>
      <c r="Q2161" t="s">
        <v>209</v>
      </c>
    </row>
    <row r="2162" spans="1:17" x14ac:dyDescent="0.3">
      <c r="A2162" t="s">
        <v>4840</v>
      </c>
      <c r="C2162" t="s">
        <v>4841</v>
      </c>
      <c r="D2162" t="s">
        <v>4841</v>
      </c>
      <c r="E2162" s="5">
        <v>46277</v>
      </c>
      <c r="F2162" t="s">
        <v>204</v>
      </c>
      <c r="G2162" t="s">
        <v>213</v>
      </c>
      <c r="H2162">
        <v>3897</v>
      </c>
      <c r="I2162">
        <v>62.35</v>
      </c>
      <c r="J2162">
        <v>11.22</v>
      </c>
      <c r="K2162">
        <v>3823.43</v>
      </c>
      <c r="L2162" s="5">
        <v>46279</v>
      </c>
      <c r="M2162" t="s">
        <v>4653</v>
      </c>
      <c r="N2162" t="s">
        <v>207</v>
      </c>
      <c r="O2162" t="s">
        <v>4841</v>
      </c>
      <c r="P2162" t="s">
        <v>208</v>
      </c>
      <c r="Q2162" t="s">
        <v>209</v>
      </c>
    </row>
    <row r="2163" spans="1:17" x14ac:dyDescent="0.3">
      <c r="A2163" t="s">
        <v>4842</v>
      </c>
      <c r="C2163" t="s">
        <v>4843</v>
      </c>
      <c r="D2163" t="s">
        <v>4843</v>
      </c>
      <c r="E2163" s="5">
        <v>46277</v>
      </c>
      <c r="F2163" t="s">
        <v>204</v>
      </c>
      <c r="G2163" t="s">
        <v>205</v>
      </c>
      <c r="H2163">
        <v>3499</v>
      </c>
      <c r="I2163">
        <v>59.48</v>
      </c>
      <c r="J2163">
        <v>10.71</v>
      </c>
      <c r="K2163">
        <v>3428.81</v>
      </c>
      <c r="L2163" s="5">
        <v>46279</v>
      </c>
      <c r="M2163" t="s">
        <v>4653</v>
      </c>
      <c r="N2163" t="s">
        <v>207</v>
      </c>
      <c r="O2163" t="s">
        <v>4843</v>
      </c>
      <c r="P2163" t="s">
        <v>208</v>
      </c>
      <c r="Q2163" t="s">
        <v>209</v>
      </c>
    </row>
    <row r="2164" spans="1:17" x14ac:dyDescent="0.3">
      <c r="A2164" t="s">
        <v>4844</v>
      </c>
      <c r="C2164" t="s">
        <v>4845</v>
      </c>
      <c r="D2164" t="s">
        <v>4846</v>
      </c>
      <c r="E2164" s="5">
        <v>46277</v>
      </c>
      <c r="F2164" t="s">
        <v>204</v>
      </c>
      <c r="G2164" t="s">
        <v>205</v>
      </c>
      <c r="H2164">
        <v>999</v>
      </c>
      <c r="I2164">
        <v>18.98</v>
      </c>
      <c r="J2164">
        <v>3.42</v>
      </c>
      <c r="K2164">
        <v>976.6</v>
      </c>
      <c r="L2164" s="5">
        <v>46279</v>
      </c>
      <c r="M2164" t="s">
        <v>4653</v>
      </c>
      <c r="N2164" t="s">
        <v>207</v>
      </c>
      <c r="O2164" t="s">
        <v>4846</v>
      </c>
      <c r="P2164" t="s">
        <v>208</v>
      </c>
      <c r="Q2164" t="s">
        <v>209</v>
      </c>
    </row>
    <row r="2165" spans="1:17" x14ac:dyDescent="0.3">
      <c r="A2165" t="s">
        <v>4847</v>
      </c>
      <c r="C2165" t="s">
        <v>4848</v>
      </c>
      <c r="D2165" t="s">
        <v>4848</v>
      </c>
      <c r="E2165" s="5">
        <v>46277</v>
      </c>
      <c r="F2165" t="s">
        <v>204</v>
      </c>
      <c r="G2165" t="s">
        <v>213</v>
      </c>
      <c r="H2165">
        <v>4999</v>
      </c>
      <c r="I2165">
        <v>79.98</v>
      </c>
      <c r="J2165">
        <v>14.4</v>
      </c>
      <c r="K2165">
        <v>4904.62</v>
      </c>
      <c r="L2165" s="5">
        <v>46279</v>
      </c>
      <c r="M2165" t="s">
        <v>4653</v>
      </c>
      <c r="N2165" t="s">
        <v>207</v>
      </c>
      <c r="O2165" t="s">
        <v>4848</v>
      </c>
      <c r="P2165" t="s">
        <v>208</v>
      </c>
      <c r="Q2165" t="s">
        <v>209</v>
      </c>
    </row>
    <row r="2166" spans="1:17" x14ac:dyDescent="0.3">
      <c r="A2166" t="s">
        <v>4849</v>
      </c>
      <c r="C2166" t="s">
        <v>4850</v>
      </c>
      <c r="D2166" t="s">
        <v>4850</v>
      </c>
      <c r="E2166" s="5">
        <v>46277</v>
      </c>
      <c r="F2166" t="s">
        <v>204</v>
      </c>
      <c r="G2166" t="s">
        <v>205</v>
      </c>
      <c r="H2166">
        <v>5998</v>
      </c>
      <c r="I2166">
        <v>101.97</v>
      </c>
      <c r="J2166">
        <v>18.350000000000001</v>
      </c>
      <c r="K2166">
        <v>5877.68</v>
      </c>
      <c r="L2166" s="5">
        <v>46279</v>
      </c>
      <c r="M2166" t="s">
        <v>4653</v>
      </c>
      <c r="N2166" t="s">
        <v>207</v>
      </c>
      <c r="O2166" t="s">
        <v>4850</v>
      </c>
      <c r="P2166" t="s">
        <v>208</v>
      </c>
      <c r="Q2166" t="s">
        <v>209</v>
      </c>
    </row>
    <row r="2167" spans="1:17" x14ac:dyDescent="0.3">
      <c r="A2167" t="s">
        <v>4851</v>
      </c>
      <c r="C2167" t="s">
        <v>4852</v>
      </c>
      <c r="D2167" t="s">
        <v>4853</v>
      </c>
      <c r="E2167" s="5">
        <v>46277</v>
      </c>
      <c r="F2167" t="s">
        <v>204</v>
      </c>
      <c r="G2167" t="s">
        <v>205</v>
      </c>
      <c r="H2167">
        <v>6298</v>
      </c>
      <c r="I2167">
        <v>107.07</v>
      </c>
      <c r="J2167">
        <v>19.27</v>
      </c>
      <c r="K2167">
        <v>6171.66</v>
      </c>
      <c r="L2167" s="5">
        <v>46279</v>
      </c>
      <c r="M2167" t="s">
        <v>4653</v>
      </c>
      <c r="N2167" t="s">
        <v>207</v>
      </c>
      <c r="O2167" t="s">
        <v>4853</v>
      </c>
      <c r="P2167" t="s">
        <v>208</v>
      </c>
      <c r="Q2167" t="s">
        <v>209</v>
      </c>
    </row>
    <row r="2168" spans="1:17" x14ac:dyDescent="0.3">
      <c r="A2168" t="s">
        <v>4854</v>
      </c>
      <c r="C2168" t="s">
        <v>4855</v>
      </c>
      <c r="D2168" t="s">
        <v>4855</v>
      </c>
      <c r="E2168" s="5">
        <v>46277</v>
      </c>
      <c r="F2168" t="s">
        <v>204</v>
      </c>
      <c r="G2168" t="s">
        <v>220</v>
      </c>
      <c r="H2168">
        <v>599</v>
      </c>
      <c r="I2168">
        <v>0</v>
      </c>
      <c r="J2168">
        <v>0</v>
      </c>
      <c r="K2168">
        <v>599</v>
      </c>
      <c r="L2168" s="5">
        <v>46279</v>
      </c>
      <c r="M2168" t="s">
        <v>4653</v>
      </c>
      <c r="N2168" t="s">
        <v>207</v>
      </c>
      <c r="O2168" t="s">
        <v>4855</v>
      </c>
      <c r="P2168" t="s">
        <v>208</v>
      </c>
      <c r="Q2168" t="s">
        <v>209</v>
      </c>
    </row>
    <row r="2169" spans="1:17" x14ac:dyDescent="0.3">
      <c r="A2169" t="s">
        <v>4856</v>
      </c>
      <c r="C2169" t="s">
        <v>4857</v>
      </c>
      <c r="D2169" t="s">
        <v>4858</v>
      </c>
      <c r="E2169" s="5">
        <v>46277</v>
      </c>
      <c r="F2169" t="s">
        <v>204</v>
      </c>
      <c r="G2169" t="s">
        <v>220</v>
      </c>
      <c r="H2169">
        <v>3298</v>
      </c>
      <c r="I2169">
        <v>9.89</v>
      </c>
      <c r="J2169">
        <v>1.78</v>
      </c>
      <c r="K2169">
        <v>3286.33</v>
      </c>
      <c r="L2169" s="5">
        <v>46279</v>
      </c>
      <c r="M2169" t="s">
        <v>4653</v>
      </c>
      <c r="N2169" t="s">
        <v>207</v>
      </c>
      <c r="O2169" t="s">
        <v>4858</v>
      </c>
      <c r="P2169" t="s">
        <v>208</v>
      </c>
      <c r="Q2169" t="s">
        <v>209</v>
      </c>
    </row>
    <row r="2170" spans="1:17" x14ac:dyDescent="0.3">
      <c r="A2170" t="s">
        <v>4859</v>
      </c>
      <c r="C2170" t="s">
        <v>4860</v>
      </c>
      <c r="D2170" t="s">
        <v>4860</v>
      </c>
      <c r="E2170" s="5">
        <v>46277</v>
      </c>
      <c r="F2170" t="s">
        <v>204</v>
      </c>
      <c r="G2170" t="s">
        <v>205</v>
      </c>
      <c r="H2170">
        <v>4999</v>
      </c>
      <c r="I2170">
        <v>84.98</v>
      </c>
      <c r="J2170">
        <v>15.3</v>
      </c>
      <c r="K2170">
        <v>4898.72</v>
      </c>
      <c r="L2170" s="5">
        <v>46279</v>
      </c>
      <c r="M2170" t="s">
        <v>4653</v>
      </c>
      <c r="N2170" t="s">
        <v>207</v>
      </c>
      <c r="O2170" t="s">
        <v>4860</v>
      </c>
      <c r="P2170" t="s">
        <v>208</v>
      </c>
      <c r="Q2170" t="s">
        <v>209</v>
      </c>
    </row>
    <row r="2171" spans="1:17" x14ac:dyDescent="0.3">
      <c r="A2171" t="s">
        <v>4861</v>
      </c>
      <c r="C2171" t="s">
        <v>4862</v>
      </c>
      <c r="D2171" t="s">
        <v>4863</v>
      </c>
      <c r="E2171" s="5">
        <v>46277</v>
      </c>
      <c r="F2171" t="s">
        <v>204</v>
      </c>
      <c r="G2171" t="s">
        <v>220</v>
      </c>
      <c r="H2171">
        <v>2398</v>
      </c>
      <c r="I2171">
        <v>7.19</v>
      </c>
      <c r="J2171">
        <v>1.29</v>
      </c>
      <c r="K2171">
        <v>2389.52</v>
      </c>
      <c r="L2171" s="5">
        <v>46279</v>
      </c>
      <c r="M2171" t="s">
        <v>4653</v>
      </c>
      <c r="N2171" t="s">
        <v>207</v>
      </c>
      <c r="O2171" t="s">
        <v>4863</v>
      </c>
      <c r="P2171" t="s">
        <v>208</v>
      </c>
      <c r="Q2171" t="s">
        <v>209</v>
      </c>
    </row>
    <row r="2172" spans="1:17" x14ac:dyDescent="0.3">
      <c r="A2172" t="s">
        <v>4864</v>
      </c>
      <c r="C2172" t="s">
        <v>4865</v>
      </c>
      <c r="D2172" t="s">
        <v>4865</v>
      </c>
      <c r="E2172" s="5">
        <v>46277</v>
      </c>
      <c r="F2172" t="s">
        <v>204</v>
      </c>
      <c r="G2172" t="s">
        <v>205</v>
      </c>
      <c r="H2172">
        <v>1799</v>
      </c>
      <c r="I2172">
        <v>34.18</v>
      </c>
      <c r="J2172">
        <v>6.15</v>
      </c>
      <c r="K2172">
        <v>1758.67</v>
      </c>
      <c r="L2172" s="5">
        <v>46279</v>
      </c>
      <c r="M2172" t="s">
        <v>4653</v>
      </c>
      <c r="N2172" t="s">
        <v>207</v>
      </c>
      <c r="O2172" t="s">
        <v>4865</v>
      </c>
      <c r="P2172" t="s">
        <v>208</v>
      </c>
      <c r="Q2172" t="s">
        <v>209</v>
      </c>
    </row>
    <row r="2173" spans="1:17" x14ac:dyDescent="0.3">
      <c r="A2173" t="s">
        <v>4866</v>
      </c>
      <c r="C2173" t="s">
        <v>4867</v>
      </c>
      <c r="D2173" t="s">
        <v>4867</v>
      </c>
      <c r="E2173" s="5">
        <v>46277</v>
      </c>
      <c r="F2173" t="s">
        <v>204</v>
      </c>
      <c r="G2173" t="s">
        <v>213</v>
      </c>
      <c r="H2173">
        <v>12998</v>
      </c>
      <c r="I2173">
        <v>207.97</v>
      </c>
      <c r="J2173">
        <v>37.43</v>
      </c>
      <c r="K2173">
        <v>12752.6</v>
      </c>
      <c r="L2173" s="5">
        <v>46279</v>
      </c>
      <c r="M2173" t="s">
        <v>4653</v>
      </c>
      <c r="N2173" t="s">
        <v>207</v>
      </c>
      <c r="O2173" t="s">
        <v>4867</v>
      </c>
      <c r="P2173" t="s">
        <v>208</v>
      </c>
      <c r="Q2173" t="s">
        <v>209</v>
      </c>
    </row>
    <row r="2174" spans="1:17" x14ac:dyDescent="0.3">
      <c r="A2174" t="s">
        <v>4868</v>
      </c>
      <c r="C2174" t="s">
        <v>4869</v>
      </c>
      <c r="D2174" t="s">
        <v>4870</v>
      </c>
      <c r="E2174" s="5">
        <v>46277</v>
      </c>
      <c r="F2174" t="s">
        <v>204</v>
      </c>
      <c r="G2174" t="s">
        <v>220</v>
      </c>
      <c r="H2174">
        <v>2499</v>
      </c>
      <c r="I2174">
        <v>7.5</v>
      </c>
      <c r="J2174">
        <v>1.35</v>
      </c>
      <c r="K2174">
        <v>2490.15</v>
      </c>
      <c r="L2174" s="5">
        <v>46279</v>
      </c>
      <c r="M2174" t="s">
        <v>4653</v>
      </c>
      <c r="N2174" t="s">
        <v>207</v>
      </c>
      <c r="O2174" t="s">
        <v>4870</v>
      </c>
      <c r="P2174" t="s">
        <v>208</v>
      </c>
      <c r="Q2174" t="s">
        <v>209</v>
      </c>
    </row>
    <row r="2175" spans="1:17" x14ac:dyDescent="0.3">
      <c r="A2175" t="s">
        <v>4871</v>
      </c>
      <c r="C2175" t="s">
        <v>4872</v>
      </c>
      <c r="D2175" t="s">
        <v>4872</v>
      </c>
      <c r="E2175" s="5">
        <v>46277</v>
      </c>
      <c r="F2175" t="s">
        <v>204</v>
      </c>
      <c r="G2175" t="s">
        <v>205</v>
      </c>
      <c r="H2175">
        <v>1499</v>
      </c>
      <c r="I2175">
        <v>28.48</v>
      </c>
      <c r="J2175">
        <v>5.13</v>
      </c>
      <c r="K2175">
        <v>1465.39</v>
      </c>
      <c r="L2175" s="5">
        <v>46279</v>
      </c>
      <c r="M2175" t="s">
        <v>4653</v>
      </c>
      <c r="N2175" t="s">
        <v>207</v>
      </c>
      <c r="O2175" t="s">
        <v>4872</v>
      </c>
      <c r="P2175" t="s">
        <v>208</v>
      </c>
      <c r="Q2175" t="s">
        <v>209</v>
      </c>
    </row>
    <row r="2176" spans="1:17" x14ac:dyDescent="0.3">
      <c r="A2176" t="s">
        <v>4873</v>
      </c>
      <c r="C2176" t="s">
        <v>4874</v>
      </c>
      <c r="D2176" t="s">
        <v>4874</v>
      </c>
      <c r="E2176" s="5">
        <v>46277</v>
      </c>
      <c r="F2176" t="s">
        <v>204</v>
      </c>
      <c r="G2176" t="s">
        <v>205</v>
      </c>
      <c r="H2176">
        <v>2999</v>
      </c>
      <c r="I2176">
        <v>50.98</v>
      </c>
      <c r="J2176">
        <v>9.18</v>
      </c>
      <c r="K2176">
        <v>2938.84</v>
      </c>
      <c r="L2176" s="5">
        <v>46279</v>
      </c>
      <c r="M2176" t="s">
        <v>4653</v>
      </c>
      <c r="N2176" t="s">
        <v>207</v>
      </c>
      <c r="O2176" t="s">
        <v>4874</v>
      </c>
      <c r="P2176" t="s">
        <v>208</v>
      </c>
      <c r="Q2176" t="s">
        <v>209</v>
      </c>
    </row>
    <row r="2177" spans="1:17" x14ac:dyDescent="0.3">
      <c r="A2177" t="s">
        <v>4875</v>
      </c>
      <c r="C2177" t="s">
        <v>4876</v>
      </c>
      <c r="D2177" t="s">
        <v>4876</v>
      </c>
      <c r="E2177" s="5">
        <v>46277</v>
      </c>
      <c r="F2177" t="s">
        <v>204</v>
      </c>
      <c r="G2177" t="s">
        <v>213</v>
      </c>
      <c r="H2177">
        <v>499</v>
      </c>
      <c r="I2177">
        <v>8.98</v>
      </c>
      <c r="J2177">
        <v>1.62</v>
      </c>
      <c r="K2177">
        <v>488.4</v>
      </c>
      <c r="L2177" s="5">
        <v>46279</v>
      </c>
      <c r="M2177" t="s">
        <v>4653</v>
      </c>
      <c r="N2177" t="s">
        <v>207</v>
      </c>
      <c r="O2177" t="s">
        <v>4876</v>
      </c>
      <c r="P2177" t="s">
        <v>208</v>
      </c>
      <c r="Q2177" t="s">
        <v>209</v>
      </c>
    </row>
    <row r="2178" spans="1:17" x14ac:dyDescent="0.3">
      <c r="A2178" t="s">
        <v>4877</v>
      </c>
      <c r="C2178" t="s">
        <v>4878</v>
      </c>
      <c r="D2178" t="s">
        <v>4879</v>
      </c>
      <c r="E2178" s="5">
        <v>46277</v>
      </c>
      <c r="F2178" t="s">
        <v>204</v>
      </c>
      <c r="G2178" t="s">
        <v>220</v>
      </c>
      <c r="H2178">
        <v>848</v>
      </c>
      <c r="I2178">
        <v>0</v>
      </c>
      <c r="J2178">
        <v>0</v>
      </c>
      <c r="K2178">
        <v>848</v>
      </c>
      <c r="L2178" s="5">
        <v>46279</v>
      </c>
      <c r="M2178" t="s">
        <v>4653</v>
      </c>
      <c r="N2178" t="s">
        <v>207</v>
      </c>
      <c r="O2178" t="s">
        <v>4879</v>
      </c>
      <c r="P2178" t="s">
        <v>208</v>
      </c>
      <c r="Q2178" t="s">
        <v>209</v>
      </c>
    </row>
    <row r="2179" spans="1:17" x14ac:dyDescent="0.3">
      <c r="A2179" t="s">
        <v>4880</v>
      </c>
      <c r="C2179" t="s">
        <v>4881</v>
      </c>
      <c r="D2179" t="s">
        <v>4882</v>
      </c>
      <c r="E2179" s="5">
        <v>46277</v>
      </c>
      <c r="F2179" t="s">
        <v>204</v>
      </c>
      <c r="G2179" t="s">
        <v>213</v>
      </c>
      <c r="H2179">
        <v>6998</v>
      </c>
      <c r="I2179">
        <v>111.97</v>
      </c>
      <c r="J2179">
        <v>20.149999999999999</v>
      </c>
      <c r="K2179">
        <v>6865.88</v>
      </c>
      <c r="L2179" s="5">
        <v>46279</v>
      </c>
      <c r="M2179" t="s">
        <v>4653</v>
      </c>
      <c r="N2179" t="s">
        <v>207</v>
      </c>
      <c r="O2179" t="s">
        <v>4882</v>
      </c>
      <c r="P2179" t="s">
        <v>208</v>
      </c>
      <c r="Q2179" t="s">
        <v>209</v>
      </c>
    </row>
    <row r="2180" spans="1:17" x14ac:dyDescent="0.3">
      <c r="A2180" t="s">
        <v>4883</v>
      </c>
      <c r="C2180" t="s">
        <v>4884</v>
      </c>
      <c r="D2180" t="s">
        <v>4884</v>
      </c>
      <c r="E2180" s="5">
        <v>46277</v>
      </c>
      <c r="F2180" t="s">
        <v>204</v>
      </c>
      <c r="G2180" t="s">
        <v>220</v>
      </c>
      <c r="H2180">
        <v>2498</v>
      </c>
      <c r="I2180">
        <v>7.49</v>
      </c>
      <c r="J2180">
        <v>1.35</v>
      </c>
      <c r="K2180">
        <v>2489.16</v>
      </c>
      <c r="L2180" s="5">
        <v>46279</v>
      </c>
      <c r="M2180" t="s">
        <v>4653</v>
      </c>
      <c r="N2180" t="s">
        <v>207</v>
      </c>
      <c r="O2180" t="s">
        <v>4884</v>
      </c>
      <c r="P2180" t="s">
        <v>208</v>
      </c>
      <c r="Q2180" t="s">
        <v>209</v>
      </c>
    </row>
    <row r="2181" spans="1:17" x14ac:dyDescent="0.3">
      <c r="A2181" t="s">
        <v>4885</v>
      </c>
      <c r="C2181" t="s">
        <v>4886</v>
      </c>
      <c r="D2181" t="s">
        <v>4886</v>
      </c>
      <c r="E2181" s="5">
        <v>46277</v>
      </c>
      <c r="F2181" t="s">
        <v>204</v>
      </c>
      <c r="G2181" t="s">
        <v>220</v>
      </c>
      <c r="H2181">
        <v>1299</v>
      </c>
      <c r="I2181">
        <v>0</v>
      </c>
      <c r="J2181">
        <v>0</v>
      </c>
      <c r="K2181">
        <v>1299</v>
      </c>
      <c r="L2181" s="5">
        <v>46279</v>
      </c>
      <c r="M2181" t="s">
        <v>4653</v>
      </c>
      <c r="N2181" t="s">
        <v>207</v>
      </c>
      <c r="O2181" t="s">
        <v>4886</v>
      </c>
      <c r="P2181" t="s">
        <v>208</v>
      </c>
      <c r="Q2181" t="s">
        <v>209</v>
      </c>
    </row>
    <row r="2182" spans="1:17" x14ac:dyDescent="0.3">
      <c r="A2182" t="s">
        <v>4887</v>
      </c>
      <c r="C2182" t="s">
        <v>4888</v>
      </c>
      <c r="D2182" t="s">
        <v>4889</v>
      </c>
      <c r="E2182" s="5">
        <v>46277</v>
      </c>
      <c r="F2182" t="s">
        <v>204</v>
      </c>
      <c r="G2182" t="s">
        <v>213</v>
      </c>
      <c r="H2182">
        <v>12497</v>
      </c>
      <c r="I2182">
        <v>199.95</v>
      </c>
      <c r="J2182">
        <v>35.99</v>
      </c>
      <c r="K2182">
        <v>12261.06</v>
      </c>
      <c r="L2182" s="5">
        <v>46279</v>
      </c>
      <c r="M2182" t="s">
        <v>4653</v>
      </c>
      <c r="N2182" t="s">
        <v>207</v>
      </c>
      <c r="O2182" t="s">
        <v>4889</v>
      </c>
      <c r="P2182" t="s">
        <v>208</v>
      </c>
      <c r="Q2182" t="s">
        <v>209</v>
      </c>
    </row>
    <row r="2183" spans="1:17" x14ac:dyDescent="0.3">
      <c r="A2183" t="s">
        <v>4890</v>
      </c>
      <c r="C2183" t="s">
        <v>4891</v>
      </c>
      <c r="D2183" t="s">
        <v>4892</v>
      </c>
      <c r="E2183" s="5">
        <v>46277</v>
      </c>
      <c r="F2183" t="s">
        <v>204</v>
      </c>
      <c r="G2183" t="s">
        <v>220</v>
      </c>
      <c r="H2183">
        <v>5998</v>
      </c>
      <c r="I2183">
        <v>17.989999999999998</v>
      </c>
      <c r="J2183">
        <v>3.24</v>
      </c>
      <c r="K2183">
        <v>5976.77</v>
      </c>
      <c r="L2183" s="5">
        <v>46279</v>
      </c>
      <c r="M2183" t="s">
        <v>4653</v>
      </c>
      <c r="N2183" t="s">
        <v>207</v>
      </c>
      <c r="O2183" t="s">
        <v>4892</v>
      </c>
      <c r="P2183" t="s">
        <v>208</v>
      </c>
      <c r="Q2183" t="s">
        <v>209</v>
      </c>
    </row>
    <row r="2184" spans="1:17" x14ac:dyDescent="0.3">
      <c r="A2184" t="s">
        <v>4893</v>
      </c>
      <c r="C2184" t="s">
        <v>4894</v>
      </c>
      <c r="D2184" t="s">
        <v>4894</v>
      </c>
      <c r="E2184" s="5">
        <v>46277</v>
      </c>
      <c r="F2184" t="s">
        <v>204</v>
      </c>
      <c r="G2184" t="s">
        <v>255</v>
      </c>
      <c r="H2184">
        <v>499</v>
      </c>
      <c r="I2184">
        <v>7.49</v>
      </c>
      <c r="J2184">
        <v>1.35</v>
      </c>
      <c r="K2184">
        <v>490.16</v>
      </c>
      <c r="L2184" s="5">
        <v>46279</v>
      </c>
      <c r="M2184" t="s">
        <v>4653</v>
      </c>
      <c r="N2184" t="s">
        <v>207</v>
      </c>
      <c r="O2184" t="s">
        <v>4894</v>
      </c>
      <c r="P2184" t="s">
        <v>208</v>
      </c>
      <c r="Q2184" t="s">
        <v>209</v>
      </c>
    </row>
    <row r="2185" spans="1:17" x14ac:dyDescent="0.3">
      <c r="A2185" t="s">
        <v>4895</v>
      </c>
      <c r="C2185" t="s">
        <v>4896</v>
      </c>
      <c r="D2185" t="s">
        <v>4896</v>
      </c>
      <c r="E2185" s="5">
        <v>46277</v>
      </c>
      <c r="F2185" t="s">
        <v>204</v>
      </c>
      <c r="G2185" t="s">
        <v>213</v>
      </c>
      <c r="H2185">
        <v>2999</v>
      </c>
      <c r="I2185">
        <v>47.98</v>
      </c>
      <c r="J2185">
        <v>8.64</v>
      </c>
      <c r="K2185">
        <v>2942.38</v>
      </c>
      <c r="L2185" s="5">
        <v>46279</v>
      </c>
      <c r="M2185" t="s">
        <v>4653</v>
      </c>
      <c r="N2185" t="s">
        <v>207</v>
      </c>
      <c r="O2185" t="s">
        <v>4896</v>
      </c>
      <c r="P2185" t="s">
        <v>208</v>
      </c>
      <c r="Q2185" t="s">
        <v>209</v>
      </c>
    </row>
    <row r="2186" spans="1:17" x14ac:dyDescent="0.3">
      <c r="A2186" t="s">
        <v>4897</v>
      </c>
      <c r="C2186" t="s">
        <v>4898</v>
      </c>
      <c r="D2186" t="s">
        <v>4898</v>
      </c>
      <c r="E2186" s="5">
        <v>46277</v>
      </c>
      <c r="F2186" t="s">
        <v>204</v>
      </c>
      <c r="G2186" t="s">
        <v>220</v>
      </c>
      <c r="H2186">
        <v>299</v>
      </c>
      <c r="I2186">
        <v>0.9</v>
      </c>
      <c r="J2186">
        <v>0.16</v>
      </c>
      <c r="K2186">
        <v>297.94</v>
      </c>
      <c r="L2186" s="5">
        <v>46279</v>
      </c>
      <c r="M2186" t="s">
        <v>4653</v>
      </c>
      <c r="N2186" t="s">
        <v>207</v>
      </c>
      <c r="O2186" t="s">
        <v>4898</v>
      </c>
      <c r="P2186" t="s">
        <v>208</v>
      </c>
      <c r="Q2186" t="s">
        <v>209</v>
      </c>
    </row>
    <row r="2187" spans="1:17" x14ac:dyDescent="0.3">
      <c r="A2187" t="s">
        <v>4899</v>
      </c>
      <c r="C2187" t="s">
        <v>4900</v>
      </c>
      <c r="D2187" t="s">
        <v>4900</v>
      </c>
      <c r="E2187" s="5">
        <v>46277</v>
      </c>
      <c r="F2187" t="s">
        <v>204</v>
      </c>
      <c r="G2187" t="s">
        <v>220</v>
      </c>
      <c r="H2187">
        <v>4999</v>
      </c>
      <c r="I2187">
        <v>15</v>
      </c>
      <c r="J2187">
        <v>2.7</v>
      </c>
      <c r="K2187">
        <v>4981.3</v>
      </c>
      <c r="L2187" s="5">
        <v>46279</v>
      </c>
      <c r="M2187" t="s">
        <v>4653</v>
      </c>
      <c r="N2187" t="s">
        <v>207</v>
      </c>
      <c r="O2187" t="s">
        <v>4900</v>
      </c>
      <c r="P2187" t="s">
        <v>208</v>
      </c>
      <c r="Q2187" t="s">
        <v>209</v>
      </c>
    </row>
    <row r="2188" spans="1:17" x14ac:dyDescent="0.3">
      <c r="A2188" t="s">
        <v>4901</v>
      </c>
      <c r="C2188" t="s">
        <v>4902</v>
      </c>
      <c r="D2188" t="s">
        <v>4902</v>
      </c>
      <c r="E2188" s="5">
        <v>46277</v>
      </c>
      <c r="F2188" t="s">
        <v>204</v>
      </c>
      <c r="G2188" t="s">
        <v>220</v>
      </c>
      <c r="H2188">
        <v>349</v>
      </c>
      <c r="I2188">
        <v>0</v>
      </c>
      <c r="J2188">
        <v>0</v>
      </c>
      <c r="K2188">
        <v>349</v>
      </c>
      <c r="L2188" s="5">
        <v>46279</v>
      </c>
      <c r="M2188" t="s">
        <v>4653</v>
      </c>
      <c r="N2188" t="s">
        <v>207</v>
      </c>
      <c r="O2188" t="s">
        <v>4902</v>
      </c>
      <c r="P2188" t="s">
        <v>208</v>
      </c>
      <c r="Q2188" t="s">
        <v>209</v>
      </c>
    </row>
    <row r="2189" spans="1:17" x14ac:dyDescent="0.3">
      <c r="A2189" t="s">
        <v>4903</v>
      </c>
      <c r="C2189" t="s">
        <v>4904</v>
      </c>
      <c r="D2189" t="s">
        <v>4904</v>
      </c>
      <c r="E2189" s="5">
        <v>46277</v>
      </c>
      <c r="F2189" t="s">
        <v>204</v>
      </c>
      <c r="G2189" t="s">
        <v>220</v>
      </c>
      <c r="H2189">
        <v>3499</v>
      </c>
      <c r="I2189">
        <v>10.5</v>
      </c>
      <c r="J2189">
        <v>1.89</v>
      </c>
      <c r="K2189">
        <v>3486.61</v>
      </c>
      <c r="L2189" s="5">
        <v>46279</v>
      </c>
      <c r="M2189" t="s">
        <v>4653</v>
      </c>
      <c r="N2189" t="s">
        <v>207</v>
      </c>
      <c r="O2189" t="s">
        <v>4904</v>
      </c>
      <c r="P2189" t="s">
        <v>208</v>
      </c>
      <c r="Q2189" t="s">
        <v>209</v>
      </c>
    </row>
    <row r="2190" spans="1:17" x14ac:dyDescent="0.3">
      <c r="A2190" t="s">
        <v>4905</v>
      </c>
      <c r="C2190" t="s">
        <v>4906</v>
      </c>
      <c r="D2190" t="s">
        <v>4906</v>
      </c>
      <c r="E2190" s="5">
        <v>46277</v>
      </c>
      <c r="F2190" t="s">
        <v>204</v>
      </c>
      <c r="G2190" t="s">
        <v>255</v>
      </c>
      <c r="H2190">
        <v>999</v>
      </c>
      <c r="I2190">
        <v>14.99</v>
      </c>
      <c r="J2190">
        <v>2.7</v>
      </c>
      <c r="K2190">
        <v>981.31</v>
      </c>
      <c r="L2190" s="5">
        <v>46279</v>
      </c>
      <c r="M2190" t="s">
        <v>4653</v>
      </c>
      <c r="N2190" t="s">
        <v>207</v>
      </c>
      <c r="O2190" t="s">
        <v>4906</v>
      </c>
      <c r="P2190" t="s">
        <v>208</v>
      </c>
      <c r="Q2190" t="s">
        <v>209</v>
      </c>
    </row>
    <row r="2191" spans="1:17" x14ac:dyDescent="0.3">
      <c r="A2191" t="s">
        <v>4907</v>
      </c>
      <c r="C2191" t="s">
        <v>4908</v>
      </c>
      <c r="D2191" t="s">
        <v>4908</v>
      </c>
      <c r="E2191" s="5">
        <v>46277</v>
      </c>
      <c r="F2191" t="s">
        <v>204</v>
      </c>
      <c r="G2191" t="s">
        <v>220</v>
      </c>
      <c r="H2191">
        <v>7999</v>
      </c>
      <c r="I2191">
        <v>24</v>
      </c>
      <c r="J2191">
        <v>4.32</v>
      </c>
      <c r="K2191">
        <v>7970.68</v>
      </c>
      <c r="L2191" s="5">
        <v>46279</v>
      </c>
      <c r="M2191" t="s">
        <v>4653</v>
      </c>
      <c r="N2191" t="s">
        <v>207</v>
      </c>
      <c r="O2191" t="s">
        <v>4908</v>
      </c>
      <c r="P2191" t="s">
        <v>208</v>
      </c>
      <c r="Q2191" t="s">
        <v>209</v>
      </c>
    </row>
    <row r="2192" spans="1:17" x14ac:dyDescent="0.3">
      <c r="A2192" t="s">
        <v>4909</v>
      </c>
      <c r="C2192" t="s">
        <v>4910</v>
      </c>
      <c r="D2192" t="s">
        <v>4910</v>
      </c>
      <c r="E2192" s="5">
        <v>46277</v>
      </c>
      <c r="F2192" t="s">
        <v>204</v>
      </c>
      <c r="G2192" t="s">
        <v>220</v>
      </c>
      <c r="H2192">
        <v>5998</v>
      </c>
      <c r="I2192">
        <v>17.989999999999998</v>
      </c>
      <c r="J2192">
        <v>3.24</v>
      </c>
      <c r="K2192">
        <v>5976.77</v>
      </c>
      <c r="L2192" s="5">
        <v>46279</v>
      </c>
      <c r="M2192" t="s">
        <v>4653</v>
      </c>
      <c r="N2192" t="s">
        <v>207</v>
      </c>
      <c r="O2192" t="s">
        <v>4910</v>
      </c>
      <c r="P2192" t="s">
        <v>208</v>
      </c>
      <c r="Q2192" t="s">
        <v>209</v>
      </c>
    </row>
    <row r="2193" spans="1:17" x14ac:dyDescent="0.3">
      <c r="A2193" t="s">
        <v>4911</v>
      </c>
      <c r="C2193" t="s">
        <v>4912</v>
      </c>
      <c r="D2193" t="s">
        <v>4912</v>
      </c>
      <c r="E2193" s="5">
        <v>46277</v>
      </c>
      <c r="F2193" t="s">
        <v>204</v>
      </c>
      <c r="G2193" t="s">
        <v>213</v>
      </c>
      <c r="H2193">
        <v>2098</v>
      </c>
      <c r="I2193">
        <v>33.57</v>
      </c>
      <c r="J2193">
        <v>6.04</v>
      </c>
      <c r="K2193">
        <v>2058.39</v>
      </c>
      <c r="L2193" s="5">
        <v>46279</v>
      </c>
      <c r="M2193" t="s">
        <v>4653</v>
      </c>
      <c r="N2193" t="s">
        <v>207</v>
      </c>
      <c r="O2193" t="s">
        <v>4912</v>
      </c>
      <c r="P2193" t="s">
        <v>208</v>
      </c>
      <c r="Q2193" t="s">
        <v>209</v>
      </c>
    </row>
    <row r="2194" spans="1:17" x14ac:dyDescent="0.3">
      <c r="A2194" t="s">
        <v>4913</v>
      </c>
      <c r="C2194" t="s">
        <v>4914</v>
      </c>
      <c r="D2194" t="s">
        <v>4914</v>
      </c>
      <c r="E2194" s="5">
        <v>46277</v>
      </c>
      <c r="F2194" t="s">
        <v>204</v>
      </c>
      <c r="G2194" t="s">
        <v>213</v>
      </c>
      <c r="H2194">
        <v>3797</v>
      </c>
      <c r="I2194">
        <v>60.75</v>
      </c>
      <c r="J2194">
        <v>10.94</v>
      </c>
      <c r="K2194">
        <v>3725.31</v>
      </c>
      <c r="L2194" s="5">
        <v>46279</v>
      </c>
      <c r="M2194" t="s">
        <v>4653</v>
      </c>
      <c r="N2194" t="s">
        <v>207</v>
      </c>
      <c r="O2194" t="s">
        <v>4914</v>
      </c>
      <c r="P2194" t="s">
        <v>208</v>
      </c>
      <c r="Q2194" t="s">
        <v>209</v>
      </c>
    </row>
    <row r="2195" spans="1:17" x14ac:dyDescent="0.3">
      <c r="A2195" t="s">
        <v>4915</v>
      </c>
      <c r="C2195" t="s">
        <v>4916</v>
      </c>
      <c r="D2195" t="s">
        <v>4916</v>
      </c>
      <c r="E2195" s="5">
        <v>46277</v>
      </c>
      <c r="F2195" t="s">
        <v>204</v>
      </c>
      <c r="G2195" t="s">
        <v>220</v>
      </c>
      <c r="H2195">
        <v>1499</v>
      </c>
      <c r="I2195">
        <v>0</v>
      </c>
      <c r="J2195">
        <v>0</v>
      </c>
      <c r="K2195">
        <v>1499</v>
      </c>
      <c r="L2195" s="5">
        <v>46279</v>
      </c>
      <c r="M2195" t="s">
        <v>4653</v>
      </c>
      <c r="N2195" t="s">
        <v>207</v>
      </c>
      <c r="O2195" t="s">
        <v>4916</v>
      </c>
      <c r="P2195" t="s">
        <v>208</v>
      </c>
      <c r="Q2195" t="s">
        <v>209</v>
      </c>
    </row>
    <row r="2196" spans="1:17" x14ac:dyDescent="0.3">
      <c r="A2196" t="s">
        <v>4917</v>
      </c>
      <c r="C2196" t="s">
        <v>4918</v>
      </c>
      <c r="D2196" t="s">
        <v>4918</v>
      </c>
      <c r="E2196" s="5">
        <v>46277</v>
      </c>
      <c r="F2196" t="s">
        <v>204</v>
      </c>
      <c r="G2196" t="s">
        <v>213</v>
      </c>
      <c r="H2196">
        <v>8298</v>
      </c>
      <c r="I2196">
        <v>132.77000000000001</v>
      </c>
      <c r="J2196">
        <v>23.9</v>
      </c>
      <c r="K2196">
        <v>8141.33</v>
      </c>
      <c r="L2196" s="5">
        <v>46279</v>
      </c>
      <c r="M2196" t="s">
        <v>4653</v>
      </c>
      <c r="N2196" t="s">
        <v>207</v>
      </c>
      <c r="O2196" t="s">
        <v>4918</v>
      </c>
      <c r="P2196" t="s">
        <v>208</v>
      </c>
      <c r="Q2196" t="s">
        <v>209</v>
      </c>
    </row>
    <row r="2197" spans="1:17" x14ac:dyDescent="0.3">
      <c r="A2197" t="s">
        <v>4919</v>
      </c>
      <c r="C2197" t="s">
        <v>4920</v>
      </c>
      <c r="D2197" t="s">
        <v>4920</v>
      </c>
      <c r="E2197" s="5">
        <v>46277</v>
      </c>
      <c r="F2197" t="s">
        <v>204</v>
      </c>
      <c r="G2197" t="s">
        <v>255</v>
      </c>
      <c r="H2197">
        <v>2097</v>
      </c>
      <c r="I2197">
        <v>25.16</v>
      </c>
      <c r="J2197">
        <v>4.53</v>
      </c>
      <c r="K2197">
        <v>2067.31</v>
      </c>
      <c r="L2197" s="5">
        <v>46279</v>
      </c>
      <c r="M2197" t="s">
        <v>4653</v>
      </c>
      <c r="N2197" t="s">
        <v>207</v>
      </c>
      <c r="O2197" t="s">
        <v>4920</v>
      </c>
      <c r="P2197" t="s">
        <v>208</v>
      </c>
      <c r="Q2197" t="s">
        <v>209</v>
      </c>
    </row>
    <row r="2198" spans="1:17" x14ac:dyDescent="0.3">
      <c r="A2198" t="s">
        <v>4921</v>
      </c>
      <c r="C2198" t="s">
        <v>4922</v>
      </c>
      <c r="D2198" t="s">
        <v>4922</v>
      </c>
      <c r="E2198" s="5">
        <v>46277</v>
      </c>
      <c r="F2198" t="s">
        <v>204</v>
      </c>
      <c r="G2198" t="s">
        <v>213</v>
      </c>
      <c r="H2198">
        <v>4999</v>
      </c>
      <c r="I2198">
        <v>79.98</v>
      </c>
      <c r="J2198">
        <v>14.4</v>
      </c>
      <c r="K2198">
        <v>4904.62</v>
      </c>
      <c r="L2198" s="5">
        <v>46279</v>
      </c>
      <c r="M2198" t="s">
        <v>4653</v>
      </c>
      <c r="N2198" t="s">
        <v>207</v>
      </c>
      <c r="O2198" t="s">
        <v>4922</v>
      </c>
      <c r="P2198" t="s">
        <v>208</v>
      </c>
      <c r="Q2198" t="s">
        <v>209</v>
      </c>
    </row>
    <row r="2199" spans="1:17" x14ac:dyDescent="0.3">
      <c r="A2199" t="s">
        <v>4923</v>
      </c>
      <c r="C2199" t="s">
        <v>4924</v>
      </c>
      <c r="D2199" t="s">
        <v>4924</v>
      </c>
      <c r="E2199" s="5">
        <v>46277</v>
      </c>
      <c r="F2199" t="s">
        <v>204</v>
      </c>
      <c r="G2199" t="s">
        <v>213</v>
      </c>
      <c r="H2199">
        <v>1299</v>
      </c>
      <c r="I2199">
        <v>23.38</v>
      </c>
      <c r="J2199">
        <v>4.21</v>
      </c>
      <c r="K2199">
        <v>1271.4100000000001</v>
      </c>
      <c r="L2199" s="5">
        <v>46279</v>
      </c>
      <c r="M2199" t="s">
        <v>4653</v>
      </c>
      <c r="N2199" t="s">
        <v>207</v>
      </c>
      <c r="O2199" t="s">
        <v>4924</v>
      </c>
      <c r="P2199" t="s">
        <v>208</v>
      </c>
      <c r="Q2199" t="s">
        <v>209</v>
      </c>
    </row>
    <row r="2200" spans="1:17" x14ac:dyDescent="0.3">
      <c r="A2200" t="s">
        <v>4925</v>
      </c>
      <c r="C2200" t="s">
        <v>4926</v>
      </c>
      <c r="D2200" t="s">
        <v>4926</v>
      </c>
      <c r="E2200" s="5">
        <v>46277</v>
      </c>
      <c r="F2200" t="s">
        <v>204</v>
      </c>
      <c r="G2200" t="s">
        <v>220</v>
      </c>
      <c r="H2200">
        <v>2499</v>
      </c>
      <c r="I2200">
        <v>7.5</v>
      </c>
      <c r="J2200">
        <v>1.35</v>
      </c>
      <c r="K2200">
        <v>2490.15</v>
      </c>
      <c r="L2200" s="5">
        <v>46279</v>
      </c>
      <c r="M2200" t="s">
        <v>4653</v>
      </c>
      <c r="N2200" t="s">
        <v>207</v>
      </c>
      <c r="O2200" t="s">
        <v>4926</v>
      </c>
      <c r="P2200" t="s">
        <v>208</v>
      </c>
      <c r="Q2200" t="s">
        <v>209</v>
      </c>
    </row>
    <row r="2201" spans="1:17" x14ac:dyDescent="0.3">
      <c r="A2201" t="s">
        <v>4927</v>
      </c>
      <c r="C2201" t="s">
        <v>4928</v>
      </c>
      <c r="D2201" t="s">
        <v>4928</v>
      </c>
      <c r="E2201" s="5">
        <v>46277</v>
      </c>
      <c r="F2201" t="s">
        <v>204</v>
      </c>
      <c r="G2201" t="s">
        <v>213</v>
      </c>
      <c r="H2201">
        <v>3499</v>
      </c>
      <c r="I2201">
        <v>55.98</v>
      </c>
      <c r="J2201">
        <v>10.08</v>
      </c>
      <c r="K2201">
        <v>3432.94</v>
      </c>
      <c r="L2201" s="5">
        <v>46279</v>
      </c>
      <c r="M2201" t="s">
        <v>4653</v>
      </c>
      <c r="N2201" t="s">
        <v>207</v>
      </c>
      <c r="O2201" t="s">
        <v>4928</v>
      </c>
      <c r="P2201" t="s">
        <v>208</v>
      </c>
      <c r="Q2201" t="s">
        <v>209</v>
      </c>
    </row>
    <row r="2202" spans="1:17" x14ac:dyDescent="0.3">
      <c r="A2202" t="s">
        <v>4929</v>
      </c>
      <c r="C2202" t="s">
        <v>4930</v>
      </c>
      <c r="D2202" t="s">
        <v>4930</v>
      </c>
      <c r="E2202" s="5">
        <v>46277</v>
      </c>
      <c r="F2202" t="s">
        <v>204</v>
      </c>
      <c r="G2202" t="s">
        <v>213</v>
      </c>
      <c r="H2202">
        <v>7597</v>
      </c>
      <c r="I2202">
        <v>121.55</v>
      </c>
      <c r="J2202">
        <v>21.88</v>
      </c>
      <c r="K2202">
        <v>7453.57</v>
      </c>
      <c r="L2202" s="5">
        <v>46279</v>
      </c>
      <c r="M2202" t="s">
        <v>4653</v>
      </c>
      <c r="N2202" t="s">
        <v>207</v>
      </c>
      <c r="O2202" t="s">
        <v>4930</v>
      </c>
      <c r="P2202" t="s">
        <v>208</v>
      </c>
      <c r="Q2202" t="s">
        <v>209</v>
      </c>
    </row>
    <row r="2203" spans="1:17" x14ac:dyDescent="0.3">
      <c r="A2203" t="s">
        <v>4931</v>
      </c>
      <c r="C2203" t="s">
        <v>4932</v>
      </c>
      <c r="D2203" t="s">
        <v>4933</v>
      </c>
      <c r="E2203" s="5">
        <v>46277</v>
      </c>
      <c r="F2203" t="s">
        <v>204</v>
      </c>
      <c r="G2203" t="s">
        <v>220</v>
      </c>
      <c r="H2203">
        <v>1098</v>
      </c>
      <c r="I2203">
        <v>0</v>
      </c>
      <c r="J2203">
        <v>0</v>
      </c>
      <c r="K2203">
        <v>1098</v>
      </c>
      <c r="L2203" s="5">
        <v>46279</v>
      </c>
      <c r="M2203" t="s">
        <v>4653</v>
      </c>
      <c r="N2203" t="s">
        <v>207</v>
      </c>
      <c r="O2203" t="s">
        <v>4933</v>
      </c>
      <c r="P2203" t="s">
        <v>208</v>
      </c>
      <c r="Q2203" t="s">
        <v>209</v>
      </c>
    </row>
    <row r="2204" spans="1:17" x14ac:dyDescent="0.3">
      <c r="A2204" t="s">
        <v>4934</v>
      </c>
      <c r="C2204" t="s">
        <v>4935</v>
      </c>
      <c r="D2204" t="s">
        <v>4935</v>
      </c>
      <c r="E2204" s="5">
        <v>46277</v>
      </c>
      <c r="F2204" t="s">
        <v>204</v>
      </c>
      <c r="G2204" t="s">
        <v>213</v>
      </c>
      <c r="H2204">
        <v>8998</v>
      </c>
      <c r="I2204">
        <v>143.97</v>
      </c>
      <c r="J2204">
        <v>25.91</v>
      </c>
      <c r="K2204">
        <v>8828.1200000000008</v>
      </c>
      <c r="L2204" s="5">
        <v>46279</v>
      </c>
      <c r="M2204" t="s">
        <v>4653</v>
      </c>
      <c r="N2204" t="s">
        <v>207</v>
      </c>
      <c r="O2204" t="s">
        <v>4935</v>
      </c>
      <c r="P2204" t="s">
        <v>208</v>
      </c>
      <c r="Q2204" t="s">
        <v>209</v>
      </c>
    </row>
    <row r="2205" spans="1:17" x14ac:dyDescent="0.3">
      <c r="A2205" t="s">
        <v>4936</v>
      </c>
      <c r="C2205" t="s">
        <v>4937</v>
      </c>
      <c r="D2205" t="s">
        <v>4937</v>
      </c>
      <c r="E2205" s="5">
        <v>46277</v>
      </c>
      <c r="F2205" t="s">
        <v>204</v>
      </c>
      <c r="G2205" t="s">
        <v>255</v>
      </c>
      <c r="H2205">
        <v>4998</v>
      </c>
      <c r="I2205">
        <v>59.98</v>
      </c>
      <c r="J2205">
        <v>10.8</v>
      </c>
      <c r="K2205">
        <v>4927.22</v>
      </c>
      <c r="L2205" s="5">
        <v>46279</v>
      </c>
      <c r="M2205" t="s">
        <v>4653</v>
      </c>
      <c r="N2205" t="s">
        <v>207</v>
      </c>
      <c r="O2205" t="s">
        <v>4937</v>
      </c>
      <c r="P2205" t="s">
        <v>208</v>
      </c>
      <c r="Q2205" t="s">
        <v>209</v>
      </c>
    </row>
    <row r="2206" spans="1:17" x14ac:dyDescent="0.3">
      <c r="A2206" t="s">
        <v>4938</v>
      </c>
      <c r="C2206" t="s">
        <v>4939</v>
      </c>
      <c r="D2206" t="s">
        <v>4939</v>
      </c>
      <c r="E2206" s="5">
        <v>46277</v>
      </c>
      <c r="F2206" t="s">
        <v>204</v>
      </c>
      <c r="G2206" t="s">
        <v>213</v>
      </c>
      <c r="H2206">
        <v>299</v>
      </c>
      <c r="I2206">
        <v>5.38</v>
      </c>
      <c r="J2206">
        <v>0.97</v>
      </c>
      <c r="K2206">
        <v>292.64999999999998</v>
      </c>
      <c r="L2206" s="5">
        <v>46279</v>
      </c>
      <c r="M2206" t="s">
        <v>4653</v>
      </c>
      <c r="N2206" t="s">
        <v>207</v>
      </c>
      <c r="O2206" t="s">
        <v>4939</v>
      </c>
      <c r="P2206" t="s">
        <v>208</v>
      </c>
      <c r="Q2206" t="s">
        <v>209</v>
      </c>
    </row>
    <row r="2207" spans="1:17" x14ac:dyDescent="0.3">
      <c r="A2207" t="s">
        <v>4940</v>
      </c>
      <c r="C2207" t="s">
        <v>4941</v>
      </c>
      <c r="D2207" t="s">
        <v>4941</v>
      </c>
      <c r="E2207" s="5">
        <v>46277</v>
      </c>
      <c r="F2207" t="s">
        <v>204</v>
      </c>
      <c r="G2207" t="s">
        <v>213</v>
      </c>
      <c r="H2207">
        <v>8298</v>
      </c>
      <c r="I2207">
        <v>132.77000000000001</v>
      </c>
      <c r="J2207">
        <v>23.9</v>
      </c>
      <c r="K2207">
        <v>8141.33</v>
      </c>
      <c r="L2207" s="5">
        <v>46279</v>
      </c>
      <c r="M2207" t="s">
        <v>4653</v>
      </c>
      <c r="N2207" t="s">
        <v>207</v>
      </c>
      <c r="O2207" t="s">
        <v>4941</v>
      </c>
      <c r="P2207" t="s">
        <v>208</v>
      </c>
      <c r="Q2207" t="s">
        <v>209</v>
      </c>
    </row>
    <row r="2208" spans="1:17" x14ac:dyDescent="0.3">
      <c r="A2208" t="s">
        <v>4942</v>
      </c>
      <c r="C2208" t="s">
        <v>4943</v>
      </c>
      <c r="D2208" t="s">
        <v>4944</v>
      </c>
      <c r="E2208" s="5">
        <v>46277</v>
      </c>
      <c r="F2208" t="s">
        <v>204</v>
      </c>
      <c r="G2208" t="s">
        <v>220</v>
      </c>
      <c r="H2208">
        <v>2499</v>
      </c>
      <c r="I2208">
        <v>7.5</v>
      </c>
      <c r="J2208">
        <v>1.35</v>
      </c>
      <c r="K2208">
        <v>2490.15</v>
      </c>
      <c r="L2208" s="5">
        <v>46279</v>
      </c>
      <c r="M2208" t="s">
        <v>4653</v>
      </c>
      <c r="N2208" t="s">
        <v>207</v>
      </c>
      <c r="O2208" t="s">
        <v>4944</v>
      </c>
      <c r="P2208" t="s">
        <v>208</v>
      </c>
      <c r="Q2208" t="s">
        <v>209</v>
      </c>
    </row>
    <row r="2209" spans="1:17" x14ac:dyDescent="0.3">
      <c r="A2209" t="s">
        <v>4945</v>
      </c>
      <c r="C2209" t="s">
        <v>4946</v>
      </c>
      <c r="D2209" t="s">
        <v>4947</v>
      </c>
      <c r="E2209" s="5">
        <v>46277</v>
      </c>
      <c r="F2209" t="s">
        <v>204</v>
      </c>
      <c r="G2209" t="s">
        <v>220</v>
      </c>
      <c r="H2209">
        <v>898</v>
      </c>
      <c r="I2209">
        <v>0</v>
      </c>
      <c r="J2209">
        <v>0</v>
      </c>
      <c r="K2209">
        <v>898</v>
      </c>
      <c r="L2209" s="5">
        <v>46279</v>
      </c>
      <c r="M2209" t="s">
        <v>4653</v>
      </c>
      <c r="N2209" t="s">
        <v>207</v>
      </c>
      <c r="O2209" t="s">
        <v>4947</v>
      </c>
      <c r="P2209" t="s">
        <v>208</v>
      </c>
      <c r="Q2209" t="s">
        <v>209</v>
      </c>
    </row>
    <row r="2210" spans="1:17" x14ac:dyDescent="0.3">
      <c r="A2210" t="s">
        <v>4948</v>
      </c>
      <c r="C2210" t="s">
        <v>4949</v>
      </c>
      <c r="D2210" t="s">
        <v>4949</v>
      </c>
      <c r="E2210" s="5">
        <v>46277</v>
      </c>
      <c r="F2210" t="s">
        <v>204</v>
      </c>
      <c r="G2210" t="s">
        <v>220</v>
      </c>
      <c r="H2210">
        <v>2297</v>
      </c>
      <c r="I2210">
        <v>6.89</v>
      </c>
      <c r="J2210">
        <v>1.24</v>
      </c>
      <c r="K2210">
        <v>2288.87</v>
      </c>
      <c r="L2210" s="5">
        <v>46279</v>
      </c>
      <c r="M2210" t="s">
        <v>4653</v>
      </c>
      <c r="N2210" t="s">
        <v>207</v>
      </c>
      <c r="O2210" t="s">
        <v>4949</v>
      </c>
      <c r="P2210" t="s">
        <v>208</v>
      </c>
      <c r="Q2210" t="s">
        <v>209</v>
      </c>
    </row>
    <row r="2211" spans="1:17" x14ac:dyDescent="0.3">
      <c r="A2211" t="s">
        <v>4950</v>
      </c>
      <c r="C2211" t="s">
        <v>4951</v>
      </c>
      <c r="D2211" t="s">
        <v>4952</v>
      </c>
      <c r="E2211" s="5">
        <v>46277</v>
      </c>
      <c r="F2211" t="s">
        <v>204</v>
      </c>
      <c r="G2211" t="s">
        <v>213</v>
      </c>
      <c r="H2211">
        <v>1598</v>
      </c>
      <c r="I2211">
        <v>28.76</v>
      </c>
      <c r="J2211">
        <v>5.18</v>
      </c>
      <c r="K2211">
        <v>1564.06</v>
      </c>
      <c r="L2211" s="5">
        <v>46279</v>
      </c>
      <c r="M2211" t="s">
        <v>4653</v>
      </c>
      <c r="N2211" t="s">
        <v>207</v>
      </c>
      <c r="O2211" t="s">
        <v>4952</v>
      </c>
      <c r="P2211" t="s">
        <v>208</v>
      </c>
      <c r="Q2211" t="s">
        <v>209</v>
      </c>
    </row>
    <row r="2212" spans="1:17" x14ac:dyDescent="0.3">
      <c r="A2212" t="s">
        <v>4953</v>
      </c>
      <c r="C2212" t="s">
        <v>4954</v>
      </c>
      <c r="D2212" t="s">
        <v>4954</v>
      </c>
      <c r="E2212" s="5">
        <v>46277</v>
      </c>
      <c r="F2212" t="s">
        <v>204</v>
      </c>
      <c r="G2212" t="s">
        <v>213</v>
      </c>
      <c r="H2212">
        <v>2098</v>
      </c>
      <c r="I2212">
        <v>33.57</v>
      </c>
      <c r="J2212">
        <v>6.04</v>
      </c>
      <c r="K2212">
        <v>2058.39</v>
      </c>
      <c r="L2212" s="5">
        <v>46279</v>
      </c>
      <c r="M2212" t="s">
        <v>4653</v>
      </c>
      <c r="N2212" t="s">
        <v>207</v>
      </c>
      <c r="O2212" t="s">
        <v>4954</v>
      </c>
      <c r="P2212" t="s">
        <v>208</v>
      </c>
      <c r="Q2212" t="s">
        <v>209</v>
      </c>
    </row>
    <row r="2213" spans="1:17" x14ac:dyDescent="0.3">
      <c r="A2213" t="s">
        <v>4955</v>
      </c>
      <c r="C2213" t="s">
        <v>4956</v>
      </c>
      <c r="D2213" t="s">
        <v>4956</v>
      </c>
      <c r="E2213" s="5">
        <v>46277</v>
      </c>
      <c r="F2213" t="s">
        <v>204</v>
      </c>
      <c r="G2213" t="s">
        <v>220</v>
      </c>
      <c r="H2213">
        <v>5297</v>
      </c>
      <c r="I2213">
        <v>15.89</v>
      </c>
      <c r="J2213">
        <v>2.86</v>
      </c>
      <c r="K2213">
        <v>5278.25</v>
      </c>
      <c r="L2213" s="5">
        <v>46279</v>
      </c>
      <c r="M2213" t="s">
        <v>4653</v>
      </c>
      <c r="N2213" t="s">
        <v>207</v>
      </c>
      <c r="O2213" t="s">
        <v>4956</v>
      </c>
      <c r="P2213" t="s">
        <v>208</v>
      </c>
      <c r="Q2213" t="s">
        <v>209</v>
      </c>
    </row>
    <row r="2214" spans="1:17" x14ac:dyDescent="0.3">
      <c r="A2214" t="s">
        <v>4957</v>
      </c>
      <c r="C2214" t="s">
        <v>4958</v>
      </c>
      <c r="D2214" t="s">
        <v>4958</v>
      </c>
      <c r="E2214" s="5">
        <v>46277</v>
      </c>
      <c r="F2214" t="s">
        <v>204</v>
      </c>
      <c r="G2214" t="s">
        <v>255</v>
      </c>
      <c r="H2214">
        <v>1499</v>
      </c>
      <c r="I2214">
        <v>22.49</v>
      </c>
      <c r="J2214">
        <v>4.05</v>
      </c>
      <c r="K2214">
        <v>1472.46</v>
      </c>
      <c r="L2214" s="5">
        <v>46279</v>
      </c>
      <c r="M2214" t="s">
        <v>4653</v>
      </c>
      <c r="N2214" t="s">
        <v>207</v>
      </c>
      <c r="O2214" t="s">
        <v>4958</v>
      </c>
      <c r="P2214" t="s">
        <v>208</v>
      </c>
      <c r="Q2214" t="s">
        <v>209</v>
      </c>
    </row>
    <row r="2215" spans="1:17" x14ac:dyDescent="0.3">
      <c r="A2215" t="s">
        <v>4959</v>
      </c>
      <c r="C2215" t="s">
        <v>4960</v>
      </c>
      <c r="D2215" t="s">
        <v>4960</v>
      </c>
      <c r="E2215" s="5">
        <v>46277</v>
      </c>
      <c r="F2215" t="s">
        <v>204</v>
      </c>
      <c r="G2215" t="s">
        <v>213</v>
      </c>
      <c r="H2215">
        <v>10147</v>
      </c>
      <c r="I2215">
        <v>162.35</v>
      </c>
      <c r="J2215">
        <v>29.22</v>
      </c>
      <c r="K2215">
        <v>9955.43</v>
      </c>
      <c r="L2215" s="5">
        <v>46279</v>
      </c>
      <c r="M2215" t="s">
        <v>4653</v>
      </c>
      <c r="N2215" t="s">
        <v>207</v>
      </c>
      <c r="O2215" t="s">
        <v>4960</v>
      </c>
      <c r="P2215" t="s">
        <v>208</v>
      </c>
      <c r="Q2215" t="s">
        <v>209</v>
      </c>
    </row>
    <row r="2216" spans="1:17" x14ac:dyDescent="0.3">
      <c r="A2216" t="s">
        <v>4961</v>
      </c>
      <c r="C2216" t="s">
        <v>4962</v>
      </c>
      <c r="D2216" t="s">
        <v>4962</v>
      </c>
      <c r="E2216" s="5">
        <v>46277</v>
      </c>
      <c r="F2216" t="s">
        <v>204</v>
      </c>
      <c r="G2216" t="s">
        <v>220</v>
      </c>
      <c r="H2216">
        <v>2499</v>
      </c>
      <c r="I2216">
        <v>7.5</v>
      </c>
      <c r="J2216">
        <v>1.35</v>
      </c>
      <c r="K2216">
        <v>2490.15</v>
      </c>
      <c r="L2216" s="5">
        <v>46279</v>
      </c>
      <c r="M2216" t="s">
        <v>4653</v>
      </c>
      <c r="N2216" t="s">
        <v>207</v>
      </c>
      <c r="O2216" t="s">
        <v>4962</v>
      </c>
      <c r="P2216" t="s">
        <v>208</v>
      </c>
      <c r="Q2216" t="s">
        <v>209</v>
      </c>
    </row>
    <row r="2217" spans="1:17" x14ac:dyDescent="0.3">
      <c r="A2217" t="s">
        <v>4963</v>
      </c>
      <c r="C2217" t="s">
        <v>4964</v>
      </c>
      <c r="D2217" t="s">
        <v>4964</v>
      </c>
      <c r="E2217" s="5">
        <v>46277</v>
      </c>
      <c r="F2217" t="s">
        <v>204</v>
      </c>
      <c r="G2217" t="s">
        <v>213</v>
      </c>
      <c r="H2217">
        <v>1098</v>
      </c>
      <c r="I2217">
        <v>19.760000000000002</v>
      </c>
      <c r="J2217">
        <v>3.56</v>
      </c>
      <c r="K2217">
        <v>1074.68</v>
      </c>
      <c r="L2217" s="5">
        <v>46279</v>
      </c>
      <c r="M2217" t="s">
        <v>4653</v>
      </c>
      <c r="N2217" t="s">
        <v>207</v>
      </c>
      <c r="O2217" t="s">
        <v>4964</v>
      </c>
      <c r="P2217" t="s">
        <v>208</v>
      </c>
      <c r="Q2217" t="s">
        <v>209</v>
      </c>
    </row>
    <row r="2218" spans="1:17" x14ac:dyDescent="0.3">
      <c r="A2218" t="s">
        <v>4965</v>
      </c>
      <c r="C2218" t="s">
        <v>4966</v>
      </c>
      <c r="D2218" t="s">
        <v>4966</v>
      </c>
      <c r="E2218" s="5">
        <v>46277</v>
      </c>
      <c r="F2218" t="s">
        <v>204</v>
      </c>
      <c r="G2218" t="s">
        <v>205</v>
      </c>
      <c r="H2218">
        <v>4298</v>
      </c>
      <c r="I2218">
        <v>73.069999999999993</v>
      </c>
      <c r="J2218">
        <v>13.15</v>
      </c>
      <c r="K2218">
        <v>4211.78</v>
      </c>
      <c r="L2218" s="5">
        <v>46279</v>
      </c>
      <c r="M2218" t="s">
        <v>4653</v>
      </c>
      <c r="N2218" t="s">
        <v>207</v>
      </c>
      <c r="O2218" t="s">
        <v>4966</v>
      </c>
      <c r="P2218" t="s">
        <v>208</v>
      </c>
      <c r="Q2218" t="s">
        <v>209</v>
      </c>
    </row>
    <row r="2219" spans="1:17" x14ac:dyDescent="0.3">
      <c r="A2219" t="s">
        <v>4967</v>
      </c>
      <c r="C2219" t="s">
        <v>4968</v>
      </c>
      <c r="D2219" t="s">
        <v>4968</v>
      </c>
      <c r="E2219" s="5">
        <v>46277</v>
      </c>
      <c r="F2219" t="s">
        <v>204</v>
      </c>
      <c r="G2219" t="s">
        <v>213</v>
      </c>
      <c r="H2219">
        <v>3499</v>
      </c>
      <c r="I2219">
        <v>55.98</v>
      </c>
      <c r="J2219">
        <v>10.08</v>
      </c>
      <c r="K2219">
        <v>3432.94</v>
      </c>
      <c r="L2219" s="5">
        <v>46279</v>
      </c>
      <c r="M2219" t="s">
        <v>4653</v>
      </c>
      <c r="N2219" t="s">
        <v>207</v>
      </c>
      <c r="O2219" t="s">
        <v>4968</v>
      </c>
      <c r="P2219" t="s">
        <v>208</v>
      </c>
      <c r="Q2219" t="s">
        <v>209</v>
      </c>
    </row>
    <row r="2220" spans="1:17" x14ac:dyDescent="0.3">
      <c r="A2220" t="s">
        <v>4969</v>
      </c>
      <c r="C2220" t="s">
        <v>4970</v>
      </c>
      <c r="D2220" t="s">
        <v>4971</v>
      </c>
      <c r="E2220" s="5">
        <v>46277</v>
      </c>
      <c r="F2220" t="s">
        <v>204</v>
      </c>
      <c r="G2220" t="s">
        <v>213</v>
      </c>
      <c r="H2220">
        <v>11497</v>
      </c>
      <c r="I2220">
        <v>183.95</v>
      </c>
      <c r="J2220">
        <v>33.11</v>
      </c>
      <c r="K2220">
        <v>11279.94</v>
      </c>
      <c r="L2220" s="5">
        <v>46279</v>
      </c>
      <c r="M2220" t="s">
        <v>4653</v>
      </c>
      <c r="N2220" t="s">
        <v>207</v>
      </c>
      <c r="O2220" t="s">
        <v>4971</v>
      </c>
      <c r="P2220" t="s">
        <v>208</v>
      </c>
      <c r="Q2220" t="s">
        <v>209</v>
      </c>
    </row>
    <row r="2221" spans="1:17" x14ac:dyDescent="0.3">
      <c r="A2221" t="s">
        <v>4972</v>
      </c>
      <c r="C2221" t="s">
        <v>4973</v>
      </c>
      <c r="D2221" t="s">
        <v>4973</v>
      </c>
      <c r="E2221" s="5">
        <v>46277</v>
      </c>
      <c r="F2221" t="s">
        <v>204</v>
      </c>
      <c r="G2221" t="s">
        <v>213</v>
      </c>
      <c r="H2221">
        <v>3298</v>
      </c>
      <c r="I2221">
        <v>52.77</v>
      </c>
      <c r="J2221">
        <v>9.5</v>
      </c>
      <c r="K2221">
        <v>3235.73</v>
      </c>
      <c r="L2221" s="5">
        <v>46279</v>
      </c>
      <c r="M2221" t="s">
        <v>4653</v>
      </c>
      <c r="N2221" t="s">
        <v>207</v>
      </c>
      <c r="O2221" t="s">
        <v>4973</v>
      </c>
      <c r="P2221" t="s">
        <v>208</v>
      </c>
      <c r="Q2221" t="s">
        <v>209</v>
      </c>
    </row>
    <row r="2222" spans="1:17" x14ac:dyDescent="0.3">
      <c r="A2222" t="s">
        <v>4974</v>
      </c>
      <c r="C2222" t="s">
        <v>4975</v>
      </c>
      <c r="D2222" t="s">
        <v>4975</v>
      </c>
      <c r="E2222" s="5">
        <v>46277</v>
      </c>
      <c r="F2222" t="s">
        <v>204</v>
      </c>
      <c r="G2222" t="s">
        <v>220</v>
      </c>
      <c r="H2222">
        <v>499</v>
      </c>
      <c r="I2222">
        <v>0</v>
      </c>
      <c r="J2222">
        <v>0</v>
      </c>
      <c r="K2222">
        <v>499</v>
      </c>
      <c r="L2222" s="5">
        <v>46279</v>
      </c>
      <c r="M2222" t="s">
        <v>4653</v>
      </c>
      <c r="N2222" t="s">
        <v>207</v>
      </c>
      <c r="O2222" t="s">
        <v>4975</v>
      </c>
      <c r="P2222" t="s">
        <v>208</v>
      </c>
      <c r="Q2222" t="s">
        <v>209</v>
      </c>
    </row>
    <row r="2223" spans="1:17" x14ac:dyDescent="0.3">
      <c r="A2223" t="s">
        <v>4976</v>
      </c>
      <c r="C2223" t="s">
        <v>4977</v>
      </c>
      <c r="D2223" t="s">
        <v>4977</v>
      </c>
      <c r="E2223" s="5">
        <v>46277</v>
      </c>
      <c r="F2223" t="s">
        <v>204</v>
      </c>
      <c r="G2223" t="s">
        <v>220</v>
      </c>
      <c r="H2223">
        <v>499</v>
      </c>
      <c r="I2223">
        <v>0</v>
      </c>
      <c r="J2223">
        <v>0</v>
      </c>
      <c r="K2223">
        <v>499</v>
      </c>
      <c r="L2223" s="5">
        <v>46279</v>
      </c>
      <c r="M2223" t="s">
        <v>4653</v>
      </c>
      <c r="N2223" t="s">
        <v>207</v>
      </c>
      <c r="O2223" t="s">
        <v>4977</v>
      </c>
      <c r="P2223" t="s">
        <v>208</v>
      </c>
      <c r="Q2223" t="s">
        <v>209</v>
      </c>
    </row>
    <row r="2224" spans="1:17" x14ac:dyDescent="0.3">
      <c r="A2224" t="s">
        <v>4978</v>
      </c>
      <c r="C2224" t="s">
        <v>4979</v>
      </c>
      <c r="D2224" t="s">
        <v>4979</v>
      </c>
      <c r="E2224" s="5">
        <v>46277</v>
      </c>
      <c r="F2224" t="s">
        <v>204</v>
      </c>
      <c r="G2224" t="s">
        <v>220</v>
      </c>
      <c r="H2224">
        <v>6147</v>
      </c>
      <c r="I2224">
        <v>18.440000000000001</v>
      </c>
      <c r="J2224">
        <v>3.32</v>
      </c>
      <c r="K2224">
        <v>6125.24</v>
      </c>
      <c r="L2224" s="5">
        <v>46279</v>
      </c>
      <c r="M2224" t="s">
        <v>4653</v>
      </c>
      <c r="N2224" t="s">
        <v>207</v>
      </c>
      <c r="O2224" t="s">
        <v>4979</v>
      </c>
      <c r="P2224" t="s">
        <v>208</v>
      </c>
      <c r="Q2224" t="s">
        <v>209</v>
      </c>
    </row>
    <row r="2225" spans="1:17" x14ac:dyDescent="0.3">
      <c r="A2225" t="s">
        <v>4980</v>
      </c>
      <c r="C2225" t="s">
        <v>4981</v>
      </c>
      <c r="D2225" t="s">
        <v>4981</v>
      </c>
      <c r="E2225" s="5">
        <v>46277</v>
      </c>
      <c r="F2225" t="s">
        <v>204</v>
      </c>
      <c r="G2225" t="s">
        <v>220</v>
      </c>
      <c r="H2225">
        <v>11498</v>
      </c>
      <c r="I2225">
        <v>34.49</v>
      </c>
      <c r="J2225">
        <v>6.21</v>
      </c>
      <c r="K2225">
        <v>11457.3</v>
      </c>
      <c r="L2225" s="5">
        <v>46279</v>
      </c>
      <c r="M2225" t="s">
        <v>4653</v>
      </c>
      <c r="N2225" t="s">
        <v>207</v>
      </c>
      <c r="O2225" t="s">
        <v>4981</v>
      </c>
      <c r="P2225" t="s">
        <v>208</v>
      </c>
      <c r="Q2225" t="s">
        <v>209</v>
      </c>
    </row>
    <row r="2226" spans="1:17" x14ac:dyDescent="0.3">
      <c r="A2226" t="s">
        <v>4982</v>
      </c>
      <c r="C2226" t="s">
        <v>4983</v>
      </c>
      <c r="D2226" t="s">
        <v>4983</v>
      </c>
      <c r="E2226" s="5">
        <v>46277</v>
      </c>
      <c r="F2226" t="s">
        <v>204</v>
      </c>
      <c r="G2226" t="s">
        <v>220</v>
      </c>
      <c r="H2226">
        <v>799</v>
      </c>
      <c r="I2226">
        <v>0</v>
      </c>
      <c r="J2226">
        <v>0</v>
      </c>
      <c r="K2226">
        <v>799</v>
      </c>
      <c r="L2226" s="5">
        <v>46279</v>
      </c>
      <c r="M2226" t="s">
        <v>4653</v>
      </c>
      <c r="N2226" t="s">
        <v>207</v>
      </c>
      <c r="O2226" t="s">
        <v>4983</v>
      </c>
      <c r="P2226" t="s">
        <v>208</v>
      </c>
      <c r="Q2226" t="s">
        <v>209</v>
      </c>
    </row>
    <row r="2227" spans="1:17" x14ac:dyDescent="0.3">
      <c r="A2227" t="s">
        <v>4984</v>
      </c>
      <c r="C2227" t="s">
        <v>4985</v>
      </c>
      <c r="D2227" t="s">
        <v>4985</v>
      </c>
      <c r="E2227" s="5">
        <v>46277</v>
      </c>
      <c r="F2227" t="s">
        <v>204</v>
      </c>
      <c r="G2227" t="s">
        <v>220</v>
      </c>
      <c r="H2227">
        <v>299</v>
      </c>
      <c r="I2227">
        <v>0</v>
      </c>
      <c r="J2227">
        <v>0</v>
      </c>
      <c r="K2227">
        <v>299</v>
      </c>
      <c r="L2227" s="5">
        <v>46279</v>
      </c>
      <c r="M2227" t="s">
        <v>4653</v>
      </c>
      <c r="N2227" t="s">
        <v>207</v>
      </c>
      <c r="O2227" t="s">
        <v>4985</v>
      </c>
      <c r="P2227" t="s">
        <v>208</v>
      </c>
      <c r="Q2227" t="s">
        <v>209</v>
      </c>
    </row>
    <row r="2228" spans="1:17" x14ac:dyDescent="0.3">
      <c r="A2228" t="s">
        <v>4986</v>
      </c>
      <c r="C2228" t="s">
        <v>4987</v>
      </c>
      <c r="D2228" t="s">
        <v>4987</v>
      </c>
      <c r="E2228" s="5">
        <v>46277</v>
      </c>
      <c r="F2228" t="s">
        <v>204</v>
      </c>
      <c r="G2228" t="s">
        <v>220</v>
      </c>
      <c r="H2228">
        <v>3499</v>
      </c>
      <c r="I2228">
        <v>10.5</v>
      </c>
      <c r="J2228">
        <v>1.89</v>
      </c>
      <c r="K2228">
        <v>3486.61</v>
      </c>
      <c r="L2228" s="5">
        <v>46279</v>
      </c>
      <c r="M2228" t="s">
        <v>4653</v>
      </c>
      <c r="N2228" t="s">
        <v>207</v>
      </c>
      <c r="O2228" t="s">
        <v>4987</v>
      </c>
      <c r="P2228" t="s">
        <v>208</v>
      </c>
      <c r="Q2228" t="s">
        <v>209</v>
      </c>
    </row>
    <row r="2229" spans="1:17" x14ac:dyDescent="0.3">
      <c r="A2229" t="s">
        <v>4988</v>
      </c>
      <c r="C2229" t="s">
        <v>4989</v>
      </c>
      <c r="D2229" t="s">
        <v>4990</v>
      </c>
      <c r="E2229" s="5">
        <v>46277</v>
      </c>
      <c r="F2229" t="s">
        <v>204</v>
      </c>
      <c r="G2229" t="s">
        <v>220</v>
      </c>
      <c r="H2229">
        <v>1299</v>
      </c>
      <c r="I2229">
        <v>0</v>
      </c>
      <c r="J2229">
        <v>0</v>
      </c>
      <c r="K2229">
        <v>1299</v>
      </c>
      <c r="L2229" s="5">
        <v>46279</v>
      </c>
      <c r="M2229" t="s">
        <v>4653</v>
      </c>
      <c r="N2229" t="s">
        <v>207</v>
      </c>
      <c r="O2229" t="s">
        <v>4990</v>
      </c>
      <c r="P2229" t="s">
        <v>208</v>
      </c>
      <c r="Q2229" t="s">
        <v>209</v>
      </c>
    </row>
    <row r="2230" spans="1:17" x14ac:dyDescent="0.3">
      <c r="A2230" t="s">
        <v>4991</v>
      </c>
      <c r="C2230" t="s">
        <v>4992</v>
      </c>
      <c r="D2230" t="s">
        <v>4993</v>
      </c>
      <c r="E2230" s="5">
        <v>46277</v>
      </c>
      <c r="F2230" t="s">
        <v>204</v>
      </c>
      <c r="G2230" t="s">
        <v>205</v>
      </c>
      <c r="H2230">
        <v>1798</v>
      </c>
      <c r="I2230">
        <v>34.159999999999997</v>
      </c>
      <c r="J2230">
        <v>6.15</v>
      </c>
      <c r="K2230">
        <v>1757.69</v>
      </c>
      <c r="L2230" s="5">
        <v>46279</v>
      </c>
      <c r="M2230" t="s">
        <v>4653</v>
      </c>
      <c r="N2230" t="s">
        <v>207</v>
      </c>
      <c r="O2230" t="s">
        <v>4993</v>
      </c>
      <c r="P2230" t="s">
        <v>208</v>
      </c>
      <c r="Q2230" t="s">
        <v>209</v>
      </c>
    </row>
    <row r="2231" spans="1:17" x14ac:dyDescent="0.3">
      <c r="A2231" t="s">
        <v>4994</v>
      </c>
      <c r="C2231" t="s">
        <v>4995</v>
      </c>
      <c r="D2231" t="s">
        <v>4995</v>
      </c>
      <c r="E2231" s="5">
        <v>46277</v>
      </c>
      <c r="F2231" t="s">
        <v>204</v>
      </c>
      <c r="G2231" t="s">
        <v>255</v>
      </c>
      <c r="H2231">
        <v>1799</v>
      </c>
      <c r="I2231">
        <v>26.99</v>
      </c>
      <c r="J2231">
        <v>4.8600000000000003</v>
      </c>
      <c r="K2231">
        <v>1767.15</v>
      </c>
      <c r="L2231" s="5">
        <v>46279</v>
      </c>
      <c r="M2231" t="s">
        <v>4653</v>
      </c>
      <c r="N2231" t="s">
        <v>207</v>
      </c>
      <c r="O2231" t="s">
        <v>4995</v>
      </c>
      <c r="P2231" t="s">
        <v>208</v>
      </c>
      <c r="Q2231" t="s">
        <v>209</v>
      </c>
    </row>
    <row r="2232" spans="1:17" x14ac:dyDescent="0.3">
      <c r="A2232" t="s">
        <v>4996</v>
      </c>
      <c r="C2232" t="s">
        <v>4997</v>
      </c>
      <c r="D2232" t="s">
        <v>4998</v>
      </c>
      <c r="E2232" s="5">
        <v>46277</v>
      </c>
      <c r="F2232" t="s">
        <v>204</v>
      </c>
      <c r="G2232" t="s">
        <v>213</v>
      </c>
      <c r="H2232">
        <v>2499</v>
      </c>
      <c r="I2232">
        <v>39.979999999999997</v>
      </c>
      <c r="J2232">
        <v>7.2</v>
      </c>
      <c r="K2232">
        <v>2451.8200000000002</v>
      </c>
      <c r="L2232" s="5">
        <v>46279</v>
      </c>
      <c r="M2232" t="s">
        <v>4653</v>
      </c>
      <c r="N2232" t="s">
        <v>207</v>
      </c>
      <c r="O2232" t="s">
        <v>4998</v>
      </c>
      <c r="P2232" t="s">
        <v>208</v>
      </c>
      <c r="Q2232" t="s">
        <v>209</v>
      </c>
    </row>
    <row r="2233" spans="1:17" x14ac:dyDescent="0.3">
      <c r="A2233" t="s">
        <v>4999</v>
      </c>
      <c r="C2233" t="s">
        <v>5000</v>
      </c>
      <c r="D2233" t="s">
        <v>5000</v>
      </c>
      <c r="E2233" s="5">
        <v>46277</v>
      </c>
      <c r="F2233" t="s">
        <v>204</v>
      </c>
      <c r="G2233" t="s">
        <v>205</v>
      </c>
      <c r="H2233">
        <v>2499</v>
      </c>
      <c r="I2233">
        <v>42.48</v>
      </c>
      <c r="J2233">
        <v>7.65</v>
      </c>
      <c r="K2233">
        <v>2448.87</v>
      </c>
      <c r="L2233" s="5">
        <v>46279</v>
      </c>
      <c r="M2233" t="s">
        <v>4653</v>
      </c>
      <c r="N2233" t="s">
        <v>207</v>
      </c>
      <c r="O2233" t="s">
        <v>5000</v>
      </c>
      <c r="P2233" t="s">
        <v>208</v>
      </c>
      <c r="Q2233" t="s">
        <v>209</v>
      </c>
    </row>
    <row r="2234" spans="1:17" x14ac:dyDescent="0.3">
      <c r="A2234" t="s">
        <v>5001</v>
      </c>
      <c r="C2234" t="s">
        <v>5002</v>
      </c>
      <c r="D2234" t="s">
        <v>5002</v>
      </c>
      <c r="E2234" s="5">
        <v>46277</v>
      </c>
      <c r="F2234" t="s">
        <v>204</v>
      </c>
      <c r="G2234" t="s">
        <v>220</v>
      </c>
      <c r="H2234">
        <v>4999</v>
      </c>
      <c r="I2234">
        <v>15</v>
      </c>
      <c r="J2234">
        <v>2.7</v>
      </c>
      <c r="K2234">
        <v>4981.3</v>
      </c>
      <c r="L2234" s="5">
        <v>46279</v>
      </c>
      <c r="M2234" t="s">
        <v>4653</v>
      </c>
      <c r="N2234" t="s">
        <v>207</v>
      </c>
      <c r="O2234" t="s">
        <v>5002</v>
      </c>
      <c r="P2234" t="s">
        <v>208</v>
      </c>
      <c r="Q2234" t="s">
        <v>209</v>
      </c>
    </row>
    <row r="2235" spans="1:17" x14ac:dyDescent="0.3">
      <c r="A2235" t="s">
        <v>5003</v>
      </c>
      <c r="C2235" t="s">
        <v>5004</v>
      </c>
      <c r="D2235" t="s">
        <v>5004</v>
      </c>
      <c r="E2235" s="5">
        <v>46277</v>
      </c>
      <c r="F2235" t="s">
        <v>204</v>
      </c>
      <c r="G2235" t="s">
        <v>220</v>
      </c>
      <c r="H2235">
        <v>7999</v>
      </c>
      <c r="I2235">
        <v>24</v>
      </c>
      <c r="J2235">
        <v>4.32</v>
      </c>
      <c r="K2235">
        <v>7970.68</v>
      </c>
      <c r="L2235" s="5">
        <v>46279</v>
      </c>
      <c r="M2235" t="s">
        <v>4653</v>
      </c>
      <c r="N2235" t="s">
        <v>207</v>
      </c>
      <c r="O2235" t="s">
        <v>5004</v>
      </c>
      <c r="P2235" t="s">
        <v>208</v>
      </c>
      <c r="Q2235" t="s">
        <v>209</v>
      </c>
    </row>
    <row r="2236" spans="1:17" x14ac:dyDescent="0.3">
      <c r="A2236" t="s">
        <v>5005</v>
      </c>
      <c r="C2236" t="s">
        <v>5006</v>
      </c>
      <c r="D2236" t="s">
        <v>5006</v>
      </c>
      <c r="E2236" s="5">
        <v>46277</v>
      </c>
      <c r="F2236" t="s">
        <v>204</v>
      </c>
      <c r="G2236" t="s">
        <v>220</v>
      </c>
      <c r="H2236">
        <v>4397</v>
      </c>
      <c r="I2236">
        <v>13.19</v>
      </c>
      <c r="J2236">
        <v>2.37</v>
      </c>
      <c r="K2236">
        <v>4381.4399999999996</v>
      </c>
      <c r="L2236" s="5">
        <v>46279</v>
      </c>
      <c r="M2236" t="s">
        <v>4653</v>
      </c>
      <c r="N2236" t="s">
        <v>207</v>
      </c>
      <c r="O2236" t="s">
        <v>5006</v>
      </c>
      <c r="P2236" t="s">
        <v>208</v>
      </c>
      <c r="Q2236" t="s">
        <v>209</v>
      </c>
    </row>
    <row r="2237" spans="1:17" x14ac:dyDescent="0.3">
      <c r="A2237" t="s">
        <v>5007</v>
      </c>
      <c r="C2237" t="s">
        <v>5008</v>
      </c>
      <c r="D2237" t="s">
        <v>5008</v>
      </c>
      <c r="E2237" s="5">
        <v>46277</v>
      </c>
      <c r="F2237" t="s">
        <v>204</v>
      </c>
      <c r="G2237" t="s">
        <v>220</v>
      </c>
      <c r="H2237">
        <v>4297</v>
      </c>
      <c r="I2237">
        <v>12.89</v>
      </c>
      <c r="J2237">
        <v>2.3199999999999998</v>
      </c>
      <c r="K2237">
        <v>4281.79</v>
      </c>
      <c r="L2237" s="5">
        <v>46279</v>
      </c>
      <c r="M2237" t="s">
        <v>4653</v>
      </c>
      <c r="N2237" t="s">
        <v>207</v>
      </c>
      <c r="O2237" t="s">
        <v>5008</v>
      </c>
      <c r="P2237" t="s">
        <v>208</v>
      </c>
      <c r="Q2237" t="s">
        <v>209</v>
      </c>
    </row>
    <row r="2238" spans="1:17" x14ac:dyDescent="0.3">
      <c r="A2238" t="s">
        <v>5009</v>
      </c>
      <c r="C2238" t="s">
        <v>5010</v>
      </c>
      <c r="D2238" t="s">
        <v>5010</v>
      </c>
      <c r="E2238" s="5">
        <v>46277</v>
      </c>
      <c r="F2238" t="s">
        <v>204</v>
      </c>
      <c r="G2238" t="s">
        <v>205</v>
      </c>
      <c r="H2238">
        <v>7999</v>
      </c>
      <c r="I2238">
        <v>135.97999999999999</v>
      </c>
      <c r="J2238">
        <v>24.48</v>
      </c>
      <c r="K2238">
        <v>7838.54</v>
      </c>
      <c r="L2238" s="5">
        <v>46279</v>
      </c>
      <c r="M2238" t="s">
        <v>4653</v>
      </c>
      <c r="N2238" t="s">
        <v>207</v>
      </c>
      <c r="O2238" t="s">
        <v>5010</v>
      </c>
      <c r="P2238" t="s">
        <v>208</v>
      </c>
      <c r="Q2238" t="s">
        <v>209</v>
      </c>
    </row>
    <row r="2239" spans="1:17" x14ac:dyDescent="0.3">
      <c r="A2239" t="s">
        <v>5011</v>
      </c>
      <c r="C2239" t="s">
        <v>5012</v>
      </c>
      <c r="D2239" t="s">
        <v>5012</v>
      </c>
      <c r="E2239" s="5">
        <v>46277</v>
      </c>
      <c r="F2239" t="s">
        <v>204</v>
      </c>
      <c r="G2239" t="s">
        <v>213</v>
      </c>
      <c r="H2239">
        <v>7297</v>
      </c>
      <c r="I2239">
        <v>116.75</v>
      </c>
      <c r="J2239">
        <v>21.02</v>
      </c>
      <c r="K2239">
        <v>7159.23</v>
      </c>
      <c r="L2239" s="5">
        <v>46279</v>
      </c>
      <c r="M2239" t="s">
        <v>4653</v>
      </c>
      <c r="N2239" t="s">
        <v>207</v>
      </c>
      <c r="O2239" t="s">
        <v>5012</v>
      </c>
      <c r="P2239" t="s">
        <v>208</v>
      </c>
      <c r="Q2239" t="s">
        <v>209</v>
      </c>
    </row>
    <row r="2240" spans="1:17" x14ac:dyDescent="0.3">
      <c r="A2240" t="s">
        <v>5013</v>
      </c>
      <c r="C2240" t="s">
        <v>5014</v>
      </c>
      <c r="D2240" t="s">
        <v>5014</v>
      </c>
      <c r="E2240" s="5">
        <v>46277</v>
      </c>
      <c r="F2240" t="s">
        <v>204</v>
      </c>
      <c r="G2240" t="s">
        <v>220</v>
      </c>
      <c r="H2240">
        <v>12998</v>
      </c>
      <c r="I2240">
        <v>38.99</v>
      </c>
      <c r="J2240">
        <v>7.02</v>
      </c>
      <c r="K2240">
        <v>12951.99</v>
      </c>
      <c r="L2240" s="5">
        <v>46279</v>
      </c>
      <c r="M2240" t="s">
        <v>4653</v>
      </c>
      <c r="N2240" t="s">
        <v>207</v>
      </c>
      <c r="O2240" t="s">
        <v>5014</v>
      </c>
      <c r="P2240" t="s">
        <v>208</v>
      </c>
      <c r="Q2240" t="s">
        <v>209</v>
      </c>
    </row>
    <row r="2241" spans="1:17" x14ac:dyDescent="0.3">
      <c r="A2241" t="s">
        <v>5015</v>
      </c>
      <c r="C2241" t="s">
        <v>5016</v>
      </c>
      <c r="D2241" t="s">
        <v>5016</v>
      </c>
      <c r="E2241" s="5">
        <v>46277</v>
      </c>
      <c r="F2241" t="s">
        <v>204</v>
      </c>
      <c r="G2241" t="s">
        <v>220</v>
      </c>
      <c r="H2241">
        <v>7999</v>
      </c>
      <c r="I2241">
        <v>24</v>
      </c>
      <c r="J2241">
        <v>4.32</v>
      </c>
      <c r="K2241">
        <v>7970.68</v>
      </c>
      <c r="L2241" s="5">
        <v>46279</v>
      </c>
      <c r="M2241" t="s">
        <v>4653</v>
      </c>
      <c r="N2241" t="s">
        <v>207</v>
      </c>
      <c r="O2241" t="s">
        <v>5016</v>
      </c>
      <c r="P2241" t="s">
        <v>208</v>
      </c>
      <c r="Q2241" t="s">
        <v>209</v>
      </c>
    </row>
    <row r="2242" spans="1:17" x14ac:dyDescent="0.3">
      <c r="A2242" t="s">
        <v>5017</v>
      </c>
      <c r="C2242" t="s">
        <v>5018</v>
      </c>
      <c r="D2242" t="s">
        <v>5018</v>
      </c>
      <c r="E2242" s="5">
        <v>46277</v>
      </c>
      <c r="F2242" t="s">
        <v>204</v>
      </c>
      <c r="G2242" t="s">
        <v>213</v>
      </c>
      <c r="H2242">
        <v>499</v>
      </c>
      <c r="I2242">
        <v>8.98</v>
      </c>
      <c r="J2242">
        <v>1.62</v>
      </c>
      <c r="K2242">
        <v>488.4</v>
      </c>
      <c r="L2242" s="5">
        <v>46279</v>
      </c>
      <c r="M2242" t="s">
        <v>4653</v>
      </c>
      <c r="N2242" t="s">
        <v>207</v>
      </c>
      <c r="O2242" t="s">
        <v>5018</v>
      </c>
      <c r="P2242" t="s">
        <v>208</v>
      </c>
      <c r="Q2242" t="s">
        <v>209</v>
      </c>
    </row>
    <row r="2243" spans="1:17" x14ac:dyDescent="0.3">
      <c r="A2243" t="s">
        <v>5019</v>
      </c>
      <c r="C2243" t="s">
        <v>5020</v>
      </c>
      <c r="D2243" t="s">
        <v>5021</v>
      </c>
      <c r="E2243" s="5">
        <v>46277</v>
      </c>
      <c r="F2243" t="s">
        <v>204</v>
      </c>
      <c r="G2243" t="s">
        <v>220</v>
      </c>
      <c r="H2243">
        <v>5298</v>
      </c>
      <c r="I2243">
        <v>15.89</v>
      </c>
      <c r="J2243">
        <v>2.86</v>
      </c>
      <c r="K2243">
        <v>5279.25</v>
      </c>
      <c r="L2243" s="5">
        <v>46279</v>
      </c>
      <c r="M2243" t="s">
        <v>4653</v>
      </c>
      <c r="N2243" t="s">
        <v>207</v>
      </c>
      <c r="O2243" t="s">
        <v>5021</v>
      </c>
      <c r="P2243" t="s">
        <v>208</v>
      </c>
      <c r="Q2243" t="s">
        <v>209</v>
      </c>
    </row>
    <row r="2244" spans="1:17" x14ac:dyDescent="0.3">
      <c r="A2244" t="s">
        <v>5022</v>
      </c>
      <c r="C2244" t="s">
        <v>5023</v>
      </c>
      <c r="D2244" t="s">
        <v>5023</v>
      </c>
      <c r="E2244" s="5">
        <v>46277</v>
      </c>
      <c r="F2244" t="s">
        <v>204</v>
      </c>
      <c r="G2244" t="s">
        <v>255</v>
      </c>
      <c r="H2244">
        <v>499</v>
      </c>
      <c r="I2244">
        <v>7.49</v>
      </c>
      <c r="J2244">
        <v>1.35</v>
      </c>
      <c r="K2244">
        <v>490.16</v>
      </c>
      <c r="L2244" s="5">
        <v>46279</v>
      </c>
      <c r="M2244" t="s">
        <v>4653</v>
      </c>
      <c r="N2244" t="s">
        <v>207</v>
      </c>
      <c r="O2244" t="s">
        <v>5023</v>
      </c>
      <c r="P2244" t="s">
        <v>208</v>
      </c>
      <c r="Q2244" t="s">
        <v>209</v>
      </c>
    </row>
    <row r="2245" spans="1:17" x14ac:dyDescent="0.3">
      <c r="A2245" t="s">
        <v>5024</v>
      </c>
      <c r="C2245" t="s">
        <v>5025</v>
      </c>
      <c r="D2245" t="s">
        <v>5026</v>
      </c>
      <c r="E2245" s="5">
        <v>46277</v>
      </c>
      <c r="F2245" t="s">
        <v>204</v>
      </c>
      <c r="G2245" t="s">
        <v>205</v>
      </c>
      <c r="H2245">
        <v>848</v>
      </c>
      <c r="I2245">
        <v>16.11</v>
      </c>
      <c r="J2245">
        <v>2.9</v>
      </c>
      <c r="K2245">
        <v>828.99</v>
      </c>
      <c r="L2245" s="5">
        <v>46279</v>
      </c>
      <c r="M2245" t="s">
        <v>4653</v>
      </c>
      <c r="N2245" t="s">
        <v>207</v>
      </c>
      <c r="O2245" t="s">
        <v>5026</v>
      </c>
      <c r="P2245" t="s">
        <v>208</v>
      </c>
      <c r="Q2245" t="s">
        <v>209</v>
      </c>
    </row>
    <row r="2246" spans="1:17" x14ac:dyDescent="0.3">
      <c r="A2246" t="s">
        <v>5027</v>
      </c>
      <c r="C2246" t="s">
        <v>5028</v>
      </c>
      <c r="D2246" t="s">
        <v>5029</v>
      </c>
      <c r="E2246" s="5">
        <v>46277</v>
      </c>
      <c r="F2246" t="s">
        <v>204</v>
      </c>
      <c r="G2246" t="s">
        <v>220</v>
      </c>
      <c r="H2246">
        <v>799</v>
      </c>
      <c r="I2246">
        <v>0</v>
      </c>
      <c r="J2246">
        <v>0</v>
      </c>
      <c r="K2246">
        <v>799</v>
      </c>
      <c r="L2246" s="5">
        <v>46279</v>
      </c>
      <c r="M2246" t="s">
        <v>4653</v>
      </c>
      <c r="N2246" t="s">
        <v>207</v>
      </c>
      <c r="O2246" t="s">
        <v>5029</v>
      </c>
      <c r="P2246" t="s">
        <v>208</v>
      </c>
      <c r="Q2246" t="s">
        <v>209</v>
      </c>
    </row>
    <row r="2247" spans="1:17" x14ac:dyDescent="0.3">
      <c r="A2247" t="s">
        <v>5030</v>
      </c>
      <c r="C2247" t="s">
        <v>5031</v>
      </c>
      <c r="D2247" t="s">
        <v>5031</v>
      </c>
      <c r="E2247" s="5">
        <v>46277</v>
      </c>
      <c r="F2247" t="s">
        <v>204</v>
      </c>
      <c r="G2247" t="s">
        <v>220</v>
      </c>
      <c r="H2247">
        <v>11498</v>
      </c>
      <c r="I2247">
        <v>34.49</v>
      </c>
      <c r="J2247">
        <v>6.21</v>
      </c>
      <c r="K2247">
        <v>11457.3</v>
      </c>
      <c r="L2247" s="5">
        <v>46279</v>
      </c>
      <c r="M2247" t="s">
        <v>4653</v>
      </c>
      <c r="N2247" t="s">
        <v>207</v>
      </c>
      <c r="O2247" t="s">
        <v>5031</v>
      </c>
      <c r="P2247" t="s">
        <v>208</v>
      </c>
      <c r="Q2247" t="s">
        <v>209</v>
      </c>
    </row>
    <row r="2248" spans="1:17" x14ac:dyDescent="0.3">
      <c r="A2248" t="s">
        <v>5032</v>
      </c>
      <c r="C2248" t="s">
        <v>5033</v>
      </c>
      <c r="D2248" t="s">
        <v>5033</v>
      </c>
      <c r="E2248" s="5">
        <v>46277</v>
      </c>
      <c r="F2248" t="s">
        <v>204</v>
      </c>
      <c r="G2248" t="s">
        <v>213</v>
      </c>
      <c r="H2248">
        <v>599</v>
      </c>
      <c r="I2248">
        <v>10.78</v>
      </c>
      <c r="J2248">
        <v>1.94</v>
      </c>
      <c r="K2248">
        <v>586.28</v>
      </c>
      <c r="L2248" s="5">
        <v>46279</v>
      </c>
      <c r="M2248" t="s">
        <v>4653</v>
      </c>
      <c r="N2248" t="s">
        <v>207</v>
      </c>
      <c r="O2248" t="s">
        <v>5033</v>
      </c>
      <c r="P2248" t="s">
        <v>208</v>
      </c>
      <c r="Q2248" t="s">
        <v>488</v>
      </c>
    </row>
    <row r="2249" spans="1:17" x14ac:dyDescent="0.3">
      <c r="A2249" t="s">
        <v>5034</v>
      </c>
      <c r="B2249" t="s">
        <v>3379</v>
      </c>
      <c r="E2249" s="5">
        <v>46277</v>
      </c>
      <c r="F2249" t="s">
        <v>921</v>
      </c>
      <c r="G2249" t="s">
        <v>220</v>
      </c>
      <c r="H2249">
        <v>1499</v>
      </c>
      <c r="I2249">
        <v>0</v>
      </c>
      <c r="J2249">
        <v>0</v>
      </c>
      <c r="K2249">
        <v>-1499</v>
      </c>
      <c r="L2249" s="5">
        <v>46279</v>
      </c>
      <c r="M2249" t="s">
        <v>4653</v>
      </c>
      <c r="N2249" t="s">
        <v>207</v>
      </c>
      <c r="O2249" t="s">
        <v>3380</v>
      </c>
      <c r="P2249" t="s">
        <v>208</v>
      </c>
    </row>
    <row r="2250" spans="1:17" x14ac:dyDescent="0.3">
      <c r="A2250" t="s">
        <v>5035</v>
      </c>
      <c r="B2250" t="s">
        <v>4390</v>
      </c>
      <c r="E2250" s="5">
        <v>46277</v>
      </c>
      <c r="F2250" t="s">
        <v>921</v>
      </c>
      <c r="G2250" t="s">
        <v>220</v>
      </c>
      <c r="H2250">
        <v>3447</v>
      </c>
      <c r="I2250">
        <v>0</v>
      </c>
      <c r="J2250">
        <v>0</v>
      </c>
      <c r="K2250">
        <v>-3447</v>
      </c>
      <c r="L2250" s="5">
        <v>46279</v>
      </c>
      <c r="M2250" t="s">
        <v>4653</v>
      </c>
      <c r="N2250" t="s">
        <v>207</v>
      </c>
      <c r="O2250" t="s">
        <v>4391</v>
      </c>
      <c r="P2250" t="s">
        <v>208</v>
      </c>
    </row>
    <row r="2251" spans="1:17" x14ac:dyDescent="0.3">
      <c r="A2251" t="s">
        <v>5036</v>
      </c>
      <c r="B2251" t="s">
        <v>3171</v>
      </c>
      <c r="E2251" s="5">
        <v>46277</v>
      </c>
      <c r="F2251" t="s">
        <v>921</v>
      </c>
      <c r="G2251" t="s">
        <v>220</v>
      </c>
      <c r="H2251">
        <v>3499</v>
      </c>
      <c r="I2251">
        <v>0</v>
      </c>
      <c r="J2251">
        <v>0</v>
      </c>
      <c r="K2251">
        <v>-3499</v>
      </c>
      <c r="L2251" s="5">
        <v>46279</v>
      </c>
      <c r="M2251" t="s">
        <v>4653</v>
      </c>
      <c r="N2251" t="s">
        <v>207</v>
      </c>
      <c r="O2251" t="s">
        <v>3172</v>
      </c>
      <c r="P2251" t="s">
        <v>208</v>
      </c>
    </row>
    <row r="2252" spans="1:17" x14ac:dyDescent="0.3">
      <c r="A2252" t="s">
        <v>5037</v>
      </c>
      <c r="B2252" t="s">
        <v>3519</v>
      </c>
      <c r="E2252" s="5">
        <v>46277</v>
      </c>
      <c r="F2252" t="s">
        <v>921</v>
      </c>
      <c r="G2252" t="s">
        <v>220</v>
      </c>
      <c r="H2252">
        <v>2097</v>
      </c>
      <c r="I2252">
        <v>0</v>
      </c>
      <c r="J2252">
        <v>0</v>
      </c>
      <c r="K2252">
        <v>-2097</v>
      </c>
      <c r="L2252" s="5">
        <v>46279</v>
      </c>
      <c r="M2252" t="s">
        <v>4653</v>
      </c>
      <c r="N2252" t="s">
        <v>207</v>
      </c>
      <c r="O2252" t="s">
        <v>3520</v>
      </c>
      <c r="P2252" t="s">
        <v>208</v>
      </c>
    </row>
    <row r="2253" spans="1:17" x14ac:dyDescent="0.3">
      <c r="A2253" t="s">
        <v>5038</v>
      </c>
      <c r="B2253" t="s">
        <v>3018</v>
      </c>
      <c r="E2253" s="5">
        <v>46277</v>
      </c>
      <c r="F2253" t="s">
        <v>921</v>
      </c>
      <c r="G2253" t="s">
        <v>205</v>
      </c>
      <c r="H2253">
        <v>1798</v>
      </c>
      <c r="I2253">
        <v>0</v>
      </c>
      <c r="J2253">
        <v>0</v>
      </c>
      <c r="K2253">
        <v>-1798</v>
      </c>
      <c r="L2253" s="5">
        <v>46279</v>
      </c>
      <c r="M2253" t="s">
        <v>4653</v>
      </c>
      <c r="N2253" t="s">
        <v>207</v>
      </c>
      <c r="O2253" t="s">
        <v>3019</v>
      </c>
      <c r="P2253" t="s">
        <v>208</v>
      </c>
    </row>
    <row r="2254" spans="1:17" x14ac:dyDescent="0.3">
      <c r="A2254" t="s">
        <v>5039</v>
      </c>
      <c r="B2254" t="s">
        <v>3146</v>
      </c>
      <c r="E2254" s="5">
        <v>46277</v>
      </c>
      <c r="F2254" t="s">
        <v>921</v>
      </c>
      <c r="G2254" t="s">
        <v>220</v>
      </c>
      <c r="H2254">
        <v>3098</v>
      </c>
      <c r="I2254">
        <v>0</v>
      </c>
      <c r="J2254">
        <v>0</v>
      </c>
      <c r="K2254">
        <v>-3098</v>
      </c>
      <c r="L2254" s="5">
        <v>46279</v>
      </c>
      <c r="M2254" t="s">
        <v>4653</v>
      </c>
      <c r="N2254" t="s">
        <v>207</v>
      </c>
      <c r="O2254" t="s">
        <v>3147</v>
      </c>
      <c r="P2254" t="s">
        <v>208</v>
      </c>
    </row>
    <row r="2255" spans="1:17" x14ac:dyDescent="0.3">
      <c r="A2255" t="s">
        <v>5040</v>
      </c>
      <c r="B2255" t="s">
        <v>4574</v>
      </c>
      <c r="E2255" s="5">
        <v>46277</v>
      </c>
      <c r="F2255" t="s">
        <v>921</v>
      </c>
      <c r="G2255" t="s">
        <v>205</v>
      </c>
      <c r="H2255">
        <v>798</v>
      </c>
      <c r="I2255">
        <v>0</v>
      </c>
      <c r="J2255">
        <v>0</v>
      </c>
      <c r="K2255">
        <v>-798</v>
      </c>
      <c r="L2255" s="5">
        <v>46279</v>
      </c>
      <c r="M2255" t="s">
        <v>4653</v>
      </c>
      <c r="N2255" t="s">
        <v>207</v>
      </c>
      <c r="O2255" t="s">
        <v>4575</v>
      </c>
      <c r="P2255" t="s">
        <v>208</v>
      </c>
    </row>
    <row r="2256" spans="1:17" x14ac:dyDescent="0.3">
      <c r="A2256" t="s">
        <v>5041</v>
      </c>
      <c r="B2256" t="s">
        <v>2325</v>
      </c>
      <c r="E2256" s="5">
        <v>46277</v>
      </c>
      <c r="F2256" t="s">
        <v>921</v>
      </c>
      <c r="G2256" t="s">
        <v>213</v>
      </c>
      <c r="H2256">
        <v>4498</v>
      </c>
      <c r="I2256">
        <v>0</v>
      </c>
      <c r="J2256">
        <v>0</v>
      </c>
      <c r="K2256">
        <v>-4498</v>
      </c>
      <c r="L2256" s="5">
        <v>46279</v>
      </c>
      <c r="M2256" t="s">
        <v>4653</v>
      </c>
      <c r="N2256" t="s">
        <v>207</v>
      </c>
      <c r="O2256" t="s">
        <v>2326</v>
      </c>
      <c r="P2256" t="s">
        <v>208</v>
      </c>
    </row>
    <row r="2257" spans="1:17" x14ac:dyDescent="0.3">
      <c r="A2257" t="s">
        <v>5042</v>
      </c>
      <c r="B2257" t="s">
        <v>3499</v>
      </c>
      <c r="E2257" s="5">
        <v>46277</v>
      </c>
      <c r="F2257" t="s">
        <v>921</v>
      </c>
      <c r="G2257" t="s">
        <v>220</v>
      </c>
      <c r="H2257">
        <v>2098</v>
      </c>
      <c r="I2257">
        <v>0</v>
      </c>
      <c r="J2257">
        <v>0</v>
      </c>
      <c r="K2257">
        <v>-2098</v>
      </c>
      <c r="L2257" s="5">
        <v>46279</v>
      </c>
      <c r="M2257" t="s">
        <v>4653</v>
      </c>
      <c r="N2257" t="s">
        <v>207</v>
      </c>
      <c r="O2257" t="s">
        <v>3500</v>
      </c>
      <c r="P2257" t="s">
        <v>208</v>
      </c>
    </row>
    <row r="2258" spans="1:17" x14ac:dyDescent="0.3">
      <c r="A2258" t="s">
        <v>5043</v>
      </c>
      <c r="C2258" t="s">
        <v>5044</v>
      </c>
      <c r="D2258" t="s">
        <v>5045</v>
      </c>
      <c r="E2258" s="5">
        <v>46278</v>
      </c>
      <c r="F2258" t="s">
        <v>204</v>
      </c>
      <c r="G2258" t="s">
        <v>213</v>
      </c>
      <c r="H2258">
        <v>999</v>
      </c>
      <c r="I2258">
        <v>17.98</v>
      </c>
      <c r="J2258">
        <v>3.24</v>
      </c>
      <c r="K2258">
        <v>977.78</v>
      </c>
      <c r="L2258" s="5">
        <v>46280</v>
      </c>
      <c r="M2258" t="s">
        <v>5046</v>
      </c>
      <c r="N2258" t="s">
        <v>207</v>
      </c>
      <c r="O2258" t="s">
        <v>5045</v>
      </c>
      <c r="P2258" t="s">
        <v>208</v>
      </c>
      <c r="Q2258" t="s">
        <v>209</v>
      </c>
    </row>
    <row r="2259" spans="1:17" x14ac:dyDescent="0.3">
      <c r="A2259" t="s">
        <v>5047</v>
      </c>
      <c r="C2259" t="s">
        <v>5048</v>
      </c>
      <c r="D2259" t="s">
        <v>5048</v>
      </c>
      <c r="E2259" s="5">
        <v>46278</v>
      </c>
      <c r="F2259" t="s">
        <v>204</v>
      </c>
      <c r="G2259" t="s">
        <v>205</v>
      </c>
      <c r="H2259">
        <v>349</v>
      </c>
      <c r="I2259">
        <v>6.63</v>
      </c>
      <c r="J2259">
        <v>1.19</v>
      </c>
      <c r="K2259">
        <v>341.18</v>
      </c>
      <c r="L2259" s="5">
        <v>46280</v>
      </c>
      <c r="M2259" t="s">
        <v>5046</v>
      </c>
      <c r="N2259" t="s">
        <v>207</v>
      </c>
      <c r="O2259" t="s">
        <v>5048</v>
      </c>
      <c r="P2259" t="s">
        <v>208</v>
      </c>
      <c r="Q2259" t="s">
        <v>209</v>
      </c>
    </row>
    <row r="2260" spans="1:17" x14ac:dyDescent="0.3">
      <c r="A2260" t="s">
        <v>5049</v>
      </c>
      <c r="C2260" t="s">
        <v>5050</v>
      </c>
      <c r="D2260" t="s">
        <v>5051</v>
      </c>
      <c r="E2260" s="5">
        <v>46278</v>
      </c>
      <c r="F2260" t="s">
        <v>204</v>
      </c>
      <c r="G2260" t="s">
        <v>220</v>
      </c>
      <c r="H2260">
        <v>2999</v>
      </c>
      <c r="I2260">
        <v>9</v>
      </c>
      <c r="J2260">
        <v>1.62</v>
      </c>
      <c r="K2260">
        <v>2988.38</v>
      </c>
      <c r="L2260" s="5">
        <v>46280</v>
      </c>
      <c r="M2260" t="s">
        <v>5046</v>
      </c>
      <c r="N2260" t="s">
        <v>207</v>
      </c>
      <c r="O2260" t="s">
        <v>5051</v>
      </c>
      <c r="P2260" t="s">
        <v>208</v>
      </c>
      <c r="Q2260" t="s">
        <v>209</v>
      </c>
    </row>
    <row r="2261" spans="1:17" x14ac:dyDescent="0.3">
      <c r="A2261" t="s">
        <v>5052</v>
      </c>
      <c r="C2261" t="s">
        <v>5053</v>
      </c>
      <c r="D2261" t="s">
        <v>5054</v>
      </c>
      <c r="E2261" s="5">
        <v>46278</v>
      </c>
      <c r="F2261" t="s">
        <v>204</v>
      </c>
      <c r="G2261" t="s">
        <v>220</v>
      </c>
      <c r="H2261">
        <v>999</v>
      </c>
      <c r="I2261">
        <v>0</v>
      </c>
      <c r="J2261">
        <v>0</v>
      </c>
      <c r="K2261">
        <v>999</v>
      </c>
      <c r="L2261" s="5">
        <v>46280</v>
      </c>
      <c r="M2261" t="s">
        <v>5046</v>
      </c>
      <c r="N2261" t="s">
        <v>207</v>
      </c>
      <c r="O2261" t="s">
        <v>5054</v>
      </c>
      <c r="P2261" t="s">
        <v>208</v>
      </c>
      <c r="Q2261" t="s">
        <v>209</v>
      </c>
    </row>
    <row r="2262" spans="1:17" x14ac:dyDescent="0.3">
      <c r="A2262" t="s">
        <v>5055</v>
      </c>
      <c r="C2262" t="s">
        <v>5056</v>
      </c>
      <c r="D2262" t="s">
        <v>5056</v>
      </c>
      <c r="E2262" s="5">
        <v>46278</v>
      </c>
      <c r="F2262" t="s">
        <v>204</v>
      </c>
      <c r="G2262" t="s">
        <v>220</v>
      </c>
      <c r="H2262">
        <v>3097</v>
      </c>
      <c r="I2262">
        <v>9.2899999999999991</v>
      </c>
      <c r="J2262">
        <v>1.67</v>
      </c>
      <c r="K2262">
        <v>3086.04</v>
      </c>
      <c r="L2262" s="5">
        <v>46280</v>
      </c>
      <c r="M2262" t="s">
        <v>5046</v>
      </c>
      <c r="N2262" t="s">
        <v>207</v>
      </c>
      <c r="O2262" t="s">
        <v>5056</v>
      </c>
      <c r="P2262" t="s">
        <v>208</v>
      </c>
      <c r="Q2262" t="s">
        <v>209</v>
      </c>
    </row>
    <row r="2263" spans="1:17" x14ac:dyDescent="0.3">
      <c r="A2263" t="s">
        <v>5057</v>
      </c>
      <c r="C2263" t="s">
        <v>5058</v>
      </c>
      <c r="D2263" t="s">
        <v>5058</v>
      </c>
      <c r="E2263" s="5">
        <v>46278</v>
      </c>
      <c r="F2263" t="s">
        <v>204</v>
      </c>
      <c r="G2263" t="s">
        <v>220</v>
      </c>
      <c r="H2263">
        <v>7999</v>
      </c>
      <c r="I2263">
        <v>24</v>
      </c>
      <c r="J2263">
        <v>4.32</v>
      </c>
      <c r="K2263">
        <v>7970.68</v>
      </c>
      <c r="L2263" s="5">
        <v>46280</v>
      </c>
      <c r="M2263" t="s">
        <v>5046</v>
      </c>
      <c r="N2263" t="s">
        <v>207</v>
      </c>
      <c r="O2263" t="s">
        <v>5058</v>
      </c>
      <c r="P2263" t="s">
        <v>208</v>
      </c>
      <c r="Q2263" t="s">
        <v>209</v>
      </c>
    </row>
    <row r="2264" spans="1:17" x14ac:dyDescent="0.3">
      <c r="A2264" t="s">
        <v>5059</v>
      </c>
      <c r="C2264" t="s">
        <v>5060</v>
      </c>
      <c r="D2264" t="s">
        <v>5060</v>
      </c>
      <c r="E2264" s="5">
        <v>46278</v>
      </c>
      <c r="F2264" t="s">
        <v>204</v>
      </c>
      <c r="G2264" t="s">
        <v>220</v>
      </c>
      <c r="H2264">
        <v>15997</v>
      </c>
      <c r="I2264">
        <v>47.99</v>
      </c>
      <c r="J2264">
        <v>8.64</v>
      </c>
      <c r="K2264">
        <v>15940.37</v>
      </c>
      <c r="L2264" s="5">
        <v>46280</v>
      </c>
      <c r="M2264" t="s">
        <v>5046</v>
      </c>
      <c r="N2264" t="s">
        <v>207</v>
      </c>
      <c r="O2264" t="s">
        <v>5060</v>
      </c>
      <c r="P2264" t="s">
        <v>208</v>
      </c>
      <c r="Q2264" t="s">
        <v>209</v>
      </c>
    </row>
    <row r="2265" spans="1:17" x14ac:dyDescent="0.3">
      <c r="A2265" t="s">
        <v>5061</v>
      </c>
      <c r="C2265" t="s">
        <v>5062</v>
      </c>
      <c r="D2265" t="s">
        <v>5063</v>
      </c>
      <c r="E2265" s="5">
        <v>46278</v>
      </c>
      <c r="F2265" t="s">
        <v>204</v>
      </c>
      <c r="G2265" t="s">
        <v>213</v>
      </c>
      <c r="H2265">
        <v>8797</v>
      </c>
      <c r="I2265">
        <v>140.75</v>
      </c>
      <c r="J2265">
        <v>25.34</v>
      </c>
      <c r="K2265">
        <v>8630.91</v>
      </c>
      <c r="L2265" s="5">
        <v>46280</v>
      </c>
      <c r="M2265" t="s">
        <v>5046</v>
      </c>
      <c r="N2265" t="s">
        <v>207</v>
      </c>
      <c r="O2265" t="s">
        <v>5063</v>
      </c>
      <c r="P2265" t="s">
        <v>208</v>
      </c>
      <c r="Q2265" t="s">
        <v>209</v>
      </c>
    </row>
    <row r="2266" spans="1:17" x14ac:dyDescent="0.3">
      <c r="A2266" t="s">
        <v>5064</v>
      </c>
      <c r="C2266" t="s">
        <v>5065</v>
      </c>
      <c r="D2266" t="s">
        <v>5065</v>
      </c>
      <c r="E2266" s="5">
        <v>46278</v>
      </c>
      <c r="F2266" t="s">
        <v>204</v>
      </c>
      <c r="G2266" t="s">
        <v>220</v>
      </c>
      <c r="H2266">
        <v>2498</v>
      </c>
      <c r="I2266">
        <v>7.49</v>
      </c>
      <c r="J2266">
        <v>1.35</v>
      </c>
      <c r="K2266">
        <v>2489.16</v>
      </c>
      <c r="L2266" s="5">
        <v>46280</v>
      </c>
      <c r="M2266" t="s">
        <v>5046</v>
      </c>
      <c r="N2266" t="s">
        <v>207</v>
      </c>
      <c r="O2266" t="s">
        <v>5065</v>
      </c>
      <c r="P2266" t="s">
        <v>208</v>
      </c>
      <c r="Q2266" t="s">
        <v>209</v>
      </c>
    </row>
    <row r="2267" spans="1:17" x14ac:dyDescent="0.3">
      <c r="A2267" t="s">
        <v>5066</v>
      </c>
      <c r="C2267" t="s">
        <v>5067</v>
      </c>
      <c r="D2267" t="s">
        <v>5067</v>
      </c>
      <c r="E2267" s="5">
        <v>46278</v>
      </c>
      <c r="F2267" t="s">
        <v>204</v>
      </c>
      <c r="G2267" t="s">
        <v>213</v>
      </c>
      <c r="H2267">
        <v>2298</v>
      </c>
      <c r="I2267">
        <v>36.770000000000003</v>
      </c>
      <c r="J2267">
        <v>6.62</v>
      </c>
      <c r="K2267">
        <v>2254.61</v>
      </c>
      <c r="L2267" s="5">
        <v>46280</v>
      </c>
      <c r="M2267" t="s">
        <v>5046</v>
      </c>
      <c r="N2267" t="s">
        <v>207</v>
      </c>
      <c r="O2267" t="s">
        <v>5067</v>
      </c>
      <c r="P2267" t="s">
        <v>208</v>
      </c>
      <c r="Q2267" t="s">
        <v>209</v>
      </c>
    </row>
    <row r="2268" spans="1:17" x14ac:dyDescent="0.3">
      <c r="A2268" t="s">
        <v>5068</v>
      </c>
      <c r="C2268" t="s">
        <v>5069</v>
      </c>
      <c r="D2268" t="s">
        <v>5069</v>
      </c>
      <c r="E2268" s="5">
        <v>46278</v>
      </c>
      <c r="F2268" t="s">
        <v>204</v>
      </c>
      <c r="G2268" t="s">
        <v>220</v>
      </c>
      <c r="H2268">
        <v>4798</v>
      </c>
      <c r="I2268">
        <v>14.39</v>
      </c>
      <c r="J2268">
        <v>2.59</v>
      </c>
      <c r="K2268">
        <v>4781.0200000000004</v>
      </c>
      <c r="L2268" s="5">
        <v>46280</v>
      </c>
      <c r="M2268" t="s">
        <v>5046</v>
      </c>
      <c r="N2268" t="s">
        <v>207</v>
      </c>
      <c r="O2268" t="s">
        <v>5069</v>
      </c>
      <c r="P2268" t="s">
        <v>208</v>
      </c>
      <c r="Q2268" t="s">
        <v>209</v>
      </c>
    </row>
    <row r="2269" spans="1:17" x14ac:dyDescent="0.3">
      <c r="A2269" t="s">
        <v>5070</v>
      </c>
      <c r="C2269" t="s">
        <v>5071</v>
      </c>
      <c r="D2269" t="s">
        <v>5071</v>
      </c>
      <c r="E2269" s="5">
        <v>46278</v>
      </c>
      <c r="F2269" t="s">
        <v>204</v>
      </c>
      <c r="G2269" t="s">
        <v>220</v>
      </c>
      <c r="H2269">
        <v>3098</v>
      </c>
      <c r="I2269">
        <v>9.2899999999999991</v>
      </c>
      <c r="J2269">
        <v>1.67</v>
      </c>
      <c r="K2269">
        <v>3087.04</v>
      </c>
      <c r="L2269" s="5">
        <v>46280</v>
      </c>
      <c r="M2269" t="s">
        <v>5046</v>
      </c>
      <c r="N2269" t="s">
        <v>207</v>
      </c>
      <c r="O2269" t="s">
        <v>5071</v>
      </c>
      <c r="P2269" t="s">
        <v>208</v>
      </c>
      <c r="Q2269" t="s">
        <v>209</v>
      </c>
    </row>
    <row r="2270" spans="1:17" x14ac:dyDescent="0.3">
      <c r="A2270" t="s">
        <v>5072</v>
      </c>
      <c r="C2270" t="s">
        <v>5073</v>
      </c>
      <c r="D2270" t="s">
        <v>5073</v>
      </c>
      <c r="E2270" s="5">
        <v>46278</v>
      </c>
      <c r="F2270" t="s">
        <v>204</v>
      </c>
      <c r="G2270" t="s">
        <v>220</v>
      </c>
      <c r="H2270">
        <v>599</v>
      </c>
      <c r="I2270">
        <v>1.8</v>
      </c>
      <c r="J2270">
        <v>0.32</v>
      </c>
      <c r="K2270">
        <v>596.88</v>
      </c>
      <c r="L2270" s="5">
        <v>46280</v>
      </c>
      <c r="M2270" t="s">
        <v>5046</v>
      </c>
      <c r="N2270" t="s">
        <v>207</v>
      </c>
      <c r="O2270" t="s">
        <v>5073</v>
      </c>
      <c r="P2270" t="s">
        <v>208</v>
      </c>
      <c r="Q2270" t="s">
        <v>209</v>
      </c>
    </row>
    <row r="2271" spans="1:17" x14ac:dyDescent="0.3">
      <c r="A2271" t="s">
        <v>5074</v>
      </c>
      <c r="C2271" t="s">
        <v>5075</v>
      </c>
      <c r="D2271" t="s">
        <v>5075</v>
      </c>
      <c r="E2271" s="5">
        <v>46278</v>
      </c>
      <c r="F2271" t="s">
        <v>204</v>
      </c>
      <c r="G2271" t="s">
        <v>220</v>
      </c>
      <c r="H2271">
        <v>1299</v>
      </c>
      <c r="I2271">
        <v>0</v>
      </c>
      <c r="J2271">
        <v>0</v>
      </c>
      <c r="K2271">
        <v>1299</v>
      </c>
      <c r="L2271" s="5">
        <v>46280</v>
      </c>
      <c r="M2271" t="s">
        <v>5046</v>
      </c>
      <c r="N2271" t="s">
        <v>207</v>
      </c>
      <c r="O2271" t="s">
        <v>5075</v>
      </c>
      <c r="P2271" t="s">
        <v>208</v>
      </c>
      <c r="Q2271" t="s">
        <v>209</v>
      </c>
    </row>
    <row r="2272" spans="1:17" x14ac:dyDescent="0.3">
      <c r="A2272" t="s">
        <v>5076</v>
      </c>
      <c r="C2272" t="s">
        <v>5077</v>
      </c>
      <c r="D2272" t="s">
        <v>5077</v>
      </c>
      <c r="E2272" s="5">
        <v>46278</v>
      </c>
      <c r="F2272" t="s">
        <v>204</v>
      </c>
      <c r="G2272" t="s">
        <v>213</v>
      </c>
      <c r="H2272">
        <v>2499</v>
      </c>
      <c r="I2272">
        <v>39.979999999999997</v>
      </c>
      <c r="J2272">
        <v>7.2</v>
      </c>
      <c r="K2272">
        <v>2451.8200000000002</v>
      </c>
      <c r="L2272" s="5">
        <v>46280</v>
      </c>
      <c r="M2272" t="s">
        <v>5046</v>
      </c>
      <c r="N2272" t="s">
        <v>207</v>
      </c>
      <c r="O2272" t="s">
        <v>5077</v>
      </c>
      <c r="P2272" t="s">
        <v>208</v>
      </c>
      <c r="Q2272" t="s">
        <v>209</v>
      </c>
    </row>
    <row r="2273" spans="1:17" x14ac:dyDescent="0.3">
      <c r="A2273" t="s">
        <v>5078</v>
      </c>
      <c r="C2273" t="s">
        <v>5079</v>
      </c>
      <c r="D2273" t="s">
        <v>5079</v>
      </c>
      <c r="E2273" s="5">
        <v>46278</v>
      </c>
      <c r="F2273" t="s">
        <v>204</v>
      </c>
      <c r="G2273" t="s">
        <v>220</v>
      </c>
      <c r="H2273">
        <v>3647</v>
      </c>
      <c r="I2273">
        <v>10.94</v>
      </c>
      <c r="J2273">
        <v>1.97</v>
      </c>
      <c r="K2273">
        <v>3634.09</v>
      </c>
      <c r="L2273" s="5">
        <v>46280</v>
      </c>
      <c r="M2273" t="s">
        <v>5046</v>
      </c>
      <c r="N2273" t="s">
        <v>207</v>
      </c>
      <c r="O2273" t="s">
        <v>5079</v>
      </c>
      <c r="P2273" t="s">
        <v>208</v>
      </c>
      <c r="Q2273" t="s">
        <v>209</v>
      </c>
    </row>
    <row r="2274" spans="1:17" x14ac:dyDescent="0.3">
      <c r="A2274" t="s">
        <v>5080</v>
      </c>
      <c r="C2274" t="s">
        <v>5081</v>
      </c>
      <c r="D2274" t="s">
        <v>5082</v>
      </c>
      <c r="E2274" s="5">
        <v>46278</v>
      </c>
      <c r="F2274" t="s">
        <v>204</v>
      </c>
      <c r="G2274" t="s">
        <v>213</v>
      </c>
      <c r="H2274">
        <v>1799</v>
      </c>
      <c r="I2274">
        <v>32.380000000000003</v>
      </c>
      <c r="J2274">
        <v>5.83</v>
      </c>
      <c r="K2274">
        <v>1760.79</v>
      </c>
      <c r="L2274" s="5">
        <v>46280</v>
      </c>
      <c r="M2274" t="s">
        <v>5046</v>
      </c>
      <c r="N2274" t="s">
        <v>207</v>
      </c>
      <c r="O2274" t="s">
        <v>5082</v>
      </c>
      <c r="P2274" t="s">
        <v>208</v>
      </c>
      <c r="Q2274" t="s">
        <v>209</v>
      </c>
    </row>
    <row r="2275" spans="1:17" x14ac:dyDescent="0.3">
      <c r="A2275" t="s">
        <v>5083</v>
      </c>
      <c r="C2275" t="s">
        <v>5084</v>
      </c>
      <c r="D2275" t="s">
        <v>5084</v>
      </c>
      <c r="E2275" s="5">
        <v>46278</v>
      </c>
      <c r="F2275" t="s">
        <v>204</v>
      </c>
      <c r="G2275" t="s">
        <v>220</v>
      </c>
      <c r="H2275">
        <v>4298</v>
      </c>
      <c r="I2275">
        <v>12.89</v>
      </c>
      <c r="J2275">
        <v>2.3199999999999998</v>
      </c>
      <c r="K2275">
        <v>4282.79</v>
      </c>
      <c r="L2275" s="5">
        <v>46280</v>
      </c>
      <c r="M2275" t="s">
        <v>5046</v>
      </c>
      <c r="N2275" t="s">
        <v>207</v>
      </c>
      <c r="O2275" t="s">
        <v>5084</v>
      </c>
      <c r="P2275" t="s">
        <v>208</v>
      </c>
      <c r="Q2275" t="s">
        <v>209</v>
      </c>
    </row>
    <row r="2276" spans="1:17" x14ac:dyDescent="0.3">
      <c r="A2276" t="s">
        <v>5085</v>
      </c>
      <c r="C2276" t="s">
        <v>5086</v>
      </c>
      <c r="D2276" t="s">
        <v>5086</v>
      </c>
      <c r="E2276" s="5">
        <v>46278</v>
      </c>
      <c r="F2276" t="s">
        <v>204</v>
      </c>
      <c r="G2276" t="s">
        <v>213</v>
      </c>
      <c r="H2276">
        <v>2148</v>
      </c>
      <c r="I2276">
        <v>34.369999999999997</v>
      </c>
      <c r="J2276">
        <v>6.19</v>
      </c>
      <c r="K2276">
        <v>2107.44</v>
      </c>
      <c r="L2276" s="5">
        <v>46280</v>
      </c>
      <c r="M2276" t="s">
        <v>5046</v>
      </c>
      <c r="N2276" t="s">
        <v>207</v>
      </c>
      <c r="O2276" t="s">
        <v>5086</v>
      </c>
      <c r="P2276" t="s">
        <v>208</v>
      </c>
      <c r="Q2276" t="s">
        <v>209</v>
      </c>
    </row>
    <row r="2277" spans="1:17" x14ac:dyDescent="0.3">
      <c r="A2277" t="s">
        <v>5087</v>
      </c>
      <c r="C2277" t="s">
        <v>5088</v>
      </c>
      <c r="D2277" t="s">
        <v>5088</v>
      </c>
      <c r="E2277" s="5">
        <v>46278</v>
      </c>
      <c r="F2277" t="s">
        <v>204</v>
      </c>
      <c r="G2277" t="s">
        <v>220</v>
      </c>
      <c r="H2277">
        <v>7999</v>
      </c>
      <c r="I2277">
        <v>24</v>
      </c>
      <c r="J2277">
        <v>4.32</v>
      </c>
      <c r="K2277">
        <v>7970.68</v>
      </c>
      <c r="L2277" s="5">
        <v>46280</v>
      </c>
      <c r="M2277" t="s">
        <v>5046</v>
      </c>
      <c r="N2277" t="s">
        <v>207</v>
      </c>
      <c r="O2277" t="s">
        <v>5088</v>
      </c>
      <c r="P2277" t="s">
        <v>208</v>
      </c>
      <c r="Q2277" t="s">
        <v>209</v>
      </c>
    </row>
    <row r="2278" spans="1:17" x14ac:dyDescent="0.3">
      <c r="A2278" t="s">
        <v>5089</v>
      </c>
      <c r="C2278" t="s">
        <v>5090</v>
      </c>
      <c r="D2278" t="s">
        <v>5090</v>
      </c>
      <c r="E2278" s="5">
        <v>46278</v>
      </c>
      <c r="F2278" t="s">
        <v>204</v>
      </c>
      <c r="G2278" t="s">
        <v>220</v>
      </c>
      <c r="H2278">
        <v>3499</v>
      </c>
      <c r="I2278">
        <v>10.5</v>
      </c>
      <c r="J2278">
        <v>1.89</v>
      </c>
      <c r="K2278">
        <v>3486.61</v>
      </c>
      <c r="L2278" s="5">
        <v>46280</v>
      </c>
      <c r="M2278" t="s">
        <v>5046</v>
      </c>
      <c r="N2278" t="s">
        <v>207</v>
      </c>
      <c r="O2278" t="s">
        <v>5090</v>
      </c>
      <c r="P2278" t="s">
        <v>208</v>
      </c>
      <c r="Q2278" t="s">
        <v>209</v>
      </c>
    </row>
    <row r="2279" spans="1:17" x14ac:dyDescent="0.3">
      <c r="A2279" t="s">
        <v>5091</v>
      </c>
      <c r="C2279" t="s">
        <v>5092</v>
      </c>
      <c r="D2279" t="s">
        <v>5092</v>
      </c>
      <c r="E2279" s="5">
        <v>46278</v>
      </c>
      <c r="F2279" t="s">
        <v>204</v>
      </c>
      <c r="G2279" t="s">
        <v>220</v>
      </c>
      <c r="H2279">
        <v>4798</v>
      </c>
      <c r="I2279">
        <v>14.39</v>
      </c>
      <c r="J2279">
        <v>2.59</v>
      </c>
      <c r="K2279">
        <v>4781.0200000000004</v>
      </c>
      <c r="L2279" s="5">
        <v>46280</v>
      </c>
      <c r="M2279" t="s">
        <v>5046</v>
      </c>
      <c r="N2279" t="s">
        <v>207</v>
      </c>
      <c r="O2279" t="s">
        <v>5092</v>
      </c>
      <c r="P2279" t="s">
        <v>208</v>
      </c>
      <c r="Q2279" t="s">
        <v>209</v>
      </c>
    </row>
    <row r="2280" spans="1:17" x14ac:dyDescent="0.3">
      <c r="A2280" t="s">
        <v>5093</v>
      </c>
      <c r="C2280" t="s">
        <v>5094</v>
      </c>
      <c r="D2280" t="s">
        <v>5095</v>
      </c>
      <c r="E2280" s="5">
        <v>46278</v>
      </c>
      <c r="F2280" t="s">
        <v>204</v>
      </c>
      <c r="G2280" t="s">
        <v>220</v>
      </c>
      <c r="H2280">
        <v>7998</v>
      </c>
      <c r="I2280">
        <v>23.99</v>
      </c>
      <c r="J2280">
        <v>4.32</v>
      </c>
      <c r="K2280">
        <v>7969.69</v>
      </c>
      <c r="L2280" s="5">
        <v>46280</v>
      </c>
      <c r="M2280" t="s">
        <v>5046</v>
      </c>
      <c r="N2280" t="s">
        <v>207</v>
      </c>
      <c r="O2280" t="s">
        <v>5095</v>
      </c>
      <c r="P2280" t="s">
        <v>208</v>
      </c>
      <c r="Q2280" t="s">
        <v>209</v>
      </c>
    </row>
    <row r="2281" spans="1:17" x14ac:dyDescent="0.3">
      <c r="A2281" t="s">
        <v>5096</v>
      </c>
      <c r="C2281" t="s">
        <v>5097</v>
      </c>
      <c r="D2281" t="s">
        <v>5097</v>
      </c>
      <c r="E2281" s="5">
        <v>46278</v>
      </c>
      <c r="F2281" t="s">
        <v>204</v>
      </c>
      <c r="G2281" t="s">
        <v>220</v>
      </c>
      <c r="H2281">
        <v>2498</v>
      </c>
      <c r="I2281">
        <v>7.49</v>
      </c>
      <c r="J2281">
        <v>1.35</v>
      </c>
      <c r="K2281">
        <v>2489.16</v>
      </c>
      <c r="L2281" s="5">
        <v>46280</v>
      </c>
      <c r="M2281" t="s">
        <v>5046</v>
      </c>
      <c r="N2281" t="s">
        <v>207</v>
      </c>
      <c r="O2281" t="s">
        <v>5097</v>
      </c>
      <c r="P2281" t="s">
        <v>208</v>
      </c>
      <c r="Q2281" t="s">
        <v>209</v>
      </c>
    </row>
    <row r="2282" spans="1:17" x14ac:dyDescent="0.3">
      <c r="A2282" t="s">
        <v>5098</v>
      </c>
      <c r="C2282" t="s">
        <v>5099</v>
      </c>
      <c r="D2282" t="s">
        <v>5099</v>
      </c>
      <c r="E2282" s="5">
        <v>46278</v>
      </c>
      <c r="F2282" t="s">
        <v>204</v>
      </c>
      <c r="G2282" t="s">
        <v>220</v>
      </c>
      <c r="H2282">
        <v>7999</v>
      </c>
      <c r="I2282">
        <v>24</v>
      </c>
      <c r="J2282">
        <v>4.32</v>
      </c>
      <c r="K2282">
        <v>7970.68</v>
      </c>
      <c r="L2282" s="5">
        <v>46280</v>
      </c>
      <c r="M2282" t="s">
        <v>5046</v>
      </c>
      <c r="N2282" t="s">
        <v>207</v>
      </c>
      <c r="O2282" t="s">
        <v>5099</v>
      </c>
      <c r="P2282" t="s">
        <v>208</v>
      </c>
      <c r="Q2282" t="s">
        <v>209</v>
      </c>
    </row>
    <row r="2283" spans="1:17" x14ac:dyDescent="0.3">
      <c r="A2283" t="s">
        <v>5100</v>
      </c>
      <c r="C2283" t="s">
        <v>5101</v>
      </c>
      <c r="D2283" t="s">
        <v>5101</v>
      </c>
      <c r="E2283" s="5">
        <v>46278</v>
      </c>
      <c r="F2283" t="s">
        <v>204</v>
      </c>
      <c r="G2283" t="s">
        <v>220</v>
      </c>
      <c r="H2283">
        <v>6297</v>
      </c>
      <c r="I2283">
        <v>18.89</v>
      </c>
      <c r="J2283">
        <v>3.4</v>
      </c>
      <c r="K2283">
        <v>6274.71</v>
      </c>
      <c r="L2283" s="5">
        <v>46280</v>
      </c>
      <c r="M2283" t="s">
        <v>5046</v>
      </c>
      <c r="N2283" t="s">
        <v>207</v>
      </c>
      <c r="O2283" t="s">
        <v>5101</v>
      </c>
      <c r="P2283" t="s">
        <v>208</v>
      </c>
      <c r="Q2283" t="s">
        <v>209</v>
      </c>
    </row>
    <row r="2284" spans="1:17" x14ac:dyDescent="0.3">
      <c r="A2284" t="s">
        <v>5102</v>
      </c>
      <c r="C2284" t="s">
        <v>5103</v>
      </c>
      <c r="D2284" t="s">
        <v>5103</v>
      </c>
      <c r="E2284" s="5">
        <v>46278</v>
      </c>
      <c r="F2284" t="s">
        <v>204</v>
      </c>
      <c r="G2284" t="s">
        <v>220</v>
      </c>
      <c r="H2284">
        <v>2999</v>
      </c>
      <c r="I2284">
        <v>9</v>
      </c>
      <c r="J2284">
        <v>1.62</v>
      </c>
      <c r="K2284">
        <v>2988.38</v>
      </c>
      <c r="L2284" s="5">
        <v>46280</v>
      </c>
      <c r="M2284" t="s">
        <v>5046</v>
      </c>
      <c r="N2284" t="s">
        <v>207</v>
      </c>
      <c r="O2284" t="s">
        <v>5103</v>
      </c>
      <c r="P2284" t="s">
        <v>208</v>
      </c>
      <c r="Q2284" t="s">
        <v>209</v>
      </c>
    </row>
    <row r="2285" spans="1:17" x14ac:dyDescent="0.3">
      <c r="A2285" t="s">
        <v>5104</v>
      </c>
      <c r="C2285" t="s">
        <v>5105</v>
      </c>
      <c r="D2285" t="s">
        <v>5105</v>
      </c>
      <c r="E2285" s="5">
        <v>46278</v>
      </c>
      <c r="F2285" t="s">
        <v>204</v>
      </c>
      <c r="G2285" t="s">
        <v>220</v>
      </c>
      <c r="H2285">
        <v>2850</v>
      </c>
      <c r="I2285">
        <v>8.5500000000000007</v>
      </c>
      <c r="J2285">
        <v>1.54</v>
      </c>
      <c r="K2285">
        <v>2839.91</v>
      </c>
      <c r="L2285" s="5">
        <v>46280</v>
      </c>
      <c r="M2285" t="s">
        <v>5046</v>
      </c>
      <c r="N2285" t="s">
        <v>207</v>
      </c>
      <c r="O2285" t="s">
        <v>5105</v>
      </c>
      <c r="P2285" t="s">
        <v>208</v>
      </c>
      <c r="Q2285" t="s">
        <v>209</v>
      </c>
    </row>
    <row r="2286" spans="1:17" x14ac:dyDescent="0.3">
      <c r="A2286" t="s">
        <v>5106</v>
      </c>
      <c r="C2286" t="s">
        <v>5107</v>
      </c>
      <c r="D2286" t="s">
        <v>5107</v>
      </c>
      <c r="E2286" s="5">
        <v>46278</v>
      </c>
      <c r="F2286" t="s">
        <v>204</v>
      </c>
      <c r="G2286" t="s">
        <v>220</v>
      </c>
      <c r="H2286">
        <v>4998</v>
      </c>
      <c r="I2286">
        <v>14.99</v>
      </c>
      <c r="J2286">
        <v>2.7</v>
      </c>
      <c r="K2286">
        <v>4980.3100000000004</v>
      </c>
      <c r="L2286" s="5">
        <v>46280</v>
      </c>
      <c r="M2286" t="s">
        <v>5046</v>
      </c>
      <c r="N2286" t="s">
        <v>207</v>
      </c>
      <c r="O2286" t="s">
        <v>5107</v>
      </c>
      <c r="P2286" t="s">
        <v>208</v>
      </c>
      <c r="Q2286" t="s">
        <v>209</v>
      </c>
    </row>
    <row r="2287" spans="1:17" x14ac:dyDescent="0.3">
      <c r="A2287" t="s">
        <v>5108</v>
      </c>
      <c r="C2287" t="s">
        <v>5109</v>
      </c>
      <c r="D2287" t="s">
        <v>5109</v>
      </c>
      <c r="E2287" s="5">
        <v>46278</v>
      </c>
      <c r="F2287" t="s">
        <v>204</v>
      </c>
      <c r="G2287" t="s">
        <v>220</v>
      </c>
      <c r="H2287">
        <v>3499</v>
      </c>
      <c r="I2287">
        <v>10.5</v>
      </c>
      <c r="J2287">
        <v>1.89</v>
      </c>
      <c r="K2287">
        <v>3486.61</v>
      </c>
      <c r="L2287" s="5">
        <v>46280</v>
      </c>
      <c r="M2287" t="s">
        <v>5046</v>
      </c>
      <c r="N2287" t="s">
        <v>207</v>
      </c>
      <c r="O2287" t="s">
        <v>5109</v>
      </c>
      <c r="P2287" t="s">
        <v>208</v>
      </c>
      <c r="Q2287" t="s">
        <v>209</v>
      </c>
    </row>
    <row r="2288" spans="1:17" x14ac:dyDescent="0.3">
      <c r="A2288" t="s">
        <v>5110</v>
      </c>
      <c r="C2288" t="s">
        <v>5111</v>
      </c>
      <c r="D2288" t="s">
        <v>5111</v>
      </c>
      <c r="E2288" s="5">
        <v>46278</v>
      </c>
      <c r="F2288" t="s">
        <v>204</v>
      </c>
      <c r="G2288" t="s">
        <v>220</v>
      </c>
      <c r="H2288">
        <v>4798</v>
      </c>
      <c r="I2288">
        <v>14.39</v>
      </c>
      <c r="J2288">
        <v>2.59</v>
      </c>
      <c r="K2288">
        <v>4781.0200000000004</v>
      </c>
      <c r="L2288" s="5">
        <v>46280</v>
      </c>
      <c r="M2288" t="s">
        <v>5046</v>
      </c>
      <c r="N2288" t="s">
        <v>207</v>
      </c>
      <c r="O2288" t="s">
        <v>5111</v>
      </c>
      <c r="P2288" t="s">
        <v>208</v>
      </c>
      <c r="Q2288" t="s">
        <v>209</v>
      </c>
    </row>
    <row r="2289" spans="1:17" x14ac:dyDescent="0.3">
      <c r="A2289" t="s">
        <v>5112</v>
      </c>
      <c r="C2289" t="s">
        <v>5113</v>
      </c>
      <c r="D2289" t="s">
        <v>5113</v>
      </c>
      <c r="E2289" s="5">
        <v>46278</v>
      </c>
      <c r="F2289" t="s">
        <v>204</v>
      </c>
      <c r="G2289" t="s">
        <v>220</v>
      </c>
      <c r="H2289">
        <v>1299</v>
      </c>
      <c r="I2289">
        <v>0</v>
      </c>
      <c r="J2289">
        <v>0</v>
      </c>
      <c r="K2289">
        <v>1299</v>
      </c>
      <c r="L2289" s="5">
        <v>46280</v>
      </c>
      <c r="M2289" t="s">
        <v>5046</v>
      </c>
      <c r="N2289" t="s">
        <v>207</v>
      </c>
      <c r="O2289" t="s">
        <v>5113</v>
      </c>
      <c r="P2289" t="s">
        <v>208</v>
      </c>
      <c r="Q2289" t="s">
        <v>209</v>
      </c>
    </row>
    <row r="2290" spans="1:17" x14ac:dyDescent="0.3">
      <c r="A2290" t="s">
        <v>5114</v>
      </c>
      <c r="C2290" t="s">
        <v>5115</v>
      </c>
      <c r="D2290" t="s">
        <v>5115</v>
      </c>
      <c r="E2290" s="5">
        <v>46278</v>
      </c>
      <c r="F2290" t="s">
        <v>204</v>
      </c>
      <c r="G2290" t="s">
        <v>220</v>
      </c>
      <c r="H2290">
        <v>349</v>
      </c>
      <c r="I2290">
        <v>0</v>
      </c>
      <c r="J2290">
        <v>0</v>
      </c>
      <c r="K2290">
        <v>349</v>
      </c>
      <c r="L2290" s="5">
        <v>46280</v>
      </c>
      <c r="M2290" t="s">
        <v>5046</v>
      </c>
      <c r="N2290" t="s">
        <v>207</v>
      </c>
      <c r="O2290" t="s">
        <v>5115</v>
      </c>
      <c r="P2290" t="s">
        <v>208</v>
      </c>
      <c r="Q2290" t="s">
        <v>209</v>
      </c>
    </row>
    <row r="2291" spans="1:17" x14ac:dyDescent="0.3">
      <c r="A2291" t="s">
        <v>5116</v>
      </c>
      <c r="C2291" t="s">
        <v>5117</v>
      </c>
      <c r="D2291" t="s">
        <v>5117</v>
      </c>
      <c r="E2291" s="5">
        <v>46278</v>
      </c>
      <c r="F2291" t="s">
        <v>204</v>
      </c>
      <c r="G2291" t="s">
        <v>213</v>
      </c>
      <c r="H2291">
        <v>9097</v>
      </c>
      <c r="I2291">
        <v>145.55000000000001</v>
      </c>
      <c r="J2291">
        <v>26.2</v>
      </c>
      <c r="K2291">
        <v>8925.25</v>
      </c>
      <c r="L2291" s="5">
        <v>46280</v>
      </c>
      <c r="M2291" t="s">
        <v>5046</v>
      </c>
      <c r="N2291" t="s">
        <v>207</v>
      </c>
      <c r="O2291" t="s">
        <v>5117</v>
      </c>
      <c r="P2291" t="s">
        <v>208</v>
      </c>
      <c r="Q2291" t="s">
        <v>209</v>
      </c>
    </row>
    <row r="2292" spans="1:17" x14ac:dyDescent="0.3">
      <c r="A2292" t="s">
        <v>5118</v>
      </c>
      <c r="C2292" t="s">
        <v>5119</v>
      </c>
      <c r="D2292" t="s">
        <v>5119</v>
      </c>
      <c r="E2292" s="5">
        <v>46278</v>
      </c>
      <c r="F2292" t="s">
        <v>204</v>
      </c>
      <c r="G2292" t="s">
        <v>220</v>
      </c>
      <c r="H2292">
        <v>7497</v>
      </c>
      <c r="I2292">
        <v>22.49</v>
      </c>
      <c r="J2292">
        <v>4.05</v>
      </c>
      <c r="K2292">
        <v>7470.46</v>
      </c>
      <c r="L2292" s="5">
        <v>46280</v>
      </c>
      <c r="M2292" t="s">
        <v>5046</v>
      </c>
      <c r="N2292" t="s">
        <v>207</v>
      </c>
      <c r="O2292" t="s">
        <v>5119</v>
      </c>
      <c r="P2292" t="s">
        <v>208</v>
      </c>
      <c r="Q2292" t="s">
        <v>209</v>
      </c>
    </row>
    <row r="2293" spans="1:17" x14ac:dyDescent="0.3">
      <c r="A2293" t="s">
        <v>5120</v>
      </c>
      <c r="C2293" t="s">
        <v>5121</v>
      </c>
      <c r="D2293" t="s">
        <v>5121</v>
      </c>
      <c r="E2293" s="5">
        <v>46278</v>
      </c>
      <c r="F2293" t="s">
        <v>204</v>
      </c>
      <c r="G2293" t="s">
        <v>220</v>
      </c>
      <c r="H2293">
        <v>799</v>
      </c>
      <c r="I2293">
        <v>0</v>
      </c>
      <c r="J2293">
        <v>0</v>
      </c>
      <c r="K2293">
        <v>799</v>
      </c>
      <c r="L2293" s="5">
        <v>46280</v>
      </c>
      <c r="M2293" t="s">
        <v>5046</v>
      </c>
      <c r="N2293" t="s">
        <v>207</v>
      </c>
      <c r="O2293" t="s">
        <v>5121</v>
      </c>
      <c r="P2293" t="s">
        <v>208</v>
      </c>
      <c r="Q2293" t="s">
        <v>209</v>
      </c>
    </row>
    <row r="2294" spans="1:17" x14ac:dyDescent="0.3">
      <c r="A2294" t="s">
        <v>5122</v>
      </c>
      <c r="C2294" t="s">
        <v>5123</v>
      </c>
      <c r="D2294" t="s">
        <v>5124</v>
      </c>
      <c r="E2294" s="5">
        <v>46278</v>
      </c>
      <c r="F2294" t="s">
        <v>204</v>
      </c>
      <c r="G2294" t="s">
        <v>213</v>
      </c>
      <c r="H2294">
        <v>7999</v>
      </c>
      <c r="I2294">
        <v>127.98</v>
      </c>
      <c r="J2294">
        <v>23.04</v>
      </c>
      <c r="K2294">
        <v>7847.98</v>
      </c>
      <c r="L2294" s="5">
        <v>46280</v>
      </c>
      <c r="M2294" t="s">
        <v>5046</v>
      </c>
      <c r="N2294" t="s">
        <v>207</v>
      </c>
      <c r="O2294" t="s">
        <v>5124</v>
      </c>
      <c r="P2294" t="s">
        <v>208</v>
      </c>
      <c r="Q2294" t="s">
        <v>209</v>
      </c>
    </row>
    <row r="2295" spans="1:17" x14ac:dyDescent="0.3">
      <c r="A2295" t="s">
        <v>5125</v>
      </c>
      <c r="C2295" t="s">
        <v>5126</v>
      </c>
      <c r="D2295" t="s">
        <v>5126</v>
      </c>
      <c r="E2295" s="5">
        <v>46278</v>
      </c>
      <c r="F2295" t="s">
        <v>204</v>
      </c>
      <c r="G2295" t="s">
        <v>220</v>
      </c>
      <c r="H2295">
        <v>12998</v>
      </c>
      <c r="I2295">
        <v>38.99</v>
      </c>
      <c r="J2295">
        <v>7.02</v>
      </c>
      <c r="K2295">
        <v>12951.99</v>
      </c>
      <c r="L2295" s="5">
        <v>46280</v>
      </c>
      <c r="M2295" t="s">
        <v>5046</v>
      </c>
      <c r="N2295" t="s">
        <v>207</v>
      </c>
      <c r="O2295" t="s">
        <v>5126</v>
      </c>
      <c r="P2295" t="s">
        <v>208</v>
      </c>
      <c r="Q2295" t="s">
        <v>209</v>
      </c>
    </row>
    <row r="2296" spans="1:17" x14ac:dyDescent="0.3">
      <c r="A2296" t="s">
        <v>5127</v>
      </c>
      <c r="C2296" t="s">
        <v>5128</v>
      </c>
      <c r="D2296" t="s">
        <v>5128</v>
      </c>
      <c r="E2296" s="5">
        <v>46278</v>
      </c>
      <c r="F2296" t="s">
        <v>204</v>
      </c>
      <c r="G2296" t="s">
        <v>205</v>
      </c>
      <c r="H2296">
        <v>8897</v>
      </c>
      <c r="I2296">
        <v>151.25</v>
      </c>
      <c r="J2296">
        <v>27.23</v>
      </c>
      <c r="K2296">
        <v>8718.52</v>
      </c>
      <c r="L2296" s="5">
        <v>46280</v>
      </c>
      <c r="M2296" t="s">
        <v>5046</v>
      </c>
      <c r="N2296" t="s">
        <v>207</v>
      </c>
      <c r="O2296" t="s">
        <v>5128</v>
      </c>
      <c r="P2296" t="s">
        <v>208</v>
      </c>
      <c r="Q2296" t="s">
        <v>209</v>
      </c>
    </row>
    <row r="2297" spans="1:17" x14ac:dyDescent="0.3">
      <c r="A2297" t="s">
        <v>5129</v>
      </c>
      <c r="C2297" t="s">
        <v>5130</v>
      </c>
      <c r="D2297" t="s">
        <v>5130</v>
      </c>
      <c r="E2297" s="5">
        <v>46278</v>
      </c>
      <c r="F2297" t="s">
        <v>204</v>
      </c>
      <c r="G2297" t="s">
        <v>220</v>
      </c>
      <c r="H2297">
        <v>2597</v>
      </c>
      <c r="I2297">
        <v>7.79</v>
      </c>
      <c r="J2297">
        <v>1.4</v>
      </c>
      <c r="K2297">
        <v>2587.81</v>
      </c>
      <c r="L2297" s="5">
        <v>46280</v>
      </c>
      <c r="M2297" t="s">
        <v>5046</v>
      </c>
      <c r="N2297" t="s">
        <v>207</v>
      </c>
      <c r="O2297" t="s">
        <v>5130</v>
      </c>
      <c r="P2297" t="s">
        <v>208</v>
      </c>
      <c r="Q2297" t="s">
        <v>209</v>
      </c>
    </row>
    <row r="2298" spans="1:17" x14ac:dyDescent="0.3">
      <c r="A2298" t="s">
        <v>5131</v>
      </c>
      <c r="C2298" t="s">
        <v>5132</v>
      </c>
      <c r="D2298" t="s">
        <v>5132</v>
      </c>
      <c r="E2298" s="5">
        <v>46278</v>
      </c>
      <c r="F2298" t="s">
        <v>204</v>
      </c>
      <c r="G2298" t="s">
        <v>220</v>
      </c>
      <c r="H2298">
        <v>9997</v>
      </c>
      <c r="I2298">
        <v>29.99</v>
      </c>
      <c r="J2298">
        <v>5.4</v>
      </c>
      <c r="K2298">
        <v>9961.61</v>
      </c>
      <c r="L2298" s="5">
        <v>46280</v>
      </c>
      <c r="M2298" t="s">
        <v>5046</v>
      </c>
      <c r="N2298" t="s">
        <v>207</v>
      </c>
      <c r="O2298" t="s">
        <v>5132</v>
      </c>
      <c r="P2298" t="s">
        <v>208</v>
      </c>
      <c r="Q2298" t="s">
        <v>209</v>
      </c>
    </row>
    <row r="2299" spans="1:17" x14ac:dyDescent="0.3">
      <c r="A2299" t="s">
        <v>5133</v>
      </c>
      <c r="C2299" t="s">
        <v>5134</v>
      </c>
      <c r="D2299" t="s">
        <v>5134</v>
      </c>
      <c r="E2299" s="5">
        <v>46278</v>
      </c>
      <c r="F2299" t="s">
        <v>204</v>
      </c>
      <c r="G2299" t="s">
        <v>220</v>
      </c>
      <c r="H2299">
        <v>7999</v>
      </c>
      <c r="I2299">
        <v>24</v>
      </c>
      <c r="J2299">
        <v>4.32</v>
      </c>
      <c r="K2299">
        <v>7970.68</v>
      </c>
      <c r="L2299" s="5">
        <v>46280</v>
      </c>
      <c r="M2299" t="s">
        <v>5046</v>
      </c>
      <c r="N2299" t="s">
        <v>207</v>
      </c>
      <c r="O2299" t="s">
        <v>5134</v>
      </c>
      <c r="P2299" t="s">
        <v>208</v>
      </c>
      <c r="Q2299" t="s">
        <v>209</v>
      </c>
    </row>
    <row r="2300" spans="1:17" x14ac:dyDescent="0.3">
      <c r="A2300" t="s">
        <v>5135</v>
      </c>
      <c r="C2300" t="s">
        <v>5136</v>
      </c>
      <c r="D2300" t="s">
        <v>5136</v>
      </c>
      <c r="E2300" s="5">
        <v>46278</v>
      </c>
      <c r="F2300" t="s">
        <v>204</v>
      </c>
      <c r="G2300" t="s">
        <v>220</v>
      </c>
      <c r="H2300">
        <v>4298</v>
      </c>
      <c r="I2300">
        <v>12.89</v>
      </c>
      <c r="J2300">
        <v>2.3199999999999998</v>
      </c>
      <c r="K2300">
        <v>4282.79</v>
      </c>
      <c r="L2300" s="5">
        <v>46280</v>
      </c>
      <c r="M2300" t="s">
        <v>5046</v>
      </c>
      <c r="N2300" t="s">
        <v>207</v>
      </c>
      <c r="O2300" t="s">
        <v>5136</v>
      </c>
      <c r="P2300" t="s">
        <v>208</v>
      </c>
      <c r="Q2300" t="s">
        <v>209</v>
      </c>
    </row>
    <row r="2301" spans="1:17" x14ac:dyDescent="0.3">
      <c r="A2301" t="s">
        <v>5137</v>
      </c>
      <c r="C2301" t="s">
        <v>5138</v>
      </c>
      <c r="D2301" t="s">
        <v>5138</v>
      </c>
      <c r="E2301" s="5">
        <v>46278</v>
      </c>
      <c r="F2301" t="s">
        <v>204</v>
      </c>
      <c r="G2301" t="s">
        <v>220</v>
      </c>
      <c r="H2301">
        <v>349</v>
      </c>
      <c r="I2301">
        <v>0</v>
      </c>
      <c r="J2301">
        <v>0</v>
      </c>
      <c r="K2301">
        <v>349</v>
      </c>
      <c r="L2301" s="5">
        <v>46280</v>
      </c>
      <c r="M2301" t="s">
        <v>5046</v>
      </c>
      <c r="N2301" t="s">
        <v>207</v>
      </c>
      <c r="O2301" t="s">
        <v>5138</v>
      </c>
      <c r="P2301" t="s">
        <v>208</v>
      </c>
      <c r="Q2301" t="s">
        <v>209</v>
      </c>
    </row>
    <row r="2302" spans="1:17" x14ac:dyDescent="0.3">
      <c r="A2302" t="s">
        <v>5139</v>
      </c>
      <c r="C2302" t="s">
        <v>5140</v>
      </c>
      <c r="D2302" t="s">
        <v>5140</v>
      </c>
      <c r="E2302" s="5">
        <v>46278</v>
      </c>
      <c r="F2302" t="s">
        <v>204</v>
      </c>
      <c r="G2302" t="s">
        <v>213</v>
      </c>
      <c r="H2302">
        <v>3397</v>
      </c>
      <c r="I2302">
        <v>54.35</v>
      </c>
      <c r="J2302">
        <v>9.7799999999999994</v>
      </c>
      <c r="K2302">
        <v>3332.87</v>
      </c>
      <c r="L2302" s="5">
        <v>46280</v>
      </c>
      <c r="M2302" t="s">
        <v>5046</v>
      </c>
      <c r="N2302" t="s">
        <v>207</v>
      </c>
      <c r="O2302" t="s">
        <v>5140</v>
      </c>
      <c r="P2302" t="s">
        <v>208</v>
      </c>
      <c r="Q2302" t="s">
        <v>209</v>
      </c>
    </row>
    <row r="2303" spans="1:17" x14ac:dyDescent="0.3">
      <c r="A2303" t="s">
        <v>5141</v>
      </c>
      <c r="C2303" t="s">
        <v>5142</v>
      </c>
      <c r="D2303" t="s">
        <v>5142</v>
      </c>
      <c r="E2303" s="5">
        <v>46278</v>
      </c>
      <c r="F2303" t="s">
        <v>204</v>
      </c>
      <c r="G2303" t="s">
        <v>220</v>
      </c>
      <c r="H2303">
        <v>2499</v>
      </c>
      <c r="I2303">
        <v>7.5</v>
      </c>
      <c r="J2303">
        <v>1.35</v>
      </c>
      <c r="K2303">
        <v>2490.15</v>
      </c>
      <c r="L2303" s="5">
        <v>46280</v>
      </c>
      <c r="M2303" t="s">
        <v>5046</v>
      </c>
      <c r="N2303" t="s">
        <v>207</v>
      </c>
      <c r="O2303" t="s">
        <v>5142</v>
      </c>
      <c r="P2303" t="s">
        <v>208</v>
      </c>
      <c r="Q2303" t="s">
        <v>209</v>
      </c>
    </row>
    <row r="2304" spans="1:17" x14ac:dyDescent="0.3">
      <c r="A2304" t="s">
        <v>5143</v>
      </c>
      <c r="C2304" t="s">
        <v>5144</v>
      </c>
      <c r="D2304" t="s">
        <v>5144</v>
      </c>
      <c r="E2304" s="5">
        <v>46278</v>
      </c>
      <c r="F2304" t="s">
        <v>204</v>
      </c>
      <c r="G2304" t="s">
        <v>220</v>
      </c>
      <c r="H2304">
        <v>2598</v>
      </c>
      <c r="I2304">
        <v>7.79</v>
      </c>
      <c r="J2304">
        <v>1.4</v>
      </c>
      <c r="K2304">
        <v>2588.81</v>
      </c>
      <c r="L2304" s="5">
        <v>46280</v>
      </c>
      <c r="M2304" t="s">
        <v>5046</v>
      </c>
      <c r="N2304" t="s">
        <v>207</v>
      </c>
      <c r="O2304" t="s">
        <v>5144</v>
      </c>
      <c r="P2304" t="s">
        <v>208</v>
      </c>
      <c r="Q2304" t="s">
        <v>209</v>
      </c>
    </row>
    <row r="2305" spans="1:17" x14ac:dyDescent="0.3">
      <c r="A2305" t="s">
        <v>5145</v>
      </c>
      <c r="C2305" t="s">
        <v>5146</v>
      </c>
      <c r="D2305" t="s">
        <v>5146</v>
      </c>
      <c r="E2305" s="5">
        <v>46278</v>
      </c>
      <c r="F2305" t="s">
        <v>204</v>
      </c>
      <c r="G2305" t="s">
        <v>255</v>
      </c>
      <c r="H2305">
        <v>2499</v>
      </c>
      <c r="I2305">
        <v>29.99</v>
      </c>
      <c r="J2305">
        <v>5.4</v>
      </c>
      <c r="K2305">
        <v>2463.61</v>
      </c>
      <c r="L2305" s="5">
        <v>46280</v>
      </c>
      <c r="M2305" t="s">
        <v>5046</v>
      </c>
      <c r="N2305" t="s">
        <v>207</v>
      </c>
      <c r="O2305" t="s">
        <v>5146</v>
      </c>
      <c r="P2305" t="s">
        <v>208</v>
      </c>
      <c r="Q2305" t="s">
        <v>209</v>
      </c>
    </row>
    <row r="2306" spans="1:17" x14ac:dyDescent="0.3">
      <c r="A2306" t="s">
        <v>5147</v>
      </c>
      <c r="C2306" t="s">
        <v>5148</v>
      </c>
      <c r="D2306" t="s">
        <v>5148</v>
      </c>
      <c r="E2306" s="5">
        <v>46278</v>
      </c>
      <c r="F2306" t="s">
        <v>204</v>
      </c>
      <c r="G2306" t="s">
        <v>220</v>
      </c>
      <c r="H2306">
        <v>2797</v>
      </c>
      <c r="I2306">
        <v>8.39</v>
      </c>
      <c r="J2306">
        <v>1.51</v>
      </c>
      <c r="K2306">
        <v>2787.1</v>
      </c>
      <c r="L2306" s="5">
        <v>46280</v>
      </c>
      <c r="M2306" t="s">
        <v>5046</v>
      </c>
      <c r="N2306" t="s">
        <v>207</v>
      </c>
      <c r="O2306" t="s">
        <v>5148</v>
      </c>
      <c r="P2306" t="s">
        <v>208</v>
      </c>
      <c r="Q2306" t="s">
        <v>209</v>
      </c>
    </row>
    <row r="2307" spans="1:17" x14ac:dyDescent="0.3">
      <c r="A2307" t="s">
        <v>5149</v>
      </c>
      <c r="C2307" t="s">
        <v>5150</v>
      </c>
      <c r="D2307" t="s">
        <v>5150</v>
      </c>
      <c r="E2307" s="5">
        <v>46278</v>
      </c>
      <c r="F2307" t="s">
        <v>204</v>
      </c>
      <c r="G2307" t="s">
        <v>220</v>
      </c>
      <c r="H2307">
        <v>3298</v>
      </c>
      <c r="I2307">
        <v>9.89</v>
      </c>
      <c r="J2307">
        <v>1.78</v>
      </c>
      <c r="K2307">
        <v>3286.33</v>
      </c>
      <c r="L2307" s="5">
        <v>46280</v>
      </c>
      <c r="M2307" t="s">
        <v>5046</v>
      </c>
      <c r="N2307" t="s">
        <v>207</v>
      </c>
      <c r="O2307" t="s">
        <v>5150</v>
      </c>
      <c r="P2307" t="s">
        <v>208</v>
      </c>
      <c r="Q2307" t="s">
        <v>209</v>
      </c>
    </row>
    <row r="2308" spans="1:17" x14ac:dyDescent="0.3">
      <c r="A2308" t="s">
        <v>5151</v>
      </c>
      <c r="C2308" t="s">
        <v>5152</v>
      </c>
      <c r="D2308" t="s">
        <v>5153</v>
      </c>
      <c r="E2308" s="5">
        <v>46278</v>
      </c>
      <c r="F2308" t="s">
        <v>204</v>
      </c>
      <c r="G2308" t="s">
        <v>220</v>
      </c>
      <c r="H2308">
        <v>2499</v>
      </c>
      <c r="I2308">
        <v>7.5</v>
      </c>
      <c r="J2308">
        <v>1.35</v>
      </c>
      <c r="K2308">
        <v>2490.15</v>
      </c>
      <c r="L2308" s="5">
        <v>46280</v>
      </c>
      <c r="M2308" t="s">
        <v>5046</v>
      </c>
      <c r="N2308" t="s">
        <v>207</v>
      </c>
      <c r="O2308" t="s">
        <v>5153</v>
      </c>
      <c r="P2308" t="s">
        <v>208</v>
      </c>
      <c r="Q2308" t="s">
        <v>209</v>
      </c>
    </row>
    <row r="2309" spans="1:17" x14ac:dyDescent="0.3">
      <c r="A2309" t="s">
        <v>5154</v>
      </c>
      <c r="C2309" t="s">
        <v>5155</v>
      </c>
      <c r="D2309" t="s">
        <v>5155</v>
      </c>
      <c r="E2309" s="5">
        <v>46278</v>
      </c>
      <c r="F2309" t="s">
        <v>204</v>
      </c>
      <c r="G2309" t="s">
        <v>213</v>
      </c>
      <c r="H2309">
        <v>1598</v>
      </c>
      <c r="I2309">
        <v>28.76</v>
      </c>
      <c r="J2309">
        <v>5.18</v>
      </c>
      <c r="K2309">
        <v>1564.06</v>
      </c>
      <c r="L2309" s="5">
        <v>46280</v>
      </c>
      <c r="M2309" t="s">
        <v>5046</v>
      </c>
      <c r="N2309" t="s">
        <v>207</v>
      </c>
      <c r="O2309" t="s">
        <v>5155</v>
      </c>
      <c r="P2309" t="s">
        <v>208</v>
      </c>
      <c r="Q2309" t="s">
        <v>209</v>
      </c>
    </row>
    <row r="2310" spans="1:17" x14ac:dyDescent="0.3">
      <c r="A2310" t="s">
        <v>5156</v>
      </c>
      <c r="C2310" t="s">
        <v>5157</v>
      </c>
      <c r="D2310" t="s">
        <v>5158</v>
      </c>
      <c r="E2310" s="5">
        <v>46278</v>
      </c>
      <c r="F2310" t="s">
        <v>204</v>
      </c>
      <c r="G2310" t="s">
        <v>220</v>
      </c>
      <c r="H2310">
        <v>3348</v>
      </c>
      <c r="I2310">
        <v>10.039999999999999</v>
      </c>
      <c r="J2310">
        <v>1.81</v>
      </c>
      <c r="K2310">
        <v>3336.15</v>
      </c>
      <c r="L2310" s="5">
        <v>46280</v>
      </c>
      <c r="M2310" t="s">
        <v>5046</v>
      </c>
      <c r="N2310" t="s">
        <v>207</v>
      </c>
      <c r="O2310" t="s">
        <v>5158</v>
      </c>
      <c r="P2310" t="s">
        <v>208</v>
      </c>
      <c r="Q2310" t="s">
        <v>209</v>
      </c>
    </row>
    <row r="2311" spans="1:17" x14ac:dyDescent="0.3">
      <c r="A2311" t="s">
        <v>5159</v>
      </c>
      <c r="C2311" t="s">
        <v>5160</v>
      </c>
      <c r="D2311" t="s">
        <v>5161</v>
      </c>
      <c r="E2311" s="5">
        <v>46278</v>
      </c>
      <c r="F2311" t="s">
        <v>204</v>
      </c>
      <c r="G2311" t="s">
        <v>205</v>
      </c>
      <c r="H2311">
        <v>3499</v>
      </c>
      <c r="I2311">
        <v>59.48</v>
      </c>
      <c r="J2311">
        <v>10.71</v>
      </c>
      <c r="K2311">
        <v>3428.81</v>
      </c>
      <c r="L2311" s="5">
        <v>46280</v>
      </c>
      <c r="M2311" t="s">
        <v>5046</v>
      </c>
      <c r="N2311" t="s">
        <v>207</v>
      </c>
      <c r="O2311" t="s">
        <v>5161</v>
      </c>
      <c r="P2311" t="s">
        <v>208</v>
      </c>
      <c r="Q2311" t="s">
        <v>209</v>
      </c>
    </row>
    <row r="2312" spans="1:17" x14ac:dyDescent="0.3">
      <c r="A2312" t="s">
        <v>5162</v>
      </c>
      <c r="C2312" t="s">
        <v>5163</v>
      </c>
      <c r="D2312" t="s">
        <v>5163</v>
      </c>
      <c r="E2312" s="5">
        <v>46278</v>
      </c>
      <c r="F2312" t="s">
        <v>204</v>
      </c>
      <c r="G2312" t="s">
        <v>220</v>
      </c>
      <c r="H2312">
        <v>848</v>
      </c>
      <c r="I2312">
        <v>0</v>
      </c>
      <c r="J2312">
        <v>0</v>
      </c>
      <c r="K2312">
        <v>848</v>
      </c>
      <c r="L2312" s="5">
        <v>46280</v>
      </c>
      <c r="M2312" t="s">
        <v>5046</v>
      </c>
      <c r="N2312" t="s">
        <v>207</v>
      </c>
      <c r="O2312" t="s">
        <v>5163</v>
      </c>
      <c r="P2312" t="s">
        <v>208</v>
      </c>
      <c r="Q2312" t="s">
        <v>209</v>
      </c>
    </row>
    <row r="2313" spans="1:17" x14ac:dyDescent="0.3">
      <c r="A2313" t="s">
        <v>5164</v>
      </c>
      <c r="C2313" t="s">
        <v>5165</v>
      </c>
      <c r="D2313" t="s">
        <v>5165</v>
      </c>
      <c r="E2313" s="5">
        <v>46278</v>
      </c>
      <c r="F2313" t="s">
        <v>204</v>
      </c>
      <c r="G2313" t="s">
        <v>220</v>
      </c>
      <c r="H2313">
        <v>11797</v>
      </c>
      <c r="I2313">
        <v>35.39</v>
      </c>
      <c r="J2313">
        <v>6.37</v>
      </c>
      <c r="K2313">
        <v>11755.24</v>
      </c>
      <c r="L2313" s="5">
        <v>46280</v>
      </c>
      <c r="M2313" t="s">
        <v>5046</v>
      </c>
      <c r="N2313" t="s">
        <v>207</v>
      </c>
      <c r="O2313" t="s">
        <v>5165</v>
      </c>
      <c r="P2313" t="s">
        <v>208</v>
      </c>
      <c r="Q2313" t="s">
        <v>209</v>
      </c>
    </row>
    <row r="2314" spans="1:17" x14ac:dyDescent="0.3">
      <c r="A2314" t="s">
        <v>5166</v>
      </c>
      <c r="C2314" t="s">
        <v>5167</v>
      </c>
      <c r="D2314" t="s">
        <v>5168</v>
      </c>
      <c r="E2314" s="5">
        <v>46278</v>
      </c>
      <c r="F2314" t="s">
        <v>204</v>
      </c>
      <c r="G2314" t="s">
        <v>213</v>
      </c>
      <c r="H2314">
        <v>1499</v>
      </c>
      <c r="I2314">
        <v>26.98</v>
      </c>
      <c r="J2314">
        <v>4.8600000000000003</v>
      </c>
      <c r="K2314">
        <v>1467.16</v>
      </c>
      <c r="L2314" s="5">
        <v>46280</v>
      </c>
      <c r="M2314" t="s">
        <v>5046</v>
      </c>
      <c r="N2314" t="s">
        <v>207</v>
      </c>
      <c r="O2314" t="s">
        <v>5168</v>
      </c>
      <c r="P2314" t="s">
        <v>208</v>
      </c>
      <c r="Q2314" t="s">
        <v>209</v>
      </c>
    </row>
    <row r="2315" spans="1:17" x14ac:dyDescent="0.3">
      <c r="A2315" t="s">
        <v>5169</v>
      </c>
      <c r="C2315" t="s">
        <v>5170</v>
      </c>
      <c r="D2315" t="s">
        <v>5170</v>
      </c>
      <c r="E2315" s="5">
        <v>46278</v>
      </c>
      <c r="F2315" t="s">
        <v>204</v>
      </c>
      <c r="G2315" t="s">
        <v>213</v>
      </c>
      <c r="H2315">
        <v>3499</v>
      </c>
      <c r="I2315">
        <v>55.98</v>
      </c>
      <c r="J2315">
        <v>10.08</v>
      </c>
      <c r="K2315">
        <v>3432.94</v>
      </c>
      <c r="L2315" s="5">
        <v>46280</v>
      </c>
      <c r="M2315" t="s">
        <v>5046</v>
      </c>
      <c r="N2315" t="s">
        <v>207</v>
      </c>
      <c r="O2315" t="s">
        <v>5170</v>
      </c>
      <c r="P2315" t="s">
        <v>208</v>
      </c>
      <c r="Q2315" t="s">
        <v>209</v>
      </c>
    </row>
    <row r="2316" spans="1:17" x14ac:dyDescent="0.3">
      <c r="A2316" t="s">
        <v>5171</v>
      </c>
      <c r="C2316" t="s">
        <v>5172</v>
      </c>
      <c r="D2316" t="s">
        <v>5172</v>
      </c>
      <c r="E2316" s="5">
        <v>46278</v>
      </c>
      <c r="F2316" t="s">
        <v>204</v>
      </c>
      <c r="G2316" t="s">
        <v>213</v>
      </c>
      <c r="H2316">
        <v>1348</v>
      </c>
      <c r="I2316">
        <v>24.26</v>
      </c>
      <c r="J2316">
        <v>4.37</v>
      </c>
      <c r="K2316">
        <v>1319.37</v>
      </c>
      <c r="L2316" s="5">
        <v>46280</v>
      </c>
      <c r="M2316" t="s">
        <v>5046</v>
      </c>
      <c r="N2316" t="s">
        <v>207</v>
      </c>
      <c r="O2316" t="s">
        <v>5172</v>
      </c>
      <c r="P2316" t="s">
        <v>208</v>
      </c>
      <c r="Q2316" t="s">
        <v>209</v>
      </c>
    </row>
    <row r="2317" spans="1:17" x14ac:dyDescent="0.3">
      <c r="A2317" t="s">
        <v>5173</v>
      </c>
      <c r="C2317" t="s">
        <v>5174</v>
      </c>
      <c r="D2317" t="s">
        <v>5175</v>
      </c>
      <c r="E2317" s="5">
        <v>46278</v>
      </c>
      <c r="F2317" t="s">
        <v>204</v>
      </c>
      <c r="G2317" t="s">
        <v>213</v>
      </c>
      <c r="H2317">
        <v>3848</v>
      </c>
      <c r="I2317">
        <v>61.57</v>
      </c>
      <c r="J2317">
        <v>11.08</v>
      </c>
      <c r="K2317">
        <v>3775.35</v>
      </c>
      <c r="L2317" s="5">
        <v>46280</v>
      </c>
      <c r="M2317" t="s">
        <v>5046</v>
      </c>
      <c r="N2317" t="s">
        <v>207</v>
      </c>
      <c r="O2317" t="s">
        <v>5175</v>
      </c>
      <c r="P2317" t="s">
        <v>208</v>
      </c>
      <c r="Q2317" t="s">
        <v>209</v>
      </c>
    </row>
    <row r="2318" spans="1:17" x14ac:dyDescent="0.3">
      <c r="A2318" t="s">
        <v>5176</v>
      </c>
      <c r="C2318" t="s">
        <v>5177</v>
      </c>
      <c r="D2318" t="s">
        <v>5177</v>
      </c>
      <c r="E2318" s="5">
        <v>46278</v>
      </c>
      <c r="F2318" t="s">
        <v>204</v>
      </c>
      <c r="G2318" t="s">
        <v>220</v>
      </c>
      <c r="H2318">
        <v>1098</v>
      </c>
      <c r="I2318">
        <v>0</v>
      </c>
      <c r="J2318">
        <v>0</v>
      </c>
      <c r="K2318">
        <v>1098</v>
      </c>
      <c r="L2318" s="5">
        <v>46280</v>
      </c>
      <c r="M2318" t="s">
        <v>5046</v>
      </c>
      <c r="N2318" t="s">
        <v>207</v>
      </c>
      <c r="O2318" t="s">
        <v>5177</v>
      </c>
      <c r="P2318" t="s">
        <v>208</v>
      </c>
      <c r="Q2318" t="s">
        <v>209</v>
      </c>
    </row>
    <row r="2319" spans="1:17" x14ac:dyDescent="0.3">
      <c r="A2319" t="s">
        <v>5178</v>
      </c>
      <c r="C2319" t="s">
        <v>5179</v>
      </c>
      <c r="D2319" t="s">
        <v>5179</v>
      </c>
      <c r="E2319" s="5">
        <v>46278</v>
      </c>
      <c r="F2319" t="s">
        <v>204</v>
      </c>
      <c r="G2319" t="s">
        <v>220</v>
      </c>
      <c r="H2319">
        <v>1098</v>
      </c>
      <c r="I2319">
        <v>0</v>
      </c>
      <c r="J2319">
        <v>0</v>
      </c>
      <c r="K2319">
        <v>1098</v>
      </c>
      <c r="L2319" s="5">
        <v>46280</v>
      </c>
      <c r="M2319" t="s">
        <v>5046</v>
      </c>
      <c r="N2319" t="s">
        <v>207</v>
      </c>
      <c r="O2319" t="s">
        <v>5179</v>
      </c>
      <c r="P2319" t="s">
        <v>208</v>
      </c>
      <c r="Q2319" t="s">
        <v>209</v>
      </c>
    </row>
    <row r="2320" spans="1:17" x14ac:dyDescent="0.3">
      <c r="A2320" t="s">
        <v>5180</v>
      </c>
      <c r="C2320" t="s">
        <v>5181</v>
      </c>
      <c r="D2320" t="s">
        <v>5181</v>
      </c>
      <c r="E2320" s="5">
        <v>46278</v>
      </c>
      <c r="F2320" t="s">
        <v>204</v>
      </c>
      <c r="G2320" t="s">
        <v>220</v>
      </c>
      <c r="H2320">
        <v>1499</v>
      </c>
      <c r="I2320">
        <v>0</v>
      </c>
      <c r="J2320">
        <v>0</v>
      </c>
      <c r="K2320">
        <v>1499</v>
      </c>
      <c r="L2320" s="5">
        <v>46280</v>
      </c>
      <c r="M2320" t="s">
        <v>5046</v>
      </c>
      <c r="N2320" t="s">
        <v>207</v>
      </c>
      <c r="O2320" t="s">
        <v>5181</v>
      </c>
      <c r="P2320" t="s">
        <v>208</v>
      </c>
      <c r="Q2320" t="s">
        <v>209</v>
      </c>
    </row>
    <row r="2321" spans="1:17" x14ac:dyDescent="0.3">
      <c r="A2321" t="s">
        <v>5182</v>
      </c>
      <c r="C2321" t="s">
        <v>5183</v>
      </c>
      <c r="D2321" t="s">
        <v>5183</v>
      </c>
      <c r="E2321" s="5">
        <v>46278</v>
      </c>
      <c r="F2321" t="s">
        <v>204</v>
      </c>
      <c r="G2321" t="s">
        <v>220</v>
      </c>
      <c r="H2321">
        <v>799</v>
      </c>
      <c r="I2321">
        <v>0</v>
      </c>
      <c r="J2321">
        <v>0</v>
      </c>
      <c r="K2321">
        <v>799</v>
      </c>
      <c r="L2321" s="5">
        <v>46280</v>
      </c>
      <c r="M2321" t="s">
        <v>5046</v>
      </c>
      <c r="N2321" t="s">
        <v>207</v>
      </c>
      <c r="O2321" t="s">
        <v>5183</v>
      </c>
      <c r="P2321" t="s">
        <v>208</v>
      </c>
      <c r="Q2321" t="s">
        <v>209</v>
      </c>
    </row>
    <row r="2322" spans="1:17" x14ac:dyDescent="0.3">
      <c r="A2322" t="s">
        <v>5184</v>
      </c>
      <c r="C2322" t="s">
        <v>5185</v>
      </c>
      <c r="D2322" t="s">
        <v>5185</v>
      </c>
      <c r="E2322" s="5">
        <v>46278</v>
      </c>
      <c r="F2322" t="s">
        <v>204</v>
      </c>
      <c r="G2322" t="s">
        <v>220</v>
      </c>
      <c r="H2322">
        <v>1998</v>
      </c>
      <c r="I2322">
        <v>0</v>
      </c>
      <c r="J2322">
        <v>0</v>
      </c>
      <c r="K2322">
        <v>1998</v>
      </c>
      <c r="L2322" s="5">
        <v>46280</v>
      </c>
      <c r="M2322" t="s">
        <v>5046</v>
      </c>
      <c r="N2322" t="s">
        <v>207</v>
      </c>
      <c r="O2322" t="s">
        <v>5185</v>
      </c>
      <c r="P2322" t="s">
        <v>208</v>
      </c>
      <c r="Q2322" t="s">
        <v>209</v>
      </c>
    </row>
    <row r="2323" spans="1:17" x14ac:dyDescent="0.3">
      <c r="A2323" t="s">
        <v>5186</v>
      </c>
      <c r="C2323" t="s">
        <v>5187</v>
      </c>
      <c r="D2323" t="s">
        <v>5187</v>
      </c>
      <c r="E2323" s="5">
        <v>46278</v>
      </c>
      <c r="F2323" t="s">
        <v>204</v>
      </c>
      <c r="G2323" t="s">
        <v>220</v>
      </c>
      <c r="H2323">
        <v>9798</v>
      </c>
      <c r="I2323">
        <v>29.39</v>
      </c>
      <c r="J2323">
        <v>5.29</v>
      </c>
      <c r="K2323">
        <v>9763.32</v>
      </c>
      <c r="L2323" s="5">
        <v>46280</v>
      </c>
      <c r="M2323" t="s">
        <v>5046</v>
      </c>
      <c r="N2323" t="s">
        <v>207</v>
      </c>
      <c r="O2323" t="s">
        <v>5187</v>
      </c>
      <c r="P2323" t="s">
        <v>208</v>
      </c>
      <c r="Q2323" t="s">
        <v>209</v>
      </c>
    </row>
    <row r="2324" spans="1:17" x14ac:dyDescent="0.3">
      <c r="A2324" t="s">
        <v>5188</v>
      </c>
      <c r="C2324" t="s">
        <v>5189</v>
      </c>
      <c r="D2324" t="s">
        <v>5189</v>
      </c>
      <c r="E2324" s="5">
        <v>46278</v>
      </c>
      <c r="F2324" t="s">
        <v>204</v>
      </c>
      <c r="G2324" t="s">
        <v>220</v>
      </c>
      <c r="H2324">
        <v>2999</v>
      </c>
      <c r="I2324">
        <v>9</v>
      </c>
      <c r="J2324">
        <v>1.62</v>
      </c>
      <c r="K2324">
        <v>2988.38</v>
      </c>
      <c r="L2324" s="5">
        <v>46280</v>
      </c>
      <c r="M2324" t="s">
        <v>5046</v>
      </c>
      <c r="N2324" t="s">
        <v>207</v>
      </c>
      <c r="O2324" t="s">
        <v>5189</v>
      </c>
      <c r="P2324" t="s">
        <v>208</v>
      </c>
      <c r="Q2324" t="s">
        <v>209</v>
      </c>
    </row>
    <row r="2325" spans="1:17" x14ac:dyDescent="0.3">
      <c r="A2325" t="s">
        <v>5190</v>
      </c>
      <c r="C2325" t="s">
        <v>5191</v>
      </c>
      <c r="D2325" t="s">
        <v>5191</v>
      </c>
      <c r="E2325" s="5">
        <v>46278</v>
      </c>
      <c r="F2325" t="s">
        <v>204</v>
      </c>
      <c r="G2325" t="s">
        <v>255</v>
      </c>
      <c r="H2325">
        <v>299</v>
      </c>
      <c r="I2325">
        <v>4.49</v>
      </c>
      <c r="J2325">
        <v>0.81</v>
      </c>
      <c r="K2325">
        <v>293.7</v>
      </c>
      <c r="L2325" s="5">
        <v>46280</v>
      </c>
      <c r="M2325" t="s">
        <v>5046</v>
      </c>
      <c r="N2325" t="s">
        <v>207</v>
      </c>
      <c r="O2325" t="s">
        <v>5191</v>
      </c>
      <c r="P2325" t="s">
        <v>208</v>
      </c>
      <c r="Q2325" t="s">
        <v>209</v>
      </c>
    </row>
    <row r="2326" spans="1:17" x14ac:dyDescent="0.3">
      <c r="A2326" t="s">
        <v>5192</v>
      </c>
      <c r="C2326" t="s">
        <v>5193</v>
      </c>
      <c r="D2326" t="s">
        <v>5193</v>
      </c>
      <c r="E2326" s="5">
        <v>46278</v>
      </c>
      <c r="F2326" t="s">
        <v>204</v>
      </c>
      <c r="G2326" t="s">
        <v>213</v>
      </c>
      <c r="H2326">
        <v>2098</v>
      </c>
      <c r="I2326">
        <v>33.57</v>
      </c>
      <c r="J2326">
        <v>6.04</v>
      </c>
      <c r="K2326">
        <v>2058.39</v>
      </c>
      <c r="L2326" s="5">
        <v>46280</v>
      </c>
      <c r="M2326" t="s">
        <v>5046</v>
      </c>
      <c r="N2326" t="s">
        <v>207</v>
      </c>
      <c r="O2326" t="s">
        <v>5193</v>
      </c>
      <c r="P2326" t="s">
        <v>208</v>
      </c>
      <c r="Q2326" t="s">
        <v>209</v>
      </c>
    </row>
    <row r="2327" spans="1:17" x14ac:dyDescent="0.3">
      <c r="A2327" t="s">
        <v>5194</v>
      </c>
      <c r="C2327" t="s">
        <v>5195</v>
      </c>
      <c r="D2327" t="s">
        <v>5196</v>
      </c>
      <c r="E2327" s="5">
        <v>46278</v>
      </c>
      <c r="F2327" t="s">
        <v>204</v>
      </c>
      <c r="G2327" t="s">
        <v>205</v>
      </c>
      <c r="H2327">
        <v>499</v>
      </c>
      <c r="I2327">
        <v>9.48</v>
      </c>
      <c r="J2327">
        <v>1.71</v>
      </c>
      <c r="K2327">
        <v>487.81</v>
      </c>
      <c r="L2327" s="5">
        <v>46280</v>
      </c>
      <c r="M2327" t="s">
        <v>5046</v>
      </c>
      <c r="N2327" t="s">
        <v>207</v>
      </c>
      <c r="O2327" t="s">
        <v>5196</v>
      </c>
      <c r="P2327" t="s">
        <v>208</v>
      </c>
      <c r="Q2327" t="s">
        <v>209</v>
      </c>
    </row>
    <row r="2328" spans="1:17" x14ac:dyDescent="0.3">
      <c r="A2328" t="s">
        <v>5197</v>
      </c>
      <c r="C2328" t="s">
        <v>5198</v>
      </c>
      <c r="D2328" t="s">
        <v>5198</v>
      </c>
      <c r="E2328" s="5">
        <v>46278</v>
      </c>
      <c r="F2328" t="s">
        <v>204</v>
      </c>
      <c r="G2328" t="s">
        <v>220</v>
      </c>
      <c r="H2328">
        <v>1098</v>
      </c>
      <c r="I2328">
        <v>0</v>
      </c>
      <c r="J2328">
        <v>0</v>
      </c>
      <c r="K2328">
        <v>1098</v>
      </c>
      <c r="L2328" s="5">
        <v>46280</v>
      </c>
      <c r="M2328" t="s">
        <v>5046</v>
      </c>
      <c r="N2328" t="s">
        <v>207</v>
      </c>
      <c r="O2328" t="s">
        <v>5198</v>
      </c>
      <c r="P2328" t="s">
        <v>208</v>
      </c>
      <c r="Q2328" t="s">
        <v>209</v>
      </c>
    </row>
    <row r="2329" spans="1:17" x14ac:dyDescent="0.3">
      <c r="A2329" t="s">
        <v>5199</v>
      </c>
      <c r="C2329" t="s">
        <v>5200</v>
      </c>
      <c r="D2329" t="s">
        <v>5200</v>
      </c>
      <c r="E2329" s="5">
        <v>46278</v>
      </c>
      <c r="F2329" t="s">
        <v>204</v>
      </c>
      <c r="G2329" t="s">
        <v>220</v>
      </c>
      <c r="H2329">
        <v>1799</v>
      </c>
      <c r="I2329">
        <v>0</v>
      </c>
      <c r="J2329">
        <v>0</v>
      </c>
      <c r="K2329">
        <v>1799</v>
      </c>
      <c r="L2329" s="5">
        <v>46280</v>
      </c>
      <c r="M2329" t="s">
        <v>5046</v>
      </c>
      <c r="N2329" t="s">
        <v>207</v>
      </c>
      <c r="O2329" t="s">
        <v>5200</v>
      </c>
      <c r="P2329" t="s">
        <v>208</v>
      </c>
      <c r="Q2329" t="s">
        <v>209</v>
      </c>
    </row>
    <row r="2330" spans="1:17" x14ac:dyDescent="0.3">
      <c r="A2330" t="s">
        <v>5201</v>
      </c>
      <c r="C2330" t="s">
        <v>5202</v>
      </c>
      <c r="D2330" t="s">
        <v>5202</v>
      </c>
      <c r="E2330" s="5">
        <v>46278</v>
      </c>
      <c r="F2330" t="s">
        <v>204</v>
      </c>
      <c r="G2330" t="s">
        <v>213</v>
      </c>
      <c r="H2330">
        <v>1299</v>
      </c>
      <c r="I2330">
        <v>23.38</v>
      </c>
      <c r="J2330">
        <v>4.21</v>
      </c>
      <c r="K2330">
        <v>1271.4100000000001</v>
      </c>
      <c r="L2330" s="5">
        <v>46280</v>
      </c>
      <c r="M2330" t="s">
        <v>5046</v>
      </c>
      <c r="N2330" t="s">
        <v>207</v>
      </c>
      <c r="O2330" t="s">
        <v>5202</v>
      </c>
      <c r="P2330" t="s">
        <v>208</v>
      </c>
      <c r="Q2330" t="s">
        <v>209</v>
      </c>
    </row>
    <row r="2331" spans="1:17" x14ac:dyDescent="0.3">
      <c r="A2331" t="s">
        <v>5203</v>
      </c>
      <c r="C2331" t="s">
        <v>5204</v>
      </c>
      <c r="D2331" t="s">
        <v>5204</v>
      </c>
      <c r="E2331" s="5">
        <v>46278</v>
      </c>
      <c r="F2331" t="s">
        <v>204</v>
      </c>
      <c r="G2331" t="s">
        <v>220</v>
      </c>
      <c r="H2331">
        <v>1299</v>
      </c>
      <c r="I2331">
        <v>0</v>
      </c>
      <c r="J2331">
        <v>0</v>
      </c>
      <c r="K2331">
        <v>1299</v>
      </c>
      <c r="L2331" s="5">
        <v>46280</v>
      </c>
      <c r="M2331" t="s">
        <v>5046</v>
      </c>
      <c r="N2331" t="s">
        <v>207</v>
      </c>
      <c r="O2331" t="s">
        <v>5204</v>
      </c>
      <c r="P2331" t="s">
        <v>208</v>
      </c>
      <c r="Q2331" t="s">
        <v>209</v>
      </c>
    </row>
    <row r="2332" spans="1:17" x14ac:dyDescent="0.3">
      <c r="A2332" t="s">
        <v>5205</v>
      </c>
      <c r="C2332" t="s">
        <v>5206</v>
      </c>
      <c r="D2332" t="s">
        <v>5206</v>
      </c>
      <c r="E2332" s="5">
        <v>46278</v>
      </c>
      <c r="F2332" t="s">
        <v>204</v>
      </c>
      <c r="G2332" t="s">
        <v>205</v>
      </c>
      <c r="H2332">
        <v>599</v>
      </c>
      <c r="I2332">
        <v>11.38</v>
      </c>
      <c r="J2332">
        <v>2.0499999999999998</v>
      </c>
      <c r="K2332">
        <v>585.57000000000005</v>
      </c>
      <c r="L2332" s="5">
        <v>46280</v>
      </c>
      <c r="M2332" t="s">
        <v>5046</v>
      </c>
      <c r="N2332" t="s">
        <v>207</v>
      </c>
      <c r="O2332" t="s">
        <v>5206</v>
      </c>
      <c r="P2332" t="s">
        <v>208</v>
      </c>
      <c r="Q2332" t="s">
        <v>209</v>
      </c>
    </row>
    <row r="2333" spans="1:17" x14ac:dyDescent="0.3">
      <c r="A2333" t="s">
        <v>5207</v>
      </c>
      <c r="C2333" t="s">
        <v>5208</v>
      </c>
      <c r="D2333" t="s">
        <v>5208</v>
      </c>
      <c r="E2333" s="5">
        <v>46278</v>
      </c>
      <c r="F2333" t="s">
        <v>204</v>
      </c>
      <c r="G2333" t="s">
        <v>220</v>
      </c>
      <c r="H2333">
        <v>299</v>
      </c>
      <c r="I2333">
        <v>0</v>
      </c>
      <c r="J2333">
        <v>0</v>
      </c>
      <c r="K2333">
        <v>299</v>
      </c>
      <c r="L2333" s="5">
        <v>46280</v>
      </c>
      <c r="M2333" t="s">
        <v>5046</v>
      </c>
      <c r="N2333" t="s">
        <v>207</v>
      </c>
      <c r="O2333" t="s">
        <v>5208</v>
      </c>
      <c r="P2333" t="s">
        <v>208</v>
      </c>
      <c r="Q2333" t="s">
        <v>209</v>
      </c>
    </row>
    <row r="2334" spans="1:17" x14ac:dyDescent="0.3">
      <c r="A2334" t="s">
        <v>5209</v>
      </c>
      <c r="C2334" t="s">
        <v>5210</v>
      </c>
      <c r="D2334" t="s">
        <v>5210</v>
      </c>
      <c r="E2334" s="5">
        <v>46278</v>
      </c>
      <c r="F2334" t="s">
        <v>204</v>
      </c>
      <c r="G2334" t="s">
        <v>220</v>
      </c>
      <c r="H2334">
        <v>999</v>
      </c>
      <c r="I2334">
        <v>0</v>
      </c>
      <c r="J2334">
        <v>0</v>
      </c>
      <c r="K2334">
        <v>999</v>
      </c>
      <c r="L2334" s="5">
        <v>46280</v>
      </c>
      <c r="M2334" t="s">
        <v>5046</v>
      </c>
      <c r="N2334" t="s">
        <v>207</v>
      </c>
      <c r="O2334" t="s">
        <v>5210</v>
      </c>
      <c r="P2334" t="s">
        <v>208</v>
      </c>
      <c r="Q2334" t="s">
        <v>209</v>
      </c>
    </row>
    <row r="2335" spans="1:17" x14ac:dyDescent="0.3">
      <c r="A2335" t="s">
        <v>5211</v>
      </c>
      <c r="C2335" t="s">
        <v>5212</v>
      </c>
      <c r="D2335" t="s">
        <v>5212</v>
      </c>
      <c r="E2335" s="5">
        <v>46278</v>
      </c>
      <c r="F2335" t="s">
        <v>204</v>
      </c>
      <c r="G2335" t="s">
        <v>220</v>
      </c>
      <c r="H2335">
        <v>499</v>
      </c>
      <c r="I2335">
        <v>0</v>
      </c>
      <c r="J2335">
        <v>0</v>
      </c>
      <c r="K2335">
        <v>499</v>
      </c>
      <c r="L2335" s="5">
        <v>46280</v>
      </c>
      <c r="M2335" t="s">
        <v>5046</v>
      </c>
      <c r="N2335" t="s">
        <v>207</v>
      </c>
      <c r="O2335" t="s">
        <v>5212</v>
      </c>
      <c r="P2335" t="s">
        <v>208</v>
      </c>
      <c r="Q2335" t="s">
        <v>209</v>
      </c>
    </row>
    <row r="2336" spans="1:17" x14ac:dyDescent="0.3">
      <c r="A2336" t="s">
        <v>5213</v>
      </c>
      <c r="C2336" t="s">
        <v>5214</v>
      </c>
      <c r="D2336" t="s">
        <v>5215</v>
      </c>
      <c r="E2336" s="5">
        <v>46278</v>
      </c>
      <c r="F2336" t="s">
        <v>204</v>
      </c>
      <c r="G2336" t="s">
        <v>255</v>
      </c>
      <c r="H2336">
        <v>1798</v>
      </c>
      <c r="I2336">
        <v>26.97</v>
      </c>
      <c r="J2336">
        <v>4.8499999999999996</v>
      </c>
      <c r="K2336">
        <v>1766.18</v>
      </c>
      <c r="L2336" s="5">
        <v>46280</v>
      </c>
      <c r="M2336" t="s">
        <v>5046</v>
      </c>
      <c r="N2336" t="s">
        <v>207</v>
      </c>
      <c r="O2336" t="s">
        <v>5215</v>
      </c>
      <c r="P2336" t="s">
        <v>208</v>
      </c>
      <c r="Q2336" t="s">
        <v>209</v>
      </c>
    </row>
    <row r="2337" spans="1:17" x14ac:dyDescent="0.3">
      <c r="A2337" t="s">
        <v>5216</v>
      </c>
      <c r="C2337" t="s">
        <v>5217</v>
      </c>
      <c r="D2337" t="s">
        <v>5217</v>
      </c>
      <c r="E2337" s="5">
        <v>46278</v>
      </c>
      <c r="F2337" t="s">
        <v>204</v>
      </c>
      <c r="G2337" t="s">
        <v>220</v>
      </c>
      <c r="H2337">
        <v>1299</v>
      </c>
      <c r="I2337">
        <v>0</v>
      </c>
      <c r="J2337">
        <v>0</v>
      </c>
      <c r="K2337">
        <v>1299</v>
      </c>
      <c r="L2337" s="5">
        <v>46280</v>
      </c>
      <c r="M2337" t="s">
        <v>5046</v>
      </c>
      <c r="N2337" t="s">
        <v>207</v>
      </c>
      <c r="O2337" t="s">
        <v>5217</v>
      </c>
      <c r="P2337" t="s">
        <v>208</v>
      </c>
      <c r="Q2337" t="s">
        <v>209</v>
      </c>
    </row>
    <row r="2338" spans="1:17" x14ac:dyDescent="0.3">
      <c r="A2338" t="s">
        <v>5218</v>
      </c>
      <c r="C2338" t="s">
        <v>5219</v>
      </c>
      <c r="D2338" t="s">
        <v>5219</v>
      </c>
      <c r="E2338" s="5">
        <v>46278</v>
      </c>
      <c r="F2338" t="s">
        <v>204</v>
      </c>
      <c r="G2338" t="s">
        <v>255</v>
      </c>
      <c r="H2338">
        <v>1799</v>
      </c>
      <c r="I2338">
        <v>26.99</v>
      </c>
      <c r="J2338">
        <v>4.8600000000000003</v>
      </c>
      <c r="K2338">
        <v>1767.15</v>
      </c>
      <c r="L2338" s="5">
        <v>46280</v>
      </c>
      <c r="M2338" t="s">
        <v>5046</v>
      </c>
      <c r="N2338" t="s">
        <v>207</v>
      </c>
      <c r="O2338" t="s">
        <v>5219</v>
      </c>
      <c r="P2338" t="s">
        <v>208</v>
      </c>
      <c r="Q2338" t="s">
        <v>209</v>
      </c>
    </row>
    <row r="2339" spans="1:17" x14ac:dyDescent="0.3">
      <c r="A2339" t="s">
        <v>5220</v>
      </c>
      <c r="C2339" t="s">
        <v>5221</v>
      </c>
      <c r="D2339" t="s">
        <v>5222</v>
      </c>
      <c r="E2339" s="5">
        <v>46278</v>
      </c>
      <c r="F2339" t="s">
        <v>204</v>
      </c>
      <c r="G2339" t="s">
        <v>220</v>
      </c>
      <c r="H2339">
        <v>1299</v>
      </c>
      <c r="I2339">
        <v>0</v>
      </c>
      <c r="J2339">
        <v>0</v>
      </c>
      <c r="K2339">
        <v>1299</v>
      </c>
      <c r="L2339" s="5">
        <v>46280</v>
      </c>
      <c r="M2339" t="s">
        <v>5046</v>
      </c>
      <c r="N2339" t="s">
        <v>207</v>
      </c>
      <c r="O2339" t="s">
        <v>5222</v>
      </c>
      <c r="P2339" t="s">
        <v>208</v>
      </c>
      <c r="Q2339" t="s">
        <v>209</v>
      </c>
    </row>
    <row r="2340" spans="1:17" x14ac:dyDescent="0.3">
      <c r="A2340" t="s">
        <v>5223</v>
      </c>
      <c r="C2340" t="s">
        <v>5224</v>
      </c>
      <c r="D2340" t="s">
        <v>5224</v>
      </c>
      <c r="E2340" s="5">
        <v>46278</v>
      </c>
      <c r="F2340" t="s">
        <v>204</v>
      </c>
      <c r="G2340" t="s">
        <v>220</v>
      </c>
      <c r="H2340">
        <v>3499</v>
      </c>
      <c r="I2340">
        <v>10.5</v>
      </c>
      <c r="J2340">
        <v>1.89</v>
      </c>
      <c r="K2340">
        <v>3486.61</v>
      </c>
      <c r="L2340" s="5">
        <v>46280</v>
      </c>
      <c r="M2340" t="s">
        <v>5046</v>
      </c>
      <c r="N2340" t="s">
        <v>207</v>
      </c>
      <c r="O2340" t="s">
        <v>5224</v>
      </c>
      <c r="P2340" t="s">
        <v>208</v>
      </c>
      <c r="Q2340" t="s">
        <v>209</v>
      </c>
    </row>
    <row r="2341" spans="1:17" x14ac:dyDescent="0.3">
      <c r="A2341" t="s">
        <v>5225</v>
      </c>
      <c r="C2341" t="s">
        <v>5226</v>
      </c>
      <c r="D2341" t="s">
        <v>5226</v>
      </c>
      <c r="E2341" s="5">
        <v>46278</v>
      </c>
      <c r="F2341" t="s">
        <v>204</v>
      </c>
      <c r="G2341" t="s">
        <v>220</v>
      </c>
      <c r="H2341">
        <v>599</v>
      </c>
      <c r="I2341">
        <v>1.8</v>
      </c>
      <c r="J2341">
        <v>0.32</v>
      </c>
      <c r="K2341">
        <v>596.88</v>
      </c>
      <c r="L2341" s="5">
        <v>46280</v>
      </c>
      <c r="M2341" t="s">
        <v>5046</v>
      </c>
      <c r="N2341" t="s">
        <v>207</v>
      </c>
      <c r="O2341" t="s">
        <v>5226</v>
      </c>
      <c r="P2341" t="s">
        <v>208</v>
      </c>
      <c r="Q2341" t="s">
        <v>209</v>
      </c>
    </row>
    <row r="2342" spans="1:17" x14ac:dyDescent="0.3">
      <c r="A2342" t="s">
        <v>5227</v>
      </c>
      <c r="C2342" t="s">
        <v>5228</v>
      </c>
      <c r="D2342" t="s">
        <v>5228</v>
      </c>
      <c r="E2342" s="5">
        <v>46278</v>
      </c>
      <c r="F2342" t="s">
        <v>204</v>
      </c>
      <c r="G2342" t="s">
        <v>205</v>
      </c>
      <c r="H2342">
        <v>2499</v>
      </c>
      <c r="I2342">
        <v>42.48</v>
      </c>
      <c r="J2342">
        <v>7.65</v>
      </c>
      <c r="K2342">
        <v>2448.87</v>
      </c>
      <c r="L2342" s="5">
        <v>46280</v>
      </c>
      <c r="M2342" t="s">
        <v>5046</v>
      </c>
      <c r="N2342" t="s">
        <v>207</v>
      </c>
      <c r="O2342" t="s">
        <v>5228</v>
      </c>
      <c r="P2342" t="s">
        <v>208</v>
      </c>
      <c r="Q2342" t="s">
        <v>209</v>
      </c>
    </row>
    <row r="2343" spans="1:17" x14ac:dyDescent="0.3">
      <c r="A2343" t="s">
        <v>5229</v>
      </c>
      <c r="C2343" t="s">
        <v>5230</v>
      </c>
      <c r="D2343" t="s">
        <v>5230</v>
      </c>
      <c r="E2343" s="5">
        <v>46278</v>
      </c>
      <c r="F2343" t="s">
        <v>204</v>
      </c>
      <c r="G2343" t="s">
        <v>213</v>
      </c>
      <c r="H2343">
        <v>1298</v>
      </c>
      <c r="I2343">
        <v>23.36</v>
      </c>
      <c r="J2343">
        <v>4.2</v>
      </c>
      <c r="K2343">
        <v>1270.44</v>
      </c>
      <c r="L2343" s="5">
        <v>46280</v>
      </c>
      <c r="M2343" t="s">
        <v>5046</v>
      </c>
      <c r="N2343" t="s">
        <v>207</v>
      </c>
      <c r="O2343" t="s">
        <v>5230</v>
      </c>
      <c r="P2343" t="s">
        <v>208</v>
      </c>
      <c r="Q2343" t="s">
        <v>209</v>
      </c>
    </row>
    <row r="2344" spans="1:17" x14ac:dyDescent="0.3">
      <c r="A2344" t="s">
        <v>5231</v>
      </c>
      <c r="C2344" t="s">
        <v>5232</v>
      </c>
      <c r="D2344" t="s">
        <v>5232</v>
      </c>
      <c r="E2344" s="5">
        <v>46278</v>
      </c>
      <c r="F2344" t="s">
        <v>204</v>
      </c>
      <c r="G2344" t="s">
        <v>220</v>
      </c>
      <c r="H2344">
        <v>6097</v>
      </c>
      <c r="I2344">
        <v>18.29</v>
      </c>
      <c r="J2344">
        <v>3.29</v>
      </c>
      <c r="K2344">
        <v>6075.42</v>
      </c>
      <c r="L2344" s="5">
        <v>46280</v>
      </c>
      <c r="M2344" t="s">
        <v>5046</v>
      </c>
      <c r="N2344" t="s">
        <v>207</v>
      </c>
      <c r="O2344" t="s">
        <v>5232</v>
      </c>
      <c r="P2344" t="s">
        <v>208</v>
      </c>
      <c r="Q2344" t="s">
        <v>209</v>
      </c>
    </row>
    <row r="2345" spans="1:17" x14ac:dyDescent="0.3">
      <c r="A2345" t="s">
        <v>5233</v>
      </c>
      <c r="C2345" t="s">
        <v>5234</v>
      </c>
      <c r="D2345" t="s">
        <v>5234</v>
      </c>
      <c r="E2345" s="5">
        <v>46278</v>
      </c>
      <c r="F2345" t="s">
        <v>204</v>
      </c>
      <c r="G2345" t="s">
        <v>220</v>
      </c>
      <c r="H2345">
        <v>5897</v>
      </c>
      <c r="I2345">
        <v>17.690000000000001</v>
      </c>
      <c r="J2345">
        <v>3.18</v>
      </c>
      <c r="K2345">
        <v>5876.13</v>
      </c>
      <c r="L2345" s="5">
        <v>46280</v>
      </c>
      <c r="M2345" t="s">
        <v>5046</v>
      </c>
      <c r="N2345" t="s">
        <v>207</v>
      </c>
      <c r="O2345" t="s">
        <v>5234</v>
      </c>
      <c r="P2345" t="s">
        <v>208</v>
      </c>
      <c r="Q2345" t="s">
        <v>209</v>
      </c>
    </row>
    <row r="2346" spans="1:17" x14ac:dyDescent="0.3">
      <c r="A2346" t="s">
        <v>5235</v>
      </c>
      <c r="C2346" t="s">
        <v>5236</v>
      </c>
      <c r="D2346" t="s">
        <v>5236</v>
      </c>
      <c r="E2346" s="5">
        <v>46278</v>
      </c>
      <c r="F2346" t="s">
        <v>204</v>
      </c>
      <c r="G2346" t="s">
        <v>213</v>
      </c>
      <c r="H2346">
        <v>4999</v>
      </c>
      <c r="I2346">
        <v>79.98</v>
      </c>
      <c r="J2346">
        <v>14.4</v>
      </c>
      <c r="K2346">
        <v>4904.62</v>
      </c>
      <c r="L2346" s="5">
        <v>46280</v>
      </c>
      <c r="M2346" t="s">
        <v>5046</v>
      </c>
      <c r="N2346" t="s">
        <v>207</v>
      </c>
      <c r="O2346" t="s">
        <v>5236</v>
      </c>
      <c r="P2346" t="s">
        <v>208</v>
      </c>
      <c r="Q2346" t="s">
        <v>209</v>
      </c>
    </row>
    <row r="2347" spans="1:17" x14ac:dyDescent="0.3">
      <c r="A2347" t="s">
        <v>5237</v>
      </c>
      <c r="C2347" t="s">
        <v>5238</v>
      </c>
      <c r="D2347" t="s">
        <v>5239</v>
      </c>
      <c r="E2347" s="5">
        <v>46278</v>
      </c>
      <c r="F2347" t="s">
        <v>204</v>
      </c>
      <c r="G2347" t="s">
        <v>220</v>
      </c>
      <c r="H2347">
        <v>2148</v>
      </c>
      <c r="I2347">
        <v>6.44</v>
      </c>
      <c r="J2347">
        <v>1.1599999999999999</v>
      </c>
      <c r="K2347">
        <v>2140.4</v>
      </c>
      <c r="L2347" s="5">
        <v>46280</v>
      </c>
      <c r="M2347" t="s">
        <v>5046</v>
      </c>
      <c r="N2347" t="s">
        <v>207</v>
      </c>
      <c r="O2347" t="s">
        <v>5239</v>
      </c>
      <c r="P2347" t="s">
        <v>208</v>
      </c>
      <c r="Q2347" t="s">
        <v>209</v>
      </c>
    </row>
    <row r="2348" spans="1:17" x14ac:dyDescent="0.3">
      <c r="A2348" t="s">
        <v>5240</v>
      </c>
      <c r="C2348" t="s">
        <v>5241</v>
      </c>
      <c r="D2348" t="s">
        <v>5241</v>
      </c>
      <c r="E2348" s="5">
        <v>46278</v>
      </c>
      <c r="F2348" t="s">
        <v>204</v>
      </c>
      <c r="G2348" t="s">
        <v>220</v>
      </c>
      <c r="H2348">
        <v>4999</v>
      </c>
      <c r="I2348">
        <v>15</v>
      </c>
      <c r="J2348">
        <v>2.7</v>
      </c>
      <c r="K2348">
        <v>4981.3</v>
      </c>
      <c r="L2348" s="5">
        <v>46280</v>
      </c>
      <c r="M2348" t="s">
        <v>5046</v>
      </c>
      <c r="N2348" t="s">
        <v>207</v>
      </c>
      <c r="O2348" t="s">
        <v>5241</v>
      </c>
      <c r="P2348" t="s">
        <v>208</v>
      </c>
      <c r="Q2348" t="s">
        <v>209</v>
      </c>
    </row>
    <row r="2349" spans="1:17" x14ac:dyDescent="0.3">
      <c r="A2349" t="s">
        <v>5242</v>
      </c>
      <c r="C2349" t="s">
        <v>5243</v>
      </c>
      <c r="D2349" t="s">
        <v>5244</v>
      </c>
      <c r="E2349" s="5">
        <v>46278</v>
      </c>
      <c r="F2349" t="s">
        <v>204</v>
      </c>
      <c r="G2349" t="s">
        <v>220</v>
      </c>
      <c r="H2349">
        <v>5797</v>
      </c>
      <c r="I2349">
        <v>17.39</v>
      </c>
      <c r="J2349">
        <v>3.13</v>
      </c>
      <c r="K2349">
        <v>5776.48</v>
      </c>
      <c r="L2349" s="5">
        <v>46280</v>
      </c>
      <c r="M2349" t="s">
        <v>5046</v>
      </c>
      <c r="N2349" t="s">
        <v>207</v>
      </c>
      <c r="O2349" t="s">
        <v>5244</v>
      </c>
      <c r="P2349" t="s">
        <v>208</v>
      </c>
      <c r="Q2349" t="s">
        <v>209</v>
      </c>
    </row>
    <row r="2350" spans="1:17" x14ac:dyDescent="0.3">
      <c r="A2350" t="s">
        <v>5245</v>
      </c>
      <c r="C2350" t="s">
        <v>5246</v>
      </c>
      <c r="D2350" t="s">
        <v>5246</v>
      </c>
      <c r="E2350" s="5">
        <v>46278</v>
      </c>
      <c r="F2350" t="s">
        <v>204</v>
      </c>
      <c r="G2350" t="s">
        <v>205</v>
      </c>
      <c r="H2350">
        <v>8348</v>
      </c>
      <c r="I2350">
        <v>141.91999999999999</v>
      </c>
      <c r="J2350">
        <v>25.55</v>
      </c>
      <c r="K2350">
        <v>8180.53</v>
      </c>
      <c r="L2350" s="5">
        <v>46280</v>
      </c>
      <c r="M2350" t="s">
        <v>5046</v>
      </c>
      <c r="N2350" t="s">
        <v>207</v>
      </c>
      <c r="O2350" t="s">
        <v>5246</v>
      </c>
      <c r="P2350" t="s">
        <v>208</v>
      </c>
      <c r="Q2350" t="s">
        <v>209</v>
      </c>
    </row>
    <row r="2351" spans="1:17" x14ac:dyDescent="0.3">
      <c r="A2351" t="s">
        <v>5247</v>
      </c>
      <c r="C2351" t="s">
        <v>5248</v>
      </c>
      <c r="D2351" t="s">
        <v>5248</v>
      </c>
      <c r="E2351" s="5">
        <v>46278</v>
      </c>
      <c r="F2351" t="s">
        <v>204</v>
      </c>
      <c r="G2351" t="s">
        <v>220</v>
      </c>
      <c r="H2351">
        <v>5498</v>
      </c>
      <c r="I2351">
        <v>16.489999999999998</v>
      </c>
      <c r="J2351">
        <v>2.97</v>
      </c>
      <c r="K2351">
        <v>5478.54</v>
      </c>
      <c r="L2351" s="5">
        <v>46280</v>
      </c>
      <c r="M2351" t="s">
        <v>5046</v>
      </c>
      <c r="N2351" t="s">
        <v>207</v>
      </c>
      <c r="O2351" t="s">
        <v>5248</v>
      </c>
      <c r="P2351" t="s">
        <v>208</v>
      </c>
      <c r="Q2351" t="s">
        <v>209</v>
      </c>
    </row>
    <row r="2352" spans="1:17" x14ac:dyDescent="0.3">
      <c r="A2352" t="s">
        <v>5249</v>
      </c>
      <c r="C2352" t="s">
        <v>5250</v>
      </c>
      <c r="D2352" t="s">
        <v>5251</v>
      </c>
      <c r="E2352" s="5">
        <v>46278</v>
      </c>
      <c r="F2352" t="s">
        <v>204</v>
      </c>
      <c r="G2352" t="s">
        <v>220</v>
      </c>
      <c r="H2352">
        <v>9998</v>
      </c>
      <c r="I2352">
        <v>29.99</v>
      </c>
      <c r="J2352">
        <v>5.4</v>
      </c>
      <c r="K2352">
        <v>9962.61</v>
      </c>
      <c r="L2352" s="5">
        <v>46280</v>
      </c>
      <c r="M2352" t="s">
        <v>5046</v>
      </c>
      <c r="N2352" t="s">
        <v>207</v>
      </c>
      <c r="O2352" t="s">
        <v>5251</v>
      </c>
      <c r="P2352" t="s">
        <v>208</v>
      </c>
      <c r="Q2352" t="s">
        <v>209</v>
      </c>
    </row>
    <row r="2353" spans="1:17" x14ac:dyDescent="0.3">
      <c r="A2353" t="s">
        <v>5252</v>
      </c>
      <c r="C2353" t="s">
        <v>5253</v>
      </c>
      <c r="D2353" t="s">
        <v>5254</v>
      </c>
      <c r="E2353" s="5">
        <v>46278</v>
      </c>
      <c r="F2353" t="s">
        <v>204</v>
      </c>
      <c r="G2353" t="s">
        <v>220</v>
      </c>
      <c r="H2353">
        <v>2999</v>
      </c>
      <c r="I2353">
        <v>9</v>
      </c>
      <c r="J2353">
        <v>1.62</v>
      </c>
      <c r="K2353">
        <v>2988.38</v>
      </c>
      <c r="L2353" s="5">
        <v>46280</v>
      </c>
      <c r="M2353" t="s">
        <v>5046</v>
      </c>
      <c r="N2353" t="s">
        <v>207</v>
      </c>
      <c r="O2353" t="s">
        <v>5254</v>
      </c>
      <c r="P2353" t="s">
        <v>208</v>
      </c>
      <c r="Q2353" t="s">
        <v>209</v>
      </c>
    </row>
    <row r="2354" spans="1:17" x14ac:dyDescent="0.3">
      <c r="A2354" t="s">
        <v>5255</v>
      </c>
      <c r="C2354" t="s">
        <v>5256</v>
      </c>
      <c r="D2354" t="s">
        <v>5256</v>
      </c>
      <c r="E2354" s="5">
        <v>46278</v>
      </c>
      <c r="F2354" t="s">
        <v>204</v>
      </c>
      <c r="G2354" t="s">
        <v>220</v>
      </c>
      <c r="H2354">
        <v>1799</v>
      </c>
      <c r="I2354">
        <v>0</v>
      </c>
      <c r="J2354">
        <v>0</v>
      </c>
      <c r="K2354">
        <v>1799</v>
      </c>
      <c r="L2354" s="5">
        <v>46280</v>
      </c>
      <c r="M2354" t="s">
        <v>5046</v>
      </c>
      <c r="N2354" t="s">
        <v>207</v>
      </c>
      <c r="O2354" t="s">
        <v>5256</v>
      </c>
      <c r="P2354" t="s">
        <v>208</v>
      </c>
      <c r="Q2354" t="s">
        <v>209</v>
      </c>
    </row>
    <row r="2355" spans="1:17" x14ac:dyDescent="0.3">
      <c r="A2355" t="s">
        <v>5257</v>
      </c>
      <c r="C2355" t="s">
        <v>5258</v>
      </c>
      <c r="D2355" t="s">
        <v>5258</v>
      </c>
      <c r="E2355" s="5">
        <v>46278</v>
      </c>
      <c r="F2355" t="s">
        <v>204</v>
      </c>
      <c r="G2355" t="s">
        <v>220</v>
      </c>
      <c r="H2355">
        <v>2499</v>
      </c>
      <c r="I2355">
        <v>7.5</v>
      </c>
      <c r="J2355">
        <v>1.35</v>
      </c>
      <c r="K2355">
        <v>2490.15</v>
      </c>
      <c r="L2355" s="5">
        <v>46280</v>
      </c>
      <c r="M2355" t="s">
        <v>5046</v>
      </c>
      <c r="N2355" t="s">
        <v>207</v>
      </c>
      <c r="O2355" t="s">
        <v>5258</v>
      </c>
      <c r="P2355" t="s">
        <v>208</v>
      </c>
      <c r="Q2355" t="s">
        <v>209</v>
      </c>
    </row>
    <row r="2356" spans="1:17" x14ac:dyDescent="0.3">
      <c r="A2356" t="s">
        <v>5259</v>
      </c>
      <c r="C2356" t="s">
        <v>5260</v>
      </c>
      <c r="D2356" t="s">
        <v>5260</v>
      </c>
      <c r="E2356" s="5">
        <v>46278</v>
      </c>
      <c r="F2356" t="s">
        <v>204</v>
      </c>
      <c r="G2356" t="s">
        <v>205</v>
      </c>
      <c r="H2356">
        <v>4097</v>
      </c>
      <c r="I2356">
        <v>69.650000000000006</v>
      </c>
      <c r="J2356">
        <v>12.54</v>
      </c>
      <c r="K2356">
        <v>4014.81</v>
      </c>
      <c r="L2356" s="5">
        <v>46280</v>
      </c>
      <c r="M2356" t="s">
        <v>5046</v>
      </c>
      <c r="N2356" t="s">
        <v>207</v>
      </c>
      <c r="O2356" t="s">
        <v>5260</v>
      </c>
      <c r="P2356" t="s">
        <v>208</v>
      </c>
      <c r="Q2356" t="s">
        <v>209</v>
      </c>
    </row>
    <row r="2357" spans="1:17" x14ac:dyDescent="0.3">
      <c r="A2357" t="s">
        <v>5261</v>
      </c>
      <c r="C2357" t="s">
        <v>5262</v>
      </c>
      <c r="D2357" t="s">
        <v>5262</v>
      </c>
      <c r="E2357" s="5">
        <v>46278</v>
      </c>
      <c r="F2357" t="s">
        <v>204</v>
      </c>
      <c r="G2357" t="s">
        <v>213</v>
      </c>
      <c r="H2357">
        <v>2098</v>
      </c>
      <c r="I2357">
        <v>33.57</v>
      </c>
      <c r="J2357">
        <v>6.04</v>
      </c>
      <c r="K2357">
        <v>2058.39</v>
      </c>
      <c r="L2357" s="5">
        <v>46280</v>
      </c>
      <c r="M2357" t="s">
        <v>5046</v>
      </c>
      <c r="N2357" t="s">
        <v>207</v>
      </c>
      <c r="O2357" t="s">
        <v>5262</v>
      </c>
      <c r="P2357" t="s">
        <v>208</v>
      </c>
      <c r="Q2357" t="s">
        <v>209</v>
      </c>
    </row>
    <row r="2358" spans="1:17" x14ac:dyDescent="0.3">
      <c r="A2358" t="s">
        <v>5263</v>
      </c>
      <c r="C2358" t="s">
        <v>5264</v>
      </c>
      <c r="D2358" t="s">
        <v>5265</v>
      </c>
      <c r="E2358" s="5">
        <v>46278</v>
      </c>
      <c r="F2358" t="s">
        <v>204</v>
      </c>
      <c r="G2358" t="s">
        <v>220</v>
      </c>
      <c r="H2358">
        <v>2848</v>
      </c>
      <c r="I2358">
        <v>8.5399999999999991</v>
      </c>
      <c r="J2358">
        <v>1.54</v>
      </c>
      <c r="K2358">
        <v>2837.92</v>
      </c>
      <c r="L2358" s="5">
        <v>46280</v>
      </c>
      <c r="M2358" t="s">
        <v>5046</v>
      </c>
      <c r="N2358" t="s">
        <v>207</v>
      </c>
      <c r="O2358" t="s">
        <v>5265</v>
      </c>
      <c r="P2358" t="s">
        <v>208</v>
      </c>
      <c r="Q2358" t="s">
        <v>209</v>
      </c>
    </row>
    <row r="2359" spans="1:17" x14ac:dyDescent="0.3">
      <c r="A2359" t="s">
        <v>5266</v>
      </c>
      <c r="C2359" t="s">
        <v>5267</v>
      </c>
      <c r="D2359" t="s">
        <v>5267</v>
      </c>
      <c r="E2359" s="5">
        <v>46278</v>
      </c>
      <c r="F2359" t="s">
        <v>204</v>
      </c>
      <c r="G2359" t="s">
        <v>255</v>
      </c>
      <c r="H2359">
        <v>9297</v>
      </c>
      <c r="I2359">
        <v>111.56</v>
      </c>
      <c r="J2359">
        <v>20.079999999999998</v>
      </c>
      <c r="K2359">
        <v>9165.36</v>
      </c>
      <c r="L2359" s="5">
        <v>46280</v>
      </c>
      <c r="M2359" t="s">
        <v>5046</v>
      </c>
      <c r="N2359" t="s">
        <v>207</v>
      </c>
      <c r="O2359" t="s">
        <v>5267</v>
      </c>
      <c r="P2359" t="s">
        <v>208</v>
      </c>
      <c r="Q2359" t="s">
        <v>209</v>
      </c>
    </row>
    <row r="2360" spans="1:17" x14ac:dyDescent="0.3">
      <c r="A2360" t="s">
        <v>5268</v>
      </c>
      <c r="C2360" t="s">
        <v>5269</v>
      </c>
      <c r="D2360" t="s">
        <v>5269</v>
      </c>
      <c r="E2360" s="5">
        <v>46278</v>
      </c>
      <c r="F2360" t="s">
        <v>204</v>
      </c>
      <c r="G2360" t="s">
        <v>220</v>
      </c>
      <c r="H2360">
        <v>349</v>
      </c>
      <c r="I2360">
        <v>0</v>
      </c>
      <c r="J2360">
        <v>0</v>
      </c>
      <c r="K2360">
        <v>349</v>
      </c>
      <c r="L2360" s="5">
        <v>46280</v>
      </c>
      <c r="M2360" t="s">
        <v>5046</v>
      </c>
      <c r="N2360" t="s">
        <v>207</v>
      </c>
      <c r="O2360" t="s">
        <v>5269</v>
      </c>
      <c r="P2360" t="s">
        <v>208</v>
      </c>
      <c r="Q2360" t="s">
        <v>209</v>
      </c>
    </row>
    <row r="2361" spans="1:17" x14ac:dyDescent="0.3">
      <c r="A2361" t="s">
        <v>5270</v>
      </c>
      <c r="C2361" t="s">
        <v>5271</v>
      </c>
      <c r="D2361" t="s">
        <v>5271</v>
      </c>
      <c r="E2361" s="5">
        <v>46278</v>
      </c>
      <c r="F2361" t="s">
        <v>204</v>
      </c>
      <c r="G2361" t="s">
        <v>220</v>
      </c>
      <c r="H2361">
        <v>2499</v>
      </c>
      <c r="I2361">
        <v>7.5</v>
      </c>
      <c r="J2361">
        <v>1.35</v>
      </c>
      <c r="K2361">
        <v>2490.15</v>
      </c>
      <c r="L2361" s="5">
        <v>46280</v>
      </c>
      <c r="M2361" t="s">
        <v>5046</v>
      </c>
      <c r="N2361" t="s">
        <v>207</v>
      </c>
      <c r="O2361" t="s">
        <v>5271</v>
      </c>
      <c r="P2361" t="s">
        <v>208</v>
      </c>
      <c r="Q2361" t="s">
        <v>209</v>
      </c>
    </row>
    <row r="2362" spans="1:17" x14ac:dyDescent="0.3">
      <c r="A2362" t="s">
        <v>5272</v>
      </c>
      <c r="C2362" t="s">
        <v>5273</v>
      </c>
      <c r="D2362" t="s">
        <v>5273</v>
      </c>
      <c r="E2362" s="5">
        <v>46278</v>
      </c>
      <c r="F2362" t="s">
        <v>204</v>
      </c>
      <c r="G2362" t="s">
        <v>220</v>
      </c>
      <c r="H2362">
        <v>1499</v>
      </c>
      <c r="I2362">
        <v>0</v>
      </c>
      <c r="J2362">
        <v>0</v>
      </c>
      <c r="K2362">
        <v>1499</v>
      </c>
      <c r="L2362" s="5">
        <v>46280</v>
      </c>
      <c r="M2362" t="s">
        <v>5046</v>
      </c>
      <c r="N2362" t="s">
        <v>207</v>
      </c>
      <c r="O2362" t="s">
        <v>5273</v>
      </c>
      <c r="P2362" t="s">
        <v>208</v>
      </c>
      <c r="Q2362" t="s">
        <v>209</v>
      </c>
    </row>
    <row r="2363" spans="1:17" x14ac:dyDescent="0.3">
      <c r="A2363" t="s">
        <v>5274</v>
      </c>
      <c r="C2363" t="s">
        <v>5275</v>
      </c>
      <c r="D2363" t="s">
        <v>5275</v>
      </c>
      <c r="E2363" s="5">
        <v>46278</v>
      </c>
      <c r="F2363" t="s">
        <v>204</v>
      </c>
      <c r="G2363" t="s">
        <v>220</v>
      </c>
      <c r="H2363">
        <v>6798</v>
      </c>
      <c r="I2363">
        <v>20.39</v>
      </c>
      <c r="J2363">
        <v>3.67</v>
      </c>
      <c r="K2363">
        <v>6773.94</v>
      </c>
      <c r="L2363" s="5">
        <v>46280</v>
      </c>
      <c r="M2363" t="s">
        <v>5046</v>
      </c>
      <c r="N2363" t="s">
        <v>207</v>
      </c>
      <c r="O2363" t="s">
        <v>5275</v>
      </c>
      <c r="P2363" t="s">
        <v>208</v>
      </c>
      <c r="Q2363" t="s">
        <v>209</v>
      </c>
    </row>
    <row r="2364" spans="1:17" x14ac:dyDescent="0.3">
      <c r="A2364" t="s">
        <v>5276</v>
      </c>
      <c r="C2364" t="s">
        <v>5277</v>
      </c>
      <c r="D2364" t="s">
        <v>5277</v>
      </c>
      <c r="E2364" s="5">
        <v>46278</v>
      </c>
      <c r="F2364" t="s">
        <v>204</v>
      </c>
      <c r="G2364" t="s">
        <v>213</v>
      </c>
      <c r="H2364">
        <v>999</v>
      </c>
      <c r="I2364">
        <v>17.98</v>
      </c>
      <c r="J2364">
        <v>3.24</v>
      </c>
      <c r="K2364">
        <v>977.78</v>
      </c>
      <c r="L2364" s="5">
        <v>46280</v>
      </c>
      <c r="M2364" t="s">
        <v>5046</v>
      </c>
      <c r="N2364" t="s">
        <v>207</v>
      </c>
      <c r="O2364" t="s">
        <v>5277</v>
      </c>
      <c r="P2364" t="s">
        <v>208</v>
      </c>
      <c r="Q2364" t="s">
        <v>209</v>
      </c>
    </row>
    <row r="2365" spans="1:17" x14ac:dyDescent="0.3">
      <c r="A2365" t="s">
        <v>5278</v>
      </c>
      <c r="C2365" t="s">
        <v>5279</v>
      </c>
      <c r="D2365" t="s">
        <v>5279</v>
      </c>
      <c r="E2365" s="5">
        <v>46278</v>
      </c>
      <c r="F2365" t="s">
        <v>204</v>
      </c>
      <c r="G2365" t="s">
        <v>220</v>
      </c>
      <c r="H2365">
        <v>7999</v>
      </c>
      <c r="I2365">
        <v>24</v>
      </c>
      <c r="J2365">
        <v>4.32</v>
      </c>
      <c r="K2365">
        <v>7970.68</v>
      </c>
      <c r="L2365" s="5">
        <v>46280</v>
      </c>
      <c r="M2365" t="s">
        <v>5046</v>
      </c>
      <c r="N2365" t="s">
        <v>207</v>
      </c>
      <c r="O2365" t="s">
        <v>5279</v>
      </c>
      <c r="P2365" t="s">
        <v>208</v>
      </c>
      <c r="Q2365" t="s">
        <v>209</v>
      </c>
    </row>
    <row r="2366" spans="1:17" x14ac:dyDescent="0.3">
      <c r="A2366" t="s">
        <v>5280</v>
      </c>
      <c r="C2366" t="s">
        <v>5281</v>
      </c>
      <c r="D2366" t="s">
        <v>5281</v>
      </c>
      <c r="E2366" s="5">
        <v>46278</v>
      </c>
      <c r="F2366" t="s">
        <v>204</v>
      </c>
      <c r="G2366" t="s">
        <v>220</v>
      </c>
      <c r="H2366">
        <v>1848</v>
      </c>
      <c r="I2366">
        <v>0</v>
      </c>
      <c r="J2366">
        <v>0</v>
      </c>
      <c r="K2366">
        <v>1848</v>
      </c>
      <c r="L2366" s="5">
        <v>46280</v>
      </c>
      <c r="M2366" t="s">
        <v>5046</v>
      </c>
      <c r="N2366" t="s">
        <v>207</v>
      </c>
      <c r="O2366" t="s">
        <v>5281</v>
      </c>
      <c r="P2366" t="s">
        <v>208</v>
      </c>
      <c r="Q2366" t="s">
        <v>209</v>
      </c>
    </row>
    <row r="2367" spans="1:17" x14ac:dyDescent="0.3">
      <c r="A2367" t="s">
        <v>5282</v>
      </c>
      <c r="C2367" t="s">
        <v>5283</v>
      </c>
      <c r="D2367" t="s">
        <v>5283</v>
      </c>
      <c r="E2367" s="5">
        <v>46278</v>
      </c>
      <c r="F2367" t="s">
        <v>204</v>
      </c>
      <c r="G2367" t="s">
        <v>213</v>
      </c>
      <c r="H2367">
        <v>4298</v>
      </c>
      <c r="I2367">
        <v>68.77</v>
      </c>
      <c r="J2367">
        <v>12.38</v>
      </c>
      <c r="K2367">
        <v>4216.8500000000004</v>
      </c>
      <c r="L2367" s="5">
        <v>46280</v>
      </c>
      <c r="M2367" t="s">
        <v>5046</v>
      </c>
      <c r="N2367" t="s">
        <v>207</v>
      </c>
      <c r="O2367" t="s">
        <v>5283</v>
      </c>
      <c r="P2367" t="s">
        <v>208</v>
      </c>
      <c r="Q2367" t="s">
        <v>209</v>
      </c>
    </row>
    <row r="2368" spans="1:17" x14ac:dyDescent="0.3">
      <c r="A2368" t="s">
        <v>5284</v>
      </c>
      <c r="C2368" t="s">
        <v>5285</v>
      </c>
      <c r="D2368" t="s">
        <v>5285</v>
      </c>
      <c r="E2368" s="5">
        <v>46278</v>
      </c>
      <c r="F2368" t="s">
        <v>204</v>
      </c>
      <c r="G2368" t="s">
        <v>213</v>
      </c>
      <c r="H2368">
        <v>5297</v>
      </c>
      <c r="I2368">
        <v>84.75</v>
      </c>
      <c r="J2368">
        <v>15.26</v>
      </c>
      <c r="K2368">
        <v>5196.99</v>
      </c>
      <c r="L2368" s="5">
        <v>46280</v>
      </c>
      <c r="M2368" t="s">
        <v>5046</v>
      </c>
      <c r="N2368" t="s">
        <v>207</v>
      </c>
      <c r="O2368" t="s">
        <v>5285</v>
      </c>
      <c r="P2368" t="s">
        <v>208</v>
      </c>
      <c r="Q2368" t="s">
        <v>209</v>
      </c>
    </row>
    <row r="2369" spans="1:17" x14ac:dyDescent="0.3">
      <c r="A2369" t="s">
        <v>5286</v>
      </c>
      <c r="C2369" t="s">
        <v>5287</v>
      </c>
      <c r="D2369" t="s">
        <v>5288</v>
      </c>
      <c r="E2369" s="5">
        <v>46278</v>
      </c>
      <c r="F2369" t="s">
        <v>204</v>
      </c>
      <c r="G2369" t="s">
        <v>213</v>
      </c>
      <c r="H2369">
        <v>599</v>
      </c>
      <c r="I2369">
        <v>10.78</v>
      </c>
      <c r="J2369">
        <v>1.94</v>
      </c>
      <c r="K2369">
        <v>586.28</v>
      </c>
      <c r="L2369" s="5">
        <v>46280</v>
      </c>
      <c r="M2369" t="s">
        <v>5046</v>
      </c>
      <c r="N2369" t="s">
        <v>207</v>
      </c>
      <c r="O2369" t="s">
        <v>5288</v>
      </c>
      <c r="P2369" t="s">
        <v>208</v>
      </c>
      <c r="Q2369" t="s">
        <v>209</v>
      </c>
    </row>
    <row r="2370" spans="1:17" x14ac:dyDescent="0.3">
      <c r="A2370" t="s">
        <v>5289</v>
      </c>
      <c r="C2370" t="s">
        <v>5290</v>
      </c>
      <c r="D2370" t="s">
        <v>5290</v>
      </c>
      <c r="E2370" s="5">
        <v>46278</v>
      </c>
      <c r="F2370" t="s">
        <v>204</v>
      </c>
      <c r="G2370" t="s">
        <v>220</v>
      </c>
      <c r="H2370">
        <v>349</v>
      </c>
      <c r="I2370">
        <v>0</v>
      </c>
      <c r="J2370">
        <v>0</v>
      </c>
      <c r="K2370">
        <v>349</v>
      </c>
      <c r="L2370" s="5">
        <v>46280</v>
      </c>
      <c r="M2370" t="s">
        <v>5046</v>
      </c>
      <c r="N2370" t="s">
        <v>207</v>
      </c>
      <c r="O2370" t="s">
        <v>5290</v>
      </c>
      <c r="P2370" t="s">
        <v>208</v>
      </c>
      <c r="Q2370" t="s">
        <v>209</v>
      </c>
    </row>
    <row r="2371" spans="1:17" x14ac:dyDescent="0.3">
      <c r="A2371" t="s">
        <v>5291</v>
      </c>
      <c r="C2371" t="s">
        <v>5292</v>
      </c>
      <c r="D2371" t="s">
        <v>5292</v>
      </c>
      <c r="E2371" s="5">
        <v>46278</v>
      </c>
      <c r="F2371" t="s">
        <v>204</v>
      </c>
      <c r="G2371" t="s">
        <v>220</v>
      </c>
      <c r="H2371">
        <v>898</v>
      </c>
      <c r="I2371">
        <v>0</v>
      </c>
      <c r="J2371">
        <v>0</v>
      </c>
      <c r="K2371">
        <v>898</v>
      </c>
      <c r="L2371" s="5">
        <v>46280</v>
      </c>
      <c r="M2371" t="s">
        <v>5046</v>
      </c>
      <c r="N2371" t="s">
        <v>207</v>
      </c>
      <c r="O2371" t="s">
        <v>5292</v>
      </c>
      <c r="P2371" t="s">
        <v>208</v>
      </c>
      <c r="Q2371" t="s">
        <v>209</v>
      </c>
    </row>
    <row r="2372" spans="1:17" x14ac:dyDescent="0.3">
      <c r="A2372" t="s">
        <v>5293</v>
      </c>
      <c r="C2372" t="s">
        <v>5294</v>
      </c>
      <c r="D2372" t="s">
        <v>5295</v>
      </c>
      <c r="E2372" s="5">
        <v>46278</v>
      </c>
      <c r="F2372" t="s">
        <v>204</v>
      </c>
      <c r="G2372" t="s">
        <v>213</v>
      </c>
      <c r="H2372">
        <v>499</v>
      </c>
      <c r="I2372">
        <v>8.98</v>
      </c>
      <c r="J2372">
        <v>1.62</v>
      </c>
      <c r="K2372">
        <v>488.4</v>
      </c>
      <c r="L2372" s="5">
        <v>46280</v>
      </c>
      <c r="M2372" t="s">
        <v>5046</v>
      </c>
      <c r="N2372" t="s">
        <v>207</v>
      </c>
      <c r="O2372" t="s">
        <v>5295</v>
      </c>
      <c r="P2372" t="s">
        <v>208</v>
      </c>
      <c r="Q2372" t="s">
        <v>209</v>
      </c>
    </row>
    <row r="2373" spans="1:17" x14ac:dyDescent="0.3">
      <c r="A2373" t="s">
        <v>5296</v>
      </c>
      <c r="C2373" t="s">
        <v>5297</v>
      </c>
      <c r="D2373" t="s">
        <v>5297</v>
      </c>
      <c r="E2373" s="5">
        <v>46278</v>
      </c>
      <c r="F2373" t="s">
        <v>204</v>
      </c>
      <c r="G2373" t="s">
        <v>220</v>
      </c>
      <c r="H2373">
        <v>6498</v>
      </c>
      <c r="I2373">
        <v>19.489999999999998</v>
      </c>
      <c r="J2373">
        <v>3.51</v>
      </c>
      <c r="K2373">
        <v>6475</v>
      </c>
      <c r="L2373" s="5">
        <v>46280</v>
      </c>
      <c r="M2373" t="s">
        <v>5046</v>
      </c>
      <c r="N2373" t="s">
        <v>207</v>
      </c>
      <c r="O2373" t="s">
        <v>5297</v>
      </c>
      <c r="P2373" t="s">
        <v>208</v>
      </c>
      <c r="Q2373" t="s">
        <v>209</v>
      </c>
    </row>
    <row r="2374" spans="1:17" x14ac:dyDescent="0.3">
      <c r="A2374" t="s">
        <v>5298</v>
      </c>
      <c r="C2374" t="s">
        <v>5299</v>
      </c>
      <c r="D2374" t="s">
        <v>5299</v>
      </c>
      <c r="E2374" s="5">
        <v>46278</v>
      </c>
      <c r="F2374" t="s">
        <v>204</v>
      </c>
      <c r="G2374" t="s">
        <v>220</v>
      </c>
      <c r="H2374">
        <v>4097</v>
      </c>
      <c r="I2374">
        <v>12.29</v>
      </c>
      <c r="J2374">
        <v>2.21</v>
      </c>
      <c r="K2374">
        <v>4082.5</v>
      </c>
      <c r="L2374" s="5">
        <v>46280</v>
      </c>
      <c r="M2374" t="s">
        <v>5046</v>
      </c>
      <c r="N2374" t="s">
        <v>207</v>
      </c>
      <c r="O2374" t="s">
        <v>5299</v>
      </c>
      <c r="P2374" t="s">
        <v>208</v>
      </c>
      <c r="Q2374" t="s">
        <v>209</v>
      </c>
    </row>
    <row r="2375" spans="1:17" x14ac:dyDescent="0.3">
      <c r="A2375" t="s">
        <v>5300</v>
      </c>
      <c r="C2375" t="s">
        <v>5301</v>
      </c>
      <c r="D2375" t="s">
        <v>5301</v>
      </c>
      <c r="E2375" s="5">
        <v>46278</v>
      </c>
      <c r="F2375" t="s">
        <v>204</v>
      </c>
      <c r="G2375" t="s">
        <v>255</v>
      </c>
      <c r="H2375">
        <v>9297</v>
      </c>
      <c r="I2375">
        <v>111.56</v>
      </c>
      <c r="J2375">
        <v>20.079999999999998</v>
      </c>
      <c r="K2375">
        <v>9165.36</v>
      </c>
      <c r="L2375" s="5">
        <v>46280</v>
      </c>
      <c r="M2375" t="s">
        <v>5046</v>
      </c>
      <c r="N2375" t="s">
        <v>207</v>
      </c>
      <c r="O2375" t="s">
        <v>5301</v>
      </c>
      <c r="P2375" t="s">
        <v>208</v>
      </c>
      <c r="Q2375" t="s">
        <v>209</v>
      </c>
    </row>
    <row r="2376" spans="1:17" x14ac:dyDescent="0.3">
      <c r="A2376" t="s">
        <v>5302</v>
      </c>
      <c r="C2376" t="s">
        <v>5303</v>
      </c>
      <c r="D2376" t="s">
        <v>5303</v>
      </c>
      <c r="E2376" s="5">
        <v>46278</v>
      </c>
      <c r="F2376" t="s">
        <v>204</v>
      </c>
      <c r="G2376" t="s">
        <v>213</v>
      </c>
      <c r="H2376">
        <v>3097</v>
      </c>
      <c r="I2376">
        <v>49.55</v>
      </c>
      <c r="J2376">
        <v>8.92</v>
      </c>
      <c r="K2376">
        <v>3038.53</v>
      </c>
      <c r="L2376" s="5">
        <v>46280</v>
      </c>
      <c r="M2376" t="s">
        <v>5046</v>
      </c>
      <c r="N2376" t="s">
        <v>207</v>
      </c>
      <c r="O2376" t="s">
        <v>5303</v>
      </c>
      <c r="P2376" t="s">
        <v>208</v>
      </c>
      <c r="Q2376" t="s">
        <v>209</v>
      </c>
    </row>
    <row r="2377" spans="1:17" x14ac:dyDescent="0.3">
      <c r="A2377" t="s">
        <v>5304</v>
      </c>
      <c r="C2377" t="s">
        <v>5305</v>
      </c>
      <c r="D2377" t="s">
        <v>5305</v>
      </c>
      <c r="E2377" s="5">
        <v>46278</v>
      </c>
      <c r="F2377" t="s">
        <v>204</v>
      </c>
      <c r="G2377" t="s">
        <v>220</v>
      </c>
      <c r="H2377">
        <v>299</v>
      </c>
      <c r="I2377">
        <v>0</v>
      </c>
      <c r="J2377">
        <v>0</v>
      </c>
      <c r="K2377">
        <v>299</v>
      </c>
      <c r="L2377" s="5">
        <v>46280</v>
      </c>
      <c r="M2377" t="s">
        <v>5046</v>
      </c>
      <c r="N2377" t="s">
        <v>207</v>
      </c>
      <c r="O2377" t="s">
        <v>5305</v>
      </c>
      <c r="P2377" t="s">
        <v>208</v>
      </c>
      <c r="Q2377" t="s">
        <v>209</v>
      </c>
    </row>
    <row r="2378" spans="1:17" x14ac:dyDescent="0.3">
      <c r="A2378" t="s">
        <v>5306</v>
      </c>
      <c r="C2378" t="s">
        <v>5307</v>
      </c>
      <c r="D2378" t="s">
        <v>5307</v>
      </c>
      <c r="E2378" s="5">
        <v>46278</v>
      </c>
      <c r="F2378" t="s">
        <v>204</v>
      </c>
      <c r="G2378" t="s">
        <v>220</v>
      </c>
      <c r="H2378">
        <v>499</v>
      </c>
      <c r="I2378">
        <v>0</v>
      </c>
      <c r="J2378">
        <v>0</v>
      </c>
      <c r="K2378">
        <v>499</v>
      </c>
      <c r="L2378" s="5">
        <v>46280</v>
      </c>
      <c r="M2378" t="s">
        <v>5046</v>
      </c>
      <c r="N2378" t="s">
        <v>207</v>
      </c>
      <c r="O2378" t="s">
        <v>5307</v>
      </c>
      <c r="P2378" t="s">
        <v>208</v>
      </c>
      <c r="Q2378" t="s">
        <v>209</v>
      </c>
    </row>
    <row r="2379" spans="1:17" x14ac:dyDescent="0.3">
      <c r="A2379" t="s">
        <v>5308</v>
      </c>
      <c r="C2379" t="s">
        <v>5309</v>
      </c>
      <c r="D2379" t="s">
        <v>5309</v>
      </c>
      <c r="E2379" s="5">
        <v>46278</v>
      </c>
      <c r="F2379" t="s">
        <v>204</v>
      </c>
      <c r="G2379" t="s">
        <v>220</v>
      </c>
      <c r="H2379">
        <v>1499</v>
      </c>
      <c r="I2379">
        <v>0</v>
      </c>
      <c r="J2379">
        <v>0</v>
      </c>
      <c r="K2379">
        <v>1499</v>
      </c>
      <c r="L2379" s="5">
        <v>46280</v>
      </c>
      <c r="M2379" t="s">
        <v>5046</v>
      </c>
      <c r="N2379" t="s">
        <v>207</v>
      </c>
      <c r="O2379" t="s">
        <v>5309</v>
      </c>
      <c r="P2379" t="s">
        <v>208</v>
      </c>
      <c r="Q2379" t="s">
        <v>209</v>
      </c>
    </row>
    <row r="2380" spans="1:17" x14ac:dyDescent="0.3">
      <c r="A2380" t="s">
        <v>5310</v>
      </c>
      <c r="C2380" t="s">
        <v>5311</v>
      </c>
      <c r="D2380" t="s">
        <v>5311</v>
      </c>
      <c r="E2380" s="5">
        <v>46278</v>
      </c>
      <c r="F2380" t="s">
        <v>204</v>
      </c>
      <c r="G2380" t="s">
        <v>205</v>
      </c>
      <c r="H2380">
        <v>499</v>
      </c>
      <c r="I2380">
        <v>9.48</v>
      </c>
      <c r="J2380">
        <v>1.71</v>
      </c>
      <c r="K2380">
        <v>487.81</v>
      </c>
      <c r="L2380" s="5">
        <v>46280</v>
      </c>
      <c r="M2380" t="s">
        <v>5046</v>
      </c>
      <c r="N2380" t="s">
        <v>207</v>
      </c>
      <c r="O2380" t="s">
        <v>5311</v>
      </c>
      <c r="P2380" t="s">
        <v>208</v>
      </c>
      <c r="Q2380" t="s">
        <v>209</v>
      </c>
    </row>
    <row r="2381" spans="1:17" x14ac:dyDescent="0.3">
      <c r="A2381" t="s">
        <v>5312</v>
      </c>
      <c r="C2381" t="s">
        <v>5313</v>
      </c>
      <c r="D2381" t="s">
        <v>5313</v>
      </c>
      <c r="E2381" s="5">
        <v>46278</v>
      </c>
      <c r="F2381" t="s">
        <v>204</v>
      </c>
      <c r="G2381" t="s">
        <v>213</v>
      </c>
      <c r="H2381">
        <v>10997</v>
      </c>
      <c r="I2381">
        <v>175.95</v>
      </c>
      <c r="J2381">
        <v>31.67</v>
      </c>
      <c r="K2381">
        <v>10789.38</v>
      </c>
      <c r="L2381" s="5">
        <v>46280</v>
      </c>
      <c r="M2381" t="s">
        <v>5046</v>
      </c>
      <c r="N2381" t="s">
        <v>207</v>
      </c>
      <c r="O2381" t="s">
        <v>5313</v>
      </c>
      <c r="P2381" t="s">
        <v>208</v>
      </c>
      <c r="Q2381" t="s">
        <v>209</v>
      </c>
    </row>
    <row r="2382" spans="1:17" x14ac:dyDescent="0.3">
      <c r="A2382" t="s">
        <v>5314</v>
      </c>
      <c r="C2382" t="s">
        <v>5315</v>
      </c>
      <c r="D2382" t="s">
        <v>5315</v>
      </c>
      <c r="E2382" s="5">
        <v>46278</v>
      </c>
      <c r="F2382" t="s">
        <v>204</v>
      </c>
      <c r="G2382" t="s">
        <v>220</v>
      </c>
      <c r="H2382">
        <v>7999</v>
      </c>
      <c r="I2382">
        <v>24</v>
      </c>
      <c r="J2382">
        <v>4.32</v>
      </c>
      <c r="K2382">
        <v>7970.68</v>
      </c>
      <c r="L2382" s="5">
        <v>46280</v>
      </c>
      <c r="M2382" t="s">
        <v>5046</v>
      </c>
      <c r="N2382" t="s">
        <v>207</v>
      </c>
      <c r="O2382" t="s">
        <v>5315</v>
      </c>
      <c r="P2382" t="s">
        <v>208</v>
      </c>
      <c r="Q2382" t="s">
        <v>209</v>
      </c>
    </row>
    <row r="2383" spans="1:17" x14ac:dyDescent="0.3">
      <c r="A2383" t="s">
        <v>5316</v>
      </c>
      <c r="C2383" t="s">
        <v>5317</v>
      </c>
      <c r="D2383" t="s">
        <v>5317</v>
      </c>
      <c r="E2383" s="5">
        <v>46278</v>
      </c>
      <c r="F2383" t="s">
        <v>204</v>
      </c>
      <c r="G2383" t="s">
        <v>255</v>
      </c>
      <c r="H2383">
        <v>1098</v>
      </c>
      <c r="I2383">
        <v>16.47</v>
      </c>
      <c r="J2383">
        <v>2.96</v>
      </c>
      <c r="K2383">
        <v>1078.57</v>
      </c>
      <c r="L2383" s="5">
        <v>46280</v>
      </c>
      <c r="M2383" t="s">
        <v>5046</v>
      </c>
      <c r="N2383" t="s">
        <v>207</v>
      </c>
      <c r="O2383" t="s">
        <v>5317</v>
      </c>
      <c r="P2383" t="s">
        <v>208</v>
      </c>
      <c r="Q2383" t="s">
        <v>209</v>
      </c>
    </row>
    <row r="2384" spans="1:17" x14ac:dyDescent="0.3">
      <c r="A2384" t="s">
        <v>5318</v>
      </c>
      <c r="C2384" t="s">
        <v>5319</v>
      </c>
      <c r="D2384" t="s">
        <v>5320</v>
      </c>
      <c r="E2384" s="5">
        <v>46278</v>
      </c>
      <c r="F2384" t="s">
        <v>204</v>
      </c>
      <c r="G2384" t="s">
        <v>205</v>
      </c>
      <c r="H2384">
        <v>7999</v>
      </c>
      <c r="I2384">
        <v>135.97999999999999</v>
      </c>
      <c r="J2384">
        <v>24.48</v>
      </c>
      <c r="K2384">
        <v>7838.54</v>
      </c>
      <c r="L2384" s="5">
        <v>46280</v>
      </c>
      <c r="M2384" t="s">
        <v>5046</v>
      </c>
      <c r="N2384" t="s">
        <v>207</v>
      </c>
      <c r="O2384" t="s">
        <v>5320</v>
      </c>
      <c r="P2384" t="s">
        <v>208</v>
      </c>
      <c r="Q2384" t="s">
        <v>209</v>
      </c>
    </row>
    <row r="2385" spans="1:17" x14ac:dyDescent="0.3">
      <c r="A2385" t="s">
        <v>5321</v>
      </c>
      <c r="C2385" t="s">
        <v>5322</v>
      </c>
      <c r="D2385" t="s">
        <v>5323</v>
      </c>
      <c r="E2385" s="5">
        <v>46278</v>
      </c>
      <c r="F2385" t="s">
        <v>204</v>
      </c>
      <c r="G2385" t="s">
        <v>205</v>
      </c>
      <c r="H2385">
        <v>499</v>
      </c>
      <c r="I2385">
        <v>9.48</v>
      </c>
      <c r="J2385">
        <v>1.71</v>
      </c>
      <c r="K2385">
        <v>487.81</v>
      </c>
      <c r="L2385" s="5">
        <v>46280</v>
      </c>
      <c r="M2385" t="s">
        <v>5046</v>
      </c>
      <c r="N2385" t="s">
        <v>207</v>
      </c>
      <c r="O2385" t="s">
        <v>5323</v>
      </c>
      <c r="P2385" t="s">
        <v>208</v>
      </c>
      <c r="Q2385" t="s">
        <v>209</v>
      </c>
    </row>
    <row r="2386" spans="1:17" x14ac:dyDescent="0.3">
      <c r="A2386" t="s">
        <v>5324</v>
      </c>
      <c r="C2386" t="s">
        <v>5325</v>
      </c>
      <c r="D2386" t="s">
        <v>5325</v>
      </c>
      <c r="E2386" s="5">
        <v>46278</v>
      </c>
      <c r="F2386" t="s">
        <v>204</v>
      </c>
      <c r="G2386" t="s">
        <v>255</v>
      </c>
      <c r="H2386">
        <v>2499</v>
      </c>
      <c r="I2386">
        <v>29.99</v>
      </c>
      <c r="J2386">
        <v>5.4</v>
      </c>
      <c r="K2386">
        <v>2463.61</v>
      </c>
      <c r="L2386" s="5">
        <v>46280</v>
      </c>
      <c r="M2386" t="s">
        <v>5046</v>
      </c>
      <c r="N2386" t="s">
        <v>207</v>
      </c>
      <c r="O2386" t="s">
        <v>5325</v>
      </c>
      <c r="P2386" t="s">
        <v>208</v>
      </c>
      <c r="Q2386" t="s">
        <v>209</v>
      </c>
    </row>
    <row r="2387" spans="1:17" x14ac:dyDescent="0.3">
      <c r="A2387" t="s">
        <v>5326</v>
      </c>
      <c r="C2387" t="s">
        <v>5327</v>
      </c>
      <c r="D2387" t="s">
        <v>5327</v>
      </c>
      <c r="E2387" s="5">
        <v>46278</v>
      </c>
      <c r="F2387" t="s">
        <v>204</v>
      </c>
      <c r="G2387" t="s">
        <v>255</v>
      </c>
      <c r="H2387">
        <v>1398</v>
      </c>
      <c r="I2387">
        <v>20.97</v>
      </c>
      <c r="J2387">
        <v>3.77</v>
      </c>
      <c r="K2387">
        <v>1373.26</v>
      </c>
      <c r="L2387" s="5">
        <v>46280</v>
      </c>
      <c r="M2387" t="s">
        <v>5046</v>
      </c>
      <c r="N2387" t="s">
        <v>207</v>
      </c>
      <c r="O2387" t="s">
        <v>5327</v>
      </c>
      <c r="P2387" t="s">
        <v>208</v>
      </c>
      <c r="Q2387" t="s">
        <v>209</v>
      </c>
    </row>
    <row r="2388" spans="1:17" x14ac:dyDescent="0.3">
      <c r="A2388" t="s">
        <v>5328</v>
      </c>
      <c r="C2388" t="s">
        <v>5329</v>
      </c>
      <c r="D2388" t="s">
        <v>5329</v>
      </c>
      <c r="E2388" s="5">
        <v>46278</v>
      </c>
      <c r="F2388" t="s">
        <v>204</v>
      </c>
      <c r="G2388" t="s">
        <v>213</v>
      </c>
      <c r="H2388">
        <v>10847</v>
      </c>
      <c r="I2388">
        <v>173.55</v>
      </c>
      <c r="J2388">
        <v>31.24</v>
      </c>
      <c r="K2388">
        <v>10642.21</v>
      </c>
      <c r="L2388" s="5">
        <v>46280</v>
      </c>
      <c r="M2388" t="s">
        <v>5046</v>
      </c>
      <c r="N2388" t="s">
        <v>207</v>
      </c>
      <c r="O2388" t="s">
        <v>5329</v>
      </c>
      <c r="P2388" t="s">
        <v>208</v>
      </c>
      <c r="Q2388" t="s">
        <v>209</v>
      </c>
    </row>
    <row r="2389" spans="1:17" x14ac:dyDescent="0.3">
      <c r="A2389" t="s">
        <v>5330</v>
      </c>
      <c r="C2389" t="s">
        <v>5331</v>
      </c>
      <c r="D2389" t="s">
        <v>5331</v>
      </c>
      <c r="E2389" s="5">
        <v>46278</v>
      </c>
      <c r="F2389" t="s">
        <v>204</v>
      </c>
      <c r="G2389" t="s">
        <v>213</v>
      </c>
      <c r="H2389">
        <v>7999</v>
      </c>
      <c r="I2389">
        <v>127.98</v>
      </c>
      <c r="J2389">
        <v>23.04</v>
      </c>
      <c r="K2389">
        <v>7847.98</v>
      </c>
      <c r="L2389" s="5">
        <v>46280</v>
      </c>
      <c r="M2389" t="s">
        <v>5046</v>
      </c>
      <c r="N2389" t="s">
        <v>207</v>
      </c>
      <c r="O2389" t="s">
        <v>5331</v>
      </c>
      <c r="P2389" t="s">
        <v>208</v>
      </c>
      <c r="Q2389" t="s">
        <v>209</v>
      </c>
    </row>
    <row r="2390" spans="1:17" x14ac:dyDescent="0.3">
      <c r="A2390" t="s">
        <v>5332</v>
      </c>
      <c r="C2390" t="s">
        <v>5333</v>
      </c>
      <c r="D2390" t="s">
        <v>5333</v>
      </c>
      <c r="E2390" s="5">
        <v>46278</v>
      </c>
      <c r="F2390" t="s">
        <v>204</v>
      </c>
      <c r="G2390" t="s">
        <v>220</v>
      </c>
      <c r="H2390">
        <v>349</v>
      </c>
      <c r="I2390">
        <v>0</v>
      </c>
      <c r="J2390">
        <v>0</v>
      </c>
      <c r="K2390">
        <v>349</v>
      </c>
      <c r="L2390" s="5">
        <v>46280</v>
      </c>
      <c r="M2390" t="s">
        <v>5046</v>
      </c>
      <c r="N2390" t="s">
        <v>207</v>
      </c>
      <c r="O2390" t="s">
        <v>5333</v>
      </c>
      <c r="P2390" t="s">
        <v>208</v>
      </c>
      <c r="Q2390" t="s">
        <v>209</v>
      </c>
    </row>
    <row r="2391" spans="1:17" x14ac:dyDescent="0.3">
      <c r="A2391" t="s">
        <v>5334</v>
      </c>
      <c r="C2391" t="s">
        <v>5335</v>
      </c>
      <c r="D2391" t="s">
        <v>5336</v>
      </c>
      <c r="E2391" s="5">
        <v>46278</v>
      </c>
      <c r="F2391" t="s">
        <v>204</v>
      </c>
      <c r="G2391" t="s">
        <v>220</v>
      </c>
      <c r="H2391">
        <v>299</v>
      </c>
      <c r="I2391">
        <v>0</v>
      </c>
      <c r="J2391">
        <v>0</v>
      </c>
      <c r="K2391">
        <v>299</v>
      </c>
      <c r="L2391" s="5">
        <v>46280</v>
      </c>
      <c r="M2391" t="s">
        <v>5046</v>
      </c>
      <c r="N2391" t="s">
        <v>207</v>
      </c>
      <c r="O2391" t="s">
        <v>5336</v>
      </c>
      <c r="P2391" t="s">
        <v>208</v>
      </c>
      <c r="Q2391" t="s">
        <v>209</v>
      </c>
    </row>
    <row r="2392" spans="1:17" x14ac:dyDescent="0.3">
      <c r="A2392" t="s">
        <v>5337</v>
      </c>
      <c r="C2392" t="s">
        <v>5338</v>
      </c>
      <c r="D2392" t="s">
        <v>5338</v>
      </c>
      <c r="E2392" s="5">
        <v>46278</v>
      </c>
      <c r="F2392" t="s">
        <v>204</v>
      </c>
      <c r="G2392" t="s">
        <v>220</v>
      </c>
      <c r="H2392">
        <v>999</v>
      </c>
      <c r="I2392">
        <v>0</v>
      </c>
      <c r="J2392">
        <v>0</v>
      </c>
      <c r="K2392">
        <v>999</v>
      </c>
      <c r="L2392" s="5">
        <v>46280</v>
      </c>
      <c r="M2392" t="s">
        <v>5046</v>
      </c>
      <c r="N2392" t="s">
        <v>207</v>
      </c>
      <c r="O2392" t="s">
        <v>5338</v>
      </c>
      <c r="P2392" t="s">
        <v>208</v>
      </c>
      <c r="Q2392" t="s">
        <v>209</v>
      </c>
    </row>
    <row r="2393" spans="1:17" x14ac:dyDescent="0.3">
      <c r="A2393" t="s">
        <v>5339</v>
      </c>
      <c r="C2393" t="s">
        <v>5340</v>
      </c>
      <c r="D2393" t="s">
        <v>5340</v>
      </c>
      <c r="E2393" s="5">
        <v>46278</v>
      </c>
      <c r="F2393" t="s">
        <v>204</v>
      </c>
      <c r="G2393" t="s">
        <v>255</v>
      </c>
      <c r="H2393">
        <v>2498</v>
      </c>
      <c r="I2393">
        <v>29.98</v>
      </c>
      <c r="J2393">
        <v>5.4</v>
      </c>
      <c r="K2393">
        <v>2462.62</v>
      </c>
      <c r="L2393" s="5">
        <v>46280</v>
      </c>
      <c r="M2393" t="s">
        <v>5046</v>
      </c>
      <c r="N2393" t="s">
        <v>207</v>
      </c>
      <c r="O2393" t="s">
        <v>5340</v>
      </c>
      <c r="P2393" t="s">
        <v>208</v>
      </c>
      <c r="Q2393" t="s">
        <v>209</v>
      </c>
    </row>
    <row r="2394" spans="1:17" x14ac:dyDescent="0.3">
      <c r="A2394" t="s">
        <v>5341</v>
      </c>
      <c r="C2394" t="s">
        <v>5342</v>
      </c>
      <c r="D2394" t="s">
        <v>5342</v>
      </c>
      <c r="E2394" s="5">
        <v>46278</v>
      </c>
      <c r="F2394" t="s">
        <v>204</v>
      </c>
      <c r="G2394" t="s">
        <v>220</v>
      </c>
      <c r="H2394">
        <v>499</v>
      </c>
      <c r="I2394">
        <v>0</v>
      </c>
      <c r="J2394">
        <v>0</v>
      </c>
      <c r="K2394">
        <v>499</v>
      </c>
      <c r="L2394" s="5">
        <v>46280</v>
      </c>
      <c r="M2394" t="s">
        <v>5046</v>
      </c>
      <c r="N2394" t="s">
        <v>207</v>
      </c>
      <c r="O2394" t="s">
        <v>5342</v>
      </c>
      <c r="P2394" t="s">
        <v>208</v>
      </c>
      <c r="Q2394" t="s">
        <v>209</v>
      </c>
    </row>
    <row r="2395" spans="1:17" x14ac:dyDescent="0.3">
      <c r="A2395" t="s">
        <v>5343</v>
      </c>
      <c r="C2395" t="s">
        <v>5344</v>
      </c>
      <c r="D2395" t="s">
        <v>5344</v>
      </c>
      <c r="E2395" s="5">
        <v>46278</v>
      </c>
      <c r="F2395" t="s">
        <v>204</v>
      </c>
      <c r="G2395" t="s">
        <v>220</v>
      </c>
      <c r="H2395">
        <v>6797</v>
      </c>
      <c r="I2395">
        <v>20.39</v>
      </c>
      <c r="J2395">
        <v>3.67</v>
      </c>
      <c r="K2395">
        <v>6772.94</v>
      </c>
      <c r="L2395" s="5">
        <v>46280</v>
      </c>
      <c r="M2395" t="s">
        <v>5046</v>
      </c>
      <c r="N2395" t="s">
        <v>207</v>
      </c>
      <c r="O2395" t="s">
        <v>5344</v>
      </c>
      <c r="P2395" t="s">
        <v>208</v>
      </c>
      <c r="Q2395" t="s">
        <v>209</v>
      </c>
    </row>
    <row r="2396" spans="1:17" x14ac:dyDescent="0.3">
      <c r="A2396" t="s">
        <v>5345</v>
      </c>
      <c r="C2396" t="s">
        <v>5346</v>
      </c>
      <c r="D2396" t="s">
        <v>5346</v>
      </c>
      <c r="E2396" s="5">
        <v>46278</v>
      </c>
      <c r="F2396" t="s">
        <v>204</v>
      </c>
      <c r="G2396" t="s">
        <v>213</v>
      </c>
      <c r="H2396">
        <v>6297</v>
      </c>
      <c r="I2396">
        <v>100.75</v>
      </c>
      <c r="J2396">
        <v>18.14</v>
      </c>
      <c r="K2396">
        <v>6178.11</v>
      </c>
      <c r="L2396" s="5">
        <v>46280</v>
      </c>
      <c r="M2396" t="s">
        <v>5046</v>
      </c>
      <c r="N2396" t="s">
        <v>207</v>
      </c>
      <c r="O2396" t="s">
        <v>5346</v>
      </c>
      <c r="P2396" t="s">
        <v>208</v>
      </c>
      <c r="Q2396" t="s">
        <v>209</v>
      </c>
    </row>
    <row r="2397" spans="1:17" x14ac:dyDescent="0.3">
      <c r="A2397" t="s">
        <v>5347</v>
      </c>
      <c r="C2397" t="s">
        <v>5348</v>
      </c>
      <c r="D2397" t="s">
        <v>5348</v>
      </c>
      <c r="E2397" s="5">
        <v>46278</v>
      </c>
      <c r="F2397" t="s">
        <v>204</v>
      </c>
      <c r="G2397" t="s">
        <v>220</v>
      </c>
      <c r="H2397">
        <v>2999</v>
      </c>
      <c r="I2397">
        <v>9</v>
      </c>
      <c r="J2397">
        <v>1.62</v>
      </c>
      <c r="K2397">
        <v>2988.38</v>
      </c>
      <c r="L2397" s="5">
        <v>46280</v>
      </c>
      <c r="M2397" t="s">
        <v>5046</v>
      </c>
      <c r="N2397" t="s">
        <v>207</v>
      </c>
      <c r="O2397" t="s">
        <v>5348</v>
      </c>
      <c r="P2397" t="s">
        <v>208</v>
      </c>
      <c r="Q2397" t="s">
        <v>209</v>
      </c>
    </row>
    <row r="2398" spans="1:17" x14ac:dyDescent="0.3">
      <c r="A2398" t="s">
        <v>5349</v>
      </c>
      <c r="C2398" t="s">
        <v>5350</v>
      </c>
      <c r="D2398" t="s">
        <v>5350</v>
      </c>
      <c r="E2398" s="5">
        <v>46278</v>
      </c>
      <c r="F2398" t="s">
        <v>204</v>
      </c>
      <c r="G2398" t="s">
        <v>213</v>
      </c>
      <c r="H2398">
        <v>349</v>
      </c>
      <c r="I2398">
        <v>6.28</v>
      </c>
      <c r="J2398">
        <v>1.1299999999999999</v>
      </c>
      <c r="K2398">
        <v>341.59</v>
      </c>
      <c r="L2398" s="5">
        <v>46280</v>
      </c>
      <c r="M2398" t="s">
        <v>5046</v>
      </c>
      <c r="N2398" t="s">
        <v>207</v>
      </c>
      <c r="O2398" t="s">
        <v>5350</v>
      </c>
      <c r="P2398" t="s">
        <v>208</v>
      </c>
      <c r="Q2398" t="s">
        <v>209</v>
      </c>
    </row>
    <row r="2399" spans="1:17" x14ac:dyDescent="0.3">
      <c r="A2399" t="s">
        <v>5351</v>
      </c>
      <c r="C2399" t="s">
        <v>5352</v>
      </c>
      <c r="D2399" t="s">
        <v>5352</v>
      </c>
      <c r="E2399" s="5">
        <v>46278</v>
      </c>
      <c r="F2399" t="s">
        <v>204</v>
      </c>
      <c r="G2399" t="s">
        <v>220</v>
      </c>
      <c r="H2399">
        <v>7999</v>
      </c>
      <c r="I2399">
        <v>24</v>
      </c>
      <c r="J2399">
        <v>4.32</v>
      </c>
      <c r="K2399">
        <v>7970.68</v>
      </c>
      <c r="L2399" s="5">
        <v>46280</v>
      </c>
      <c r="M2399" t="s">
        <v>5046</v>
      </c>
      <c r="N2399" t="s">
        <v>207</v>
      </c>
      <c r="O2399" t="s">
        <v>5352</v>
      </c>
      <c r="P2399" t="s">
        <v>208</v>
      </c>
      <c r="Q2399" t="s">
        <v>209</v>
      </c>
    </row>
    <row r="2400" spans="1:17" x14ac:dyDescent="0.3">
      <c r="A2400" t="s">
        <v>5353</v>
      </c>
      <c r="C2400" t="s">
        <v>5354</v>
      </c>
      <c r="D2400" t="s">
        <v>5354</v>
      </c>
      <c r="E2400" s="5">
        <v>46278</v>
      </c>
      <c r="F2400" t="s">
        <v>204</v>
      </c>
      <c r="G2400" t="s">
        <v>255</v>
      </c>
      <c r="H2400">
        <v>4498</v>
      </c>
      <c r="I2400">
        <v>53.98</v>
      </c>
      <c r="J2400">
        <v>9.7200000000000006</v>
      </c>
      <c r="K2400">
        <v>4434.3</v>
      </c>
      <c r="L2400" s="5">
        <v>46280</v>
      </c>
      <c r="M2400" t="s">
        <v>5046</v>
      </c>
      <c r="N2400" t="s">
        <v>207</v>
      </c>
      <c r="O2400" t="s">
        <v>5354</v>
      </c>
      <c r="P2400" t="s">
        <v>208</v>
      </c>
      <c r="Q2400" t="s">
        <v>209</v>
      </c>
    </row>
    <row r="2401" spans="1:17" x14ac:dyDescent="0.3">
      <c r="A2401" t="s">
        <v>5355</v>
      </c>
      <c r="C2401" t="s">
        <v>5356</v>
      </c>
      <c r="D2401" t="s">
        <v>5356</v>
      </c>
      <c r="E2401" s="5">
        <v>46278</v>
      </c>
      <c r="F2401" t="s">
        <v>204</v>
      </c>
      <c r="G2401" t="s">
        <v>213</v>
      </c>
      <c r="H2401">
        <v>499</v>
      </c>
      <c r="I2401">
        <v>8.98</v>
      </c>
      <c r="J2401">
        <v>1.62</v>
      </c>
      <c r="K2401">
        <v>488.4</v>
      </c>
      <c r="L2401" s="5">
        <v>46280</v>
      </c>
      <c r="M2401" t="s">
        <v>5046</v>
      </c>
      <c r="N2401" t="s">
        <v>207</v>
      </c>
      <c r="O2401" t="s">
        <v>5356</v>
      </c>
      <c r="P2401" t="s">
        <v>208</v>
      </c>
      <c r="Q2401" t="s">
        <v>209</v>
      </c>
    </row>
    <row r="2402" spans="1:17" x14ac:dyDescent="0.3">
      <c r="A2402" t="s">
        <v>5357</v>
      </c>
      <c r="C2402" t="s">
        <v>5358</v>
      </c>
      <c r="D2402" t="s">
        <v>5358</v>
      </c>
      <c r="E2402" s="5">
        <v>46278</v>
      </c>
      <c r="F2402" t="s">
        <v>204</v>
      </c>
      <c r="G2402" t="s">
        <v>205</v>
      </c>
      <c r="H2402">
        <v>2598</v>
      </c>
      <c r="I2402">
        <v>44.17</v>
      </c>
      <c r="J2402">
        <v>7.95</v>
      </c>
      <c r="K2402">
        <v>2545.88</v>
      </c>
      <c r="L2402" s="5">
        <v>46280</v>
      </c>
      <c r="M2402" t="s">
        <v>5046</v>
      </c>
      <c r="N2402" t="s">
        <v>207</v>
      </c>
      <c r="O2402" t="s">
        <v>5358</v>
      </c>
      <c r="P2402" t="s">
        <v>208</v>
      </c>
      <c r="Q2402" t="s">
        <v>209</v>
      </c>
    </row>
    <row r="2403" spans="1:17" x14ac:dyDescent="0.3">
      <c r="A2403" t="s">
        <v>5359</v>
      </c>
      <c r="C2403" t="s">
        <v>5360</v>
      </c>
      <c r="D2403" t="s">
        <v>5360</v>
      </c>
      <c r="E2403" s="5">
        <v>46278</v>
      </c>
      <c r="F2403" t="s">
        <v>204</v>
      </c>
      <c r="G2403" t="s">
        <v>255</v>
      </c>
      <c r="H2403">
        <v>7999</v>
      </c>
      <c r="I2403">
        <v>95.99</v>
      </c>
      <c r="J2403">
        <v>17.28</v>
      </c>
      <c r="K2403">
        <v>7885.73</v>
      </c>
      <c r="L2403" s="5">
        <v>46280</v>
      </c>
      <c r="M2403" t="s">
        <v>5046</v>
      </c>
      <c r="N2403" t="s">
        <v>207</v>
      </c>
      <c r="O2403" t="s">
        <v>5360</v>
      </c>
      <c r="P2403" t="s">
        <v>208</v>
      </c>
      <c r="Q2403" t="s">
        <v>209</v>
      </c>
    </row>
    <row r="2404" spans="1:17" x14ac:dyDescent="0.3">
      <c r="A2404" t="s">
        <v>5361</v>
      </c>
      <c r="C2404" t="s">
        <v>5362</v>
      </c>
      <c r="D2404" t="s">
        <v>5363</v>
      </c>
      <c r="E2404" s="5">
        <v>46278</v>
      </c>
      <c r="F2404" t="s">
        <v>204</v>
      </c>
      <c r="G2404" t="s">
        <v>205</v>
      </c>
      <c r="H2404">
        <v>299</v>
      </c>
      <c r="I2404">
        <v>5.68</v>
      </c>
      <c r="J2404">
        <v>1.02</v>
      </c>
      <c r="K2404">
        <v>292.3</v>
      </c>
      <c r="L2404" s="5">
        <v>46280</v>
      </c>
      <c r="M2404" t="s">
        <v>5046</v>
      </c>
      <c r="N2404" t="s">
        <v>207</v>
      </c>
      <c r="O2404" t="s">
        <v>5363</v>
      </c>
      <c r="P2404" t="s">
        <v>208</v>
      </c>
      <c r="Q2404" t="s">
        <v>209</v>
      </c>
    </row>
    <row r="2405" spans="1:17" x14ac:dyDescent="0.3">
      <c r="A2405" t="s">
        <v>5364</v>
      </c>
      <c r="C2405" t="s">
        <v>5365</v>
      </c>
      <c r="D2405" t="s">
        <v>5365</v>
      </c>
      <c r="E2405" s="5">
        <v>46278</v>
      </c>
      <c r="F2405" t="s">
        <v>204</v>
      </c>
      <c r="G2405" t="s">
        <v>220</v>
      </c>
      <c r="H2405">
        <v>7297</v>
      </c>
      <c r="I2405">
        <v>21.89</v>
      </c>
      <c r="J2405">
        <v>3.94</v>
      </c>
      <c r="K2405">
        <v>7271.17</v>
      </c>
      <c r="L2405" s="5">
        <v>46280</v>
      </c>
      <c r="M2405" t="s">
        <v>5046</v>
      </c>
      <c r="N2405" t="s">
        <v>207</v>
      </c>
      <c r="O2405" t="s">
        <v>5365</v>
      </c>
      <c r="P2405" t="s">
        <v>208</v>
      </c>
      <c r="Q2405" t="s">
        <v>209</v>
      </c>
    </row>
    <row r="2406" spans="1:17" x14ac:dyDescent="0.3">
      <c r="A2406" t="s">
        <v>5366</v>
      </c>
      <c r="C2406" t="s">
        <v>5367</v>
      </c>
      <c r="D2406" t="s">
        <v>5367</v>
      </c>
      <c r="E2406" s="5">
        <v>46278</v>
      </c>
      <c r="F2406" t="s">
        <v>204</v>
      </c>
      <c r="G2406" t="s">
        <v>255</v>
      </c>
      <c r="H2406">
        <v>8998</v>
      </c>
      <c r="I2406">
        <v>107.98</v>
      </c>
      <c r="J2406">
        <v>19.440000000000001</v>
      </c>
      <c r="K2406">
        <v>8870.58</v>
      </c>
      <c r="L2406" s="5">
        <v>46280</v>
      </c>
      <c r="M2406" t="s">
        <v>5046</v>
      </c>
      <c r="N2406" t="s">
        <v>207</v>
      </c>
      <c r="O2406" t="s">
        <v>5367</v>
      </c>
      <c r="P2406" t="s">
        <v>208</v>
      </c>
      <c r="Q2406" t="s">
        <v>209</v>
      </c>
    </row>
    <row r="2407" spans="1:17" x14ac:dyDescent="0.3">
      <c r="A2407" t="s">
        <v>5368</v>
      </c>
      <c r="C2407" t="s">
        <v>5369</v>
      </c>
      <c r="D2407" t="s">
        <v>5370</v>
      </c>
      <c r="E2407" s="5">
        <v>46278</v>
      </c>
      <c r="F2407" t="s">
        <v>204</v>
      </c>
      <c r="G2407" t="s">
        <v>213</v>
      </c>
      <c r="H2407">
        <v>1299</v>
      </c>
      <c r="I2407">
        <v>23.38</v>
      </c>
      <c r="J2407">
        <v>4.21</v>
      </c>
      <c r="K2407">
        <v>1271.4100000000001</v>
      </c>
      <c r="L2407" s="5">
        <v>46280</v>
      </c>
      <c r="M2407" t="s">
        <v>5046</v>
      </c>
      <c r="N2407" t="s">
        <v>207</v>
      </c>
      <c r="O2407" t="s">
        <v>5370</v>
      </c>
      <c r="P2407" t="s">
        <v>208</v>
      </c>
      <c r="Q2407" t="s">
        <v>209</v>
      </c>
    </row>
    <row r="2408" spans="1:17" x14ac:dyDescent="0.3">
      <c r="A2408" t="s">
        <v>5371</v>
      </c>
      <c r="C2408" t="s">
        <v>5372</v>
      </c>
      <c r="D2408" t="s">
        <v>5372</v>
      </c>
      <c r="E2408" s="5">
        <v>46278</v>
      </c>
      <c r="F2408" t="s">
        <v>204</v>
      </c>
      <c r="G2408" t="s">
        <v>220</v>
      </c>
      <c r="H2408">
        <v>4999</v>
      </c>
      <c r="I2408">
        <v>15</v>
      </c>
      <c r="J2408">
        <v>2.7</v>
      </c>
      <c r="K2408">
        <v>4981.3</v>
      </c>
      <c r="L2408" s="5">
        <v>46280</v>
      </c>
      <c r="M2408" t="s">
        <v>5046</v>
      </c>
      <c r="N2408" t="s">
        <v>207</v>
      </c>
      <c r="O2408" t="s">
        <v>5372</v>
      </c>
      <c r="P2408" t="s">
        <v>208</v>
      </c>
      <c r="Q2408" t="s">
        <v>209</v>
      </c>
    </row>
    <row r="2409" spans="1:17" x14ac:dyDescent="0.3">
      <c r="A2409" t="s">
        <v>5373</v>
      </c>
      <c r="C2409" t="s">
        <v>5374</v>
      </c>
      <c r="D2409" t="s">
        <v>5374</v>
      </c>
      <c r="E2409" s="5">
        <v>46278</v>
      </c>
      <c r="F2409" t="s">
        <v>204</v>
      </c>
      <c r="G2409" t="s">
        <v>213</v>
      </c>
      <c r="H2409">
        <v>7999</v>
      </c>
      <c r="I2409">
        <v>127.98</v>
      </c>
      <c r="J2409">
        <v>23.04</v>
      </c>
      <c r="K2409">
        <v>7847.98</v>
      </c>
      <c r="L2409" s="5">
        <v>46280</v>
      </c>
      <c r="M2409" t="s">
        <v>5046</v>
      </c>
      <c r="N2409" t="s">
        <v>207</v>
      </c>
      <c r="O2409" t="s">
        <v>5374</v>
      </c>
      <c r="P2409" t="s">
        <v>208</v>
      </c>
      <c r="Q2409" t="s">
        <v>209</v>
      </c>
    </row>
    <row r="2410" spans="1:17" x14ac:dyDescent="0.3">
      <c r="A2410" t="s">
        <v>5375</v>
      </c>
      <c r="C2410" t="s">
        <v>5376</v>
      </c>
      <c r="D2410" t="s">
        <v>5376</v>
      </c>
      <c r="E2410" s="5">
        <v>46278</v>
      </c>
      <c r="F2410" t="s">
        <v>204</v>
      </c>
      <c r="G2410" t="s">
        <v>213</v>
      </c>
      <c r="H2410">
        <v>2098</v>
      </c>
      <c r="I2410">
        <v>33.57</v>
      </c>
      <c r="J2410">
        <v>6.04</v>
      </c>
      <c r="K2410">
        <v>2058.39</v>
      </c>
      <c r="L2410" s="5">
        <v>46280</v>
      </c>
      <c r="M2410" t="s">
        <v>5046</v>
      </c>
      <c r="N2410" t="s">
        <v>207</v>
      </c>
      <c r="O2410" t="s">
        <v>5376</v>
      </c>
      <c r="P2410" t="s">
        <v>208</v>
      </c>
      <c r="Q2410" t="s">
        <v>209</v>
      </c>
    </row>
    <row r="2411" spans="1:17" x14ac:dyDescent="0.3">
      <c r="A2411" t="s">
        <v>5377</v>
      </c>
      <c r="C2411" t="s">
        <v>5378</v>
      </c>
      <c r="D2411" t="s">
        <v>5378</v>
      </c>
      <c r="E2411" s="5">
        <v>46278</v>
      </c>
      <c r="F2411" t="s">
        <v>204</v>
      </c>
      <c r="G2411" t="s">
        <v>220</v>
      </c>
      <c r="H2411">
        <v>9797</v>
      </c>
      <c r="I2411">
        <v>29.39</v>
      </c>
      <c r="J2411">
        <v>5.29</v>
      </c>
      <c r="K2411">
        <v>9762.32</v>
      </c>
      <c r="L2411" s="5">
        <v>46280</v>
      </c>
      <c r="M2411" t="s">
        <v>5046</v>
      </c>
      <c r="N2411" t="s">
        <v>207</v>
      </c>
      <c r="O2411" t="s">
        <v>5378</v>
      </c>
      <c r="P2411" t="s">
        <v>208</v>
      </c>
      <c r="Q2411" t="s">
        <v>209</v>
      </c>
    </row>
    <row r="2412" spans="1:17" x14ac:dyDescent="0.3">
      <c r="A2412" t="s">
        <v>5379</v>
      </c>
      <c r="C2412" t="s">
        <v>5380</v>
      </c>
      <c r="D2412" t="s">
        <v>5380</v>
      </c>
      <c r="E2412" s="5">
        <v>46278</v>
      </c>
      <c r="F2412" t="s">
        <v>204</v>
      </c>
      <c r="G2412" t="s">
        <v>220</v>
      </c>
      <c r="H2412">
        <v>799</v>
      </c>
      <c r="I2412">
        <v>0</v>
      </c>
      <c r="J2412">
        <v>0</v>
      </c>
      <c r="K2412">
        <v>799</v>
      </c>
      <c r="L2412" s="5">
        <v>46280</v>
      </c>
      <c r="M2412" t="s">
        <v>5046</v>
      </c>
      <c r="N2412" t="s">
        <v>207</v>
      </c>
      <c r="O2412" t="s">
        <v>5380</v>
      </c>
      <c r="P2412" t="s">
        <v>208</v>
      </c>
      <c r="Q2412" t="s">
        <v>209</v>
      </c>
    </row>
    <row r="2413" spans="1:17" x14ac:dyDescent="0.3">
      <c r="A2413" t="s">
        <v>5381</v>
      </c>
      <c r="C2413" t="s">
        <v>5382</v>
      </c>
      <c r="D2413" t="s">
        <v>5382</v>
      </c>
      <c r="E2413" s="5">
        <v>46278</v>
      </c>
      <c r="F2413" t="s">
        <v>204</v>
      </c>
      <c r="G2413" t="s">
        <v>220</v>
      </c>
      <c r="H2413">
        <v>2998</v>
      </c>
      <c r="I2413">
        <v>8.99</v>
      </c>
      <c r="J2413">
        <v>1.62</v>
      </c>
      <c r="K2413">
        <v>2987.39</v>
      </c>
      <c r="L2413" s="5">
        <v>46280</v>
      </c>
      <c r="M2413" t="s">
        <v>5046</v>
      </c>
      <c r="N2413" t="s">
        <v>207</v>
      </c>
      <c r="O2413" t="s">
        <v>5382</v>
      </c>
      <c r="P2413" t="s">
        <v>208</v>
      </c>
      <c r="Q2413" t="s">
        <v>209</v>
      </c>
    </row>
    <row r="2414" spans="1:17" x14ac:dyDescent="0.3">
      <c r="A2414" t="s">
        <v>5383</v>
      </c>
      <c r="C2414" t="s">
        <v>5384</v>
      </c>
      <c r="D2414" t="s">
        <v>5385</v>
      </c>
      <c r="E2414" s="5">
        <v>46278</v>
      </c>
      <c r="F2414" t="s">
        <v>204</v>
      </c>
      <c r="G2414" t="s">
        <v>205</v>
      </c>
      <c r="H2414">
        <v>4798</v>
      </c>
      <c r="I2414">
        <v>81.569999999999993</v>
      </c>
      <c r="J2414">
        <v>14.68</v>
      </c>
      <c r="K2414">
        <v>4701.75</v>
      </c>
      <c r="L2414" s="5">
        <v>46280</v>
      </c>
      <c r="M2414" t="s">
        <v>5046</v>
      </c>
      <c r="N2414" t="s">
        <v>207</v>
      </c>
      <c r="O2414" t="s">
        <v>5385</v>
      </c>
      <c r="P2414" t="s">
        <v>208</v>
      </c>
      <c r="Q2414" t="s">
        <v>209</v>
      </c>
    </row>
    <row r="2415" spans="1:17" x14ac:dyDescent="0.3">
      <c r="A2415" t="s">
        <v>5386</v>
      </c>
      <c r="C2415" t="s">
        <v>5387</v>
      </c>
      <c r="D2415" t="s">
        <v>5387</v>
      </c>
      <c r="E2415" s="5">
        <v>46278</v>
      </c>
      <c r="F2415" t="s">
        <v>204</v>
      </c>
      <c r="G2415" t="s">
        <v>220</v>
      </c>
      <c r="H2415">
        <v>12097</v>
      </c>
      <c r="I2415">
        <v>36.29</v>
      </c>
      <c r="J2415">
        <v>6.53</v>
      </c>
      <c r="K2415">
        <v>12054.18</v>
      </c>
      <c r="L2415" s="5">
        <v>46280</v>
      </c>
      <c r="M2415" t="s">
        <v>5046</v>
      </c>
      <c r="N2415" t="s">
        <v>207</v>
      </c>
      <c r="O2415" t="s">
        <v>5387</v>
      </c>
      <c r="P2415" t="s">
        <v>208</v>
      </c>
      <c r="Q2415" t="s">
        <v>209</v>
      </c>
    </row>
    <row r="2416" spans="1:17" x14ac:dyDescent="0.3">
      <c r="A2416" t="s">
        <v>5388</v>
      </c>
      <c r="C2416" t="s">
        <v>5389</v>
      </c>
      <c r="D2416" t="s">
        <v>5390</v>
      </c>
      <c r="E2416" s="5">
        <v>46278</v>
      </c>
      <c r="F2416" t="s">
        <v>204</v>
      </c>
      <c r="G2416" t="s">
        <v>205</v>
      </c>
      <c r="H2416">
        <v>3798</v>
      </c>
      <c r="I2416">
        <v>64.569999999999993</v>
      </c>
      <c r="J2416">
        <v>11.62</v>
      </c>
      <c r="K2416">
        <v>3721.81</v>
      </c>
      <c r="L2416" s="5">
        <v>46280</v>
      </c>
      <c r="M2416" t="s">
        <v>5046</v>
      </c>
      <c r="N2416" t="s">
        <v>207</v>
      </c>
      <c r="O2416" t="s">
        <v>5390</v>
      </c>
      <c r="P2416" t="s">
        <v>208</v>
      </c>
      <c r="Q2416" t="s">
        <v>209</v>
      </c>
    </row>
    <row r="2417" spans="1:17" x14ac:dyDescent="0.3">
      <c r="A2417" t="s">
        <v>5391</v>
      </c>
      <c r="C2417" t="s">
        <v>5392</v>
      </c>
      <c r="D2417" t="s">
        <v>5392</v>
      </c>
      <c r="E2417" s="5">
        <v>46278</v>
      </c>
      <c r="F2417" t="s">
        <v>204</v>
      </c>
      <c r="G2417" t="s">
        <v>220</v>
      </c>
      <c r="H2417">
        <v>2798</v>
      </c>
      <c r="I2417">
        <v>8.39</v>
      </c>
      <c r="J2417">
        <v>1.51</v>
      </c>
      <c r="K2417">
        <v>2788.1</v>
      </c>
      <c r="L2417" s="5">
        <v>46280</v>
      </c>
      <c r="M2417" t="s">
        <v>5046</v>
      </c>
      <c r="N2417" t="s">
        <v>207</v>
      </c>
      <c r="O2417" t="s">
        <v>5392</v>
      </c>
      <c r="P2417" t="s">
        <v>208</v>
      </c>
      <c r="Q2417" t="s">
        <v>209</v>
      </c>
    </row>
    <row r="2418" spans="1:17" x14ac:dyDescent="0.3">
      <c r="A2418" t="s">
        <v>5393</v>
      </c>
      <c r="C2418" t="s">
        <v>5394</v>
      </c>
      <c r="D2418" t="s">
        <v>5394</v>
      </c>
      <c r="E2418" s="5">
        <v>46278</v>
      </c>
      <c r="F2418" t="s">
        <v>204</v>
      </c>
      <c r="G2418" t="s">
        <v>220</v>
      </c>
      <c r="H2418">
        <v>2499</v>
      </c>
      <c r="I2418">
        <v>7.5</v>
      </c>
      <c r="J2418">
        <v>1.35</v>
      </c>
      <c r="K2418">
        <v>2490.15</v>
      </c>
      <c r="L2418" s="5">
        <v>46280</v>
      </c>
      <c r="M2418" t="s">
        <v>5046</v>
      </c>
      <c r="N2418" t="s">
        <v>207</v>
      </c>
      <c r="O2418" t="s">
        <v>5394</v>
      </c>
      <c r="P2418" t="s">
        <v>208</v>
      </c>
      <c r="Q2418" t="s">
        <v>209</v>
      </c>
    </row>
    <row r="2419" spans="1:17" x14ac:dyDescent="0.3">
      <c r="A2419" t="s">
        <v>5395</v>
      </c>
      <c r="C2419" t="s">
        <v>5396</v>
      </c>
      <c r="D2419" t="s">
        <v>5397</v>
      </c>
      <c r="E2419" s="5">
        <v>46278</v>
      </c>
      <c r="F2419" t="s">
        <v>204</v>
      </c>
      <c r="G2419" t="s">
        <v>220</v>
      </c>
      <c r="H2419">
        <v>7999</v>
      </c>
      <c r="I2419">
        <v>24</v>
      </c>
      <c r="J2419">
        <v>4.32</v>
      </c>
      <c r="K2419">
        <v>7970.68</v>
      </c>
      <c r="L2419" s="5">
        <v>46280</v>
      </c>
      <c r="M2419" t="s">
        <v>5046</v>
      </c>
      <c r="N2419" t="s">
        <v>207</v>
      </c>
      <c r="O2419" t="s">
        <v>5397</v>
      </c>
      <c r="P2419" t="s">
        <v>208</v>
      </c>
      <c r="Q2419" t="s">
        <v>209</v>
      </c>
    </row>
    <row r="2420" spans="1:17" x14ac:dyDescent="0.3">
      <c r="A2420" t="s">
        <v>5398</v>
      </c>
      <c r="C2420" t="s">
        <v>5399</v>
      </c>
      <c r="D2420" t="s">
        <v>5399</v>
      </c>
      <c r="E2420" s="5">
        <v>46278</v>
      </c>
      <c r="F2420" t="s">
        <v>204</v>
      </c>
      <c r="G2420" t="s">
        <v>213</v>
      </c>
      <c r="H2420">
        <v>10297</v>
      </c>
      <c r="I2420">
        <v>164.75</v>
      </c>
      <c r="J2420">
        <v>29.66</v>
      </c>
      <c r="K2420">
        <v>10102.59</v>
      </c>
      <c r="L2420" s="5">
        <v>46280</v>
      </c>
      <c r="M2420" t="s">
        <v>5046</v>
      </c>
      <c r="N2420" t="s">
        <v>207</v>
      </c>
      <c r="O2420" t="s">
        <v>5399</v>
      </c>
      <c r="P2420" t="s">
        <v>208</v>
      </c>
      <c r="Q2420" t="s">
        <v>209</v>
      </c>
    </row>
    <row r="2421" spans="1:17" x14ac:dyDescent="0.3">
      <c r="A2421" t="s">
        <v>5400</v>
      </c>
      <c r="C2421" t="s">
        <v>5401</v>
      </c>
      <c r="D2421" t="s">
        <v>5402</v>
      </c>
      <c r="E2421" s="5">
        <v>46278</v>
      </c>
      <c r="F2421" t="s">
        <v>204</v>
      </c>
      <c r="G2421" t="s">
        <v>205</v>
      </c>
      <c r="H2421">
        <v>499</v>
      </c>
      <c r="I2421">
        <v>9.48</v>
      </c>
      <c r="J2421">
        <v>1.71</v>
      </c>
      <c r="K2421">
        <v>487.81</v>
      </c>
      <c r="L2421" s="5">
        <v>46280</v>
      </c>
      <c r="M2421" t="s">
        <v>5046</v>
      </c>
      <c r="N2421" t="s">
        <v>207</v>
      </c>
      <c r="O2421" t="s">
        <v>5402</v>
      </c>
      <c r="P2421" t="s">
        <v>208</v>
      </c>
      <c r="Q2421" t="s">
        <v>209</v>
      </c>
    </row>
    <row r="2422" spans="1:17" x14ac:dyDescent="0.3">
      <c r="A2422" t="s">
        <v>5403</v>
      </c>
      <c r="C2422" t="s">
        <v>5404</v>
      </c>
      <c r="D2422" t="s">
        <v>5404</v>
      </c>
      <c r="E2422" s="5">
        <v>46278</v>
      </c>
      <c r="F2422" t="s">
        <v>204</v>
      </c>
      <c r="G2422" t="s">
        <v>220</v>
      </c>
      <c r="H2422">
        <v>2848</v>
      </c>
      <c r="I2422">
        <v>8.5399999999999991</v>
      </c>
      <c r="J2422">
        <v>1.54</v>
      </c>
      <c r="K2422">
        <v>2837.92</v>
      </c>
      <c r="L2422" s="5">
        <v>46280</v>
      </c>
      <c r="M2422" t="s">
        <v>5046</v>
      </c>
      <c r="N2422" t="s">
        <v>207</v>
      </c>
      <c r="O2422" t="s">
        <v>5404</v>
      </c>
      <c r="P2422" t="s">
        <v>208</v>
      </c>
      <c r="Q2422" t="s">
        <v>209</v>
      </c>
    </row>
    <row r="2423" spans="1:17" x14ac:dyDescent="0.3">
      <c r="A2423" t="s">
        <v>5405</v>
      </c>
      <c r="C2423" t="s">
        <v>5406</v>
      </c>
      <c r="D2423" t="s">
        <v>5406</v>
      </c>
      <c r="E2423" s="5">
        <v>46278</v>
      </c>
      <c r="F2423" t="s">
        <v>204</v>
      </c>
      <c r="G2423" t="s">
        <v>220</v>
      </c>
      <c r="H2423">
        <v>499</v>
      </c>
      <c r="I2423">
        <v>0</v>
      </c>
      <c r="J2423">
        <v>0</v>
      </c>
      <c r="K2423">
        <v>499</v>
      </c>
      <c r="L2423" s="5">
        <v>46280</v>
      </c>
      <c r="M2423" t="s">
        <v>5046</v>
      </c>
      <c r="N2423" t="s">
        <v>207</v>
      </c>
      <c r="O2423" t="s">
        <v>5406</v>
      </c>
      <c r="P2423" t="s">
        <v>208</v>
      </c>
      <c r="Q2423" t="s">
        <v>209</v>
      </c>
    </row>
    <row r="2424" spans="1:17" x14ac:dyDescent="0.3">
      <c r="A2424" t="s">
        <v>5407</v>
      </c>
      <c r="C2424" t="s">
        <v>5408</v>
      </c>
      <c r="D2424" t="s">
        <v>5408</v>
      </c>
      <c r="E2424" s="5">
        <v>46278</v>
      </c>
      <c r="F2424" t="s">
        <v>204</v>
      </c>
      <c r="G2424" t="s">
        <v>213</v>
      </c>
      <c r="H2424">
        <v>4999</v>
      </c>
      <c r="I2424">
        <v>79.98</v>
      </c>
      <c r="J2424">
        <v>14.4</v>
      </c>
      <c r="K2424">
        <v>4904.62</v>
      </c>
      <c r="L2424" s="5">
        <v>46280</v>
      </c>
      <c r="M2424" t="s">
        <v>5046</v>
      </c>
      <c r="N2424" t="s">
        <v>207</v>
      </c>
      <c r="O2424" t="s">
        <v>5408</v>
      </c>
      <c r="P2424" t="s">
        <v>208</v>
      </c>
      <c r="Q2424" t="s">
        <v>209</v>
      </c>
    </row>
    <row r="2425" spans="1:17" x14ac:dyDescent="0.3">
      <c r="A2425" t="s">
        <v>5409</v>
      </c>
      <c r="C2425" t="s">
        <v>5410</v>
      </c>
      <c r="D2425" t="s">
        <v>5410</v>
      </c>
      <c r="E2425" s="5">
        <v>46278</v>
      </c>
      <c r="F2425" t="s">
        <v>204</v>
      </c>
      <c r="G2425" t="s">
        <v>213</v>
      </c>
      <c r="H2425">
        <v>3998</v>
      </c>
      <c r="I2425">
        <v>63.97</v>
      </c>
      <c r="J2425">
        <v>11.51</v>
      </c>
      <c r="K2425">
        <v>3922.52</v>
      </c>
      <c r="L2425" s="5">
        <v>46280</v>
      </c>
      <c r="M2425" t="s">
        <v>5046</v>
      </c>
      <c r="N2425" t="s">
        <v>207</v>
      </c>
      <c r="O2425" t="s">
        <v>5410</v>
      </c>
      <c r="P2425" t="s">
        <v>208</v>
      </c>
      <c r="Q2425" t="s">
        <v>209</v>
      </c>
    </row>
    <row r="2426" spans="1:17" x14ac:dyDescent="0.3">
      <c r="A2426" t="s">
        <v>5411</v>
      </c>
      <c r="C2426" t="s">
        <v>5412</v>
      </c>
      <c r="D2426" t="s">
        <v>5412</v>
      </c>
      <c r="E2426" s="5">
        <v>46278</v>
      </c>
      <c r="F2426" t="s">
        <v>204</v>
      </c>
      <c r="G2426" t="s">
        <v>220</v>
      </c>
      <c r="H2426">
        <v>1799</v>
      </c>
      <c r="I2426">
        <v>0</v>
      </c>
      <c r="J2426">
        <v>0</v>
      </c>
      <c r="K2426">
        <v>1799</v>
      </c>
      <c r="L2426" s="5">
        <v>46280</v>
      </c>
      <c r="M2426" t="s">
        <v>5046</v>
      </c>
      <c r="N2426" t="s">
        <v>207</v>
      </c>
      <c r="O2426" t="s">
        <v>5412</v>
      </c>
      <c r="P2426" t="s">
        <v>208</v>
      </c>
      <c r="Q2426" t="s">
        <v>209</v>
      </c>
    </row>
    <row r="2427" spans="1:17" x14ac:dyDescent="0.3">
      <c r="A2427" t="s">
        <v>5413</v>
      </c>
      <c r="C2427" t="s">
        <v>5414</v>
      </c>
      <c r="D2427" t="s">
        <v>5414</v>
      </c>
      <c r="E2427" s="5">
        <v>46278</v>
      </c>
      <c r="F2427" t="s">
        <v>204</v>
      </c>
      <c r="G2427" t="s">
        <v>220</v>
      </c>
      <c r="H2427">
        <v>6798</v>
      </c>
      <c r="I2427">
        <v>20.39</v>
      </c>
      <c r="J2427">
        <v>3.67</v>
      </c>
      <c r="K2427">
        <v>6773.94</v>
      </c>
      <c r="L2427" s="5">
        <v>46280</v>
      </c>
      <c r="M2427" t="s">
        <v>5046</v>
      </c>
      <c r="N2427" t="s">
        <v>207</v>
      </c>
      <c r="O2427" t="s">
        <v>5414</v>
      </c>
      <c r="P2427" t="s">
        <v>208</v>
      </c>
      <c r="Q2427" t="s">
        <v>209</v>
      </c>
    </row>
    <row r="2428" spans="1:17" x14ac:dyDescent="0.3">
      <c r="A2428" t="s">
        <v>5415</v>
      </c>
      <c r="C2428" t="s">
        <v>5416</v>
      </c>
      <c r="D2428" t="s">
        <v>5416</v>
      </c>
      <c r="E2428" s="5">
        <v>46278</v>
      </c>
      <c r="F2428" t="s">
        <v>204</v>
      </c>
      <c r="G2428" t="s">
        <v>213</v>
      </c>
      <c r="H2428">
        <v>7999</v>
      </c>
      <c r="I2428">
        <v>127.98</v>
      </c>
      <c r="J2428">
        <v>23.04</v>
      </c>
      <c r="K2428">
        <v>7847.98</v>
      </c>
      <c r="L2428" s="5">
        <v>46280</v>
      </c>
      <c r="M2428" t="s">
        <v>5046</v>
      </c>
      <c r="N2428" t="s">
        <v>207</v>
      </c>
      <c r="O2428" t="s">
        <v>5416</v>
      </c>
      <c r="P2428" t="s">
        <v>208</v>
      </c>
      <c r="Q2428" t="s">
        <v>209</v>
      </c>
    </row>
    <row r="2429" spans="1:17" x14ac:dyDescent="0.3">
      <c r="A2429" t="s">
        <v>5417</v>
      </c>
      <c r="C2429" t="s">
        <v>5418</v>
      </c>
      <c r="D2429" t="s">
        <v>5419</v>
      </c>
      <c r="E2429" s="5">
        <v>46278</v>
      </c>
      <c r="F2429" t="s">
        <v>204</v>
      </c>
      <c r="G2429" t="s">
        <v>213</v>
      </c>
      <c r="H2429">
        <v>2999</v>
      </c>
      <c r="I2429">
        <v>47.98</v>
      </c>
      <c r="J2429">
        <v>8.64</v>
      </c>
      <c r="K2429">
        <v>2942.38</v>
      </c>
      <c r="L2429" s="5">
        <v>46280</v>
      </c>
      <c r="M2429" t="s">
        <v>5046</v>
      </c>
      <c r="N2429" t="s">
        <v>207</v>
      </c>
      <c r="O2429" t="s">
        <v>5419</v>
      </c>
      <c r="P2429" t="s">
        <v>208</v>
      </c>
      <c r="Q2429" t="s">
        <v>209</v>
      </c>
    </row>
    <row r="2430" spans="1:17" x14ac:dyDescent="0.3">
      <c r="A2430" t="s">
        <v>5420</v>
      </c>
      <c r="C2430" t="s">
        <v>5421</v>
      </c>
      <c r="D2430" t="s">
        <v>5421</v>
      </c>
      <c r="E2430" s="5">
        <v>46278</v>
      </c>
      <c r="F2430" t="s">
        <v>204</v>
      </c>
      <c r="G2430" t="s">
        <v>220</v>
      </c>
      <c r="H2430">
        <v>3097</v>
      </c>
      <c r="I2430">
        <v>9.2899999999999991</v>
      </c>
      <c r="J2430">
        <v>1.67</v>
      </c>
      <c r="K2430">
        <v>3086.04</v>
      </c>
      <c r="L2430" s="5">
        <v>46280</v>
      </c>
      <c r="M2430" t="s">
        <v>5046</v>
      </c>
      <c r="N2430" t="s">
        <v>207</v>
      </c>
      <c r="O2430" t="s">
        <v>5421</v>
      </c>
      <c r="P2430" t="s">
        <v>208</v>
      </c>
      <c r="Q2430" t="s">
        <v>209</v>
      </c>
    </row>
    <row r="2431" spans="1:17" x14ac:dyDescent="0.3">
      <c r="A2431" t="s">
        <v>5422</v>
      </c>
      <c r="C2431" t="s">
        <v>5423</v>
      </c>
      <c r="D2431" t="s">
        <v>5423</v>
      </c>
      <c r="E2431" s="5">
        <v>46278</v>
      </c>
      <c r="F2431" t="s">
        <v>204</v>
      </c>
      <c r="G2431" t="s">
        <v>205</v>
      </c>
      <c r="H2431">
        <v>299</v>
      </c>
      <c r="I2431">
        <v>5.68</v>
      </c>
      <c r="J2431">
        <v>1.02</v>
      </c>
      <c r="K2431">
        <v>292.3</v>
      </c>
      <c r="L2431" s="5">
        <v>46280</v>
      </c>
      <c r="M2431" t="s">
        <v>5046</v>
      </c>
      <c r="N2431" t="s">
        <v>207</v>
      </c>
      <c r="O2431" t="s">
        <v>5423</v>
      </c>
      <c r="P2431" t="s">
        <v>208</v>
      </c>
      <c r="Q2431" t="s">
        <v>209</v>
      </c>
    </row>
    <row r="2432" spans="1:17" x14ac:dyDescent="0.3">
      <c r="A2432" t="s">
        <v>5424</v>
      </c>
      <c r="C2432" t="s">
        <v>5425</v>
      </c>
      <c r="D2432" t="s">
        <v>5425</v>
      </c>
      <c r="E2432" s="5">
        <v>46278</v>
      </c>
      <c r="F2432" t="s">
        <v>204</v>
      </c>
      <c r="G2432" t="s">
        <v>213</v>
      </c>
      <c r="H2432">
        <v>999</v>
      </c>
      <c r="I2432">
        <v>17.98</v>
      </c>
      <c r="J2432">
        <v>3.24</v>
      </c>
      <c r="K2432">
        <v>977.78</v>
      </c>
      <c r="L2432" s="5">
        <v>46280</v>
      </c>
      <c r="M2432" t="s">
        <v>5046</v>
      </c>
      <c r="N2432" t="s">
        <v>207</v>
      </c>
      <c r="O2432" t="s">
        <v>5425</v>
      </c>
      <c r="P2432" t="s">
        <v>208</v>
      </c>
      <c r="Q2432" t="s">
        <v>209</v>
      </c>
    </row>
    <row r="2433" spans="1:17" x14ac:dyDescent="0.3">
      <c r="A2433" t="s">
        <v>5426</v>
      </c>
      <c r="C2433" t="s">
        <v>5427</v>
      </c>
      <c r="D2433" t="s">
        <v>5427</v>
      </c>
      <c r="E2433" s="5">
        <v>46278</v>
      </c>
      <c r="F2433" t="s">
        <v>204</v>
      </c>
      <c r="G2433" t="s">
        <v>213</v>
      </c>
      <c r="H2433">
        <v>3997</v>
      </c>
      <c r="I2433">
        <v>63.95</v>
      </c>
      <c r="J2433">
        <v>11.51</v>
      </c>
      <c r="K2433">
        <v>3921.54</v>
      </c>
      <c r="L2433" s="5">
        <v>46280</v>
      </c>
      <c r="M2433" t="s">
        <v>5046</v>
      </c>
      <c r="N2433" t="s">
        <v>207</v>
      </c>
      <c r="O2433" t="s">
        <v>5427</v>
      </c>
      <c r="P2433" t="s">
        <v>208</v>
      </c>
      <c r="Q2433" t="s">
        <v>209</v>
      </c>
    </row>
    <row r="2434" spans="1:17" x14ac:dyDescent="0.3">
      <c r="A2434" t="s">
        <v>5428</v>
      </c>
      <c r="C2434" t="s">
        <v>5429</v>
      </c>
      <c r="D2434" t="s">
        <v>5429</v>
      </c>
      <c r="E2434" s="5">
        <v>46278</v>
      </c>
      <c r="F2434" t="s">
        <v>204</v>
      </c>
      <c r="G2434" t="s">
        <v>220</v>
      </c>
      <c r="H2434">
        <v>898</v>
      </c>
      <c r="I2434">
        <v>0</v>
      </c>
      <c r="J2434">
        <v>0</v>
      </c>
      <c r="K2434">
        <v>898</v>
      </c>
      <c r="L2434" s="5">
        <v>46280</v>
      </c>
      <c r="M2434" t="s">
        <v>5046</v>
      </c>
      <c r="N2434" t="s">
        <v>207</v>
      </c>
      <c r="O2434" t="s">
        <v>5429</v>
      </c>
      <c r="P2434" t="s">
        <v>208</v>
      </c>
      <c r="Q2434" t="s">
        <v>209</v>
      </c>
    </row>
    <row r="2435" spans="1:17" x14ac:dyDescent="0.3">
      <c r="A2435" t="s">
        <v>5430</v>
      </c>
      <c r="C2435" t="s">
        <v>5431</v>
      </c>
      <c r="D2435" t="s">
        <v>5431</v>
      </c>
      <c r="E2435" s="5">
        <v>46278</v>
      </c>
      <c r="F2435" t="s">
        <v>204</v>
      </c>
      <c r="G2435" t="s">
        <v>220</v>
      </c>
      <c r="H2435">
        <v>4998</v>
      </c>
      <c r="I2435">
        <v>14.99</v>
      </c>
      <c r="J2435">
        <v>2.7</v>
      </c>
      <c r="K2435">
        <v>4980.3100000000004</v>
      </c>
      <c r="L2435" s="5">
        <v>46280</v>
      </c>
      <c r="M2435" t="s">
        <v>5046</v>
      </c>
      <c r="N2435" t="s">
        <v>207</v>
      </c>
      <c r="O2435" t="s">
        <v>5431</v>
      </c>
      <c r="P2435" t="s">
        <v>208</v>
      </c>
      <c r="Q2435" t="s">
        <v>209</v>
      </c>
    </row>
    <row r="2436" spans="1:17" x14ac:dyDescent="0.3">
      <c r="A2436" t="s">
        <v>5432</v>
      </c>
      <c r="C2436" t="s">
        <v>5433</v>
      </c>
      <c r="D2436" t="s">
        <v>5433</v>
      </c>
      <c r="E2436" s="5">
        <v>46278</v>
      </c>
      <c r="F2436" t="s">
        <v>204</v>
      </c>
      <c r="G2436" t="s">
        <v>220</v>
      </c>
      <c r="H2436">
        <v>2999</v>
      </c>
      <c r="I2436">
        <v>9</v>
      </c>
      <c r="J2436">
        <v>1.62</v>
      </c>
      <c r="K2436">
        <v>2988.38</v>
      </c>
      <c r="L2436" s="5">
        <v>46280</v>
      </c>
      <c r="M2436" t="s">
        <v>5046</v>
      </c>
      <c r="N2436" t="s">
        <v>207</v>
      </c>
      <c r="O2436" t="s">
        <v>5433</v>
      </c>
      <c r="P2436" t="s">
        <v>208</v>
      </c>
      <c r="Q2436" t="s">
        <v>209</v>
      </c>
    </row>
    <row r="2437" spans="1:17" x14ac:dyDescent="0.3">
      <c r="A2437" t="s">
        <v>5434</v>
      </c>
      <c r="C2437" t="s">
        <v>5435</v>
      </c>
      <c r="D2437" t="s">
        <v>5435</v>
      </c>
      <c r="E2437" s="5">
        <v>46278</v>
      </c>
      <c r="F2437" t="s">
        <v>204</v>
      </c>
      <c r="G2437" t="s">
        <v>213</v>
      </c>
      <c r="H2437">
        <v>3499</v>
      </c>
      <c r="I2437">
        <v>55.98</v>
      </c>
      <c r="J2437">
        <v>10.08</v>
      </c>
      <c r="K2437">
        <v>3432.94</v>
      </c>
      <c r="L2437" s="5">
        <v>46280</v>
      </c>
      <c r="M2437" t="s">
        <v>5046</v>
      </c>
      <c r="N2437" t="s">
        <v>207</v>
      </c>
      <c r="O2437" t="s">
        <v>5435</v>
      </c>
      <c r="P2437" t="s">
        <v>208</v>
      </c>
      <c r="Q2437" t="s">
        <v>209</v>
      </c>
    </row>
    <row r="2438" spans="1:17" x14ac:dyDescent="0.3">
      <c r="A2438" t="s">
        <v>5436</v>
      </c>
      <c r="C2438" t="s">
        <v>5437</v>
      </c>
      <c r="D2438" t="s">
        <v>5437</v>
      </c>
      <c r="E2438" s="5">
        <v>46278</v>
      </c>
      <c r="F2438" t="s">
        <v>204</v>
      </c>
      <c r="G2438" t="s">
        <v>213</v>
      </c>
      <c r="H2438">
        <v>1499</v>
      </c>
      <c r="I2438">
        <v>26.98</v>
      </c>
      <c r="J2438">
        <v>4.8600000000000003</v>
      </c>
      <c r="K2438">
        <v>1467.16</v>
      </c>
      <c r="L2438" s="5">
        <v>46280</v>
      </c>
      <c r="M2438" t="s">
        <v>5046</v>
      </c>
      <c r="N2438" t="s">
        <v>207</v>
      </c>
      <c r="O2438" t="s">
        <v>5437</v>
      </c>
      <c r="P2438" t="s">
        <v>208</v>
      </c>
      <c r="Q2438" t="s">
        <v>209</v>
      </c>
    </row>
    <row r="2439" spans="1:17" x14ac:dyDescent="0.3">
      <c r="A2439" t="s">
        <v>5438</v>
      </c>
      <c r="C2439" t="s">
        <v>5439</v>
      </c>
      <c r="D2439" t="s">
        <v>5439</v>
      </c>
      <c r="E2439" s="5">
        <v>46278</v>
      </c>
      <c r="F2439" t="s">
        <v>204</v>
      </c>
      <c r="G2439" t="s">
        <v>213</v>
      </c>
      <c r="H2439">
        <v>7498</v>
      </c>
      <c r="I2439">
        <v>119.97</v>
      </c>
      <c r="J2439">
        <v>21.59</v>
      </c>
      <c r="K2439">
        <v>7356.44</v>
      </c>
      <c r="L2439" s="5">
        <v>46280</v>
      </c>
      <c r="M2439" t="s">
        <v>5046</v>
      </c>
      <c r="N2439" t="s">
        <v>207</v>
      </c>
      <c r="O2439" t="s">
        <v>5439</v>
      </c>
      <c r="P2439" t="s">
        <v>208</v>
      </c>
      <c r="Q2439" t="s">
        <v>209</v>
      </c>
    </row>
    <row r="2440" spans="1:17" x14ac:dyDescent="0.3">
      <c r="A2440" t="s">
        <v>5440</v>
      </c>
      <c r="C2440" t="s">
        <v>5441</v>
      </c>
      <c r="D2440" t="s">
        <v>5442</v>
      </c>
      <c r="E2440" s="5">
        <v>46278</v>
      </c>
      <c r="F2440" t="s">
        <v>204</v>
      </c>
      <c r="G2440" t="s">
        <v>213</v>
      </c>
      <c r="H2440">
        <v>3897</v>
      </c>
      <c r="I2440">
        <v>62.35</v>
      </c>
      <c r="J2440">
        <v>11.22</v>
      </c>
      <c r="K2440">
        <v>3823.43</v>
      </c>
      <c r="L2440" s="5">
        <v>46280</v>
      </c>
      <c r="M2440" t="s">
        <v>5046</v>
      </c>
      <c r="N2440" t="s">
        <v>207</v>
      </c>
      <c r="O2440" t="s">
        <v>5442</v>
      </c>
      <c r="P2440" t="s">
        <v>208</v>
      </c>
      <c r="Q2440" t="s">
        <v>209</v>
      </c>
    </row>
    <row r="2441" spans="1:17" x14ac:dyDescent="0.3">
      <c r="A2441" t="s">
        <v>5443</v>
      </c>
      <c r="C2441" t="s">
        <v>5444</v>
      </c>
      <c r="D2441" t="s">
        <v>5444</v>
      </c>
      <c r="E2441" s="5">
        <v>46278</v>
      </c>
      <c r="F2441" t="s">
        <v>204</v>
      </c>
      <c r="G2441" t="s">
        <v>220</v>
      </c>
      <c r="H2441">
        <v>7999</v>
      </c>
      <c r="I2441">
        <v>24</v>
      </c>
      <c r="J2441">
        <v>4.32</v>
      </c>
      <c r="K2441">
        <v>7970.68</v>
      </c>
      <c r="L2441" s="5">
        <v>46280</v>
      </c>
      <c r="M2441" t="s">
        <v>5046</v>
      </c>
      <c r="N2441" t="s">
        <v>207</v>
      </c>
      <c r="O2441" t="s">
        <v>5444</v>
      </c>
      <c r="P2441" t="s">
        <v>208</v>
      </c>
      <c r="Q2441" t="s">
        <v>209</v>
      </c>
    </row>
    <row r="2442" spans="1:17" x14ac:dyDescent="0.3">
      <c r="A2442" t="s">
        <v>5445</v>
      </c>
      <c r="C2442" t="s">
        <v>5446</v>
      </c>
      <c r="D2442" t="s">
        <v>5446</v>
      </c>
      <c r="E2442" s="5">
        <v>46278</v>
      </c>
      <c r="F2442" t="s">
        <v>204</v>
      </c>
      <c r="G2442" t="s">
        <v>255</v>
      </c>
      <c r="H2442">
        <v>299</v>
      </c>
      <c r="I2442">
        <v>4.49</v>
      </c>
      <c r="J2442">
        <v>0.81</v>
      </c>
      <c r="K2442">
        <v>293.7</v>
      </c>
      <c r="L2442" s="5">
        <v>46280</v>
      </c>
      <c r="M2442" t="s">
        <v>5046</v>
      </c>
      <c r="N2442" t="s">
        <v>207</v>
      </c>
      <c r="O2442" t="s">
        <v>5446</v>
      </c>
      <c r="P2442" t="s">
        <v>208</v>
      </c>
      <c r="Q2442" t="s">
        <v>209</v>
      </c>
    </row>
    <row r="2443" spans="1:17" x14ac:dyDescent="0.3">
      <c r="A2443" t="s">
        <v>5447</v>
      </c>
      <c r="C2443" t="s">
        <v>5448</v>
      </c>
      <c r="D2443" t="s">
        <v>5448</v>
      </c>
      <c r="E2443" s="5">
        <v>46278</v>
      </c>
      <c r="F2443" t="s">
        <v>204</v>
      </c>
      <c r="G2443" t="s">
        <v>205</v>
      </c>
      <c r="H2443">
        <v>10998</v>
      </c>
      <c r="I2443">
        <v>186.97</v>
      </c>
      <c r="J2443">
        <v>33.65</v>
      </c>
      <c r="K2443">
        <v>10777.38</v>
      </c>
      <c r="L2443" s="5">
        <v>46280</v>
      </c>
      <c r="M2443" t="s">
        <v>5046</v>
      </c>
      <c r="N2443" t="s">
        <v>207</v>
      </c>
      <c r="O2443" t="s">
        <v>5448</v>
      </c>
      <c r="P2443" t="s">
        <v>208</v>
      </c>
      <c r="Q2443" t="s">
        <v>209</v>
      </c>
    </row>
    <row r="2444" spans="1:17" x14ac:dyDescent="0.3">
      <c r="A2444" t="s">
        <v>5449</v>
      </c>
      <c r="C2444" t="s">
        <v>5450</v>
      </c>
      <c r="D2444" t="s">
        <v>5451</v>
      </c>
      <c r="E2444" s="5">
        <v>46278</v>
      </c>
      <c r="F2444" t="s">
        <v>204</v>
      </c>
      <c r="G2444" t="s">
        <v>213</v>
      </c>
      <c r="H2444">
        <v>4999</v>
      </c>
      <c r="I2444">
        <v>79.98</v>
      </c>
      <c r="J2444">
        <v>14.4</v>
      </c>
      <c r="K2444">
        <v>4904.62</v>
      </c>
      <c r="L2444" s="5">
        <v>46280</v>
      </c>
      <c r="M2444" t="s">
        <v>5046</v>
      </c>
      <c r="N2444" t="s">
        <v>207</v>
      </c>
      <c r="O2444" t="s">
        <v>5451</v>
      </c>
      <c r="P2444" t="s">
        <v>208</v>
      </c>
      <c r="Q2444" t="s">
        <v>209</v>
      </c>
    </row>
    <row r="2445" spans="1:17" x14ac:dyDescent="0.3">
      <c r="A2445" t="s">
        <v>5452</v>
      </c>
      <c r="C2445" t="s">
        <v>5453</v>
      </c>
      <c r="D2445" t="s">
        <v>5453</v>
      </c>
      <c r="E2445" s="5">
        <v>46278</v>
      </c>
      <c r="F2445" t="s">
        <v>204</v>
      </c>
      <c r="G2445" t="s">
        <v>213</v>
      </c>
      <c r="H2445">
        <v>5298</v>
      </c>
      <c r="I2445">
        <v>84.77</v>
      </c>
      <c r="J2445">
        <v>15.26</v>
      </c>
      <c r="K2445">
        <v>5197.97</v>
      </c>
      <c r="L2445" s="5">
        <v>46280</v>
      </c>
      <c r="M2445" t="s">
        <v>5046</v>
      </c>
      <c r="N2445" t="s">
        <v>207</v>
      </c>
      <c r="O2445" t="s">
        <v>5453</v>
      </c>
      <c r="P2445" t="s">
        <v>208</v>
      </c>
      <c r="Q2445" t="s">
        <v>209</v>
      </c>
    </row>
    <row r="2446" spans="1:17" x14ac:dyDescent="0.3">
      <c r="A2446" t="s">
        <v>5454</v>
      </c>
      <c r="C2446" t="s">
        <v>5455</v>
      </c>
      <c r="D2446" t="s">
        <v>5455</v>
      </c>
      <c r="E2446" s="5">
        <v>46278</v>
      </c>
      <c r="F2446" t="s">
        <v>204</v>
      </c>
      <c r="G2446" t="s">
        <v>220</v>
      </c>
      <c r="H2446">
        <v>1499</v>
      </c>
      <c r="I2446">
        <v>0</v>
      </c>
      <c r="J2446">
        <v>0</v>
      </c>
      <c r="K2446">
        <v>1499</v>
      </c>
      <c r="L2446" s="5">
        <v>46280</v>
      </c>
      <c r="M2446" t="s">
        <v>5046</v>
      </c>
      <c r="N2446" t="s">
        <v>207</v>
      </c>
      <c r="O2446" t="s">
        <v>5455</v>
      </c>
      <c r="P2446" t="s">
        <v>208</v>
      </c>
      <c r="Q2446" t="s">
        <v>209</v>
      </c>
    </row>
    <row r="2447" spans="1:17" x14ac:dyDescent="0.3">
      <c r="A2447" t="s">
        <v>5456</v>
      </c>
      <c r="C2447" t="s">
        <v>5457</v>
      </c>
      <c r="D2447" t="s">
        <v>5457</v>
      </c>
      <c r="E2447" s="5">
        <v>46278</v>
      </c>
      <c r="F2447" t="s">
        <v>204</v>
      </c>
      <c r="G2447" t="s">
        <v>220</v>
      </c>
      <c r="H2447">
        <v>2998</v>
      </c>
      <c r="I2447">
        <v>8.99</v>
      </c>
      <c r="J2447">
        <v>1.62</v>
      </c>
      <c r="K2447">
        <v>2987.39</v>
      </c>
      <c r="L2447" s="5">
        <v>46280</v>
      </c>
      <c r="M2447" t="s">
        <v>5046</v>
      </c>
      <c r="N2447" t="s">
        <v>207</v>
      </c>
      <c r="O2447" t="s">
        <v>5457</v>
      </c>
      <c r="P2447" t="s">
        <v>208</v>
      </c>
      <c r="Q2447" t="s">
        <v>209</v>
      </c>
    </row>
    <row r="2448" spans="1:17" x14ac:dyDescent="0.3">
      <c r="A2448" t="s">
        <v>5458</v>
      </c>
      <c r="C2448" t="s">
        <v>5459</v>
      </c>
      <c r="D2448" t="s">
        <v>5459</v>
      </c>
      <c r="E2448" s="5">
        <v>46278</v>
      </c>
      <c r="F2448" t="s">
        <v>204</v>
      </c>
      <c r="G2448" t="s">
        <v>213</v>
      </c>
      <c r="H2448">
        <v>4999</v>
      </c>
      <c r="I2448">
        <v>79.98</v>
      </c>
      <c r="J2448">
        <v>14.4</v>
      </c>
      <c r="K2448">
        <v>4904.62</v>
      </c>
      <c r="L2448" s="5">
        <v>46280</v>
      </c>
      <c r="M2448" t="s">
        <v>5046</v>
      </c>
      <c r="N2448" t="s">
        <v>207</v>
      </c>
      <c r="O2448" t="s">
        <v>5459</v>
      </c>
      <c r="P2448" t="s">
        <v>208</v>
      </c>
      <c r="Q2448" t="s">
        <v>209</v>
      </c>
    </row>
    <row r="2449" spans="1:17" x14ac:dyDescent="0.3">
      <c r="A2449" t="s">
        <v>5460</v>
      </c>
      <c r="C2449" t="s">
        <v>5461</v>
      </c>
      <c r="D2449" t="s">
        <v>5461</v>
      </c>
      <c r="E2449" s="5">
        <v>46278</v>
      </c>
      <c r="F2449" t="s">
        <v>204</v>
      </c>
      <c r="G2449" t="s">
        <v>220</v>
      </c>
      <c r="H2449">
        <v>599</v>
      </c>
      <c r="I2449">
        <v>1.8</v>
      </c>
      <c r="J2449">
        <v>0.32</v>
      </c>
      <c r="K2449">
        <v>596.88</v>
      </c>
      <c r="L2449" s="5">
        <v>46280</v>
      </c>
      <c r="M2449" t="s">
        <v>5046</v>
      </c>
      <c r="N2449" t="s">
        <v>207</v>
      </c>
      <c r="O2449" t="s">
        <v>5461</v>
      </c>
      <c r="P2449" t="s">
        <v>208</v>
      </c>
      <c r="Q2449" t="s">
        <v>209</v>
      </c>
    </row>
    <row r="2450" spans="1:17" x14ac:dyDescent="0.3">
      <c r="A2450" t="s">
        <v>5462</v>
      </c>
      <c r="C2450" t="s">
        <v>5463</v>
      </c>
      <c r="D2450" t="s">
        <v>5463</v>
      </c>
      <c r="E2450" s="5">
        <v>46278</v>
      </c>
      <c r="F2450" t="s">
        <v>204</v>
      </c>
      <c r="G2450" t="s">
        <v>220</v>
      </c>
      <c r="H2450">
        <v>5498</v>
      </c>
      <c r="I2450">
        <v>16.489999999999998</v>
      </c>
      <c r="J2450">
        <v>2.97</v>
      </c>
      <c r="K2450">
        <v>5478.54</v>
      </c>
      <c r="L2450" s="5">
        <v>46280</v>
      </c>
      <c r="M2450" t="s">
        <v>5046</v>
      </c>
      <c r="N2450" t="s">
        <v>207</v>
      </c>
      <c r="O2450" t="s">
        <v>5463</v>
      </c>
      <c r="P2450" t="s">
        <v>208</v>
      </c>
      <c r="Q2450" t="s">
        <v>209</v>
      </c>
    </row>
    <row r="2451" spans="1:17" x14ac:dyDescent="0.3">
      <c r="A2451" t="s">
        <v>5464</v>
      </c>
      <c r="C2451" t="s">
        <v>5465</v>
      </c>
      <c r="D2451" t="s">
        <v>5466</v>
      </c>
      <c r="E2451" s="5">
        <v>46278</v>
      </c>
      <c r="F2451" t="s">
        <v>204</v>
      </c>
      <c r="G2451" t="s">
        <v>205</v>
      </c>
      <c r="H2451">
        <v>349</v>
      </c>
      <c r="I2451">
        <v>6.63</v>
      </c>
      <c r="J2451">
        <v>1.19</v>
      </c>
      <c r="K2451">
        <v>341.18</v>
      </c>
      <c r="L2451" s="5">
        <v>46280</v>
      </c>
      <c r="M2451" t="s">
        <v>5046</v>
      </c>
      <c r="N2451" t="s">
        <v>207</v>
      </c>
      <c r="O2451" t="s">
        <v>5466</v>
      </c>
      <c r="P2451" t="s">
        <v>208</v>
      </c>
      <c r="Q2451" t="s">
        <v>209</v>
      </c>
    </row>
    <row r="2452" spans="1:17" x14ac:dyDescent="0.3">
      <c r="A2452" t="s">
        <v>5467</v>
      </c>
      <c r="C2452" t="s">
        <v>5468</v>
      </c>
      <c r="D2452" t="s">
        <v>5468</v>
      </c>
      <c r="E2452" s="5">
        <v>46278</v>
      </c>
      <c r="F2452" t="s">
        <v>204</v>
      </c>
      <c r="G2452" t="s">
        <v>220</v>
      </c>
      <c r="H2452">
        <v>8297</v>
      </c>
      <c r="I2452">
        <v>24.89</v>
      </c>
      <c r="J2452">
        <v>4.4800000000000004</v>
      </c>
      <c r="K2452">
        <v>8267.6299999999992</v>
      </c>
      <c r="L2452" s="5">
        <v>46280</v>
      </c>
      <c r="M2452" t="s">
        <v>5046</v>
      </c>
      <c r="N2452" t="s">
        <v>207</v>
      </c>
      <c r="O2452" t="s">
        <v>5468</v>
      </c>
      <c r="P2452" t="s">
        <v>208</v>
      </c>
      <c r="Q2452" t="s">
        <v>209</v>
      </c>
    </row>
    <row r="2453" spans="1:17" x14ac:dyDescent="0.3">
      <c r="A2453" t="s">
        <v>5469</v>
      </c>
      <c r="C2453" t="s">
        <v>5470</v>
      </c>
      <c r="D2453" t="s">
        <v>5470</v>
      </c>
      <c r="E2453" s="5">
        <v>46278</v>
      </c>
      <c r="F2453" t="s">
        <v>204</v>
      </c>
      <c r="G2453" t="s">
        <v>220</v>
      </c>
      <c r="H2453">
        <v>499</v>
      </c>
      <c r="I2453">
        <v>0</v>
      </c>
      <c r="J2453">
        <v>0</v>
      </c>
      <c r="K2453">
        <v>499</v>
      </c>
      <c r="L2453" s="5">
        <v>46280</v>
      </c>
      <c r="M2453" t="s">
        <v>5046</v>
      </c>
      <c r="N2453" t="s">
        <v>207</v>
      </c>
      <c r="O2453" t="s">
        <v>5470</v>
      </c>
      <c r="P2453" t="s">
        <v>208</v>
      </c>
      <c r="Q2453" t="s">
        <v>209</v>
      </c>
    </row>
    <row r="2454" spans="1:17" x14ac:dyDescent="0.3">
      <c r="A2454" t="s">
        <v>5471</v>
      </c>
      <c r="C2454" t="s">
        <v>5472</v>
      </c>
      <c r="D2454" t="s">
        <v>5472</v>
      </c>
      <c r="E2454" s="5">
        <v>46278</v>
      </c>
      <c r="F2454" t="s">
        <v>204</v>
      </c>
      <c r="G2454" t="s">
        <v>213</v>
      </c>
      <c r="H2454">
        <v>10497</v>
      </c>
      <c r="I2454">
        <v>167.95</v>
      </c>
      <c r="J2454">
        <v>30.23</v>
      </c>
      <c r="K2454">
        <v>10298.82</v>
      </c>
      <c r="L2454" s="5">
        <v>46280</v>
      </c>
      <c r="M2454" t="s">
        <v>5046</v>
      </c>
      <c r="N2454" t="s">
        <v>207</v>
      </c>
      <c r="O2454" t="s">
        <v>5472</v>
      </c>
      <c r="P2454" t="s">
        <v>208</v>
      </c>
      <c r="Q2454" t="s">
        <v>209</v>
      </c>
    </row>
    <row r="2455" spans="1:17" x14ac:dyDescent="0.3">
      <c r="A2455" t="s">
        <v>5473</v>
      </c>
      <c r="C2455" t="s">
        <v>5474</v>
      </c>
      <c r="D2455" t="s">
        <v>5474</v>
      </c>
      <c r="E2455" s="5">
        <v>46278</v>
      </c>
      <c r="F2455" t="s">
        <v>204</v>
      </c>
      <c r="G2455" t="s">
        <v>220</v>
      </c>
      <c r="H2455">
        <v>2499</v>
      </c>
      <c r="I2455">
        <v>7.5</v>
      </c>
      <c r="J2455">
        <v>1.35</v>
      </c>
      <c r="K2455">
        <v>2490.15</v>
      </c>
      <c r="L2455" s="5">
        <v>46280</v>
      </c>
      <c r="M2455" t="s">
        <v>5046</v>
      </c>
      <c r="N2455" t="s">
        <v>207</v>
      </c>
      <c r="O2455" t="s">
        <v>5474</v>
      </c>
      <c r="P2455" t="s">
        <v>208</v>
      </c>
      <c r="Q2455" t="s">
        <v>209</v>
      </c>
    </row>
    <row r="2456" spans="1:17" x14ac:dyDescent="0.3">
      <c r="A2456" t="s">
        <v>5475</v>
      </c>
      <c r="C2456" t="s">
        <v>5476</v>
      </c>
      <c r="D2456" t="s">
        <v>5476</v>
      </c>
      <c r="E2456" s="5">
        <v>46278</v>
      </c>
      <c r="F2456" t="s">
        <v>204</v>
      </c>
      <c r="G2456" t="s">
        <v>205</v>
      </c>
      <c r="H2456">
        <v>3299</v>
      </c>
      <c r="I2456">
        <v>56.08</v>
      </c>
      <c r="J2456">
        <v>10.09</v>
      </c>
      <c r="K2456">
        <v>3232.83</v>
      </c>
      <c r="L2456" s="5">
        <v>46280</v>
      </c>
      <c r="M2456" t="s">
        <v>5046</v>
      </c>
      <c r="N2456" t="s">
        <v>207</v>
      </c>
      <c r="O2456" t="s">
        <v>5476</v>
      </c>
      <c r="P2456" t="s">
        <v>208</v>
      </c>
      <c r="Q2456" t="s">
        <v>209</v>
      </c>
    </row>
    <row r="2457" spans="1:17" x14ac:dyDescent="0.3">
      <c r="A2457" t="s">
        <v>5477</v>
      </c>
      <c r="C2457" t="s">
        <v>5478</v>
      </c>
      <c r="D2457" t="s">
        <v>5478</v>
      </c>
      <c r="E2457" s="5">
        <v>46278</v>
      </c>
      <c r="F2457" t="s">
        <v>204</v>
      </c>
      <c r="G2457" t="s">
        <v>213</v>
      </c>
      <c r="H2457">
        <v>5998</v>
      </c>
      <c r="I2457">
        <v>95.97</v>
      </c>
      <c r="J2457">
        <v>17.27</v>
      </c>
      <c r="K2457">
        <v>5884.76</v>
      </c>
      <c r="L2457" s="5">
        <v>46280</v>
      </c>
      <c r="M2457" t="s">
        <v>5046</v>
      </c>
      <c r="N2457" t="s">
        <v>207</v>
      </c>
      <c r="O2457" t="s">
        <v>5478</v>
      </c>
      <c r="P2457" t="s">
        <v>208</v>
      </c>
      <c r="Q2457" t="s">
        <v>209</v>
      </c>
    </row>
    <row r="2458" spans="1:17" x14ac:dyDescent="0.3">
      <c r="A2458" t="s">
        <v>5479</v>
      </c>
      <c r="C2458" t="s">
        <v>5480</v>
      </c>
      <c r="D2458" t="s">
        <v>5480</v>
      </c>
      <c r="E2458" s="5">
        <v>46278</v>
      </c>
      <c r="F2458" t="s">
        <v>204</v>
      </c>
      <c r="G2458" t="s">
        <v>220</v>
      </c>
      <c r="H2458">
        <v>799</v>
      </c>
      <c r="I2458">
        <v>0</v>
      </c>
      <c r="J2458">
        <v>0</v>
      </c>
      <c r="K2458">
        <v>799</v>
      </c>
      <c r="L2458" s="5">
        <v>46280</v>
      </c>
      <c r="M2458" t="s">
        <v>5046</v>
      </c>
      <c r="N2458" t="s">
        <v>207</v>
      </c>
      <c r="O2458" t="s">
        <v>5480</v>
      </c>
      <c r="P2458" t="s">
        <v>208</v>
      </c>
      <c r="Q2458" t="s">
        <v>209</v>
      </c>
    </row>
    <row r="2459" spans="1:17" x14ac:dyDescent="0.3">
      <c r="A2459" t="s">
        <v>5481</v>
      </c>
      <c r="C2459" t="s">
        <v>5480</v>
      </c>
      <c r="D2459" t="s">
        <v>5480</v>
      </c>
      <c r="E2459" s="5">
        <v>46278</v>
      </c>
      <c r="F2459" t="s">
        <v>204</v>
      </c>
      <c r="G2459" t="s">
        <v>220</v>
      </c>
      <c r="H2459">
        <v>799</v>
      </c>
      <c r="I2459">
        <v>0</v>
      </c>
      <c r="J2459">
        <v>0</v>
      </c>
      <c r="K2459">
        <v>799</v>
      </c>
      <c r="L2459" s="5">
        <v>46280</v>
      </c>
      <c r="M2459" t="s">
        <v>5046</v>
      </c>
      <c r="N2459" t="s">
        <v>207</v>
      </c>
      <c r="O2459" t="s">
        <v>5480</v>
      </c>
      <c r="P2459" t="s">
        <v>208</v>
      </c>
      <c r="Q2459" t="s">
        <v>209</v>
      </c>
    </row>
    <row r="2460" spans="1:17" x14ac:dyDescent="0.3">
      <c r="A2460" t="s">
        <v>5482</v>
      </c>
      <c r="C2460" t="s">
        <v>5483</v>
      </c>
      <c r="D2460" t="s">
        <v>5484</v>
      </c>
      <c r="E2460" s="5">
        <v>46278</v>
      </c>
      <c r="F2460" t="s">
        <v>204</v>
      </c>
      <c r="G2460" t="s">
        <v>205</v>
      </c>
      <c r="H2460">
        <v>1298</v>
      </c>
      <c r="I2460">
        <v>24.66</v>
      </c>
      <c r="J2460">
        <v>4.4400000000000004</v>
      </c>
      <c r="K2460">
        <v>1268.9000000000001</v>
      </c>
      <c r="L2460" s="5">
        <v>46280</v>
      </c>
      <c r="M2460" t="s">
        <v>5046</v>
      </c>
      <c r="N2460" t="s">
        <v>207</v>
      </c>
      <c r="O2460" t="s">
        <v>5484</v>
      </c>
      <c r="P2460" t="s">
        <v>208</v>
      </c>
      <c r="Q2460" t="s">
        <v>209</v>
      </c>
    </row>
    <row r="2461" spans="1:17" x14ac:dyDescent="0.3">
      <c r="A2461" t="s">
        <v>5485</v>
      </c>
      <c r="C2461" t="s">
        <v>5486</v>
      </c>
      <c r="D2461" t="s">
        <v>5486</v>
      </c>
      <c r="E2461" s="5">
        <v>46278</v>
      </c>
      <c r="F2461" t="s">
        <v>204</v>
      </c>
      <c r="G2461" t="s">
        <v>220</v>
      </c>
      <c r="H2461">
        <v>999</v>
      </c>
      <c r="I2461">
        <v>0</v>
      </c>
      <c r="J2461">
        <v>0</v>
      </c>
      <c r="K2461">
        <v>999</v>
      </c>
      <c r="L2461" s="5">
        <v>46280</v>
      </c>
      <c r="M2461" t="s">
        <v>5046</v>
      </c>
      <c r="N2461" t="s">
        <v>207</v>
      </c>
      <c r="O2461" t="s">
        <v>5486</v>
      </c>
      <c r="P2461" t="s">
        <v>208</v>
      </c>
      <c r="Q2461" t="s">
        <v>209</v>
      </c>
    </row>
    <row r="2462" spans="1:17" x14ac:dyDescent="0.3">
      <c r="A2462" t="s">
        <v>5487</v>
      </c>
      <c r="C2462" t="s">
        <v>5488</v>
      </c>
      <c r="D2462" t="s">
        <v>5488</v>
      </c>
      <c r="E2462" s="5">
        <v>46278</v>
      </c>
      <c r="F2462" t="s">
        <v>204</v>
      </c>
      <c r="G2462" t="s">
        <v>220</v>
      </c>
      <c r="H2462">
        <v>599</v>
      </c>
      <c r="I2462">
        <v>0</v>
      </c>
      <c r="J2462">
        <v>0</v>
      </c>
      <c r="K2462">
        <v>599</v>
      </c>
      <c r="L2462" s="5">
        <v>46280</v>
      </c>
      <c r="M2462" t="s">
        <v>5046</v>
      </c>
      <c r="N2462" t="s">
        <v>207</v>
      </c>
      <c r="O2462" t="s">
        <v>5488</v>
      </c>
      <c r="P2462" t="s">
        <v>208</v>
      </c>
      <c r="Q2462" t="s">
        <v>209</v>
      </c>
    </row>
    <row r="2463" spans="1:17" x14ac:dyDescent="0.3">
      <c r="A2463" t="s">
        <v>5489</v>
      </c>
      <c r="C2463" t="s">
        <v>5490</v>
      </c>
      <c r="D2463" t="s">
        <v>5490</v>
      </c>
      <c r="E2463" s="5">
        <v>46278</v>
      </c>
      <c r="F2463" t="s">
        <v>204</v>
      </c>
      <c r="G2463" t="s">
        <v>205</v>
      </c>
      <c r="H2463">
        <v>4999</v>
      </c>
      <c r="I2463">
        <v>84.98</v>
      </c>
      <c r="J2463">
        <v>15.3</v>
      </c>
      <c r="K2463">
        <v>4898.72</v>
      </c>
      <c r="L2463" s="5">
        <v>46280</v>
      </c>
      <c r="M2463" t="s">
        <v>5046</v>
      </c>
      <c r="N2463" t="s">
        <v>207</v>
      </c>
      <c r="O2463" t="s">
        <v>5490</v>
      </c>
      <c r="P2463" t="s">
        <v>208</v>
      </c>
      <c r="Q2463" t="s">
        <v>209</v>
      </c>
    </row>
    <row r="2464" spans="1:17" x14ac:dyDescent="0.3">
      <c r="A2464" t="s">
        <v>5491</v>
      </c>
      <c r="C2464" t="s">
        <v>5492</v>
      </c>
      <c r="D2464" t="s">
        <v>5492</v>
      </c>
      <c r="E2464" s="5">
        <v>46278</v>
      </c>
      <c r="F2464" t="s">
        <v>204</v>
      </c>
      <c r="G2464" t="s">
        <v>213</v>
      </c>
      <c r="H2464">
        <v>6998</v>
      </c>
      <c r="I2464">
        <v>111.97</v>
      </c>
      <c r="J2464">
        <v>20.149999999999999</v>
      </c>
      <c r="K2464">
        <v>6865.88</v>
      </c>
      <c r="L2464" s="5">
        <v>46280</v>
      </c>
      <c r="M2464" t="s">
        <v>5046</v>
      </c>
      <c r="N2464" t="s">
        <v>207</v>
      </c>
      <c r="O2464" t="s">
        <v>5492</v>
      </c>
      <c r="P2464" t="s">
        <v>208</v>
      </c>
      <c r="Q2464" t="s">
        <v>209</v>
      </c>
    </row>
    <row r="2465" spans="1:17" x14ac:dyDescent="0.3">
      <c r="A2465" t="s">
        <v>5493</v>
      </c>
      <c r="C2465" t="s">
        <v>5494</v>
      </c>
      <c r="D2465" t="s">
        <v>5494</v>
      </c>
      <c r="E2465" s="5">
        <v>46278</v>
      </c>
      <c r="F2465" t="s">
        <v>204</v>
      </c>
      <c r="G2465" t="s">
        <v>220</v>
      </c>
      <c r="H2465">
        <v>4999</v>
      </c>
      <c r="I2465">
        <v>15</v>
      </c>
      <c r="J2465">
        <v>2.7</v>
      </c>
      <c r="K2465">
        <v>4981.3</v>
      </c>
      <c r="L2465" s="5">
        <v>46280</v>
      </c>
      <c r="M2465" t="s">
        <v>5046</v>
      </c>
      <c r="N2465" t="s">
        <v>207</v>
      </c>
      <c r="O2465" t="s">
        <v>5494</v>
      </c>
      <c r="P2465" t="s">
        <v>208</v>
      </c>
      <c r="Q2465" t="s">
        <v>209</v>
      </c>
    </row>
    <row r="2466" spans="1:17" x14ac:dyDescent="0.3">
      <c r="A2466" t="s">
        <v>5495</v>
      </c>
      <c r="C2466" t="s">
        <v>5496</v>
      </c>
      <c r="D2466" t="s">
        <v>5496</v>
      </c>
      <c r="E2466" s="5">
        <v>46278</v>
      </c>
      <c r="F2466" t="s">
        <v>204</v>
      </c>
      <c r="G2466" t="s">
        <v>220</v>
      </c>
      <c r="H2466">
        <v>2999</v>
      </c>
      <c r="I2466">
        <v>9</v>
      </c>
      <c r="J2466">
        <v>1.62</v>
      </c>
      <c r="K2466">
        <v>2988.38</v>
      </c>
      <c r="L2466" s="5">
        <v>46280</v>
      </c>
      <c r="M2466" t="s">
        <v>5046</v>
      </c>
      <c r="N2466" t="s">
        <v>207</v>
      </c>
      <c r="O2466" t="s">
        <v>5496</v>
      </c>
      <c r="P2466" t="s">
        <v>208</v>
      </c>
      <c r="Q2466" t="s">
        <v>209</v>
      </c>
    </row>
    <row r="2467" spans="1:17" x14ac:dyDescent="0.3">
      <c r="A2467" t="s">
        <v>5497</v>
      </c>
      <c r="C2467" t="s">
        <v>5498</v>
      </c>
      <c r="D2467" t="s">
        <v>5498</v>
      </c>
      <c r="E2467" s="5">
        <v>46278</v>
      </c>
      <c r="F2467" t="s">
        <v>204</v>
      </c>
      <c r="G2467" t="s">
        <v>220</v>
      </c>
      <c r="H2467">
        <v>2147</v>
      </c>
      <c r="I2467">
        <v>6.44</v>
      </c>
      <c r="J2467">
        <v>1.1599999999999999</v>
      </c>
      <c r="K2467">
        <v>2139.4</v>
      </c>
      <c r="L2467" s="5">
        <v>46280</v>
      </c>
      <c r="M2467" t="s">
        <v>5046</v>
      </c>
      <c r="N2467" t="s">
        <v>207</v>
      </c>
      <c r="O2467" t="s">
        <v>5498</v>
      </c>
      <c r="P2467" t="s">
        <v>208</v>
      </c>
      <c r="Q2467" t="s">
        <v>209</v>
      </c>
    </row>
    <row r="2468" spans="1:17" x14ac:dyDescent="0.3">
      <c r="A2468" t="s">
        <v>5499</v>
      </c>
      <c r="C2468" t="s">
        <v>5500</v>
      </c>
      <c r="D2468" t="s">
        <v>5500</v>
      </c>
      <c r="E2468" s="5">
        <v>46278</v>
      </c>
      <c r="F2468" t="s">
        <v>204</v>
      </c>
      <c r="G2468" t="s">
        <v>220</v>
      </c>
      <c r="H2468">
        <v>4897</v>
      </c>
      <c r="I2468">
        <v>14.69</v>
      </c>
      <c r="J2468">
        <v>2.64</v>
      </c>
      <c r="K2468">
        <v>4879.67</v>
      </c>
      <c r="L2468" s="5">
        <v>46280</v>
      </c>
      <c r="M2468" t="s">
        <v>5046</v>
      </c>
      <c r="N2468" t="s">
        <v>207</v>
      </c>
      <c r="O2468" t="s">
        <v>5500</v>
      </c>
      <c r="P2468" t="s">
        <v>208</v>
      </c>
      <c r="Q2468" t="s">
        <v>209</v>
      </c>
    </row>
    <row r="2469" spans="1:17" x14ac:dyDescent="0.3">
      <c r="A2469" t="s">
        <v>5501</v>
      </c>
      <c r="C2469" t="s">
        <v>5502</v>
      </c>
      <c r="D2469" t="s">
        <v>5502</v>
      </c>
      <c r="E2469" s="5">
        <v>46278</v>
      </c>
      <c r="F2469" t="s">
        <v>204</v>
      </c>
      <c r="G2469" t="s">
        <v>213</v>
      </c>
      <c r="H2469">
        <v>4999</v>
      </c>
      <c r="I2469">
        <v>79.98</v>
      </c>
      <c r="J2469">
        <v>14.4</v>
      </c>
      <c r="K2469">
        <v>4904.62</v>
      </c>
      <c r="L2469" s="5">
        <v>46280</v>
      </c>
      <c r="M2469" t="s">
        <v>5046</v>
      </c>
      <c r="N2469" t="s">
        <v>207</v>
      </c>
      <c r="O2469" t="s">
        <v>5502</v>
      </c>
      <c r="P2469" t="s">
        <v>208</v>
      </c>
      <c r="Q2469" t="s">
        <v>209</v>
      </c>
    </row>
    <row r="2470" spans="1:17" x14ac:dyDescent="0.3">
      <c r="A2470" t="s">
        <v>5503</v>
      </c>
      <c r="B2470" t="s">
        <v>4061</v>
      </c>
      <c r="E2470" s="5">
        <v>46278</v>
      </c>
      <c r="F2470" t="s">
        <v>921</v>
      </c>
      <c r="G2470" t="s">
        <v>213</v>
      </c>
      <c r="H2470">
        <v>3499</v>
      </c>
      <c r="I2470">
        <v>0</v>
      </c>
      <c r="J2470">
        <v>0</v>
      </c>
      <c r="K2470">
        <v>-3499</v>
      </c>
      <c r="L2470" s="5">
        <v>46280</v>
      </c>
      <c r="M2470" t="s">
        <v>5046</v>
      </c>
      <c r="N2470" t="s">
        <v>207</v>
      </c>
      <c r="O2470" t="s">
        <v>4062</v>
      </c>
      <c r="P2470" t="s">
        <v>208</v>
      </c>
    </row>
    <row r="2471" spans="1:17" x14ac:dyDescent="0.3">
      <c r="A2471" t="s">
        <v>5504</v>
      </c>
      <c r="B2471" t="s">
        <v>4582</v>
      </c>
      <c r="E2471" s="5">
        <v>46278</v>
      </c>
      <c r="F2471" t="s">
        <v>921</v>
      </c>
      <c r="G2471" t="s">
        <v>220</v>
      </c>
      <c r="H2471">
        <v>1799</v>
      </c>
      <c r="I2471">
        <v>0</v>
      </c>
      <c r="J2471">
        <v>0</v>
      </c>
      <c r="K2471">
        <v>-1799</v>
      </c>
      <c r="L2471" s="5">
        <v>46280</v>
      </c>
      <c r="M2471" t="s">
        <v>5046</v>
      </c>
      <c r="N2471" t="s">
        <v>207</v>
      </c>
      <c r="O2471" t="s">
        <v>4583</v>
      </c>
      <c r="P2471" t="s">
        <v>208</v>
      </c>
    </row>
    <row r="2472" spans="1:17" x14ac:dyDescent="0.3">
      <c r="A2472" t="s">
        <v>5505</v>
      </c>
      <c r="B2472" t="s">
        <v>4804</v>
      </c>
      <c r="E2472" s="5">
        <v>46278</v>
      </c>
      <c r="F2472" t="s">
        <v>921</v>
      </c>
      <c r="G2472" t="s">
        <v>220</v>
      </c>
      <c r="H2472">
        <v>999</v>
      </c>
      <c r="I2472">
        <v>0</v>
      </c>
      <c r="J2472">
        <v>0</v>
      </c>
      <c r="K2472">
        <v>-999</v>
      </c>
      <c r="L2472" s="5">
        <v>46280</v>
      </c>
      <c r="M2472" t="s">
        <v>5046</v>
      </c>
      <c r="N2472" t="s">
        <v>207</v>
      </c>
      <c r="O2472" t="s">
        <v>4805</v>
      </c>
      <c r="P2472" t="s">
        <v>208</v>
      </c>
    </row>
    <row r="2473" spans="1:17" x14ac:dyDescent="0.3">
      <c r="A2473" t="s">
        <v>5506</v>
      </c>
      <c r="B2473" t="s">
        <v>3932</v>
      </c>
      <c r="E2473" s="5">
        <v>46278</v>
      </c>
      <c r="F2473" t="s">
        <v>921</v>
      </c>
      <c r="G2473" t="s">
        <v>213</v>
      </c>
      <c r="H2473">
        <v>948</v>
      </c>
      <c r="I2473">
        <v>0</v>
      </c>
      <c r="J2473">
        <v>0</v>
      </c>
      <c r="K2473">
        <v>-948</v>
      </c>
      <c r="L2473" s="5">
        <v>46280</v>
      </c>
      <c r="M2473" t="s">
        <v>5046</v>
      </c>
      <c r="N2473" t="s">
        <v>207</v>
      </c>
      <c r="O2473" t="s">
        <v>3933</v>
      </c>
      <c r="P2473" t="s">
        <v>208</v>
      </c>
    </row>
    <row r="2474" spans="1:17" x14ac:dyDescent="0.3">
      <c r="A2474" t="s">
        <v>5507</v>
      </c>
      <c r="B2474" t="s">
        <v>3257</v>
      </c>
      <c r="E2474" s="5">
        <v>46278</v>
      </c>
      <c r="F2474" t="s">
        <v>921</v>
      </c>
      <c r="G2474" t="s">
        <v>220</v>
      </c>
      <c r="H2474">
        <v>799</v>
      </c>
      <c r="I2474">
        <v>0</v>
      </c>
      <c r="J2474">
        <v>0</v>
      </c>
      <c r="K2474">
        <v>-799</v>
      </c>
      <c r="L2474" s="5">
        <v>46280</v>
      </c>
      <c r="M2474" t="s">
        <v>5046</v>
      </c>
      <c r="N2474" t="s">
        <v>207</v>
      </c>
      <c r="O2474" t="s">
        <v>3258</v>
      </c>
      <c r="P2474" t="s">
        <v>208</v>
      </c>
    </row>
    <row r="2475" spans="1:17" x14ac:dyDescent="0.3">
      <c r="A2475" t="s">
        <v>5508</v>
      </c>
      <c r="B2475" t="s">
        <v>3484</v>
      </c>
      <c r="E2475" s="5">
        <v>46278</v>
      </c>
      <c r="F2475" t="s">
        <v>921</v>
      </c>
      <c r="G2475" t="s">
        <v>213</v>
      </c>
      <c r="H2475">
        <v>999</v>
      </c>
      <c r="I2475">
        <v>0</v>
      </c>
      <c r="J2475">
        <v>0</v>
      </c>
      <c r="K2475">
        <v>-999</v>
      </c>
      <c r="L2475" s="5">
        <v>46280</v>
      </c>
      <c r="M2475" t="s">
        <v>5046</v>
      </c>
      <c r="N2475" t="s">
        <v>207</v>
      </c>
      <c r="O2475" t="s">
        <v>3485</v>
      </c>
      <c r="P2475" t="s">
        <v>208</v>
      </c>
    </row>
    <row r="2476" spans="1:17" x14ac:dyDescent="0.3">
      <c r="A2476" t="s">
        <v>5509</v>
      </c>
      <c r="B2476" t="s">
        <v>3954</v>
      </c>
      <c r="E2476" s="5">
        <v>46278</v>
      </c>
      <c r="F2476" t="s">
        <v>921</v>
      </c>
      <c r="G2476" t="s">
        <v>213</v>
      </c>
      <c r="H2476">
        <v>2147</v>
      </c>
      <c r="I2476">
        <v>0</v>
      </c>
      <c r="J2476">
        <v>0</v>
      </c>
      <c r="K2476">
        <v>-2147</v>
      </c>
      <c r="L2476" s="5">
        <v>46280</v>
      </c>
      <c r="M2476" t="s">
        <v>5046</v>
      </c>
      <c r="N2476" t="s">
        <v>207</v>
      </c>
      <c r="O2476" t="s">
        <v>3955</v>
      </c>
      <c r="P2476" t="s">
        <v>208</v>
      </c>
    </row>
    <row r="2477" spans="1:17" x14ac:dyDescent="0.3">
      <c r="A2477" t="s">
        <v>5510</v>
      </c>
      <c r="B2477" t="s">
        <v>3945</v>
      </c>
      <c r="E2477" s="5">
        <v>46278</v>
      </c>
      <c r="F2477" t="s">
        <v>921</v>
      </c>
      <c r="G2477" t="s">
        <v>220</v>
      </c>
      <c r="H2477">
        <v>3098</v>
      </c>
      <c r="I2477">
        <v>0</v>
      </c>
      <c r="J2477">
        <v>0</v>
      </c>
      <c r="K2477">
        <v>-3098</v>
      </c>
      <c r="L2477" s="5">
        <v>46280</v>
      </c>
      <c r="M2477" t="s">
        <v>5046</v>
      </c>
      <c r="N2477" t="s">
        <v>207</v>
      </c>
      <c r="O2477" t="s">
        <v>3947</v>
      </c>
      <c r="P2477" t="s">
        <v>208</v>
      </c>
    </row>
    <row r="2478" spans="1:17" x14ac:dyDescent="0.3">
      <c r="A2478" t="s">
        <v>5511</v>
      </c>
      <c r="B2478" t="s">
        <v>4785</v>
      </c>
      <c r="E2478" s="5">
        <v>46278</v>
      </c>
      <c r="F2478" t="s">
        <v>921</v>
      </c>
      <c r="G2478" t="s">
        <v>205</v>
      </c>
      <c r="H2478">
        <v>2298</v>
      </c>
      <c r="I2478">
        <v>0</v>
      </c>
      <c r="J2478">
        <v>0</v>
      </c>
      <c r="K2478">
        <v>-2298</v>
      </c>
      <c r="L2478" s="5">
        <v>46280</v>
      </c>
      <c r="M2478" t="s">
        <v>5046</v>
      </c>
      <c r="N2478" t="s">
        <v>207</v>
      </c>
      <c r="O2478" t="s">
        <v>4786</v>
      </c>
      <c r="P2478" t="s">
        <v>208</v>
      </c>
    </row>
    <row r="2479" spans="1:17" x14ac:dyDescent="0.3">
      <c r="A2479" t="s">
        <v>5512</v>
      </c>
      <c r="B2479" t="s">
        <v>2768</v>
      </c>
      <c r="E2479" s="5">
        <v>46278</v>
      </c>
      <c r="F2479" t="s">
        <v>921</v>
      </c>
      <c r="G2479" t="s">
        <v>213</v>
      </c>
      <c r="H2479">
        <v>1799</v>
      </c>
      <c r="I2479">
        <v>0</v>
      </c>
      <c r="J2479">
        <v>0</v>
      </c>
      <c r="K2479">
        <v>-1799</v>
      </c>
      <c r="L2479" s="5">
        <v>46280</v>
      </c>
      <c r="M2479" t="s">
        <v>5046</v>
      </c>
      <c r="N2479" t="s">
        <v>207</v>
      </c>
      <c r="O2479" t="s">
        <v>2769</v>
      </c>
      <c r="P2479" t="s">
        <v>208</v>
      </c>
    </row>
    <row r="2480" spans="1:17" x14ac:dyDescent="0.3">
      <c r="A2480" t="s">
        <v>5513</v>
      </c>
      <c r="B2480" t="s">
        <v>2756</v>
      </c>
      <c r="E2480" s="5">
        <v>46278</v>
      </c>
      <c r="F2480" t="s">
        <v>921</v>
      </c>
      <c r="G2480" t="s">
        <v>213</v>
      </c>
      <c r="H2480">
        <v>5348</v>
      </c>
      <c r="I2480">
        <v>0</v>
      </c>
      <c r="J2480">
        <v>0</v>
      </c>
      <c r="K2480">
        <v>-5348</v>
      </c>
      <c r="L2480" s="5">
        <v>46280</v>
      </c>
      <c r="M2480" t="s">
        <v>5046</v>
      </c>
      <c r="N2480" t="s">
        <v>207</v>
      </c>
      <c r="O2480" t="s">
        <v>2757</v>
      </c>
      <c r="P2480" t="s">
        <v>208</v>
      </c>
    </row>
    <row r="2481" spans="1:17" x14ac:dyDescent="0.3">
      <c r="A2481" t="s">
        <v>5514</v>
      </c>
      <c r="C2481" t="s">
        <v>5515</v>
      </c>
      <c r="D2481" t="s">
        <v>5515</v>
      </c>
      <c r="E2481" s="5">
        <v>46279</v>
      </c>
      <c r="F2481" t="s">
        <v>204</v>
      </c>
      <c r="G2481" t="s">
        <v>213</v>
      </c>
      <c r="H2481">
        <v>9498</v>
      </c>
      <c r="I2481">
        <v>151.97</v>
      </c>
      <c r="J2481">
        <v>27.35</v>
      </c>
      <c r="K2481">
        <v>9318.68</v>
      </c>
      <c r="L2481" s="5">
        <v>46281</v>
      </c>
      <c r="M2481" t="s">
        <v>5516</v>
      </c>
      <c r="N2481" t="s">
        <v>207</v>
      </c>
      <c r="O2481" t="s">
        <v>5515</v>
      </c>
      <c r="P2481" t="s">
        <v>208</v>
      </c>
      <c r="Q2481" t="s">
        <v>209</v>
      </c>
    </row>
    <row r="2482" spans="1:17" x14ac:dyDescent="0.3">
      <c r="A2482" t="s">
        <v>5517</v>
      </c>
      <c r="C2482" t="s">
        <v>5518</v>
      </c>
      <c r="D2482" t="s">
        <v>5518</v>
      </c>
      <c r="E2482" s="5">
        <v>46279</v>
      </c>
      <c r="F2482" t="s">
        <v>204</v>
      </c>
      <c r="G2482" t="s">
        <v>220</v>
      </c>
      <c r="H2482">
        <v>1799</v>
      </c>
      <c r="I2482">
        <v>0</v>
      </c>
      <c r="J2482">
        <v>0</v>
      </c>
      <c r="K2482">
        <v>1799</v>
      </c>
      <c r="L2482" s="5">
        <v>46281</v>
      </c>
      <c r="M2482" t="s">
        <v>5516</v>
      </c>
      <c r="N2482" t="s">
        <v>207</v>
      </c>
      <c r="O2482" t="s">
        <v>5518</v>
      </c>
      <c r="P2482" t="s">
        <v>208</v>
      </c>
      <c r="Q2482" t="s">
        <v>209</v>
      </c>
    </row>
    <row r="2483" spans="1:17" x14ac:dyDescent="0.3">
      <c r="A2483" t="s">
        <v>5519</v>
      </c>
      <c r="C2483" t="s">
        <v>5520</v>
      </c>
      <c r="D2483" t="s">
        <v>5521</v>
      </c>
      <c r="E2483" s="5">
        <v>46279</v>
      </c>
      <c r="F2483" t="s">
        <v>204</v>
      </c>
      <c r="G2483" t="s">
        <v>205</v>
      </c>
      <c r="H2483">
        <v>599</v>
      </c>
      <c r="I2483">
        <v>11.38</v>
      </c>
      <c r="J2483">
        <v>2.0499999999999998</v>
      </c>
      <c r="K2483">
        <v>585.57000000000005</v>
      </c>
      <c r="L2483" s="5">
        <v>46281</v>
      </c>
      <c r="M2483" t="s">
        <v>5516</v>
      </c>
      <c r="N2483" t="s">
        <v>207</v>
      </c>
      <c r="O2483" t="s">
        <v>5521</v>
      </c>
      <c r="P2483" t="s">
        <v>208</v>
      </c>
      <c r="Q2483" t="s">
        <v>209</v>
      </c>
    </row>
    <row r="2484" spans="1:17" x14ac:dyDescent="0.3">
      <c r="A2484" t="s">
        <v>5522</v>
      </c>
      <c r="C2484" t="s">
        <v>5523</v>
      </c>
      <c r="D2484" t="s">
        <v>5523</v>
      </c>
      <c r="E2484" s="5">
        <v>46279</v>
      </c>
      <c r="F2484" t="s">
        <v>204</v>
      </c>
      <c r="G2484" t="s">
        <v>255</v>
      </c>
      <c r="H2484">
        <v>4999</v>
      </c>
      <c r="I2484">
        <v>59.99</v>
      </c>
      <c r="J2484">
        <v>10.8</v>
      </c>
      <c r="K2484">
        <v>4928.21</v>
      </c>
      <c r="L2484" s="5">
        <v>46281</v>
      </c>
      <c r="M2484" t="s">
        <v>5516</v>
      </c>
      <c r="N2484" t="s">
        <v>207</v>
      </c>
      <c r="O2484" t="s">
        <v>5523</v>
      </c>
      <c r="P2484" t="s">
        <v>208</v>
      </c>
      <c r="Q2484" t="s">
        <v>209</v>
      </c>
    </row>
    <row r="2485" spans="1:17" x14ac:dyDescent="0.3">
      <c r="A2485" t="s">
        <v>5524</v>
      </c>
      <c r="C2485" t="s">
        <v>5525</v>
      </c>
      <c r="D2485" t="s">
        <v>5525</v>
      </c>
      <c r="E2485" s="5">
        <v>46279</v>
      </c>
      <c r="F2485" t="s">
        <v>204</v>
      </c>
      <c r="G2485" t="s">
        <v>220</v>
      </c>
      <c r="H2485">
        <v>3848</v>
      </c>
      <c r="I2485">
        <v>11.54</v>
      </c>
      <c r="J2485">
        <v>2.08</v>
      </c>
      <c r="K2485">
        <v>3834.38</v>
      </c>
      <c r="L2485" s="5">
        <v>46281</v>
      </c>
      <c r="M2485" t="s">
        <v>5516</v>
      </c>
      <c r="N2485" t="s">
        <v>207</v>
      </c>
      <c r="O2485" t="s">
        <v>5525</v>
      </c>
      <c r="P2485" t="s">
        <v>208</v>
      </c>
      <c r="Q2485" t="s">
        <v>209</v>
      </c>
    </row>
    <row r="2486" spans="1:17" x14ac:dyDescent="0.3">
      <c r="A2486" t="s">
        <v>5526</v>
      </c>
      <c r="C2486" t="s">
        <v>5527</v>
      </c>
      <c r="D2486" t="s">
        <v>5528</v>
      </c>
      <c r="E2486" s="5">
        <v>46279</v>
      </c>
      <c r="F2486" t="s">
        <v>204</v>
      </c>
      <c r="G2486" t="s">
        <v>220</v>
      </c>
      <c r="H2486">
        <v>599</v>
      </c>
      <c r="I2486">
        <v>0</v>
      </c>
      <c r="J2486">
        <v>0</v>
      </c>
      <c r="K2486">
        <v>599</v>
      </c>
      <c r="L2486" s="5">
        <v>46281</v>
      </c>
      <c r="M2486" t="s">
        <v>5516</v>
      </c>
      <c r="N2486" t="s">
        <v>207</v>
      </c>
      <c r="O2486" t="s">
        <v>5528</v>
      </c>
      <c r="P2486" t="s">
        <v>208</v>
      </c>
      <c r="Q2486" t="s">
        <v>209</v>
      </c>
    </row>
    <row r="2487" spans="1:17" x14ac:dyDescent="0.3">
      <c r="A2487" t="s">
        <v>5529</v>
      </c>
      <c r="C2487" t="s">
        <v>5530</v>
      </c>
      <c r="D2487" t="s">
        <v>5531</v>
      </c>
      <c r="E2487" s="5">
        <v>46279</v>
      </c>
      <c r="F2487" t="s">
        <v>204</v>
      </c>
      <c r="G2487" t="s">
        <v>213</v>
      </c>
      <c r="H2487">
        <v>7999</v>
      </c>
      <c r="I2487">
        <v>127.98</v>
      </c>
      <c r="J2487">
        <v>23.04</v>
      </c>
      <c r="K2487">
        <v>7847.98</v>
      </c>
      <c r="L2487" s="5">
        <v>46281</v>
      </c>
      <c r="M2487" t="s">
        <v>5516</v>
      </c>
      <c r="N2487" t="s">
        <v>207</v>
      </c>
      <c r="O2487" t="s">
        <v>5531</v>
      </c>
      <c r="P2487" t="s">
        <v>208</v>
      </c>
      <c r="Q2487" t="s">
        <v>209</v>
      </c>
    </row>
    <row r="2488" spans="1:17" x14ac:dyDescent="0.3">
      <c r="A2488" t="s">
        <v>5532</v>
      </c>
      <c r="C2488" t="s">
        <v>5533</v>
      </c>
      <c r="D2488" t="s">
        <v>5533</v>
      </c>
      <c r="E2488" s="5">
        <v>46279</v>
      </c>
      <c r="F2488" t="s">
        <v>204</v>
      </c>
      <c r="G2488" t="s">
        <v>220</v>
      </c>
      <c r="H2488">
        <v>8498</v>
      </c>
      <c r="I2488">
        <v>25.49</v>
      </c>
      <c r="J2488">
        <v>4.59</v>
      </c>
      <c r="K2488">
        <v>8467.92</v>
      </c>
      <c r="L2488" s="5">
        <v>46281</v>
      </c>
      <c r="M2488" t="s">
        <v>5516</v>
      </c>
      <c r="N2488" t="s">
        <v>207</v>
      </c>
      <c r="O2488" t="s">
        <v>5533</v>
      </c>
      <c r="P2488" t="s">
        <v>208</v>
      </c>
      <c r="Q2488" t="s">
        <v>209</v>
      </c>
    </row>
    <row r="2489" spans="1:17" x14ac:dyDescent="0.3">
      <c r="A2489" t="s">
        <v>5534</v>
      </c>
      <c r="C2489" t="s">
        <v>5535</v>
      </c>
      <c r="D2489" t="s">
        <v>5535</v>
      </c>
      <c r="E2489" s="5">
        <v>46279</v>
      </c>
      <c r="F2489" t="s">
        <v>204</v>
      </c>
      <c r="G2489" t="s">
        <v>205</v>
      </c>
      <c r="H2489">
        <v>10498</v>
      </c>
      <c r="I2489">
        <v>178.47</v>
      </c>
      <c r="J2489">
        <v>32.119999999999997</v>
      </c>
      <c r="K2489">
        <v>10287.41</v>
      </c>
      <c r="L2489" s="5">
        <v>46281</v>
      </c>
      <c r="M2489" t="s">
        <v>5516</v>
      </c>
      <c r="N2489" t="s">
        <v>207</v>
      </c>
      <c r="O2489" t="s">
        <v>5535</v>
      </c>
      <c r="P2489" t="s">
        <v>208</v>
      </c>
      <c r="Q2489" t="s">
        <v>209</v>
      </c>
    </row>
    <row r="2490" spans="1:17" x14ac:dyDescent="0.3">
      <c r="A2490" t="s">
        <v>5536</v>
      </c>
      <c r="C2490" t="s">
        <v>5537</v>
      </c>
      <c r="D2490" t="s">
        <v>5538</v>
      </c>
      <c r="E2490" s="5">
        <v>46279</v>
      </c>
      <c r="F2490" t="s">
        <v>204</v>
      </c>
      <c r="G2490" t="s">
        <v>213</v>
      </c>
      <c r="H2490">
        <v>4999</v>
      </c>
      <c r="I2490">
        <v>79.98</v>
      </c>
      <c r="J2490">
        <v>14.4</v>
      </c>
      <c r="K2490">
        <v>4904.62</v>
      </c>
      <c r="L2490" s="5">
        <v>46281</v>
      </c>
      <c r="M2490" t="s">
        <v>5516</v>
      </c>
      <c r="N2490" t="s">
        <v>207</v>
      </c>
      <c r="O2490" t="s">
        <v>5538</v>
      </c>
      <c r="P2490" t="s">
        <v>208</v>
      </c>
      <c r="Q2490" t="s">
        <v>209</v>
      </c>
    </row>
    <row r="2491" spans="1:17" x14ac:dyDescent="0.3">
      <c r="A2491" t="s">
        <v>5539</v>
      </c>
      <c r="C2491" t="s">
        <v>5540</v>
      </c>
      <c r="D2491" t="s">
        <v>5541</v>
      </c>
      <c r="E2491" s="5">
        <v>46279</v>
      </c>
      <c r="F2491" t="s">
        <v>204</v>
      </c>
      <c r="G2491" t="s">
        <v>205</v>
      </c>
      <c r="H2491">
        <v>1898</v>
      </c>
      <c r="I2491">
        <v>36.06</v>
      </c>
      <c r="J2491">
        <v>6.49</v>
      </c>
      <c r="K2491">
        <v>1855.45</v>
      </c>
      <c r="L2491" s="5">
        <v>46281</v>
      </c>
      <c r="M2491" t="s">
        <v>5516</v>
      </c>
      <c r="N2491" t="s">
        <v>207</v>
      </c>
      <c r="O2491" t="s">
        <v>5541</v>
      </c>
      <c r="P2491" t="s">
        <v>208</v>
      </c>
      <c r="Q2491" t="s">
        <v>209</v>
      </c>
    </row>
    <row r="2492" spans="1:17" x14ac:dyDescent="0.3">
      <c r="A2492" t="s">
        <v>5542</v>
      </c>
      <c r="C2492" t="s">
        <v>5543</v>
      </c>
      <c r="D2492" t="s">
        <v>5544</v>
      </c>
      <c r="E2492" s="5">
        <v>46279</v>
      </c>
      <c r="F2492" t="s">
        <v>204</v>
      </c>
      <c r="G2492" t="s">
        <v>220</v>
      </c>
      <c r="H2492">
        <v>1499</v>
      </c>
      <c r="I2492">
        <v>0</v>
      </c>
      <c r="J2492">
        <v>0</v>
      </c>
      <c r="K2492">
        <v>1499</v>
      </c>
      <c r="L2492" s="5">
        <v>46281</v>
      </c>
      <c r="M2492" t="s">
        <v>5516</v>
      </c>
      <c r="N2492" t="s">
        <v>207</v>
      </c>
      <c r="O2492" t="s">
        <v>5544</v>
      </c>
      <c r="P2492" t="s">
        <v>208</v>
      </c>
      <c r="Q2492" t="s">
        <v>209</v>
      </c>
    </row>
    <row r="2493" spans="1:17" x14ac:dyDescent="0.3">
      <c r="A2493" t="s">
        <v>5545</v>
      </c>
      <c r="C2493" t="s">
        <v>5546</v>
      </c>
      <c r="D2493" t="s">
        <v>5546</v>
      </c>
      <c r="E2493" s="5">
        <v>46279</v>
      </c>
      <c r="F2493" t="s">
        <v>204</v>
      </c>
      <c r="G2493" t="s">
        <v>220</v>
      </c>
      <c r="H2493">
        <v>798</v>
      </c>
      <c r="I2493">
        <v>0</v>
      </c>
      <c r="J2493">
        <v>0</v>
      </c>
      <c r="K2493">
        <v>798</v>
      </c>
      <c r="L2493" s="5">
        <v>46281</v>
      </c>
      <c r="M2493" t="s">
        <v>5516</v>
      </c>
      <c r="N2493" t="s">
        <v>207</v>
      </c>
      <c r="O2493" t="s">
        <v>5546</v>
      </c>
      <c r="P2493" t="s">
        <v>208</v>
      </c>
      <c r="Q2493" t="s">
        <v>209</v>
      </c>
    </row>
    <row r="2494" spans="1:17" x14ac:dyDescent="0.3">
      <c r="A2494" t="s">
        <v>5547</v>
      </c>
      <c r="C2494" t="s">
        <v>5548</v>
      </c>
      <c r="D2494" t="s">
        <v>5548</v>
      </c>
      <c r="E2494" s="5">
        <v>46279</v>
      </c>
      <c r="F2494" t="s">
        <v>204</v>
      </c>
      <c r="G2494" t="s">
        <v>220</v>
      </c>
      <c r="H2494">
        <v>5997</v>
      </c>
      <c r="I2494">
        <v>17.989999999999998</v>
      </c>
      <c r="J2494">
        <v>3.24</v>
      </c>
      <c r="K2494">
        <v>5975.77</v>
      </c>
      <c r="L2494" s="5">
        <v>46281</v>
      </c>
      <c r="M2494" t="s">
        <v>5516</v>
      </c>
      <c r="N2494" t="s">
        <v>207</v>
      </c>
      <c r="O2494" t="s">
        <v>5548</v>
      </c>
      <c r="P2494" t="s">
        <v>208</v>
      </c>
      <c r="Q2494" t="s">
        <v>209</v>
      </c>
    </row>
    <row r="2495" spans="1:17" x14ac:dyDescent="0.3">
      <c r="A2495" t="s">
        <v>5549</v>
      </c>
      <c r="C2495" t="s">
        <v>5550</v>
      </c>
      <c r="D2495" t="s">
        <v>5550</v>
      </c>
      <c r="E2495" s="5">
        <v>46279</v>
      </c>
      <c r="F2495" t="s">
        <v>204</v>
      </c>
      <c r="G2495" t="s">
        <v>220</v>
      </c>
      <c r="H2495">
        <v>4297</v>
      </c>
      <c r="I2495">
        <v>12.89</v>
      </c>
      <c r="J2495">
        <v>2.3199999999999998</v>
      </c>
      <c r="K2495">
        <v>4281.79</v>
      </c>
      <c r="L2495" s="5">
        <v>46281</v>
      </c>
      <c r="M2495" t="s">
        <v>5516</v>
      </c>
      <c r="N2495" t="s">
        <v>207</v>
      </c>
      <c r="O2495" t="s">
        <v>5550</v>
      </c>
      <c r="P2495" t="s">
        <v>208</v>
      </c>
      <c r="Q2495" t="s">
        <v>209</v>
      </c>
    </row>
    <row r="2496" spans="1:17" x14ac:dyDescent="0.3">
      <c r="A2496" t="s">
        <v>5551</v>
      </c>
      <c r="C2496" t="s">
        <v>5552</v>
      </c>
      <c r="D2496" t="s">
        <v>5552</v>
      </c>
      <c r="E2496" s="5">
        <v>46279</v>
      </c>
      <c r="F2496" t="s">
        <v>204</v>
      </c>
      <c r="G2496" t="s">
        <v>213</v>
      </c>
      <c r="H2496">
        <v>8797</v>
      </c>
      <c r="I2496">
        <v>140.75</v>
      </c>
      <c r="J2496">
        <v>25.34</v>
      </c>
      <c r="K2496">
        <v>8630.91</v>
      </c>
      <c r="L2496" s="5">
        <v>46281</v>
      </c>
      <c r="M2496" t="s">
        <v>5516</v>
      </c>
      <c r="N2496" t="s">
        <v>207</v>
      </c>
      <c r="O2496" t="s">
        <v>5552</v>
      </c>
      <c r="P2496" t="s">
        <v>208</v>
      </c>
      <c r="Q2496" t="s">
        <v>209</v>
      </c>
    </row>
    <row r="2497" spans="1:17" x14ac:dyDescent="0.3">
      <c r="A2497" t="s">
        <v>5553</v>
      </c>
      <c r="C2497" t="s">
        <v>5554</v>
      </c>
      <c r="D2497" t="s">
        <v>5554</v>
      </c>
      <c r="E2497" s="5">
        <v>46279</v>
      </c>
      <c r="F2497" t="s">
        <v>204</v>
      </c>
      <c r="G2497" t="s">
        <v>220</v>
      </c>
      <c r="H2497">
        <v>3897</v>
      </c>
      <c r="I2497">
        <v>11.69</v>
      </c>
      <c r="J2497">
        <v>2.1</v>
      </c>
      <c r="K2497">
        <v>3883.21</v>
      </c>
      <c r="L2497" s="5">
        <v>46281</v>
      </c>
      <c r="M2497" t="s">
        <v>5516</v>
      </c>
      <c r="N2497" t="s">
        <v>207</v>
      </c>
      <c r="O2497" t="s">
        <v>5554</v>
      </c>
      <c r="P2497" t="s">
        <v>208</v>
      </c>
      <c r="Q2497" t="s">
        <v>209</v>
      </c>
    </row>
    <row r="2498" spans="1:17" x14ac:dyDescent="0.3">
      <c r="A2498" t="s">
        <v>5555</v>
      </c>
      <c r="C2498" t="s">
        <v>5556</v>
      </c>
      <c r="D2498" t="s">
        <v>5556</v>
      </c>
      <c r="E2498" s="5">
        <v>46279</v>
      </c>
      <c r="F2498" t="s">
        <v>204</v>
      </c>
      <c r="G2498" t="s">
        <v>220</v>
      </c>
      <c r="H2498">
        <v>1799</v>
      </c>
      <c r="I2498">
        <v>0</v>
      </c>
      <c r="J2498">
        <v>0</v>
      </c>
      <c r="K2498">
        <v>1799</v>
      </c>
      <c r="L2498" s="5">
        <v>46281</v>
      </c>
      <c r="M2498" t="s">
        <v>5516</v>
      </c>
      <c r="N2498" t="s">
        <v>207</v>
      </c>
      <c r="O2498" t="s">
        <v>5556</v>
      </c>
      <c r="P2498" t="s">
        <v>208</v>
      </c>
      <c r="Q2498" t="s">
        <v>209</v>
      </c>
    </row>
    <row r="2499" spans="1:17" x14ac:dyDescent="0.3">
      <c r="A2499" t="s">
        <v>5557</v>
      </c>
      <c r="C2499" t="s">
        <v>5558</v>
      </c>
      <c r="D2499" t="s">
        <v>5558</v>
      </c>
      <c r="E2499" s="5">
        <v>46279</v>
      </c>
      <c r="F2499" t="s">
        <v>204</v>
      </c>
      <c r="G2499" t="s">
        <v>220</v>
      </c>
      <c r="H2499">
        <v>10297</v>
      </c>
      <c r="I2499">
        <v>30.89</v>
      </c>
      <c r="J2499">
        <v>5.56</v>
      </c>
      <c r="K2499">
        <v>10260.549999999999</v>
      </c>
      <c r="L2499" s="5">
        <v>46281</v>
      </c>
      <c r="M2499" t="s">
        <v>5516</v>
      </c>
      <c r="N2499" t="s">
        <v>207</v>
      </c>
      <c r="O2499" t="s">
        <v>5558</v>
      </c>
      <c r="P2499" t="s">
        <v>208</v>
      </c>
      <c r="Q2499" t="s">
        <v>209</v>
      </c>
    </row>
    <row r="2500" spans="1:17" x14ac:dyDescent="0.3">
      <c r="A2500" t="s">
        <v>5559</v>
      </c>
      <c r="C2500" t="s">
        <v>5560</v>
      </c>
      <c r="D2500" t="s">
        <v>5560</v>
      </c>
      <c r="E2500" s="5">
        <v>46279</v>
      </c>
      <c r="F2500" t="s">
        <v>204</v>
      </c>
      <c r="G2500" t="s">
        <v>220</v>
      </c>
      <c r="H2500">
        <v>1799</v>
      </c>
      <c r="I2500">
        <v>0</v>
      </c>
      <c r="J2500">
        <v>0</v>
      </c>
      <c r="K2500">
        <v>1799</v>
      </c>
      <c r="L2500" s="5">
        <v>46281</v>
      </c>
      <c r="M2500" t="s">
        <v>5516</v>
      </c>
      <c r="N2500" t="s">
        <v>207</v>
      </c>
      <c r="O2500" t="s">
        <v>5560</v>
      </c>
      <c r="P2500" t="s">
        <v>208</v>
      </c>
      <c r="Q2500" t="s">
        <v>209</v>
      </c>
    </row>
    <row r="2501" spans="1:17" x14ac:dyDescent="0.3">
      <c r="A2501" t="s">
        <v>5561</v>
      </c>
      <c r="C2501" t="s">
        <v>5562</v>
      </c>
      <c r="D2501" t="s">
        <v>5562</v>
      </c>
      <c r="E2501" s="5">
        <v>46279</v>
      </c>
      <c r="F2501" t="s">
        <v>204</v>
      </c>
      <c r="G2501" t="s">
        <v>213</v>
      </c>
      <c r="H2501">
        <v>3499</v>
      </c>
      <c r="I2501">
        <v>55.98</v>
      </c>
      <c r="J2501">
        <v>10.08</v>
      </c>
      <c r="K2501">
        <v>3432.94</v>
      </c>
      <c r="L2501" s="5">
        <v>46281</v>
      </c>
      <c r="M2501" t="s">
        <v>5516</v>
      </c>
      <c r="N2501" t="s">
        <v>207</v>
      </c>
      <c r="O2501" t="s">
        <v>5562</v>
      </c>
      <c r="P2501" t="s">
        <v>208</v>
      </c>
      <c r="Q2501" t="s">
        <v>209</v>
      </c>
    </row>
    <row r="2502" spans="1:17" x14ac:dyDescent="0.3">
      <c r="A2502" t="s">
        <v>5563</v>
      </c>
      <c r="C2502" t="s">
        <v>5564</v>
      </c>
      <c r="D2502" t="s">
        <v>5564</v>
      </c>
      <c r="E2502" s="5">
        <v>46279</v>
      </c>
      <c r="F2502" t="s">
        <v>204</v>
      </c>
      <c r="G2502" t="s">
        <v>220</v>
      </c>
      <c r="H2502">
        <v>799</v>
      </c>
      <c r="I2502">
        <v>0</v>
      </c>
      <c r="J2502">
        <v>0</v>
      </c>
      <c r="K2502">
        <v>799</v>
      </c>
      <c r="L2502" s="5">
        <v>46281</v>
      </c>
      <c r="M2502" t="s">
        <v>5516</v>
      </c>
      <c r="N2502" t="s">
        <v>207</v>
      </c>
      <c r="O2502" t="s">
        <v>5564</v>
      </c>
      <c r="P2502" t="s">
        <v>208</v>
      </c>
      <c r="Q2502" t="s">
        <v>209</v>
      </c>
    </row>
    <row r="2503" spans="1:17" x14ac:dyDescent="0.3">
      <c r="A2503" t="s">
        <v>5565</v>
      </c>
      <c r="C2503" t="s">
        <v>5566</v>
      </c>
      <c r="D2503" t="s">
        <v>5566</v>
      </c>
      <c r="E2503" s="5">
        <v>46279</v>
      </c>
      <c r="F2503" t="s">
        <v>204</v>
      </c>
      <c r="G2503" t="s">
        <v>213</v>
      </c>
      <c r="H2503">
        <v>3498</v>
      </c>
      <c r="I2503">
        <v>55.97</v>
      </c>
      <c r="J2503">
        <v>10.07</v>
      </c>
      <c r="K2503">
        <v>3431.96</v>
      </c>
      <c r="L2503" s="5">
        <v>46281</v>
      </c>
      <c r="M2503" t="s">
        <v>5516</v>
      </c>
      <c r="N2503" t="s">
        <v>207</v>
      </c>
      <c r="O2503" t="s">
        <v>5566</v>
      </c>
      <c r="P2503" t="s">
        <v>208</v>
      </c>
      <c r="Q2503" t="s">
        <v>209</v>
      </c>
    </row>
    <row r="2504" spans="1:17" x14ac:dyDescent="0.3">
      <c r="A2504" t="s">
        <v>5567</v>
      </c>
      <c r="C2504" t="s">
        <v>5568</v>
      </c>
      <c r="D2504" t="s">
        <v>5569</v>
      </c>
      <c r="E2504" s="5">
        <v>46279</v>
      </c>
      <c r="F2504" t="s">
        <v>204</v>
      </c>
      <c r="G2504" t="s">
        <v>220</v>
      </c>
      <c r="H2504">
        <v>349</v>
      </c>
      <c r="I2504">
        <v>0</v>
      </c>
      <c r="J2504">
        <v>0</v>
      </c>
      <c r="K2504">
        <v>349</v>
      </c>
      <c r="L2504" s="5">
        <v>46281</v>
      </c>
      <c r="M2504" t="s">
        <v>5516</v>
      </c>
      <c r="N2504" t="s">
        <v>207</v>
      </c>
      <c r="O2504" t="s">
        <v>5569</v>
      </c>
      <c r="P2504" t="s">
        <v>208</v>
      </c>
      <c r="Q2504" t="s">
        <v>209</v>
      </c>
    </row>
    <row r="2505" spans="1:17" x14ac:dyDescent="0.3">
      <c r="A2505" t="s">
        <v>5570</v>
      </c>
      <c r="C2505" t="s">
        <v>5571</v>
      </c>
      <c r="D2505" t="s">
        <v>5571</v>
      </c>
      <c r="E2505" s="5">
        <v>46279</v>
      </c>
      <c r="F2505" t="s">
        <v>204</v>
      </c>
      <c r="G2505" t="s">
        <v>220</v>
      </c>
      <c r="H2505">
        <v>499</v>
      </c>
      <c r="I2505">
        <v>0</v>
      </c>
      <c r="J2505">
        <v>0</v>
      </c>
      <c r="K2505">
        <v>499</v>
      </c>
      <c r="L2505" s="5">
        <v>46281</v>
      </c>
      <c r="M2505" t="s">
        <v>5516</v>
      </c>
      <c r="N2505" t="s">
        <v>207</v>
      </c>
      <c r="O2505" t="s">
        <v>5571</v>
      </c>
      <c r="P2505" t="s">
        <v>208</v>
      </c>
      <c r="Q2505" t="s">
        <v>209</v>
      </c>
    </row>
    <row r="2506" spans="1:17" x14ac:dyDescent="0.3">
      <c r="A2506" t="s">
        <v>5572</v>
      </c>
      <c r="C2506" t="s">
        <v>5573</v>
      </c>
      <c r="D2506" t="s">
        <v>5573</v>
      </c>
      <c r="E2506" s="5">
        <v>46279</v>
      </c>
      <c r="F2506" t="s">
        <v>204</v>
      </c>
      <c r="G2506" t="s">
        <v>205</v>
      </c>
      <c r="H2506">
        <v>5998</v>
      </c>
      <c r="I2506">
        <v>101.97</v>
      </c>
      <c r="J2506">
        <v>18.350000000000001</v>
      </c>
      <c r="K2506">
        <v>5877.68</v>
      </c>
      <c r="L2506" s="5">
        <v>46281</v>
      </c>
      <c r="M2506" t="s">
        <v>5516</v>
      </c>
      <c r="N2506" t="s">
        <v>207</v>
      </c>
      <c r="O2506" t="s">
        <v>5573</v>
      </c>
      <c r="P2506" t="s">
        <v>208</v>
      </c>
      <c r="Q2506" t="s">
        <v>209</v>
      </c>
    </row>
    <row r="2507" spans="1:17" x14ac:dyDescent="0.3">
      <c r="A2507" t="s">
        <v>5574</v>
      </c>
      <c r="C2507" t="s">
        <v>5575</v>
      </c>
      <c r="D2507" t="s">
        <v>5575</v>
      </c>
      <c r="E2507" s="5">
        <v>46279</v>
      </c>
      <c r="F2507" t="s">
        <v>204</v>
      </c>
      <c r="G2507" t="s">
        <v>205</v>
      </c>
      <c r="H2507">
        <v>4999</v>
      </c>
      <c r="I2507">
        <v>84.98</v>
      </c>
      <c r="J2507">
        <v>15.3</v>
      </c>
      <c r="K2507">
        <v>4898.72</v>
      </c>
      <c r="L2507" s="5">
        <v>46281</v>
      </c>
      <c r="M2507" t="s">
        <v>5516</v>
      </c>
      <c r="N2507" t="s">
        <v>207</v>
      </c>
      <c r="O2507" t="s">
        <v>5575</v>
      </c>
      <c r="P2507" t="s">
        <v>208</v>
      </c>
      <c r="Q2507" t="s">
        <v>209</v>
      </c>
    </row>
    <row r="2508" spans="1:17" x14ac:dyDescent="0.3">
      <c r="A2508" t="s">
        <v>5576</v>
      </c>
      <c r="C2508" t="s">
        <v>5577</v>
      </c>
      <c r="D2508" t="s">
        <v>5577</v>
      </c>
      <c r="E2508" s="5">
        <v>46279</v>
      </c>
      <c r="F2508" t="s">
        <v>204</v>
      </c>
      <c r="G2508" t="s">
        <v>220</v>
      </c>
      <c r="H2508">
        <v>4999</v>
      </c>
      <c r="I2508">
        <v>15</v>
      </c>
      <c r="J2508">
        <v>2.7</v>
      </c>
      <c r="K2508">
        <v>4981.3</v>
      </c>
      <c r="L2508" s="5">
        <v>46281</v>
      </c>
      <c r="M2508" t="s">
        <v>5516</v>
      </c>
      <c r="N2508" t="s">
        <v>207</v>
      </c>
      <c r="O2508" t="s">
        <v>5577</v>
      </c>
      <c r="P2508" t="s">
        <v>208</v>
      </c>
      <c r="Q2508" t="s">
        <v>209</v>
      </c>
    </row>
    <row r="2509" spans="1:17" x14ac:dyDescent="0.3">
      <c r="A2509" t="s">
        <v>5578</v>
      </c>
      <c r="C2509" t="s">
        <v>5579</v>
      </c>
      <c r="D2509" t="s">
        <v>5579</v>
      </c>
      <c r="E2509" s="5">
        <v>46279</v>
      </c>
      <c r="F2509" t="s">
        <v>204</v>
      </c>
      <c r="G2509" t="s">
        <v>220</v>
      </c>
      <c r="H2509">
        <v>6797</v>
      </c>
      <c r="I2509">
        <v>20.39</v>
      </c>
      <c r="J2509">
        <v>3.67</v>
      </c>
      <c r="K2509">
        <v>6772.94</v>
      </c>
      <c r="L2509" s="5">
        <v>46281</v>
      </c>
      <c r="M2509" t="s">
        <v>5516</v>
      </c>
      <c r="N2509" t="s">
        <v>207</v>
      </c>
      <c r="O2509" t="s">
        <v>5579</v>
      </c>
      <c r="P2509" t="s">
        <v>208</v>
      </c>
      <c r="Q2509" t="s">
        <v>209</v>
      </c>
    </row>
    <row r="2510" spans="1:17" x14ac:dyDescent="0.3">
      <c r="A2510" t="s">
        <v>5580</v>
      </c>
      <c r="C2510" t="s">
        <v>5581</v>
      </c>
      <c r="D2510" t="s">
        <v>5581</v>
      </c>
      <c r="E2510" s="5">
        <v>46279</v>
      </c>
      <c r="F2510" t="s">
        <v>204</v>
      </c>
      <c r="G2510" t="s">
        <v>220</v>
      </c>
      <c r="H2510">
        <v>4999</v>
      </c>
      <c r="I2510">
        <v>15</v>
      </c>
      <c r="J2510">
        <v>2.7</v>
      </c>
      <c r="K2510">
        <v>4981.3</v>
      </c>
      <c r="L2510" s="5">
        <v>46281</v>
      </c>
      <c r="M2510" t="s">
        <v>5516</v>
      </c>
      <c r="N2510" t="s">
        <v>207</v>
      </c>
      <c r="O2510" t="s">
        <v>5581</v>
      </c>
      <c r="P2510" t="s">
        <v>208</v>
      </c>
      <c r="Q2510" t="s">
        <v>209</v>
      </c>
    </row>
    <row r="2511" spans="1:17" x14ac:dyDescent="0.3">
      <c r="A2511" t="s">
        <v>5582</v>
      </c>
      <c r="C2511" t="s">
        <v>5583</v>
      </c>
      <c r="D2511" t="s">
        <v>5583</v>
      </c>
      <c r="E2511" s="5">
        <v>46279</v>
      </c>
      <c r="F2511" t="s">
        <v>204</v>
      </c>
      <c r="G2511" t="s">
        <v>220</v>
      </c>
      <c r="H2511">
        <v>1799</v>
      </c>
      <c r="I2511">
        <v>0</v>
      </c>
      <c r="J2511">
        <v>0</v>
      </c>
      <c r="K2511">
        <v>1799</v>
      </c>
      <c r="L2511" s="5">
        <v>46281</v>
      </c>
      <c r="M2511" t="s">
        <v>5516</v>
      </c>
      <c r="N2511" t="s">
        <v>207</v>
      </c>
      <c r="O2511" t="s">
        <v>5583</v>
      </c>
      <c r="P2511" t="s">
        <v>208</v>
      </c>
      <c r="Q2511" t="s">
        <v>209</v>
      </c>
    </row>
    <row r="2512" spans="1:17" x14ac:dyDescent="0.3">
      <c r="A2512" t="s">
        <v>5584</v>
      </c>
      <c r="C2512" t="s">
        <v>5585</v>
      </c>
      <c r="D2512" t="s">
        <v>5585</v>
      </c>
      <c r="E2512" s="5">
        <v>46279</v>
      </c>
      <c r="F2512" t="s">
        <v>204</v>
      </c>
      <c r="G2512" t="s">
        <v>220</v>
      </c>
      <c r="H2512">
        <v>14997</v>
      </c>
      <c r="I2512">
        <v>44.99</v>
      </c>
      <c r="J2512">
        <v>8.1</v>
      </c>
      <c r="K2512">
        <v>14943.91</v>
      </c>
      <c r="L2512" s="5">
        <v>46281</v>
      </c>
      <c r="M2512" t="s">
        <v>5516</v>
      </c>
      <c r="N2512" t="s">
        <v>207</v>
      </c>
      <c r="O2512" t="s">
        <v>5585</v>
      </c>
      <c r="P2512" t="s">
        <v>208</v>
      </c>
      <c r="Q2512" t="s">
        <v>209</v>
      </c>
    </row>
    <row r="2513" spans="1:17" x14ac:dyDescent="0.3">
      <c r="A2513" t="s">
        <v>5586</v>
      </c>
      <c r="C2513" t="s">
        <v>5587</v>
      </c>
      <c r="D2513" t="s">
        <v>5587</v>
      </c>
      <c r="E2513" s="5">
        <v>46279</v>
      </c>
      <c r="F2513" t="s">
        <v>204</v>
      </c>
      <c r="G2513" t="s">
        <v>220</v>
      </c>
      <c r="H2513">
        <v>3397</v>
      </c>
      <c r="I2513">
        <v>10.19</v>
      </c>
      <c r="J2513">
        <v>1.83</v>
      </c>
      <c r="K2513">
        <v>3384.98</v>
      </c>
      <c r="L2513" s="5">
        <v>46281</v>
      </c>
      <c r="M2513" t="s">
        <v>5516</v>
      </c>
      <c r="N2513" t="s">
        <v>207</v>
      </c>
      <c r="O2513" t="s">
        <v>5587</v>
      </c>
      <c r="P2513" t="s">
        <v>208</v>
      </c>
      <c r="Q2513" t="s">
        <v>209</v>
      </c>
    </row>
    <row r="2514" spans="1:17" x14ac:dyDescent="0.3">
      <c r="A2514" t="s">
        <v>5588</v>
      </c>
      <c r="C2514" t="s">
        <v>5589</v>
      </c>
      <c r="D2514" t="s">
        <v>5589</v>
      </c>
      <c r="E2514" s="5">
        <v>46279</v>
      </c>
      <c r="F2514" t="s">
        <v>204</v>
      </c>
      <c r="G2514" t="s">
        <v>220</v>
      </c>
      <c r="H2514">
        <v>299</v>
      </c>
      <c r="I2514">
        <v>0</v>
      </c>
      <c r="J2514">
        <v>0</v>
      </c>
      <c r="K2514">
        <v>299</v>
      </c>
      <c r="L2514" s="5">
        <v>46281</v>
      </c>
      <c r="M2514" t="s">
        <v>5516</v>
      </c>
      <c r="N2514" t="s">
        <v>207</v>
      </c>
      <c r="O2514" t="s">
        <v>5589</v>
      </c>
      <c r="P2514" t="s">
        <v>208</v>
      </c>
      <c r="Q2514" t="s">
        <v>209</v>
      </c>
    </row>
    <row r="2515" spans="1:17" x14ac:dyDescent="0.3">
      <c r="A2515" t="s">
        <v>5590</v>
      </c>
      <c r="C2515" t="s">
        <v>5591</v>
      </c>
      <c r="D2515" t="s">
        <v>5591</v>
      </c>
      <c r="E2515" s="5">
        <v>46279</v>
      </c>
      <c r="F2515" t="s">
        <v>204</v>
      </c>
      <c r="G2515" t="s">
        <v>220</v>
      </c>
      <c r="H2515">
        <v>999</v>
      </c>
      <c r="I2515">
        <v>0</v>
      </c>
      <c r="J2515">
        <v>0</v>
      </c>
      <c r="K2515">
        <v>999</v>
      </c>
      <c r="L2515" s="5">
        <v>46281</v>
      </c>
      <c r="M2515" t="s">
        <v>5516</v>
      </c>
      <c r="N2515" t="s">
        <v>207</v>
      </c>
      <c r="O2515" t="s">
        <v>5591</v>
      </c>
      <c r="P2515" t="s">
        <v>208</v>
      </c>
      <c r="Q2515" t="s">
        <v>209</v>
      </c>
    </row>
    <row r="2516" spans="1:17" x14ac:dyDescent="0.3">
      <c r="A2516" t="s">
        <v>5592</v>
      </c>
      <c r="C2516" t="s">
        <v>5593</v>
      </c>
      <c r="D2516" t="s">
        <v>5594</v>
      </c>
      <c r="E2516" s="5">
        <v>46279</v>
      </c>
      <c r="F2516" t="s">
        <v>204</v>
      </c>
      <c r="G2516" t="s">
        <v>213</v>
      </c>
      <c r="H2516">
        <v>1848</v>
      </c>
      <c r="I2516">
        <v>33.26</v>
      </c>
      <c r="J2516">
        <v>5.99</v>
      </c>
      <c r="K2516">
        <v>1808.75</v>
      </c>
      <c r="L2516" s="5">
        <v>46281</v>
      </c>
      <c r="M2516" t="s">
        <v>5516</v>
      </c>
      <c r="N2516" t="s">
        <v>207</v>
      </c>
      <c r="O2516" t="s">
        <v>5594</v>
      </c>
      <c r="P2516" t="s">
        <v>208</v>
      </c>
      <c r="Q2516" t="s">
        <v>209</v>
      </c>
    </row>
    <row r="2517" spans="1:17" x14ac:dyDescent="0.3">
      <c r="A2517" t="s">
        <v>5595</v>
      </c>
      <c r="C2517" t="s">
        <v>5596</v>
      </c>
      <c r="D2517" t="s">
        <v>5596</v>
      </c>
      <c r="E2517" s="5">
        <v>46279</v>
      </c>
      <c r="F2517" t="s">
        <v>204</v>
      </c>
      <c r="G2517" t="s">
        <v>220</v>
      </c>
      <c r="H2517">
        <v>598</v>
      </c>
      <c r="I2517">
        <v>0</v>
      </c>
      <c r="J2517">
        <v>0</v>
      </c>
      <c r="K2517">
        <v>598</v>
      </c>
      <c r="L2517" s="5">
        <v>46281</v>
      </c>
      <c r="M2517" t="s">
        <v>5516</v>
      </c>
      <c r="N2517" t="s">
        <v>207</v>
      </c>
      <c r="O2517" t="s">
        <v>5596</v>
      </c>
      <c r="P2517" t="s">
        <v>208</v>
      </c>
      <c r="Q2517" t="s">
        <v>209</v>
      </c>
    </row>
    <row r="2518" spans="1:17" x14ac:dyDescent="0.3">
      <c r="A2518" t="s">
        <v>5597</v>
      </c>
      <c r="C2518" t="s">
        <v>5598</v>
      </c>
      <c r="D2518" t="s">
        <v>5599</v>
      </c>
      <c r="E2518" s="5">
        <v>46279</v>
      </c>
      <c r="F2518" t="s">
        <v>204</v>
      </c>
      <c r="G2518" t="s">
        <v>213</v>
      </c>
      <c r="H2518">
        <v>2499</v>
      </c>
      <c r="I2518">
        <v>39.979999999999997</v>
      </c>
      <c r="J2518">
        <v>7.2</v>
      </c>
      <c r="K2518">
        <v>2451.8200000000002</v>
      </c>
      <c r="L2518" s="5">
        <v>46281</v>
      </c>
      <c r="M2518" t="s">
        <v>5516</v>
      </c>
      <c r="N2518" t="s">
        <v>207</v>
      </c>
      <c r="O2518" t="s">
        <v>5599</v>
      </c>
      <c r="P2518" t="s">
        <v>208</v>
      </c>
      <c r="Q2518" t="s">
        <v>209</v>
      </c>
    </row>
    <row r="2519" spans="1:17" x14ac:dyDescent="0.3">
      <c r="A2519" t="s">
        <v>5600</v>
      </c>
      <c r="C2519" t="s">
        <v>5601</v>
      </c>
      <c r="D2519" t="s">
        <v>5601</v>
      </c>
      <c r="E2519" s="5">
        <v>46279</v>
      </c>
      <c r="F2519" t="s">
        <v>204</v>
      </c>
      <c r="G2519" t="s">
        <v>220</v>
      </c>
      <c r="H2519">
        <v>599</v>
      </c>
      <c r="I2519">
        <v>0</v>
      </c>
      <c r="J2519">
        <v>0</v>
      </c>
      <c r="K2519">
        <v>599</v>
      </c>
      <c r="L2519" s="5">
        <v>46281</v>
      </c>
      <c r="M2519" t="s">
        <v>5516</v>
      </c>
      <c r="N2519" t="s">
        <v>207</v>
      </c>
      <c r="O2519" t="s">
        <v>5601</v>
      </c>
      <c r="P2519" t="s">
        <v>208</v>
      </c>
      <c r="Q2519" t="s">
        <v>209</v>
      </c>
    </row>
    <row r="2520" spans="1:17" x14ac:dyDescent="0.3">
      <c r="A2520" t="s">
        <v>5602</v>
      </c>
      <c r="C2520" t="s">
        <v>5603</v>
      </c>
      <c r="D2520" t="s">
        <v>5603</v>
      </c>
      <c r="E2520" s="5">
        <v>46279</v>
      </c>
      <c r="F2520" t="s">
        <v>204</v>
      </c>
      <c r="G2520" t="s">
        <v>220</v>
      </c>
      <c r="H2520">
        <v>6498</v>
      </c>
      <c r="I2520">
        <v>19.489999999999998</v>
      </c>
      <c r="J2520">
        <v>3.51</v>
      </c>
      <c r="K2520">
        <v>6475</v>
      </c>
      <c r="L2520" s="5">
        <v>46281</v>
      </c>
      <c r="M2520" t="s">
        <v>5516</v>
      </c>
      <c r="N2520" t="s">
        <v>207</v>
      </c>
      <c r="O2520" t="s">
        <v>5603</v>
      </c>
      <c r="P2520" t="s">
        <v>208</v>
      </c>
      <c r="Q2520" t="s">
        <v>209</v>
      </c>
    </row>
    <row r="2521" spans="1:17" x14ac:dyDescent="0.3">
      <c r="A2521" t="s">
        <v>5604</v>
      </c>
      <c r="C2521" t="s">
        <v>5605</v>
      </c>
      <c r="D2521" t="s">
        <v>5605</v>
      </c>
      <c r="E2521" s="5">
        <v>46279</v>
      </c>
      <c r="F2521" t="s">
        <v>204</v>
      </c>
      <c r="G2521" t="s">
        <v>220</v>
      </c>
      <c r="H2521">
        <v>1299</v>
      </c>
      <c r="I2521">
        <v>0</v>
      </c>
      <c r="J2521">
        <v>0</v>
      </c>
      <c r="K2521">
        <v>1299</v>
      </c>
      <c r="L2521" s="5">
        <v>46281</v>
      </c>
      <c r="M2521" t="s">
        <v>5516</v>
      </c>
      <c r="N2521" t="s">
        <v>207</v>
      </c>
      <c r="O2521" t="s">
        <v>5605</v>
      </c>
      <c r="P2521" t="s">
        <v>208</v>
      </c>
      <c r="Q2521" t="s">
        <v>209</v>
      </c>
    </row>
    <row r="2522" spans="1:17" x14ac:dyDescent="0.3">
      <c r="A2522" t="s">
        <v>5606</v>
      </c>
      <c r="C2522" t="s">
        <v>5607</v>
      </c>
      <c r="D2522" t="s">
        <v>5607</v>
      </c>
      <c r="E2522" s="5">
        <v>46279</v>
      </c>
      <c r="F2522" t="s">
        <v>204</v>
      </c>
      <c r="G2522" t="s">
        <v>205</v>
      </c>
      <c r="H2522">
        <v>2499</v>
      </c>
      <c r="I2522">
        <v>42.48</v>
      </c>
      <c r="J2522">
        <v>7.65</v>
      </c>
      <c r="K2522">
        <v>2448.87</v>
      </c>
      <c r="L2522" s="5">
        <v>46281</v>
      </c>
      <c r="M2522" t="s">
        <v>5516</v>
      </c>
      <c r="N2522" t="s">
        <v>207</v>
      </c>
      <c r="O2522" t="s">
        <v>5607</v>
      </c>
      <c r="P2522" t="s">
        <v>208</v>
      </c>
      <c r="Q2522" t="s">
        <v>209</v>
      </c>
    </row>
    <row r="2523" spans="1:17" x14ac:dyDescent="0.3">
      <c r="A2523" t="s">
        <v>5608</v>
      </c>
      <c r="C2523" t="s">
        <v>5609</v>
      </c>
      <c r="D2523" t="s">
        <v>5609</v>
      </c>
      <c r="E2523" s="5">
        <v>46279</v>
      </c>
      <c r="F2523" t="s">
        <v>204</v>
      </c>
      <c r="G2523" t="s">
        <v>255</v>
      </c>
      <c r="H2523">
        <v>499</v>
      </c>
      <c r="I2523">
        <v>7.49</v>
      </c>
      <c r="J2523">
        <v>1.35</v>
      </c>
      <c r="K2523">
        <v>490.16</v>
      </c>
      <c r="L2523" s="5">
        <v>46281</v>
      </c>
      <c r="M2523" t="s">
        <v>5516</v>
      </c>
      <c r="N2523" t="s">
        <v>207</v>
      </c>
      <c r="O2523" t="s">
        <v>5609</v>
      </c>
      <c r="P2523" t="s">
        <v>208</v>
      </c>
      <c r="Q2523" t="s">
        <v>209</v>
      </c>
    </row>
    <row r="2524" spans="1:17" x14ac:dyDescent="0.3">
      <c r="A2524" t="s">
        <v>5610</v>
      </c>
      <c r="C2524" t="s">
        <v>5611</v>
      </c>
      <c r="D2524" t="s">
        <v>5611</v>
      </c>
      <c r="E2524" s="5">
        <v>46279</v>
      </c>
      <c r="F2524" t="s">
        <v>204</v>
      </c>
      <c r="G2524" t="s">
        <v>220</v>
      </c>
      <c r="H2524">
        <v>7999</v>
      </c>
      <c r="I2524">
        <v>24</v>
      </c>
      <c r="J2524">
        <v>4.32</v>
      </c>
      <c r="K2524">
        <v>7970.68</v>
      </c>
      <c r="L2524" s="5">
        <v>46281</v>
      </c>
      <c r="M2524" t="s">
        <v>5516</v>
      </c>
      <c r="N2524" t="s">
        <v>207</v>
      </c>
      <c r="O2524" t="s">
        <v>5611</v>
      </c>
      <c r="P2524" t="s">
        <v>208</v>
      </c>
      <c r="Q2524" t="s">
        <v>209</v>
      </c>
    </row>
    <row r="2525" spans="1:17" x14ac:dyDescent="0.3">
      <c r="A2525" t="s">
        <v>5612</v>
      </c>
      <c r="C2525" t="s">
        <v>5613</v>
      </c>
      <c r="D2525" t="s">
        <v>5613</v>
      </c>
      <c r="E2525" s="5">
        <v>46279</v>
      </c>
      <c r="F2525" t="s">
        <v>204</v>
      </c>
      <c r="G2525" t="s">
        <v>220</v>
      </c>
      <c r="H2525">
        <v>2499</v>
      </c>
      <c r="I2525">
        <v>7.5</v>
      </c>
      <c r="J2525">
        <v>1.35</v>
      </c>
      <c r="K2525">
        <v>2490.15</v>
      </c>
      <c r="L2525" s="5">
        <v>46281</v>
      </c>
      <c r="M2525" t="s">
        <v>5516</v>
      </c>
      <c r="N2525" t="s">
        <v>207</v>
      </c>
      <c r="O2525" t="s">
        <v>5613</v>
      </c>
      <c r="P2525" t="s">
        <v>208</v>
      </c>
      <c r="Q2525" t="s">
        <v>209</v>
      </c>
    </row>
    <row r="2526" spans="1:17" x14ac:dyDescent="0.3">
      <c r="A2526" t="s">
        <v>5614</v>
      </c>
      <c r="C2526" t="s">
        <v>5615</v>
      </c>
      <c r="D2526" t="s">
        <v>5615</v>
      </c>
      <c r="E2526" s="5">
        <v>46279</v>
      </c>
      <c r="F2526" t="s">
        <v>204</v>
      </c>
      <c r="G2526" t="s">
        <v>213</v>
      </c>
      <c r="H2526">
        <v>1798</v>
      </c>
      <c r="I2526">
        <v>32.36</v>
      </c>
      <c r="J2526">
        <v>5.82</v>
      </c>
      <c r="K2526">
        <v>1759.82</v>
      </c>
      <c r="L2526" s="5">
        <v>46281</v>
      </c>
      <c r="M2526" t="s">
        <v>5516</v>
      </c>
      <c r="N2526" t="s">
        <v>207</v>
      </c>
      <c r="O2526" t="s">
        <v>5615</v>
      </c>
      <c r="P2526" t="s">
        <v>208</v>
      </c>
      <c r="Q2526" t="s">
        <v>209</v>
      </c>
    </row>
    <row r="2527" spans="1:17" x14ac:dyDescent="0.3">
      <c r="A2527" t="s">
        <v>5616</v>
      </c>
      <c r="C2527" t="s">
        <v>5617</v>
      </c>
      <c r="D2527" t="s">
        <v>5617</v>
      </c>
      <c r="E2527" s="5">
        <v>46279</v>
      </c>
      <c r="F2527" t="s">
        <v>204</v>
      </c>
      <c r="G2527" t="s">
        <v>213</v>
      </c>
      <c r="H2527">
        <v>349</v>
      </c>
      <c r="I2527">
        <v>6.28</v>
      </c>
      <c r="J2527">
        <v>1.1299999999999999</v>
      </c>
      <c r="K2527">
        <v>341.59</v>
      </c>
      <c r="L2527" s="5">
        <v>46281</v>
      </c>
      <c r="M2527" t="s">
        <v>5516</v>
      </c>
      <c r="N2527" t="s">
        <v>207</v>
      </c>
      <c r="O2527" t="s">
        <v>5617</v>
      </c>
      <c r="P2527" t="s">
        <v>208</v>
      </c>
      <c r="Q2527" t="s">
        <v>209</v>
      </c>
    </row>
    <row r="2528" spans="1:17" x14ac:dyDescent="0.3">
      <c r="A2528" t="s">
        <v>5618</v>
      </c>
      <c r="C2528" t="s">
        <v>5619</v>
      </c>
      <c r="D2528" t="s">
        <v>5619</v>
      </c>
      <c r="E2528" s="5">
        <v>46279</v>
      </c>
      <c r="F2528" t="s">
        <v>204</v>
      </c>
      <c r="G2528" t="s">
        <v>220</v>
      </c>
      <c r="H2528">
        <v>7497</v>
      </c>
      <c r="I2528">
        <v>22.49</v>
      </c>
      <c r="J2528">
        <v>4.05</v>
      </c>
      <c r="K2528">
        <v>7470.46</v>
      </c>
      <c r="L2528" s="5">
        <v>46281</v>
      </c>
      <c r="M2528" t="s">
        <v>5516</v>
      </c>
      <c r="N2528" t="s">
        <v>207</v>
      </c>
      <c r="O2528" t="s">
        <v>5619</v>
      </c>
      <c r="P2528" t="s">
        <v>208</v>
      </c>
      <c r="Q2528" t="s">
        <v>209</v>
      </c>
    </row>
    <row r="2529" spans="1:17" x14ac:dyDescent="0.3">
      <c r="A2529" t="s">
        <v>5620</v>
      </c>
      <c r="C2529" t="s">
        <v>5621</v>
      </c>
      <c r="D2529" t="s">
        <v>5621</v>
      </c>
      <c r="E2529" s="5">
        <v>46279</v>
      </c>
      <c r="F2529" t="s">
        <v>204</v>
      </c>
      <c r="G2529" t="s">
        <v>213</v>
      </c>
      <c r="H2529">
        <v>3499</v>
      </c>
      <c r="I2529">
        <v>55.98</v>
      </c>
      <c r="J2529">
        <v>10.08</v>
      </c>
      <c r="K2529">
        <v>3432.94</v>
      </c>
      <c r="L2529" s="5">
        <v>46281</v>
      </c>
      <c r="M2529" t="s">
        <v>5516</v>
      </c>
      <c r="N2529" t="s">
        <v>207</v>
      </c>
      <c r="O2529" t="s">
        <v>5621</v>
      </c>
      <c r="P2529" t="s">
        <v>208</v>
      </c>
      <c r="Q2529" t="s">
        <v>209</v>
      </c>
    </row>
    <row r="2530" spans="1:17" x14ac:dyDescent="0.3">
      <c r="A2530" t="s">
        <v>5622</v>
      </c>
      <c r="C2530" t="s">
        <v>5623</v>
      </c>
      <c r="D2530" t="s">
        <v>5623</v>
      </c>
      <c r="E2530" s="5">
        <v>46279</v>
      </c>
      <c r="F2530" t="s">
        <v>204</v>
      </c>
      <c r="G2530" t="s">
        <v>213</v>
      </c>
      <c r="H2530">
        <v>1799</v>
      </c>
      <c r="I2530">
        <v>32.380000000000003</v>
      </c>
      <c r="J2530">
        <v>5.83</v>
      </c>
      <c r="K2530">
        <v>1760.79</v>
      </c>
      <c r="L2530" s="5">
        <v>46281</v>
      </c>
      <c r="M2530" t="s">
        <v>5516</v>
      </c>
      <c r="N2530" t="s">
        <v>207</v>
      </c>
      <c r="O2530" t="s">
        <v>5623</v>
      </c>
      <c r="P2530" t="s">
        <v>208</v>
      </c>
      <c r="Q2530" t="s">
        <v>209</v>
      </c>
    </row>
    <row r="2531" spans="1:17" x14ac:dyDescent="0.3">
      <c r="A2531" t="s">
        <v>5624</v>
      </c>
      <c r="C2531" t="s">
        <v>5625</v>
      </c>
      <c r="D2531" t="s">
        <v>5625</v>
      </c>
      <c r="E2531" s="5">
        <v>46279</v>
      </c>
      <c r="F2531" t="s">
        <v>204</v>
      </c>
      <c r="G2531" t="s">
        <v>213</v>
      </c>
      <c r="H2531">
        <v>799</v>
      </c>
      <c r="I2531">
        <v>14.38</v>
      </c>
      <c r="J2531">
        <v>2.59</v>
      </c>
      <c r="K2531">
        <v>782.03</v>
      </c>
      <c r="L2531" s="5">
        <v>46281</v>
      </c>
      <c r="M2531" t="s">
        <v>5516</v>
      </c>
      <c r="N2531" t="s">
        <v>207</v>
      </c>
      <c r="O2531" t="s">
        <v>5625</v>
      </c>
      <c r="P2531" t="s">
        <v>208</v>
      </c>
      <c r="Q2531" t="s">
        <v>209</v>
      </c>
    </row>
    <row r="2532" spans="1:17" x14ac:dyDescent="0.3">
      <c r="A2532" t="s">
        <v>5626</v>
      </c>
      <c r="C2532" t="s">
        <v>5627</v>
      </c>
      <c r="D2532" t="s">
        <v>5627</v>
      </c>
      <c r="E2532" s="5">
        <v>46279</v>
      </c>
      <c r="F2532" t="s">
        <v>204</v>
      </c>
      <c r="G2532" t="s">
        <v>220</v>
      </c>
      <c r="H2532">
        <v>499</v>
      </c>
      <c r="I2532">
        <v>0</v>
      </c>
      <c r="J2532">
        <v>0</v>
      </c>
      <c r="K2532">
        <v>499</v>
      </c>
      <c r="L2532" s="5">
        <v>46281</v>
      </c>
      <c r="M2532" t="s">
        <v>5516</v>
      </c>
      <c r="N2532" t="s">
        <v>207</v>
      </c>
      <c r="O2532" t="s">
        <v>5627</v>
      </c>
      <c r="P2532" t="s">
        <v>208</v>
      </c>
      <c r="Q2532" t="s">
        <v>209</v>
      </c>
    </row>
    <row r="2533" spans="1:17" x14ac:dyDescent="0.3">
      <c r="A2533" t="s">
        <v>5628</v>
      </c>
      <c r="C2533" t="s">
        <v>5629</v>
      </c>
      <c r="D2533" t="s">
        <v>5630</v>
      </c>
      <c r="E2533" s="5">
        <v>46279</v>
      </c>
      <c r="F2533" t="s">
        <v>204</v>
      </c>
      <c r="G2533" t="s">
        <v>220</v>
      </c>
      <c r="H2533">
        <v>299</v>
      </c>
      <c r="I2533">
        <v>0</v>
      </c>
      <c r="J2533">
        <v>0</v>
      </c>
      <c r="K2533">
        <v>299</v>
      </c>
      <c r="L2533" s="5">
        <v>46281</v>
      </c>
      <c r="M2533" t="s">
        <v>5516</v>
      </c>
      <c r="N2533" t="s">
        <v>207</v>
      </c>
      <c r="O2533" t="s">
        <v>5630</v>
      </c>
      <c r="P2533" t="s">
        <v>208</v>
      </c>
      <c r="Q2533" t="s">
        <v>209</v>
      </c>
    </row>
    <row r="2534" spans="1:17" x14ac:dyDescent="0.3">
      <c r="A2534" t="s">
        <v>5631</v>
      </c>
      <c r="C2534" t="s">
        <v>5632</v>
      </c>
      <c r="D2534" t="s">
        <v>5632</v>
      </c>
      <c r="E2534" s="5">
        <v>46279</v>
      </c>
      <c r="F2534" t="s">
        <v>204</v>
      </c>
      <c r="G2534" t="s">
        <v>220</v>
      </c>
      <c r="H2534">
        <v>798</v>
      </c>
      <c r="I2534">
        <v>0</v>
      </c>
      <c r="J2534">
        <v>0</v>
      </c>
      <c r="K2534">
        <v>798</v>
      </c>
      <c r="L2534" s="5">
        <v>46281</v>
      </c>
      <c r="M2534" t="s">
        <v>5516</v>
      </c>
      <c r="N2534" t="s">
        <v>207</v>
      </c>
      <c r="O2534" t="s">
        <v>5632</v>
      </c>
      <c r="P2534" t="s">
        <v>208</v>
      </c>
      <c r="Q2534" t="s">
        <v>209</v>
      </c>
    </row>
    <row r="2535" spans="1:17" x14ac:dyDescent="0.3">
      <c r="A2535" t="s">
        <v>5633</v>
      </c>
      <c r="C2535" t="s">
        <v>5634</v>
      </c>
      <c r="D2535" t="s">
        <v>5634</v>
      </c>
      <c r="E2535" s="5">
        <v>46279</v>
      </c>
      <c r="F2535" t="s">
        <v>204</v>
      </c>
      <c r="G2535" t="s">
        <v>213</v>
      </c>
      <c r="H2535">
        <v>599</v>
      </c>
      <c r="I2535">
        <v>10.78</v>
      </c>
      <c r="J2535">
        <v>1.94</v>
      </c>
      <c r="K2535">
        <v>586.28</v>
      </c>
      <c r="L2535" s="5">
        <v>46281</v>
      </c>
      <c r="M2535" t="s">
        <v>5516</v>
      </c>
      <c r="N2535" t="s">
        <v>207</v>
      </c>
      <c r="O2535" t="s">
        <v>5634</v>
      </c>
      <c r="P2535" t="s">
        <v>208</v>
      </c>
      <c r="Q2535" t="s">
        <v>209</v>
      </c>
    </row>
    <row r="2536" spans="1:17" x14ac:dyDescent="0.3">
      <c r="A2536" t="s">
        <v>5635</v>
      </c>
      <c r="C2536" t="s">
        <v>5636</v>
      </c>
      <c r="D2536" t="s">
        <v>5636</v>
      </c>
      <c r="E2536" s="5">
        <v>46279</v>
      </c>
      <c r="F2536" t="s">
        <v>204</v>
      </c>
      <c r="G2536" t="s">
        <v>220</v>
      </c>
      <c r="H2536">
        <v>3297</v>
      </c>
      <c r="I2536">
        <v>9.89</v>
      </c>
      <c r="J2536">
        <v>1.78</v>
      </c>
      <c r="K2536">
        <v>3285.33</v>
      </c>
      <c r="L2536" s="5">
        <v>46281</v>
      </c>
      <c r="M2536" t="s">
        <v>5516</v>
      </c>
      <c r="N2536" t="s">
        <v>207</v>
      </c>
      <c r="O2536" t="s">
        <v>5636</v>
      </c>
      <c r="P2536" t="s">
        <v>208</v>
      </c>
      <c r="Q2536" t="s">
        <v>209</v>
      </c>
    </row>
    <row r="2537" spans="1:17" x14ac:dyDescent="0.3">
      <c r="A2537" t="s">
        <v>5637</v>
      </c>
      <c r="C2537" t="s">
        <v>5638</v>
      </c>
      <c r="D2537" t="s">
        <v>5638</v>
      </c>
      <c r="E2537" s="5">
        <v>46279</v>
      </c>
      <c r="F2537" t="s">
        <v>204</v>
      </c>
      <c r="G2537" t="s">
        <v>220</v>
      </c>
      <c r="H2537">
        <v>6097</v>
      </c>
      <c r="I2537">
        <v>18.29</v>
      </c>
      <c r="J2537">
        <v>3.29</v>
      </c>
      <c r="K2537">
        <v>6075.42</v>
      </c>
      <c r="L2537" s="5">
        <v>46281</v>
      </c>
      <c r="M2537" t="s">
        <v>5516</v>
      </c>
      <c r="N2537" t="s">
        <v>207</v>
      </c>
      <c r="O2537" t="s">
        <v>5638</v>
      </c>
      <c r="P2537" t="s">
        <v>208</v>
      </c>
      <c r="Q2537" t="s">
        <v>209</v>
      </c>
    </row>
    <row r="2538" spans="1:17" x14ac:dyDescent="0.3">
      <c r="A2538" t="s">
        <v>5639</v>
      </c>
      <c r="C2538" t="s">
        <v>5640</v>
      </c>
      <c r="D2538" t="s">
        <v>5641</v>
      </c>
      <c r="E2538" s="5">
        <v>46279</v>
      </c>
      <c r="F2538" t="s">
        <v>204</v>
      </c>
      <c r="G2538" t="s">
        <v>220</v>
      </c>
      <c r="H2538">
        <v>1598</v>
      </c>
      <c r="I2538">
        <v>0</v>
      </c>
      <c r="J2538">
        <v>0</v>
      </c>
      <c r="K2538">
        <v>1598</v>
      </c>
      <c r="L2538" s="5">
        <v>46281</v>
      </c>
      <c r="M2538" t="s">
        <v>5516</v>
      </c>
      <c r="N2538" t="s">
        <v>207</v>
      </c>
      <c r="O2538" t="s">
        <v>5641</v>
      </c>
      <c r="P2538" t="s">
        <v>208</v>
      </c>
      <c r="Q2538" t="s">
        <v>209</v>
      </c>
    </row>
    <row r="2539" spans="1:17" x14ac:dyDescent="0.3">
      <c r="A2539" t="s">
        <v>5642</v>
      </c>
      <c r="C2539" t="s">
        <v>5643</v>
      </c>
      <c r="D2539" t="s">
        <v>5643</v>
      </c>
      <c r="E2539" s="5">
        <v>46279</v>
      </c>
      <c r="F2539" t="s">
        <v>204</v>
      </c>
      <c r="G2539" t="s">
        <v>213</v>
      </c>
      <c r="H2539">
        <v>1098</v>
      </c>
      <c r="I2539">
        <v>19.760000000000002</v>
      </c>
      <c r="J2539">
        <v>3.56</v>
      </c>
      <c r="K2539">
        <v>1074.68</v>
      </c>
      <c r="L2539" s="5">
        <v>46281</v>
      </c>
      <c r="M2539" t="s">
        <v>5516</v>
      </c>
      <c r="N2539" t="s">
        <v>207</v>
      </c>
      <c r="O2539" t="s">
        <v>5643</v>
      </c>
      <c r="P2539" t="s">
        <v>208</v>
      </c>
      <c r="Q2539" t="s">
        <v>209</v>
      </c>
    </row>
    <row r="2540" spans="1:17" x14ac:dyDescent="0.3">
      <c r="A2540" t="s">
        <v>5644</v>
      </c>
      <c r="C2540" t="s">
        <v>5645</v>
      </c>
      <c r="D2540" t="s">
        <v>5645</v>
      </c>
      <c r="E2540" s="5">
        <v>46279</v>
      </c>
      <c r="F2540" t="s">
        <v>204</v>
      </c>
      <c r="G2540" t="s">
        <v>213</v>
      </c>
      <c r="H2540">
        <v>799</v>
      </c>
      <c r="I2540">
        <v>14.38</v>
      </c>
      <c r="J2540">
        <v>2.59</v>
      </c>
      <c r="K2540">
        <v>782.03</v>
      </c>
      <c r="L2540" s="5">
        <v>46281</v>
      </c>
      <c r="M2540" t="s">
        <v>5516</v>
      </c>
      <c r="N2540" t="s">
        <v>207</v>
      </c>
      <c r="O2540" t="s">
        <v>5645</v>
      </c>
      <c r="P2540" t="s">
        <v>208</v>
      </c>
      <c r="Q2540" t="s">
        <v>209</v>
      </c>
    </row>
    <row r="2541" spans="1:17" x14ac:dyDescent="0.3">
      <c r="A2541" t="s">
        <v>5646</v>
      </c>
      <c r="C2541" t="s">
        <v>5647</v>
      </c>
      <c r="D2541" t="s">
        <v>5647</v>
      </c>
      <c r="E2541" s="5">
        <v>46279</v>
      </c>
      <c r="F2541" t="s">
        <v>204</v>
      </c>
      <c r="G2541" t="s">
        <v>205</v>
      </c>
      <c r="H2541">
        <v>1098</v>
      </c>
      <c r="I2541">
        <v>20.86</v>
      </c>
      <c r="J2541">
        <v>3.75</v>
      </c>
      <c r="K2541">
        <v>1073.3900000000001</v>
      </c>
      <c r="L2541" s="5">
        <v>46281</v>
      </c>
      <c r="M2541" t="s">
        <v>5516</v>
      </c>
      <c r="N2541" t="s">
        <v>207</v>
      </c>
      <c r="O2541" t="s">
        <v>5647</v>
      </c>
      <c r="P2541" t="s">
        <v>208</v>
      </c>
      <c r="Q2541" t="s">
        <v>209</v>
      </c>
    </row>
    <row r="2542" spans="1:17" x14ac:dyDescent="0.3">
      <c r="A2542" t="s">
        <v>5648</v>
      </c>
      <c r="C2542" t="s">
        <v>5649</v>
      </c>
      <c r="D2542" t="s">
        <v>5649</v>
      </c>
      <c r="E2542" s="5">
        <v>46279</v>
      </c>
      <c r="F2542" t="s">
        <v>204</v>
      </c>
      <c r="G2542" t="s">
        <v>220</v>
      </c>
      <c r="H2542">
        <v>3499</v>
      </c>
      <c r="I2542">
        <v>10.5</v>
      </c>
      <c r="J2542">
        <v>1.89</v>
      </c>
      <c r="K2542">
        <v>3486.61</v>
      </c>
      <c r="L2542" s="5">
        <v>46281</v>
      </c>
      <c r="M2542" t="s">
        <v>5516</v>
      </c>
      <c r="N2542" t="s">
        <v>207</v>
      </c>
      <c r="O2542" t="s">
        <v>5649</v>
      </c>
      <c r="P2542" t="s">
        <v>208</v>
      </c>
      <c r="Q2542" t="s">
        <v>209</v>
      </c>
    </row>
    <row r="2543" spans="1:17" x14ac:dyDescent="0.3">
      <c r="A2543" t="s">
        <v>5650</v>
      </c>
      <c r="C2543" t="s">
        <v>5651</v>
      </c>
      <c r="D2543" t="s">
        <v>5652</v>
      </c>
      <c r="E2543" s="5">
        <v>46279</v>
      </c>
      <c r="F2543" t="s">
        <v>204</v>
      </c>
      <c r="G2543" t="s">
        <v>255</v>
      </c>
      <c r="H2543">
        <v>2999</v>
      </c>
      <c r="I2543">
        <v>35.99</v>
      </c>
      <c r="J2543">
        <v>6.48</v>
      </c>
      <c r="K2543">
        <v>2956.53</v>
      </c>
      <c r="L2543" s="5">
        <v>46281</v>
      </c>
      <c r="M2543" t="s">
        <v>5516</v>
      </c>
      <c r="N2543" t="s">
        <v>207</v>
      </c>
      <c r="O2543" t="s">
        <v>5652</v>
      </c>
      <c r="P2543" t="s">
        <v>208</v>
      </c>
      <c r="Q2543" t="s">
        <v>209</v>
      </c>
    </row>
    <row r="2544" spans="1:17" x14ac:dyDescent="0.3">
      <c r="A2544" t="s">
        <v>5653</v>
      </c>
      <c r="C2544" t="s">
        <v>5654</v>
      </c>
      <c r="D2544" t="s">
        <v>5654</v>
      </c>
      <c r="E2544" s="5">
        <v>46279</v>
      </c>
      <c r="F2544" t="s">
        <v>204</v>
      </c>
      <c r="G2544" t="s">
        <v>213</v>
      </c>
      <c r="H2544">
        <v>3797</v>
      </c>
      <c r="I2544">
        <v>60.75</v>
      </c>
      <c r="J2544">
        <v>10.94</v>
      </c>
      <c r="K2544">
        <v>3725.31</v>
      </c>
      <c r="L2544" s="5">
        <v>46281</v>
      </c>
      <c r="M2544" t="s">
        <v>5516</v>
      </c>
      <c r="N2544" t="s">
        <v>207</v>
      </c>
      <c r="O2544" t="s">
        <v>5654</v>
      </c>
      <c r="P2544" t="s">
        <v>208</v>
      </c>
      <c r="Q2544" t="s">
        <v>209</v>
      </c>
    </row>
    <row r="2545" spans="1:17" x14ac:dyDescent="0.3">
      <c r="A2545" t="s">
        <v>5655</v>
      </c>
      <c r="C2545" t="s">
        <v>5656</v>
      </c>
      <c r="D2545" t="s">
        <v>5657</v>
      </c>
      <c r="E2545" s="5">
        <v>46279</v>
      </c>
      <c r="F2545" t="s">
        <v>204</v>
      </c>
      <c r="G2545" t="s">
        <v>220</v>
      </c>
      <c r="H2545">
        <v>1998</v>
      </c>
      <c r="I2545">
        <v>0</v>
      </c>
      <c r="J2545">
        <v>0</v>
      </c>
      <c r="K2545">
        <v>1998</v>
      </c>
      <c r="L2545" s="5">
        <v>46281</v>
      </c>
      <c r="M2545" t="s">
        <v>5516</v>
      </c>
      <c r="N2545" t="s">
        <v>207</v>
      </c>
      <c r="O2545" t="s">
        <v>5657</v>
      </c>
      <c r="P2545" t="s">
        <v>208</v>
      </c>
      <c r="Q2545" t="s">
        <v>209</v>
      </c>
    </row>
    <row r="2546" spans="1:17" x14ac:dyDescent="0.3">
      <c r="A2546" t="s">
        <v>5658</v>
      </c>
      <c r="C2546" t="s">
        <v>5659</v>
      </c>
      <c r="D2546" t="s">
        <v>5659</v>
      </c>
      <c r="E2546" s="5">
        <v>46279</v>
      </c>
      <c r="F2546" t="s">
        <v>204</v>
      </c>
      <c r="G2546" t="s">
        <v>220</v>
      </c>
      <c r="H2546">
        <v>2499</v>
      </c>
      <c r="I2546">
        <v>7.5</v>
      </c>
      <c r="J2546">
        <v>1.35</v>
      </c>
      <c r="K2546">
        <v>2490.15</v>
      </c>
      <c r="L2546" s="5">
        <v>46281</v>
      </c>
      <c r="M2546" t="s">
        <v>5516</v>
      </c>
      <c r="N2546" t="s">
        <v>207</v>
      </c>
      <c r="O2546" t="s">
        <v>5659</v>
      </c>
      <c r="P2546" t="s">
        <v>208</v>
      </c>
      <c r="Q2546" t="s">
        <v>209</v>
      </c>
    </row>
    <row r="2547" spans="1:17" x14ac:dyDescent="0.3">
      <c r="A2547" t="s">
        <v>5660</v>
      </c>
      <c r="C2547" t="s">
        <v>5661</v>
      </c>
      <c r="D2547" t="s">
        <v>5661</v>
      </c>
      <c r="E2547" s="5">
        <v>46279</v>
      </c>
      <c r="F2547" t="s">
        <v>204</v>
      </c>
      <c r="G2547" t="s">
        <v>213</v>
      </c>
      <c r="H2547">
        <v>799</v>
      </c>
      <c r="I2547">
        <v>14.38</v>
      </c>
      <c r="J2547">
        <v>2.59</v>
      </c>
      <c r="K2547">
        <v>782.03</v>
      </c>
      <c r="L2547" s="5">
        <v>46281</v>
      </c>
      <c r="M2547" t="s">
        <v>5516</v>
      </c>
      <c r="N2547" t="s">
        <v>207</v>
      </c>
      <c r="O2547" t="s">
        <v>5661</v>
      </c>
      <c r="P2547" t="s">
        <v>208</v>
      </c>
      <c r="Q2547" t="s">
        <v>209</v>
      </c>
    </row>
    <row r="2548" spans="1:17" x14ac:dyDescent="0.3">
      <c r="A2548" t="s">
        <v>5662</v>
      </c>
      <c r="C2548" t="s">
        <v>5663</v>
      </c>
      <c r="D2548" t="s">
        <v>5663</v>
      </c>
      <c r="E2548" s="5">
        <v>46279</v>
      </c>
      <c r="F2548" t="s">
        <v>204</v>
      </c>
      <c r="G2548" t="s">
        <v>255</v>
      </c>
      <c r="H2548">
        <v>2999</v>
      </c>
      <c r="I2548">
        <v>35.99</v>
      </c>
      <c r="J2548">
        <v>6.48</v>
      </c>
      <c r="K2548">
        <v>2956.53</v>
      </c>
      <c r="L2548" s="5">
        <v>46281</v>
      </c>
      <c r="M2548" t="s">
        <v>5516</v>
      </c>
      <c r="N2548" t="s">
        <v>207</v>
      </c>
      <c r="O2548" t="s">
        <v>5663</v>
      </c>
      <c r="P2548" t="s">
        <v>208</v>
      </c>
      <c r="Q2548" t="s">
        <v>209</v>
      </c>
    </row>
    <row r="2549" spans="1:17" x14ac:dyDescent="0.3">
      <c r="A2549" t="s">
        <v>5664</v>
      </c>
      <c r="C2549" t="s">
        <v>5665</v>
      </c>
      <c r="D2549" t="s">
        <v>5665</v>
      </c>
      <c r="E2549" s="5">
        <v>46279</v>
      </c>
      <c r="F2549" t="s">
        <v>204</v>
      </c>
      <c r="G2549" t="s">
        <v>213</v>
      </c>
      <c r="H2549">
        <v>999</v>
      </c>
      <c r="I2549">
        <v>17.98</v>
      </c>
      <c r="J2549">
        <v>3.24</v>
      </c>
      <c r="K2549">
        <v>977.78</v>
      </c>
      <c r="L2549" s="5">
        <v>46281</v>
      </c>
      <c r="M2549" t="s">
        <v>5516</v>
      </c>
      <c r="N2549" t="s">
        <v>207</v>
      </c>
      <c r="O2549" t="s">
        <v>5665</v>
      </c>
      <c r="P2549" t="s">
        <v>208</v>
      </c>
      <c r="Q2549" t="s">
        <v>209</v>
      </c>
    </row>
    <row r="2550" spans="1:17" x14ac:dyDescent="0.3">
      <c r="A2550" t="s">
        <v>5666</v>
      </c>
      <c r="C2550" t="s">
        <v>5667</v>
      </c>
      <c r="D2550" t="s">
        <v>5668</v>
      </c>
      <c r="E2550" s="5">
        <v>46279</v>
      </c>
      <c r="F2550" t="s">
        <v>204</v>
      </c>
      <c r="G2550" t="s">
        <v>205</v>
      </c>
      <c r="H2550">
        <v>5297</v>
      </c>
      <c r="I2550">
        <v>90.05</v>
      </c>
      <c r="J2550">
        <v>16.21</v>
      </c>
      <c r="K2550">
        <v>5190.74</v>
      </c>
      <c r="L2550" s="5">
        <v>46281</v>
      </c>
      <c r="M2550" t="s">
        <v>5516</v>
      </c>
      <c r="N2550" t="s">
        <v>207</v>
      </c>
      <c r="O2550" t="s">
        <v>5668</v>
      </c>
      <c r="P2550" t="s">
        <v>208</v>
      </c>
      <c r="Q2550" t="s">
        <v>209</v>
      </c>
    </row>
    <row r="2551" spans="1:17" x14ac:dyDescent="0.3">
      <c r="A2551" t="s">
        <v>5669</v>
      </c>
      <c r="C2551" t="s">
        <v>5670</v>
      </c>
      <c r="D2551" t="s">
        <v>5670</v>
      </c>
      <c r="E2551" s="5">
        <v>46279</v>
      </c>
      <c r="F2551" t="s">
        <v>204</v>
      </c>
      <c r="G2551" t="s">
        <v>205</v>
      </c>
      <c r="H2551">
        <v>1299</v>
      </c>
      <c r="I2551">
        <v>24.68</v>
      </c>
      <c r="J2551">
        <v>4.4400000000000004</v>
      </c>
      <c r="K2551">
        <v>1269.8800000000001</v>
      </c>
      <c r="L2551" s="5">
        <v>46281</v>
      </c>
      <c r="M2551" t="s">
        <v>5516</v>
      </c>
      <c r="N2551" t="s">
        <v>207</v>
      </c>
      <c r="O2551" t="s">
        <v>5670</v>
      </c>
      <c r="P2551" t="s">
        <v>208</v>
      </c>
      <c r="Q2551" t="s">
        <v>209</v>
      </c>
    </row>
    <row r="2552" spans="1:17" x14ac:dyDescent="0.3">
      <c r="A2552" t="s">
        <v>5671</v>
      </c>
      <c r="C2552" t="s">
        <v>5672</v>
      </c>
      <c r="D2552" t="s">
        <v>5673</v>
      </c>
      <c r="E2552" s="5">
        <v>46279</v>
      </c>
      <c r="F2552" t="s">
        <v>204</v>
      </c>
      <c r="G2552" t="s">
        <v>220</v>
      </c>
      <c r="H2552">
        <v>5298</v>
      </c>
      <c r="I2552">
        <v>15.89</v>
      </c>
      <c r="J2552">
        <v>2.86</v>
      </c>
      <c r="K2552">
        <v>5279.25</v>
      </c>
      <c r="L2552" s="5">
        <v>46281</v>
      </c>
      <c r="M2552" t="s">
        <v>5516</v>
      </c>
      <c r="N2552" t="s">
        <v>207</v>
      </c>
      <c r="O2552" t="s">
        <v>5673</v>
      </c>
      <c r="P2552" t="s">
        <v>208</v>
      </c>
      <c r="Q2552" t="s">
        <v>209</v>
      </c>
    </row>
    <row r="2553" spans="1:17" x14ac:dyDescent="0.3">
      <c r="A2553" t="s">
        <v>5674</v>
      </c>
      <c r="C2553" t="s">
        <v>5675</v>
      </c>
      <c r="D2553" t="s">
        <v>5675</v>
      </c>
      <c r="E2553" s="5">
        <v>46279</v>
      </c>
      <c r="F2553" t="s">
        <v>204</v>
      </c>
      <c r="G2553" t="s">
        <v>213</v>
      </c>
      <c r="H2553">
        <v>3998</v>
      </c>
      <c r="I2553">
        <v>63.97</v>
      </c>
      <c r="J2553">
        <v>11.51</v>
      </c>
      <c r="K2553">
        <v>3922.52</v>
      </c>
      <c r="L2553" s="5">
        <v>46281</v>
      </c>
      <c r="M2553" t="s">
        <v>5516</v>
      </c>
      <c r="N2553" t="s">
        <v>207</v>
      </c>
      <c r="O2553" t="s">
        <v>5675</v>
      </c>
      <c r="P2553" t="s">
        <v>208</v>
      </c>
      <c r="Q2553" t="s">
        <v>209</v>
      </c>
    </row>
    <row r="2554" spans="1:17" x14ac:dyDescent="0.3">
      <c r="A2554" t="s">
        <v>5676</v>
      </c>
      <c r="C2554" t="s">
        <v>5677</v>
      </c>
      <c r="D2554" t="s">
        <v>5677</v>
      </c>
      <c r="E2554" s="5">
        <v>46279</v>
      </c>
      <c r="F2554" t="s">
        <v>204</v>
      </c>
      <c r="G2554" t="s">
        <v>213</v>
      </c>
      <c r="H2554">
        <v>599</v>
      </c>
      <c r="I2554">
        <v>10.78</v>
      </c>
      <c r="J2554">
        <v>1.94</v>
      </c>
      <c r="K2554">
        <v>586.28</v>
      </c>
      <c r="L2554" s="5">
        <v>46281</v>
      </c>
      <c r="M2554" t="s">
        <v>5516</v>
      </c>
      <c r="N2554" t="s">
        <v>207</v>
      </c>
      <c r="O2554" t="s">
        <v>5677</v>
      </c>
      <c r="P2554" t="s">
        <v>208</v>
      </c>
      <c r="Q2554" t="s">
        <v>209</v>
      </c>
    </row>
    <row r="2555" spans="1:17" x14ac:dyDescent="0.3">
      <c r="A2555" t="s">
        <v>5678</v>
      </c>
      <c r="C2555" t="s">
        <v>5679</v>
      </c>
      <c r="D2555" t="s">
        <v>5679</v>
      </c>
      <c r="E2555" s="5">
        <v>46279</v>
      </c>
      <c r="F2555" t="s">
        <v>204</v>
      </c>
      <c r="G2555" t="s">
        <v>205</v>
      </c>
      <c r="H2555">
        <v>299</v>
      </c>
      <c r="I2555">
        <v>5.68</v>
      </c>
      <c r="J2555">
        <v>1.02</v>
      </c>
      <c r="K2555">
        <v>292.3</v>
      </c>
      <c r="L2555" s="5">
        <v>46281</v>
      </c>
      <c r="M2555" t="s">
        <v>5516</v>
      </c>
      <c r="N2555" t="s">
        <v>207</v>
      </c>
      <c r="O2555" t="s">
        <v>5679</v>
      </c>
      <c r="P2555" t="s">
        <v>208</v>
      </c>
      <c r="Q2555" t="s">
        <v>209</v>
      </c>
    </row>
    <row r="2556" spans="1:17" x14ac:dyDescent="0.3">
      <c r="A2556" t="s">
        <v>5680</v>
      </c>
      <c r="C2556" t="s">
        <v>5681</v>
      </c>
      <c r="D2556" t="s">
        <v>5681</v>
      </c>
      <c r="E2556" s="5">
        <v>46279</v>
      </c>
      <c r="F2556" t="s">
        <v>204</v>
      </c>
      <c r="G2556" t="s">
        <v>213</v>
      </c>
      <c r="H2556">
        <v>2497</v>
      </c>
      <c r="I2556">
        <v>39.950000000000003</v>
      </c>
      <c r="J2556">
        <v>7.19</v>
      </c>
      <c r="K2556">
        <v>2449.86</v>
      </c>
      <c r="L2556" s="5">
        <v>46281</v>
      </c>
      <c r="M2556" t="s">
        <v>5516</v>
      </c>
      <c r="N2556" t="s">
        <v>207</v>
      </c>
      <c r="O2556" t="s">
        <v>5681</v>
      </c>
      <c r="P2556" t="s">
        <v>208</v>
      </c>
      <c r="Q2556" t="s">
        <v>209</v>
      </c>
    </row>
    <row r="2557" spans="1:17" x14ac:dyDescent="0.3">
      <c r="A2557" t="s">
        <v>5682</v>
      </c>
      <c r="C2557" t="s">
        <v>5683</v>
      </c>
      <c r="D2557" t="s">
        <v>5683</v>
      </c>
      <c r="E2557" s="5">
        <v>46279</v>
      </c>
      <c r="F2557" t="s">
        <v>204</v>
      </c>
      <c r="G2557" t="s">
        <v>220</v>
      </c>
      <c r="H2557">
        <v>2848</v>
      </c>
      <c r="I2557">
        <v>8.5399999999999991</v>
      </c>
      <c r="J2557">
        <v>1.54</v>
      </c>
      <c r="K2557">
        <v>2837.92</v>
      </c>
      <c r="L2557" s="5">
        <v>46281</v>
      </c>
      <c r="M2557" t="s">
        <v>5516</v>
      </c>
      <c r="N2557" t="s">
        <v>207</v>
      </c>
      <c r="O2557" t="s">
        <v>5683</v>
      </c>
      <c r="P2557" t="s">
        <v>208</v>
      </c>
      <c r="Q2557" t="s">
        <v>209</v>
      </c>
    </row>
    <row r="2558" spans="1:17" x14ac:dyDescent="0.3">
      <c r="A2558" t="s">
        <v>5684</v>
      </c>
      <c r="C2558" t="s">
        <v>5685</v>
      </c>
      <c r="D2558" t="s">
        <v>5685</v>
      </c>
      <c r="E2558" s="5">
        <v>46279</v>
      </c>
      <c r="F2558" t="s">
        <v>204</v>
      </c>
      <c r="G2558" t="s">
        <v>220</v>
      </c>
      <c r="H2558">
        <v>4097</v>
      </c>
      <c r="I2558">
        <v>12.29</v>
      </c>
      <c r="J2558">
        <v>2.21</v>
      </c>
      <c r="K2558">
        <v>4082.5</v>
      </c>
      <c r="L2558" s="5">
        <v>46281</v>
      </c>
      <c r="M2558" t="s">
        <v>5516</v>
      </c>
      <c r="N2558" t="s">
        <v>207</v>
      </c>
      <c r="O2558" t="s">
        <v>5685</v>
      </c>
      <c r="P2558" t="s">
        <v>208</v>
      </c>
      <c r="Q2558" t="s">
        <v>209</v>
      </c>
    </row>
    <row r="2559" spans="1:17" x14ac:dyDescent="0.3">
      <c r="A2559" t="s">
        <v>5686</v>
      </c>
      <c r="C2559" t="s">
        <v>5687</v>
      </c>
      <c r="D2559" t="s">
        <v>5687</v>
      </c>
      <c r="E2559" s="5">
        <v>46279</v>
      </c>
      <c r="F2559" t="s">
        <v>204</v>
      </c>
      <c r="G2559" t="s">
        <v>220</v>
      </c>
      <c r="H2559">
        <v>3147</v>
      </c>
      <c r="I2559">
        <v>9.44</v>
      </c>
      <c r="J2559">
        <v>1.7</v>
      </c>
      <c r="K2559">
        <v>3135.86</v>
      </c>
      <c r="L2559" s="5">
        <v>46281</v>
      </c>
      <c r="M2559" t="s">
        <v>5516</v>
      </c>
      <c r="N2559" t="s">
        <v>207</v>
      </c>
      <c r="O2559" t="s">
        <v>5687</v>
      </c>
      <c r="P2559" t="s">
        <v>208</v>
      </c>
      <c r="Q2559" t="s">
        <v>209</v>
      </c>
    </row>
    <row r="2560" spans="1:17" x14ac:dyDescent="0.3">
      <c r="A2560" t="s">
        <v>5688</v>
      </c>
      <c r="C2560" t="s">
        <v>5689</v>
      </c>
      <c r="D2560" t="s">
        <v>5690</v>
      </c>
      <c r="E2560" s="5">
        <v>46279</v>
      </c>
      <c r="F2560" t="s">
        <v>204</v>
      </c>
      <c r="G2560" t="s">
        <v>213</v>
      </c>
      <c r="H2560">
        <v>6997</v>
      </c>
      <c r="I2560">
        <v>111.95</v>
      </c>
      <c r="J2560">
        <v>20.149999999999999</v>
      </c>
      <c r="K2560">
        <v>6864.9</v>
      </c>
      <c r="L2560" s="5">
        <v>46281</v>
      </c>
      <c r="M2560" t="s">
        <v>5516</v>
      </c>
      <c r="N2560" t="s">
        <v>207</v>
      </c>
      <c r="O2560" t="s">
        <v>5690</v>
      </c>
      <c r="P2560" t="s">
        <v>208</v>
      </c>
      <c r="Q2560" t="s">
        <v>209</v>
      </c>
    </row>
    <row r="2561" spans="1:17" x14ac:dyDescent="0.3">
      <c r="A2561" t="s">
        <v>5691</v>
      </c>
      <c r="C2561" t="s">
        <v>5692</v>
      </c>
      <c r="D2561" t="s">
        <v>5693</v>
      </c>
      <c r="E2561" s="5">
        <v>46279</v>
      </c>
      <c r="F2561" t="s">
        <v>204</v>
      </c>
      <c r="G2561" t="s">
        <v>220</v>
      </c>
      <c r="H2561">
        <v>1798</v>
      </c>
      <c r="I2561">
        <v>0</v>
      </c>
      <c r="J2561">
        <v>0</v>
      </c>
      <c r="K2561">
        <v>1798</v>
      </c>
      <c r="L2561" s="5">
        <v>46281</v>
      </c>
      <c r="M2561" t="s">
        <v>5516</v>
      </c>
      <c r="N2561" t="s">
        <v>207</v>
      </c>
      <c r="O2561" t="s">
        <v>5693</v>
      </c>
      <c r="P2561" t="s">
        <v>208</v>
      </c>
      <c r="Q2561" t="s">
        <v>209</v>
      </c>
    </row>
    <row r="2562" spans="1:17" x14ac:dyDescent="0.3">
      <c r="A2562" t="s">
        <v>5694</v>
      </c>
      <c r="C2562" t="s">
        <v>5695</v>
      </c>
      <c r="D2562" t="s">
        <v>5695</v>
      </c>
      <c r="E2562" s="5">
        <v>46279</v>
      </c>
      <c r="F2562" t="s">
        <v>204</v>
      </c>
      <c r="G2562" t="s">
        <v>255</v>
      </c>
      <c r="H2562">
        <v>1598</v>
      </c>
      <c r="I2562">
        <v>23.97</v>
      </c>
      <c r="J2562">
        <v>4.3099999999999996</v>
      </c>
      <c r="K2562">
        <v>1569.72</v>
      </c>
      <c r="L2562" s="5">
        <v>46281</v>
      </c>
      <c r="M2562" t="s">
        <v>5516</v>
      </c>
      <c r="N2562" t="s">
        <v>207</v>
      </c>
      <c r="O2562" t="s">
        <v>5695</v>
      </c>
      <c r="P2562" t="s">
        <v>208</v>
      </c>
      <c r="Q2562" t="s">
        <v>209</v>
      </c>
    </row>
    <row r="2563" spans="1:17" x14ac:dyDescent="0.3">
      <c r="A2563" t="s">
        <v>5696</v>
      </c>
      <c r="C2563" t="s">
        <v>5697</v>
      </c>
      <c r="D2563" t="s">
        <v>5697</v>
      </c>
      <c r="E2563" s="5">
        <v>46279</v>
      </c>
      <c r="F2563" t="s">
        <v>204</v>
      </c>
      <c r="G2563" t="s">
        <v>220</v>
      </c>
      <c r="H2563">
        <v>4798</v>
      </c>
      <c r="I2563">
        <v>14.39</v>
      </c>
      <c r="J2563">
        <v>2.59</v>
      </c>
      <c r="K2563">
        <v>4781.0200000000004</v>
      </c>
      <c r="L2563" s="5">
        <v>46281</v>
      </c>
      <c r="M2563" t="s">
        <v>5516</v>
      </c>
      <c r="N2563" t="s">
        <v>207</v>
      </c>
      <c r="O2563" t="s">
        <v>5697</v>
      </c>
      <c r="P2563" t="s">
        <v>208</v>
      </c>
      <c r="Q2563" t="s">
        <v>209</v>
      </c>
    </row>
    <row r="2564" spans="1:17" x14ac:dyDescent="0.3">
      <c r="A2564" t="s">
        <v>5698</v>
      </c>
      <c r="C2564" t="s">
        <v>5699</v>
      </c>
      <c r="D2564" t="s">
        <v>5700</v>
      </c>
      <c r="E2564" s="5">
        <v>46279</v>
      </c>
      <c r="F2564" t="s">
        <v>204</v>
      </c>
      <c r="G2564" t="s">
        <v>213</v>
      </c>
      <c r="H2564">
        <v>6997</v>
      </c>
      <c r="I2564">
        <v>111.95</v>
      </c>
      <c r="J2564">
        <v>20.149999999999999</v>
      </c>
      <c r="K2564">
        <v>6864.9</v>
      </c>
      <c r="L2564" s="5">
        <v>46281</v>
      </c>
      <c r="M2564" t="s">
        <v>5516</v>
      </c>
      <c r="N2564" t="s">
        <v>207</v>
      </c>
      <c r="O2564" t="s">
        <v>5700</v>
      </c>
      <c r="P2564" t="s">
        <v>208</v>
      </c>
      <c r="Q2564" t="s">
        <v>209</v>
      </c>
    </row>
    <row r="2565" spans="1:17" x14ac:dyDescent="0.3">
      <c r="A2565" t="s">
        <v>5701</v>
      </c>
      <c r="C2565" t="s">
        <v>5702</v>
      </c>
      <c r="D2565" t="s">
        <v>5702</v>
      </c>
      <c r="E2565" s="5">
        <v>46279</v>
      </c>
      <c r="F2565" t="s">
        <v>204</v>
      </c>
      <c r="G2565" t="s">
        <v>255</v>
      </c>
      <c r="H2565">
        <v>15998</v>
      </c>
      <c r="I2565">
        <v>143.97999999999999</v>
      </c>
      <c r="J2565">
        <v>25.92</v>
      </c>
      <c r="K2565">
        <v>15828.1</v>
      </c>
      <c r="L2565" s="5">
        <v>46281</v>
      </c>
      <c r="M2565" t="s">
        <v>5516</v>
      </c>
      <c r="N2565" t="s">
        <v>207</v>
      </c>
      <c r="O2565" t="s">
        <v>5702</v>
      </c>
      <c r="P2565" t="s">
        <v>208</v>
      </c>
      <c r="Q2565" t="s">
        <v>209</v>
      </c>
    </row>
    <row r="2566" spans="1:17" x14ac:dyDescent="0.3">
      <c r="A2566" t="s">
        <v>5703</v>
      </c>
      <c r="C2566" t="s">
        <v>5704</v>
      </c>
      <c r="D2566" t="s">
        <v>5705</v>
      </c>
      <c r="E2566" s="5">
        <v>46279</v>
      </c>
      <c r="F2566" t="s">
        <v>204</v>
      </c>
      <c r="G2566" t="s">
        <v>255</v>
      </c>
      <c r="H2566">
        <v>499</v>
      </c>
      <c r="I2566">
        <v>7.49</v>
      </c>
      <c r="J2566">
        <v>1.35</v>
      </c>
      <c r="K2566">
        <v>490.16</v>
      </c>
      <c r="L2566" s="5">
        <v>46281</v>
      </c>
      <c r="M2566" t="s">
        <v>5516</v>
      </c>
      <c r="N2566" t="s">
        <v>207</v>
      </c>
      <c r="O2566" t="s">
        <v>5705</v>
      </c>
      <c r="P2566" t="s">
        <v>208</v>
      </c>
      <c r="Q2566" t="s">
        <v>209</v>
      </c>
    </row>
    <row r="2567" spans="1:17" x14ac:dyDescent="0.3">
      <c r="A2567" t="s">
        <v>5706</v>
      </c>
      <c r="C2567" t="s">
        <v>5707</v>
      </c>
      <c r="D2567" t="s">
        <v>5707</v>
      </c>
      <c r="E2567" s="5">
        <v>46279</v>
      </c>
      <c r="F2567" t="s">
        <v>204</v>
      </c>
      <c r="G2567" t="s">
        <v>255</v>
      </c>
      <c r="H2567">
        <v>1299</v>
      </c>
      <c r="I2567">
        <v>19.489999999999998</v>
      </c>
      <c r="J2567">
        <v>3.51</v>
      </c>
      <c r="K2567">
        <v>1276</v>
      </c>
      <c r="L2567" s="5">
        <v>46281</v>
      </c>
      <c r="M2567" t="s">
        <v>5516</v>
      </c>
      <c r="N2567" t="s">
        <v>207</v>
      </c>
      <c r="O2567" t="s">
        <v>5707</v>
      </c>
      <c r="P2567" t="s">
        <v>208</v>
      </c>
      <c r="Q2567" t="s">
        <v>209</v>
      </c>
    </row>
    <row r="2568" spans="1:17" x14ac:dyDescent="0.3">
      <c r="A2568" t="s">
        <v>5708</v>
      </c>
      <c r="C2568" t="s">
        <v>5709</v>
      </c>
      <c r="D2568" t="s">
        <v>5709</v>
      </c>
      <c r="E2568" s="5">
        <v>46279</v>
      </c>
      <c r="F2568" t="s">
        <v>204</v>
      </c>
      <c r="G2568" t="s">
        <v>220</v>
      </c>
      <c r="H2568">
        <v>2598</v>
      </c>
      <c r="I2568">
        <v>7.79</v>
      </c>
      <c r="J2568">
        <v>1.4</v>
      </c>
      <c r="K2568">
        <v>2588.81</v>
      </c>
      <c r="L2568" s="5">
        <v>46281</v>
      </c>
      <c r="M2568" t="s">
        <v>5516</v>
      </c>
      <c r="N2568" t="s">
        <v>207</v>
      </c>
      <c r="O2568" t="s">
        <v>5709</v>
      </c>
      <c r="P2568" t="s">
        <v>208</v>
      </c>
      <c r="Q2568" t="s">
        <v>209</v>
      </c>
    </row>
    <row r="2569" spans="1:17" x14ac:dyDescent="0.3">
      <c r="A2569" t="s">
        <v>5710</v>
      </c>
      <c r="C2569" t="s">
        <v>5711</v>
      </c>
      <c r="D2569" t="s">
        <v>5711</v>
      </c>
      <c r="E2569" s="5">
        <v>46279</v>
      </c>
      <c r="F2569" t="s">
        <v>204</v>
      </c>
      <c r="G2569" t="s">
        <v>255</v>
      </c>
      <c r="H2569">
        <v>1898</v>
      </c>
      <c r="I2569">
        <v>28.47</v>
      </c>
      <c r="J2569">
        <v>5.12</v>
      </c>
      <c r="K2569">
        <v>1864.41</v>
      </c>
      <c r="L2569" s="5">
        <v>46281</v>
      </c>
      <c r="M2569" t="s">
        <v>5516</v>
      </c>
      <c r="N2569" t="s">
        <v>207</v>
      </c>
      <c r="O2569" t="s">
        <v>5711</v>
      </c>
      <c r="P2569" t="s">
        <v>208</v>
      </c>
      <c r="Q2569" t="s">
        <v>209</v>
      </c>
    </row>
    <row r="2570" spans="1:17" x14ac:dyDescent="0.3">
      <c r="A2570" t="s">
        <v>5712</v>
      </c>
      <c r="C2570" t="s">
        <v>5713</v>
      </c>
      <c r="D2570" t="s">
        <v>5713</v>
      </c>
      <c r="E2570" s="5">
        <v>46279</v>
      </c>
      <c r="F2570" t="s">
        <v>204</v>
      </c>
      <c r="G2570" t="s">
        <v>220</v>
      </c>
      <c r="H2570">
        <v>3397</v>
      </c>
      <c r="I2570">
        <v>10.19</v>
      </c>
      <c r="J2570">
        <v>1.83</v>
      </c>
      <c r="K2570">
        <v>3384.98</v>
      </c>
      <c r="L2570" s="5">
        <v>46281</v>
      </c>
      <c r="M2570" t="s">
        <v>5516</v>
      </c>
      <c r="N2570" t="s">
        <v>207</v>
      </c>
      <c r="O2570" t="s">
        <v>5713</v>
      </c>
      <c r="P2570" t="s">
        <v>208</v>
      </c>
      <c r="Q2570" t="s">
        <v>209</v>
      </c>
    </row>
    <row r="2571" spans="1:17" x14ac:dyDescent="0.3">
      <c r="A2571" t="s">
        <v>5714</v>
      </c>
      <c r="C2571" t="s">
        <v>5715</v>
      </c>
      <c r="D2571" t="s">
        <v>5715</v>
      </c>
      <c r="E2571" s="5">
        <v>46279</v>
      </c>
      <c r="F2571" t="s">
        <v>204</v>
      </c>
      <c r="G2571" t="s">
        <v>205</v>
      </c>
      <c r="H2571">
        <v>7847</v>
      </c>
      <c r="I2571">
        <v>133.4</v>
      </c>
      <c r="J2571">
        <v>24.01</v>
      </c>
      <c r="K2571">
        <v>7689.59</v>
      </c>
      <c r="L2571" s="5">
        <v>46281</v>
      </c>
      <c r="M2571" t="s">
        <v>5516</v>
      </c>
      <c r="N2571" t="s">
        <v>207</v>
      </c>
      <c r="O2571" t="s">
        <v>5715</v>
      </c>
      <c r="P2571" t="s">
        <v>208</v>
      </c>
      <c r="Q2571" t="s">
        <v>209</v>
      </c>
    </row>
    <row r="2572" spans="1:17" x14ac:dyDescent="0.3">
      <c r="A2572" t="s">
        <v>5716</v>
      </c>
      <c r="C2572" t="s">
        <v>5717</v>
      </c>
      <c r="D2572" t="s">
        <v>5717</v>
      </c>
      <c r="E2572" s="5">
        <v>46279</v>
      </c>
      <c r="F2572" t="s">
        <v>204</v>
      </c>
      <c r="G2572" t="s">
        <v>220</v>
      </c>
      <c r="H2572">
        <v>4998</v>
      </c>
      <c r="I2572">
        <v>14.99</v>
      </c>
      <c r="J2572">
        <v>2.7</v>
      </c>
      <c r="K2572">
        <v>4980.3100000000004</v>
      </c>
      <c r="L2572" s="5">
        <v>46281</v>
      </c>
      <c r="M2572" t="s">
        <v>5516</v>
      </c>
      <c r="N2572" t="s">
        <v>207</v>
      </c>
      <c r="O2572" t="s">
        <v>5717</v>
      </c>
      <c r="P2572" t="s">
        <v>208</v>
      </c>
      <c r="Q2572" t="s">
        <v>209</v>
      </c>
    </row>
    <row r="2573" spans="1:17" x14ac:dyDescent="0.3">
      <c r="A2573" t="s">
        <v>5718</v>
      </c>
      <c r="C2573" t="s">
        <v>5719</v>
      </c>
      <c r="D2573" t="s">
        <v>5719</v>
      </c>
      <c r="E2573" s="5">
        <v>46279</v>
      </c>
      <c r="F2573" t="s">
        <v>204</v>
      </c>
      <c r="G2573" t="s">
        <v>205</v>
      </c>
      <c r="H2573">
        <v>8998</v>
      </c>
      <c r="I2573">
        <v>152.97</v>
      </c>
      <c r="J2573">
        <v>27.53</v>
      </c>
      <c r="K2573">
        <v>8817.5</v>
      </c>
      <c r="L2573" s="5">
        <v>46281</v>
      </c>
      <c r="M2573" t="s">
        <v>5516</v>
      </c>
      <c r="N2573" t="s">
        <v>207</v>
      </c>
      <c r="O2573" t="s">
        <v>5719</v>
      </c>
      <c r="P2573" t="s">
        <v>208</v>
      </c>
      <c r="Q2573" t="s">
        <v>209</v>
      </c>
    </row>
    <row r="2574" spans="1:17" x14ac:dyDescent="0.3">
      <c r="A2574" t="s">
        <v>5720</v>
      </c>
      <c r="C2574" t="s">
        <v>5721</v>
      </c>
      <c r="D2574" t="s">
        <v>5721</v>
      </c>
      <c r="E2574" s="5">
        <v>46279</v>
      </c>
      <c r="F2574" t="s">
        <v>204</v>
      </c>
      <c r="G2574" t="s">
        <v>220</v>
      </c>
      <c r="H2574">
        <v>999</v>
      </c>
      <c r="I2574">
        <v>0</v>
      </c>
      <c r="J2574">
        <v>0</v>
      </c>
      <c r="K2574">
        <v>999</v>
      </c>
      <c r="L2574" s="5">
        <v>46281</v>
      </c>
      <c r="M2574" t="s">
        <v>5516</v>
      </c>
      <c r="N2574" t="s">
        <v>207</v>
      </c>
      <c r="O2574" t="s">
        <v>5721</v>
      </c>
      <c r="P2574" t="s">
        <v>208</v>
      </c>
      <c r="Q2574" t="s">
        <v>209</v>
      </c>
    </row>
    <row r="2575" spans="1:17" x14ac:dyDescent="0.3">
      <c r="A2575" t="s">
        <v>5722</v>
      </c>
      <c r="C2575" t="s">
        <v>5723</v>
      </c>
      <c r="D2575" t="s">
        <v>5723</v>
      </c>
      <c r="E2575" s="5">
        <v>46279</v>
      </c>
      <c r="F2575" t="s">
        <v>204</v>
      </c>
      <c r="G2575" t="s">
        <v>220</v>
      </c>
      <c r="H2575">
        <v>2999</v>
      </c>
      <c r="I2575">
        <v>9</v>
      </c>
      <c r="J2575">
        <v>1.62</v>
      </c>
      <c r="K2575">
        <v>2988.38</v>
      </c>
      <c r="L2575" s="5">
        <v>46281</v>
      </c>
      <c r="M2575" t="s">
        <v>5516</v>
      </c>
      <c r="N2575" t="s">
        <v>207</v>
      </c>
      <c r="O2575" t="s">
        <v>5723</v>
      </c>
      <c r="P2575" t="s">
        <v>208</v>
      </c>
      <c r="Q2575" t="s">
        <v>209</v>
      </c>
    </row>
    <row r="2576" spans="1:17" x14ac:dyDescent="0.3">
      <c r="A2576" t="s">
        <v>5724</v>
      </c>
      <c r="C2576" t="s">
        <v>5725</v>
      </c>
      <c r="D2576" t="s">
        <v>5725</v>
      </c>
      <c r="E2576" s="5">
        <v>46279</v>
      </c>
      <c r="F2576" t="s">
        <v>204</v>
      </c>
      <c r="G2576" t="s">
        <v>220</v>
      </c>
      <c r="H2576">
        <v>599</v>
      </c>
      <c r="I2576">
        <v>0</v>
      </c>
      <c r="J2576">
        <v>0</v>
      </c>
      <c r="K2576">
        <v>599</v>
      </c>
      <c r="L2576" s="5">
        <v>46281</v>
      </c>
      <c r="M2576" t="s">
        <v>5516</v>
      </c>
      <c r="N2576" t="s">
        <v>207</v>
      </c>
      <c r="O2576" t="s">
        <v>5725</v>
      </c>
      <c r="P2576" t="s">
        <v>208</v>
      </c>
      <c r="Q2576" t="s">
        <v>209</v>
      </c>
    </row>
    <row r="2577" spans="1:17" x14ac:dyDescent="0.3">
      <c r="A2577" t="s">
        <v>5726</v>
      </c>
      <c r="C2577" t="s">
        <v>5727</v>
      </c>
      <c r="D2577" t="s">
        <v>5727</v>
      </c>
      <c r="E2577" s="5">
        <v>46279</v>
      </c>
      <c r="F2577" t="s">
        <v>204</v>
      </c>
      <c r="G2577" t="s">
        <v>205</v>
      </c>
      <c r="H2577">
        <v>2499</v>
      </c>
      <c r="I2577">
        <v>42.48</v>
      </c>
      <c r="J2577">
        <v>7.65</v>
      </c>
      <c r="K2577">
        <v>2448.87</v>
      </c>
      <c r="L2577" s="5">
        <v>46281</v>
      </c>
      <c r="M2577" t="s">
        <v>5516</v>
      </c>
      <c r="N2577" t="s">
        <v>207</v>
      </c>
      <c r="O2577" t="s">
        <v>5727</v>
      </c>
      <c r="P2577" t="s">
        <v>208</v>
      </c>
      <c r="Q2577" t="s">
        <v>209</v>
      </c>
    </row>
    <row r="2578" spans="1:17" x14ac:dyDescent="0.3">
      <c r="A2578" t="s">
        <v>5728</v>
      </c>
      <c r="C2578" t="s">
        <v>5729</v>
      </c>
      <c r="D2578" t="s">
        <v>5729</v>
      </c>
      <c r="E2578" s="5">
        <v>46279</v>
      </c>
      <c r="F2578" t="s">
        <v>204</v>
      </c>
      <c r="G2578" t="s">
        <v>220</v>
      </c>
      <c r="H2578">
        <v>2798</v>
      </c>
      <c r="I2578">
        <v>8.39</v>
      </c>
      <c r="J2578">
        <v>1.51</v>
      </c>
      <c r="K2578">
        <v>2788.1</v>
      </c>
      <c r="L2578" s="5">
        <v>46281</v>
      </c>
      <c r="M2578" t="s">
        <v>5516</v>
      </c>
      <c r="N2578" t="s">
        <v>207</v>
      </c>
      <c r="O2578" t="s">
        <v>5729</v>
      </c>
      <c r="P2578" t="s">
        <v>208</v>
      </c>
      <c r="Q2578" t="s">
        <v>209</v>
      </c>
    </row>
    <row r="2579" spans="1:17" x14ac:dyDescent="0.3">
      <c r="A2579" t="s">
        <v>5730</v>
      </c>
      <c r="C2579" t="s">
        <v>5731</v>
      </c>
      <c r="D2579" t="s">
        <v>5731</v>
      </c>
      <c r="E2579" s="5">
        <v>46279</v>
      </c>
      <c r="F2579" t="s">
        <v>204</v>
      </c>
      <c r="G2579" t="s">
        <v>220</v>
      </c>
      <c r="H2579">
        <v>1998</v>
      </c>
      <c r="I2579">
        <v>0</v>
      </c>
      <c r="J2579">
        <v>0</v>
      </c>
      <c r="K2579">
        <v>1998</v>
      </c>
      <c r="L2579" s="5">
        <v>46281</v>
      </c>
      <c r="M2579" t="s">
        <v>5516</v>
      </c>
      <c r="N2579" t="s">
        <v>207</v>
      </c>
      <c r="O2579" t="s">
        <v>5731</v>
      </c>
      <c r="P2579" t="s">
        <v>208</v>
      </c>
      <c r="Q2579" t="s">
        <v>209</v>
      </c>
    </row>
    <row r="2580" spans="1:17" x14ac:dyDescent="0.3">
      <c r="A2580" t="s">
        <v>5732</v>
      </c>
      <c r="C2580" t="s">
        <v>5733</v>
      </c>
      <c r="D2580" t="s">
        <v>5733</v>
      </c>
      <c r="E2580" s="5">
        <v>46279</v>
      </c>
      <c r="F2580" t="s">
        <v>204</v>
      </c>
      <c r="G2580" t="s">
        <v>220</v>
      </c>
      <c r="H2580">
        <v>499</v>
      </c>
      <c r="I2580">
        <v>1.5</v>
      </c>
      <c r="J2580">
        <v>0.27</v>
      </c>
      <c r="K2580">
        <v>497.23</v>
      </c>
      <c r="L2580" s="5">
        <v>46281</v>
      </c>
      <c r="M2580" t="s">
        <v>5516</v>
      </c>
      <c r="N2580" t="s">
        <v>207</v>
      </c>
      <c r="O2580" t="s">
        <v>5733</v>
      </c>
      <c r="P2580" t="s">
        <v>208</v>
      </c>
      <c r="Q2580" t="s">
        <v>209</v>
      </c>
    </row>
    <row r="2581" spans="1:17" x14ac:dyDescent="0.3">
      <c r="A2581" t="s">
        <v>5734</v>
      </c>
      <c r="C2581" t="s">
        <v>5735</v>
      </c>
      <c r="D2581" t="s">
        <v>5735</v>
      </c>
      <c r="E2581" s="5">
        <v>46279</v>
      </c>
      <c r="F2581" t="s">
        <v>204</v>
      </c>
      <c r="G2581" t="s">
        <v>205</v>
      </c>
      <c r="H2581">
        <v>2499</v>
      </c>
      <c r="I2581">
        <v>42.48</v>
      </c>
      <c r="J2581">
        <v>7.65</v>
      </c>
      <c r="K2581">
        <v>2448.87</v>
      </c>
      <c r="L2581" s="5">
        <v>46281</v>
      </c>
      <c r="M2581" t="s">
        <v>5516</v>
      </c>
      <c r="N2581" t="s">
        <v>207</v>
      </c>
      <c r="O2581" t="s">
        <v>5735</v>
      </c>
      <c r="P2581" t="s">
        <v>208</v>
      </c>
      <c r="Q2581" t="s">
        <v>209</v>
      </c>
    </row>
    <row r="2582" spans="1:17" x14ac:dyDescent="0.3">
      <c r="A2582" t="s">
        <v>5736</v>
      </c>
      <c r="C2582" t="s">
        <v>5737</v>
      </c>
      <c r="D2582" t="s">
        <v>5737</v>
      </c>
      <c r="E2582" s="5">
        <v>46279</v>
      </c>
      <c r="F2582" t="s">
        <v>204</v>
      </c>
      <c r="G2582" t="s">
        <v>220</v>
      </c>
      <c r="H2582">
        <v>3798</v>
      </c>
      <c r="I2582">
        <v>11.39</v>
      </c>
      <c r="J2582">
        <v>2.0499999999999998</v>
      </c>
      <c r="K2582">
        <v>3784.56</v>
      </c>
      <c r="L2582" s="5">
        <v>46281</v>
      </c>
      <c r="M2582" t="s">
        <v>5516</v>
      </c>
      <c r="N2582" t="s">
        <v>207</v>
      </c>
      <c r="O2582" t="s">
        <v>5737</v>
      </c>
      <c r="P2582" t="s">
        <v>208</v>
      </c>
      <c r="Q2582" t="s">
        <v>209</v>
      </c>
    </row>
    <row r="2583" spans="1:17" x14ac:dyDescent="0.3">
      <c r="A2583" t="s">
        <v>5738</v>
      </c>
      <c r="C2583" t="s">
        <v>5739</v>
      </c>
      <c r="D2583" t="s">
        <v>5739</v>
      </c>
      <c r="E2583" s="5">
        <v>46279</v>
      </c>
      <c r="F2583" t="s">
        <v>204</v>
      </c>
      <c r="G2583" t="s">
        <v>220</v>
      </c>
      <c r="H2583">
        <v>9798</v>
      </c>
      <c r="I2583">
        <v>29.39</v>
      </c>
      <c r="J2583">
        <v>5.29</v>
      </c>
      <c r="K2583">
        <v>9763.32</v>
      </c>
      <c r="L2583" s="5">
        <v>46281</v>
      </c>
      <c r="M2583" t="s">
        <v>5516</v>
      </c>
      <c r="N2583" t="s">
        <v>207</v>
      </c>
      <c r="O2583" t="s">
        <v>5739</v>
      </c>
      <c r="P2583" t="s">
        <v>208</v>
      </c>
      <c r="Q2583" t="s">
        <v>209</v>
      </c>
    </row>
    <row r="2584" spans="1:17" x14ac:dyDescent="0.3">
      <c r="A2584" t="s">
        <v>5740</v>
      </c>
      <c r="C2584" t="s">
        <v>5741</v>
      </c>
      <c r="D2584" t="s">
        <v>5741</v>
      </c>
      <c r="E2584" s="5">
        <v>46279</v>
      </c>
      <c r="F2584" t="s">
        <v>204</v>
      </c>
      <c r="G2584" t="s">
        <v>220</v>
      </c>
      <c r="H2584">
        <v>4999</v>
      </c>
      <c r="I2584">
        <v>15</v>
      </c>
      <c r="J2584">
        <v>2.7</v>
      </c>
      <c r="K2584">
        <v>4981.3</v>
      </c>
      <c r="L2584" s="5">
        <v>46281</v>
      </c>
      <c r="M2584" t="s">
        <v>5516</v>
      </c>
      <c r="N2584" t="s">
        <v>207</v>
      </c>
      <c r="O2584" t="s">
        <v>5741</v>
      </c>
      <c r="P2584" t="s">
        <v>208</v>
      </c>
      <c r="Q2584" t="s">
        <v>209</v>
      </c>
    </row>
    <row r="2585" spans="1:17" x14ac:dyDescent="0.3">
      <c r="A2585" t="s">
        <v>5742</v>
      </c>
      <c r="C2585" t="s">
        <v>5743</v>
      </c>
      <c r="D2585" t="s">
        <v>5743</v>
      </c>
      <c r="E2585" s="5">
        <v>46279</v>
      </c>
      <c r="F2585" t="s">
        <v>204</v>
      </c>
      <c r="G2585" t="s">
        <v>220</v>
      </c>
      <c r="H2585">
        <v>499</v>
      </c>
      <c r="I2585">
        <v>0</v>
      </c>
      <c r="J2585">
        <v>0</v>
      </c>
      <c r="K2585">
        <v>499</v>
      </c>
      <c r="L2585" s="5">
        <v>46281</v>
      </c>
      <c r="M2585" t="s">
        <v>5516</v>
      </c>
      <c r="N2585" t="s">
        <v>207</v>
      </c>
      <c r="O2585" t="s">
        <v>5743</v>
      </c>
      <c r="P2585" t="s">
        <v>208</v>
      </c>
      <c r="Q2585" t="s">
        <v>209</v>
      </c>
    </row>
    <row r="2586" spans="1:17" x14ac:dyDescent="0.3">
      <c r="A2586" t="s">
        <v>5744</v>
      </c>
      <c r="C2586" t="s">
        <v>5745</v>
      </c>
      <c r="D2586" t="s">
        <v>5745</v>
      </c>
      <c r="E2586" s="5">
        <v>46279</v>
      </c>
      <c r="F2586" t="s">
        <v>204</v>
      </c>
      <c r="G2586" t="s">
        <v>213</v>
      </c>
      <c r="H2586">
        <v>299</v>
      </c>
      <c r="I2586">
        <v>5.38</v>
      </c>
      <c r="J2586">
        <v>0.97</v>
      </c>
      <c r="K2586">
        <v>292.64999999999998</v>
      </c>
      <c r="L2586" s="5">
        <v>46281</v>
      </c>
      <c r="M2586" t="s">
        <v>5516</v>
      </c>
      <c r="N2586" t="s">
        <v>207</v>
      </c>
      <c r="O2586" t="s">
        <v>5745</v>
      </c>
      <c r="P2586" t="s">
        <v>208</v>
      </c>
      <c r="Q2586" t="s">
        <v>209</v>
      </c>
    </row>
    <row r="2587" spans="1:17" x14ac:dyDescent="0.3">
      <c r="A2587" t="s">
        <v>5746</v>
      </c>
      <c r="C2587" t="s">
        <v>5747</v>
      </c>
      <c r="D2587" t="s">
        <v>5747</v>
      </c>
      <c r="E2587" s="5">
        <v>46279</v>
      </c>
      <c r="F2587" t="s">
        <v>204</v>
      </c>
      <c r="G2587" t="s">
        <v>220</v>
      </c>
      <c r="H2587">
        <v>1499</v>
      </c>
      <c r="I2587">
        <v>0</v>
      </c>
      <c r="J2587">
        <v>0</v>
      </c>
      <c r="K2587">
        <v>1499</v>
      </c>
      <c r="L2587" s="5">
        <v>46281</v>
      </c>
      <c r="M2587" t="s">
        <v>5516</v>
      </c>
      <c r="N2587" t="s">
        <v>207</v>
      </c>
      <c r="O2587" t="s">
        <v>5747</v>
      </c>
      <c r="P2587" t="s">
        <v>208</v>
      </c>
      <c r="Q2587" t="s">
        <v>209</v>
      </c>
    </row>
    <row r="2588" spans="1:17" x14ac:dyDescent="0.3">
      <c r="A2588" t="s">
        <v>5748</v>
      </c>
      <c r="C2588" t="s">
        <v>5749</v>
      </c>
      <c r="D2588" t="s">
        <v>5749</v>
      </c>
      <c r="E2588" s="5">
        <v>46279</v>
      </c>
      <c r="F2588" t="s">
        <v>204</v>
      </c>
      <c r="G2588" t="s">
        <v>220</v>
      </c>
      <c r="H2588">
        <v>2098</v>
      </c>
      <c r="I2588">
        <v>6.29</v>
      </c>
      <c r="J2588">
        <v>1.1299999999999999</v>
      </c>
      <c r="K2588">
        <v>2090.58</v>
      </c>
      <c r="L2588" s="5">
        <v>46281</v>
      </c>
      <c r="M2588" t="s">
        <v>5516</v>
      </c>
      <c r="N2588" t="s">
        <v>207</v>
      </c>
      <c r="O2588" t="s">
        <v>5749</v>
      </c>
      <c r="P2588" t="s">
        <v>208</v>
      </c>
      <c r="Q2588" t="s">
        <v>209</v>
      </c>
    </row>
    <row r="2589" spans="1:17" x14ac:dyDescent="0.3">
      <c r="A2589" t="s">
        <v>5750</v>
      </c>
      <c r="C2589" t="s">
        <v>5751</v>
      </c>
      <c r="D2589" t="s">
        <v>5751</v>
      </c>
      <c r="E2589" s="5">
        <v>46279</v>
      </c>
      <c r="F2589" t="s">
        <v>204</v>
      </c>
      <c r="G2589" t="s">
        <v>255</v>
      </c>
      <c r="H2589">
        <v>3848</v>
      </c>
      <c r="I2589">
        <v>46.18</v>
      </c>
      <c r="J2589">
        <v>8.31</v>
      </c>
      <c r="K2589">
        <v>3793.51</v>
      </c>
      <c r="L2589" s="5">
        <v>46281</v>
      </c>
      <c r="M2589" t="s">
        <v>5516</v>
      </c>
      <c r="N2589" t="s">
        <v>207</v>
      </c>
      <c r="O2589" t="s">
        <v>5751</v>
      </c>
      <c r="P2589" t="s">
        <v>208</v>
      </c>
      <c r="Q2589" t="s">
        <v>209</v>
      </c>
    </row>
    <row r="2590" spans="1:17" x14ac:dyDescent="0.3">
      <c r="A2590" t="s">
        <v>5752</v>
      </c>
      <c r="C2590" t="s">
        <v>5753</v>
      </c>
      <c r="D2590" t="s">
        <v>5753</v>
      </c>
      <c r="E2590" s="5">
        <v>46279</v>
      </c>
      <c r="F2590" t="s">
        <v>204</v>
      </c>
      <c r="G2590" t="s">
        <v>213</v>
      </c>
      <c r="H2590">
        <v>3798</v>
      </c>
      <c r="I2590">
        <v>60.77</v>
      </c>
      <c r="J2590">
        <v>10.94</v>
      </c>
      <c r="K2590">
        <v>3726.29</v>
      </c>
      <c r="L2590" s="5">
        <v>46281</v>
      </c>
      <c r="M2590" t="s">
        <v>5516</v>
      </c>
      <c r="N2590" t="s">
        <v>207</v>
      </c>
      <c r="O2590" t="s">
        <v>5753</v>
      </c>
      <c r="P2590" t="s">
        <v>208</v>
      </c>
      <c r="Q2590" t="s">
        <v>209</v>
      </c>
    </row>
    <row r="2591" spans="1:17" x14ac:dyDescent="0.3">
      <c r="A2591" t="s">
        <v>5754</v>
      </c>
      <c r="C2591" t="s">
        <v>5755</v>
      </c>
      <c r="D2591" t="s">
        <v>5755</v>
      </c>
      <c r="E2591" s="5">
        <v>46279</v>
      </c>
      <c r="F2591" t="s">
        <v>204</v>
      </c>
      <c r="G2591" t="s">
        <v>220</v>
      </c>
      <c r="H2591">
        <v>1848</v>
      </c>
      <c r="I2591">
        <v>0</v>
      </c>
      <c r="J2591">
        <v>0</v>
      </c>
      <c r="K2591">
        <v>1848</v>
      </c>
      <c r="L2591" s="5">
        <v>46281</v>
      </c>
      <c r="M2591" t="s">
        <v>5516</v>
      </c>
      <c r="N2591" t="s">
        <v>207</v>
      </c>
      <c r="O2591" t="s">
        <v>5755</v>
      </c>
      <c r="P2591" t="s">
        <v>208</v>
      </c>
      <c r="Q2591" t="s">
        <v>209</v>
      </c>
    </row>
    <row r="2592" spans="1:17" x14ac:dyDescent="0.3">
      <c r="A2592" t="s">
        <v>5756</v>
      </c>
      <c r="C2592" t="s">
        <v>5757</v>
      </c>
      <c r="D2592" t="s">
        <v>5757</v>
      </c>
      <c r="E2592" s="5">
        <v>46279</v>
      </c>
      <c r="F2592" t="s">
        <v>204</v>
      </c>
      <c r="G2592" t="s">
        <v>213</v>
      </c>
      <c r="H2592">
        <v>1299</v>
      </c>
      <c r="I2592">
        <v>23.38</v>
      </c>
      <c r="J2592">
        <v>4.21</v>
      </c>
      <c r="K2592">
        <v>1271.4100000000001</v>
      </c>
      <c r="L2592" s="5">
        <v>46281</v>
      </c>
      <c r="M2592" t="s">
        <v>5516</v>
      </c>
      <c r="N2592" t="s">
        <v>207</v>
      </c>
      <c r="O2592" t="s">
        <v>5757</v>
      </c>
      <c r="P2592" t="s">
        <v>208</v>
      </c>
      <c r="Q2592" t="s">
        <v>209</v>
      </c>
    </row>
    <row r="2593" spans="1:17" x14ac:dyDescent="0.3">
      <c r="A2593" t="s">
        <v>5758</v>
      </c>
      <c r="C2593" t="s">
        <v>5759</v>
      </c>
      <c r="D2593" t="s">
        <v>5759</v>
      </c>
      <c r="E2593" s="5">
        <v>46279</v>
      </c>
      <c r="F2593" t="s">
        <v>204</v>
      </c>
      <c r="G2593" t="s">
        <v>213</v>
      </c>
      <c r="H2593">
        <v>1499</v>
      </c>
      <c r="I2593">
        <v>26.98</v>
      </c>
      <c r="J2593">
        <v>4.8600000000000003</v>
      </c>
      <c r="K2593">
        <v>1467.16</v>
      </c>
      <c r="L2593" s="5">
        <v>46281</v>
      </c>
      <c r="M2593" t="s">
        <v>5516</v>
      </c>
      <c r="N2593" t="s">
        <v>207</v>
      </c>
      <c r="O2593" t="s">
        <v>5759</v>
      </c>
      <c r="P2593" t="s">
        <v>208</v>
      </c>
      <c r="Q2593" t="s">
        <v>209</v>
      </c>
    </row>
    <row r="2594" spans="1:17" x14ac:dyDescent="0.3">
      <c r="A2594" t="s">
        <v>5760</v>
      </c>
      <c r="C2594" t="s">
        <v>5761</v>
      </c>
      <c r="D2594" t="s">
        <v>5761</v>
      </c>
      <c r="E2594" s="5">
        <v>46279</v>
      </c>
      <c r="F2594" t="s">
        <v>204</v>
      </c>
      <c r="G2594" t="s">
        <v>220</v>
      </c>
      <c r="H2594">
        <v>2798</v>
      </c>
      <c r="I2594">
        <v>8.39</v>
      </c>
      <c r="J2594">
        <v>1.51</v>
      </c>
      <c r="K2594">
        <v>2788.1</v>
      </c>
      <c r="L2594" s="5">
        <v>46281</v>
      </c>
      <c r="M2594" t="s">
        <v>5516</v>
      </c>
      <c r="N2594" t="s">
        <v>207</v>
      </c>
      <c r="O2594" t="s">
        <v>5761</v>
      </c>
      <c r="P2594" t="s">
        <v>208</v>
      </c>
      <c r="Q2594" t="s">
        <v>209</v>
      </c>
    </row>
    <row r="2595" spans="1:17" x14ac:dyDescent="0.3">
      <c r="A2595" t="s">
        <v>5762</v>
      </c>
      <c r="C2595" t="s">
        <v>5763</v>
      </c>
      <c r="D2595" t="s">
        <v>5763</v>
      </c>
      <c r="E2595" s="5">
        <v>46279</v>
      </c>
      <c r="F2595" t="s">
        <v>204</v>
      </c>
      <c r="G2595" t="s">
        <v>205</v>
      </c>
      <c r="H2595">
        <v>4647</v>
      </c>
      <c r="I2595">
        <v>79</v>
      </c>
      <c r="J2595">
        <v>14.22</v>
      </c>
      <c r="K2595">
        <v>4553.78</v>
      </c>
      <c r="L2595" s="5">
        <v>46281</v>
      </c>
      <c r="M2595" t="s">
        <v>5516</v>
      </c>
      <c r="N2595" t="s">
        <v>207</v>
      </c>
      <c r="O2595" t="s">
        <v>5763</v>
      </c>
      <c r="P2595" t="s">
        <v>208</v>
      </c>
      <c r="Q2595" t="s">
        <v>209</v>
      </c>
    </row>
    <row r="2596" spans="1:17" x14ac:dyDescent="0.3">
      <c r="A2596" t="s">
        <v>5764</v>
      </c>
      <c r="C2596" t="s">
        <v>5765</v>
      </c>
      <c r="D2596" t="s">
        <v>5765</v>
      </c>
      <c r="E2596" s="5">
        <v>46279</v>
      </c>
      <c r="F2596" t="s">
        <v>204</v>
      </c>
      <c r="G2596" t="s">
        <v>213</v>
      </c>
      <c r="H2596">
        <v>3499</v>
      </c>
      <c r="I2596">
        <v>55.98</v>
      </c>
      <c r="J2596">
        <v>10.08</v>
      </c>
      <c r="K2596">
        <v>3432.94</v>
      </c>
      <c r="L2596" s="5">
        <v>46281</v>
      </c>
      <c r="M2596" t="s">
        <v>5516</v>
      </c>
      <c r="N2596" t="s">
        <v>207</v>
      </c>
      <c r="O2596" t="s">
        <v>5765</v>
      </c>
      <c r="P2596" t="s">
        <v>208</v>
      </c>
      <c r="Q2596" t="s">
        <v>209</v>
      </c>
    </row>
    <row r="2597" spans="1:17" x14ac:dyDescent="0.3">
      <c r="A2597" t="s">
        <v>5766</v>
      </c>
      <c r="C2597" t="s">
        <v>5767</v>
      </c>
      <c r="D2597" t="s">
        <v>5767</v>
      </c>
      <c r="E2597" s="5">
        <v>46279</v>
      </c>
      <c r="F2597" t="s">
        <v>204</v>
      </c>
      <c r="G2597" t="s">
        <v>213</v>
      </c>
      <c r="H2597">
        <v>1098</v>
      </c>
      <c r="I2597">
        <v>19.760000000000002</v>
      </c>
      <c r="J2597">
        <v>3.56</v>
      </c>
      <c r="K2597">
        <v>1074.68</v>
      </c>
      <c r="L2597" s="5">
        <v>46281</v>
      </c>
      <c r="M2597" t="s">
        <v>5516</v>
      </c>
      <c r="N2597" t="s">
        <v>207</v>
      </c>
      <c r="O2597" t="s">
        <v>5767</v>
      </c>
      <c r="P2597" t="s">
        <v>208</v>
      </c>
      <c r="Q2597" t="s">
        <v>209</v>
      </c>
    </row>
    <row r="2598" spans="1:17" x14ac:dyDescent="0.3">
      <c r="A2598" t="s">
        <v>5768</v>
      </c>
      <c r="C2598" t="s">
        <v>5769</v>
      </c>
      <c r="D2598" t="s">
        <v>5770</v>
      </c>
      <c r="E2598" s="5">
        <v>46279</v>
      </c>
      <c r="F2598" t="s">
        <v>204</v>
      </c>
      <c r="G2598" t="s">
        <v>205</v>
      </c>
      <c r="H2598">
        <v>7498</v>
      </c>
      <c r="I2598">
        <v>127.47</v>
      </c>
      <c r="J2598">
        <v>22.94</v>
      </c>
      <c r="K2598">
        <v>7347.59</v>
      </c>
      <c r="L2598" s="5">
        <v>46281</v>
      </c>
      <c r="M2598" t="s">
        <v>5516</v>
      </c>
      <c r="N2598" t="s">
        <v>207</v>
      </c>
      <c r="O2598" t="s">
        <v>5770</v>
      </c>
      <c r="P2598" t="s">
        <v>208</v>
      </c>
      <c r="Q2598" t="s">
        <v>209</v>
      </c>
    </row>
    <row r="2599" spans="1:17" x14ac:dyDescent="0.3">
      <c r="A2599" t="s">
        <v>5771</v>
      </c>
      <c r="C2599" t="s">
        <v>5772</v>
      </c>
      <c r="D2599" t="s">
        <v>5772</v>
      </c>
      <c r="E2599" s="5">
        <v>46279</v>
      </c>
      <c r="F2599" t="s">
        <v>204</v>
      </c>
      <c r="G2599" t="s">
        <v>220</v>
      </c>
      <c r="H2599">
        <v>1799</v>
      </c>
      <c r="I2599">
        <v>0</v>
      </c>
      <c r="J2599">
        <v>0</v>
      </c>
      <c r="K2599">
        <v>1799</v>
      </c>
      <c r="L2599" s="5">
        <v>46281</v>
      </c>
      <c r="M2599" t="s">
        <v>5516</v>
      </c>
      <c r="N2599" t="s">
        <v>207</v>
      </c>
      <c r="O2599" t="s">
        <v>5772</v>
      </c>
      <c r="P2599" t="s">
        <v>208</v>
      </c>
      <c r="Q2599" t="s">
        <v>209</v>
      </c>
    </row>
    <row r="2600" spans="1:17" x14ac:dyDescent="0.3">
      <c r="A2600" t="s">
        <v>5773</v>
      </c>
      <c r="C2600" t="s">
        <v>5774</v>
      </c>
      <c r="D2600" t="s">
        <v>5774</v>
      </c>
      <c r="E2600" s="5">
        <v>46279</v>
      </c>
      <c r="F2600" t="s">
        <v>204</v>
      </c>
      <c r="G2600" t="s">
        <v>220</v>
      </c>
      <c r="H2600">
        <v>349</v>
      </c>
      <c r="I2600">
        <v>0</v>
      </c>
      <c r="J2600">
        <v>0</v>
      </c>
      <c r="K2600">
        <v>349</v>
      </c>
      <c r="L2600" s="5">
        <v>46281</v>
      </c>
      <c r="M2600" t="s">
        <v>5516</v>
      </c>
      <c r="N2600" t="s">
        <v>207</v>
      </c>
      <c r="O2600" t="s">
        <v>5774</v>
      </c>
      <c r="P2600" t="s">
        <v>208</v>
      </c>
      <c r="Q2600" t="s">
        <v>209</v>
      </c>
    </row>
    <row r="2601" spans="1:17" x14ac:dyDescent="0.3">
      <c r="A2601" t="s">
        <v>5775</v>
      </c>
      <c r="C2601" t="s">
        <v>5776</v>
      </c>
      <c r="D2601" t="s">
        <v>5776</v>
      </c>
      <c r="E2601" s="5">
        <v>46279</v>
      </c>
      <c r="F2601" t="s">
        <v>204</v>
      </c>
      <c r="G2601" t="s">
        <v>220</v>
      </c>
      <c r="H2601">
        <v>6298</v>
      </c>
      <c r="I2601">
        <v>18.89</v>
      </c>
      <c r="J2601">
        <v>3.4</v>
      </c>
      <c r="K2601">
        <v>6275.71</v>
      </c>
      <c r="L2601" s="5">
        <v>46281</v>
      </c>
      <c r="M2601" t="s">
        <v>5516</v>
      </c>
      <c r="N2601" t="s">
        <v>207</v>
      </c>
      <c r="O2601" t="s">
        <v>5776</v>
      </c>
      <c r="P2601" t="s">
        <v>208</v>
      </c>
      <c r="Q2601" t="s">
        <v>209</v>
      </c>
    </row>
    <row r="2602" spans="1:17" x14ac:dyDescent="0.3">
      <c r="A2602" t="s">
        <v>5777</v>
      </c>
      <c r="C2602" t="s">
        <v>5778</v>
      </c>
      <c r="D2602" t="s">
        <v>5778</v>
      </c>
      <c r="E2602" s="5">
        <v>46279</v>
      </c>
      <c r="F2602" t="s">
        <v>204</v>
      </c>
      <c r="G2602" t="s">
        <v>220</v>
      </c>
      <c r="H2602">
        <v>3647</v>
      </c>
      <c r="I2602">
        <v>10.94</v>
      </c>
      <c r="J2602">
        <v>1.97</v>
      </c>
      <c r="K2602">
        <v>3634.09</v>
      </c>
      <c r="L2602" s="5">
        <v>46281</v>
      </c>
      <c r="M2602" t="s">
        <v>5516</v>
      </c>
      <c r="N2602" t="s">
        <v>207</v>
      </c>
      <c r="O2602" t="s">
        <v>5778</v>
      </c>
      <c r="P2602" t="s">
        <v>208</v>
      </c>
      <c r="Q2602" t="s">
        <v>209</v>
      </c>
    </row>
    <row r="2603" spans="1:17" x14ac:dyDescent="0.3">
      <c r="A2603" t="s">
        <v>5779</v>
      </c>
      <c r="C2603" t="s">
        <v>5780</v>
      </c>
      <c r="D2603" t="s">
        <v>5780</v>
      </c>
      <c r="E2603" s="5">
        <v>46279</v>
      </c>
      <c r="F2603" t="s">
        <v>204</v>
      </c>
      <c r="G2603" t="s">
        <v>220</v>
      </c>
      <c r="H2603">
        <v>1848</v>
      </c>
      <c r="I2603">
        <v>0</v>
      </c>
      <c r="J2603">
        <v>0</v>
      </c>
      <c r="K2603">
        <v>1848</v>
      </c>
      <c r="L2603" s="5">
        <v>46281</v>
      </c>
      <c r="M2603" t="s">
        <v>5516</v>
      </c>
      <c r="N2603" t="s">
        <v>207</v>
      </c>
      <c r="O2603" t="s">
        <v>5780</v>
      </c>
      <c r="P2603" t="s">
        <v>208</v>
      </c>
      <c r="Q2603" t="s">
        <v>209</v>
      </c>
    </row>
    <row r="2604" spans="1:17" x14ac:dyDescent="0.3">
      <c r="A2604" t="s">
        <v>5781</v>
      </c>
      <c r="C2604" t="s">
        <v>5782</v>
      </c>
      <c r="D2604" t="s">
        <v>5782</v>
      </c>
      <c r="E2604" s="5">
        <v>46279</v>
      </c>
      <c r="F2604" t="s">
        <v>204</v>
      </c>
      <c r="G2604" t="s">
        <v>220</v>
      </c>
      <c r="H2604">
        <v>299</v>
      </c>
      <c r="I2604">
        <v>0</v>
      </c>
      <c r="J2604">
        <v>0</v>
      </c>
      <c r="K2604">
        <v>299</v>
      </c>
      <c r="L2604" s="5">
        <v>46281</v>
      </c>
      <c r="M2604" t="s">
        <v>5516</v>
      </c>
      <c r="N2604" t="s">
        <v>207</v>
      </c>
      <c r="O2604" t="s">
        <v>5782</v>
      </c>
      <c r="P2604" t="s">
        <v>208</v>
      </c>
      <c r="Q2604" t="s">
        <v>209</v>
      </c>
    </row>
    <row r="2605" spans="1:17" x14ac:dyDescent="0.3">
      <c r="A2605" t="s">
        <v>5783</v>
      </c>
      <c r="C2605" t="s">
        <v>5784</v>
      </c>
      <c r="D2605" t="s">
        <v>5785</v>
      </c>
      <c r="E2605" s="5">
        <v>46279</v>
      </c>
      <c r="F2605" t="s">
        <v>204</v>
      </c>
      <c r="G2605" t="s">
        <v>213</v>
      </c>
      <c r="H2605">
        <v>1898</v>
      </c>
      <c r="I2605">
        <v>34.159999999999997</v>
      </c>
      <c r="J2605">
        <v>6.15</v>
      </c>
      <c r="K2605">
        <v>1857.69</v>
      </c>
      <c r="L2605" s="5">
        <v>46281</v>
      </c>
      <c r="M2605" t="s">
        <v>5516</v>
      </c>
      <c r="N2605" t="s">
        <v>207</v>
      </c>
      <c r="O2605" t="s">
        <v>5785</v>
      </c>
      <c r="P2605" t="s">
        <v>208</v>
      </c>
      <c r="Q2605" t="s">
        <v>209</v>
      </c>
    </row>
    <row r="2606" spans="1:17" x14ac:dyDescent="0.3">
      <c r="A2606" t="s">
        <v>5786</v>
      </c>
      <c r="C2606" t="s">
        <v>5787</v>
      </c>
      <c r="D2606" t="s">
        <v>5787</v>
      </c>
      <c r="E2606" s="5">
        <v>46279</v>
      </c>
      <c r="F2606" t="s">
        <v>204</v>
      </c>
      <c r="G2606" t="s">
        <v>220</v>
      </c>
      <c r="H2606">
        <v>1299</v>
      </c>
      <c r="I2606">
        <v>0</v>
      </c>
      <c r="J2606">
        <v>0</v>
      </c>
      <c r="K2606">
        <v>1299</v>
      </c>
      <c r="L2606" s="5">
        <v>46281</v>
      </c>
      <c r="M2606" t="s">
        <v>5516</v>
      </c>
      <c r="N2606" t="s">
        <v>207</v>
      </c>
      <c r="O2606" t="s">
        <v>5787</v>
      </c>
      <c r="P2606" t="s">
        <v>208</v>
      </c>
      <c r="Q2606" t="s">
        <v>209</v>
      </c>
    </row>
    <row r="2607" spans="1:17" x14ac:dyDescent="0.3">
      <c r="A2607" t="s">
        <v>5788</v>
      </c>
      <c r="C2607" t="s">
        <v>5789</v>
      </c>
      <c r="D2607" t="s">
        <v>5789</v>
      </c>
      <c r="E2607" s="5">
        <v>46279</v>
      </c>
      <c r="F2607" t="s">
        <v>204</v>
      </c>
      <c r="G2607" t="s">
        <v>255</v>
      </c>
      <c r="H2607">
        <v>999</v>
      </c>
      <c r="I2607">
        <v>14.99</v>
      </c>
      <c r="J2607">
        <v>2.7</v>
      </c>
      <c r="K2607">
        <v>981.31</v>
      </c>
      <c r="L2607" s="5">
        <v>46281</v>
      </c>
      <c r="M2607" t="s">
        <v>5516</v>
      </c>
      <c r="N2607" t="s">
        <v>207</v>
      </c>
      <c r="O2607" t="s">
        <v>5789</v>
      </c>
      <c r="P2607" t="s">
        <v>208</v>
      </c>
      <c r="Q2607" t="s">
        <v>209</v>
      </c>
    </row>
    <row r="2608" spans="1:17" x14ac:dyDescent="0.3">
      <c r="A2608" t="s">
        <v>5790</v>
      </c>
      <c r="C2608" t="s">
        <v>5791</v>
      </c>
      <c r="D2608" t="s">
        <v>5791</v>
      </c>
      <c r="E2608" s="5">
        <v>46279</v>
      </c>
      <c r="F2608" t="s">
        <v>204</v>
      </c>
      <c r="G2608" t="s">
        <v>205</v>
      </c>
      <c r="H2608">
        <v>6797</v>
      </c>
      <c r="I2608">
        <v>163.13</v>
      </c>
      <c r="J2608">
        <v>29.36</v>
      </c>
      <c r="K2608">
        <v>6604.51</v>
      </c>
      <c r="L2608" s="5">
        <v>46281</v>
      </c>
      <c r="M2608" t="s">
        <v>5516</v>
      </c>
      <c r="N2608" t="s">
        <v>207</v>
      </c>
      <c r="O2608" t="s">
        <v>5791</v>
      </c>
      <c r="P2608" t="s">
        <v>208</v>
      </c>
      <c r="Q2608" t="s">
        <v>209</v>
      </c>
    </row>
    <row r="2609" spans="1:17" x14ac:dyDescent="0.3">
      <c r="A2609" t="s">
        <v>5792</v>
      </c>
      <c r="C2609" t="s">
        <v>5793</v>
      </c>
      <c r="D2609" t="s">
        <v>5793</v>
      </c>
      <c r="E2609" s="5">
        <v>46279</v>
      </c>
      <c r="F2609" t="s">
        <v>204</v>
      </c>
      <c r="G2609" t="s">
        <v>220</v>
      </c>
      <c r="H2609">
        <v>9798</v>
      </c>
      <c r="I2609">
        <v>29.39</v>
      </c>
      <c r="J2609">
        <v>5.29</v>
      </c>
      <c r="K2609">
        <v>9763.32</v>
      </c>
      <c r="L2609" s="5">
        <v>46281</v>
      </c>
      <c r="M2609" t="s">
        <v>5516</v>
      </c>
      <c r="N2609" t="s">
        <v>207</v>
      </c>
      <c r="O2609" t="s">
        <v>5793</v>
      </c>
      <c r="P2609" t="s">
        <v>208</v>
      </c>
      <c r="Q2609" t="s">
        <v>209</v>
      </c>
    </row>
    <row r="2610" spans="1:17" x14ac:dyDescent="0.3">
      <c r="A2610" t="s">
        <v>5794</v>
      </c>
      <c r="C2610" t="s">
        <v>5795</v>
      </c>
      <c r="D2610" t="s">
        <v>5795</v>
      </c>
      <c r="E2610" s="5">
        <v>46279</v>
      </c>
      <c r="F2610" t="s">
        <v>204</v>
      </c>
      <c r="G2610" t="s">
        <v>220</v>
      </c>
      <c r="H2610">
        <v>3998</v>
      </c>
      <c r="I2610">
        <v>11.99</v>
      </c>
      <c r="J2610">
        <v>2.16</v>
      </c>
      <c r="K2610">
        <v>3983.85</v>
      </c>
      <c r="L2610" s="5">
        <v>46281</v>
      </c>
      <c r="M2610" t="s">
        <v>5516</v>
      </c>
      <c r="N2610" t="s">
        <v>207</v>
      </c>
      <c r="O2610" t="s">
        <v>5795</v>
      </c>
      <c r="P2610" t="s">
        <v>208</v>
      </c>
      <c r="Q2610" t="s">
        <v>209</v>
      </c>
    </row>
    <row r="2611" spans="1:17" x14ac:dyDescent="0.3">
      <c r="A2611" t="s">
        <v>5796</v>
      </c>
      <c r="C2611" t="s">
        <v>5797</v>
      </c>
      <c r="D2611" t="s">
        <v>5797</v>
      </c>
      <c r="E2611" s="5">
        <v>46279</v>
      </c>
      <c r="F2611" t="s">
        <v>204</v>
      </c>
      <c r="G2611" t="s">
        <v>220</v>
      </c>
      <c r="H2611">
        <v>2499</v>
      </c>
      <c r="I2611">
        <v>7.5</v>
      </c>
      <c r="J2611">
        <v>1.35</v>
      </c>
      <c r="K2611">
        <v>2490.15</v>
      </c>
      <c r="L2611" s="5">
        <v>46281</v>
      </c>
      <c r="M2611" t="s">
        <v>5516</v>
      </c>
      <c r="N2611" t="s">
        <v>207</v>
      </c>
      <c r="O2611" t="s">
        <v>5797</v>
      </c>
      <c r="P2611" t="s">
        <v>208</v>
      </c>
      <c r="Q2611" t="s">
        <v>209</v>
      </c>
    </row>
    <row r="2612" spans="1:17" x14ac:dyDescent="0.3">
      <c r="A2612" t="s">
        <v>5798</v>
      </c>
      <c r="C2612" t="s">
        <v>5799</v>
      </c>
      <c r="D2612" t="s">
        <v>5799</v>
      </c>
      <c r="E2612" s="5">
        <v>46279</v>
      </c>
      <c r="F2612" t="s">
        <v>204</v>
      </c>
      <c r="G2612" t="s">
        <v>205</v>
      </c>
      <c r="H2612">
        <v>5498</v>
      </c>
      <c r="I2612">
        <v>93.47</v>
      </c>
      <c r="J2612">
        <v>16.82</v>
      </c>
      <c r="K2612">
        <v>5387.71</v>
      </c>
      <c r="L2612" s="5">
        <v>46281</v>
      </c>
      <c r="M2612" t="s">
        <v>5516</v>
      </c>
      <c r="N2612" t="s">
        <v>207</v>
      </c>
      <c r="O2612" t="s">
        <v>5799</v>
      </c>
      <c r="P2612" t="s">
        <v>208</v>
      </c>
      <c r="Q2612" t="s">
        <v>209</v>
      </c>
    </row>
    <row r="2613" spans="1:17" x14ac:dyDescent="0.3">
      <c r="A2613" t="s">
        <v>5800</v>
      </c>
      <c r="C2613" t="s">
        <v>5801</v>
      </c>
      <c r="D2613" t="s">
        <v>5801</v>
      </c>
      <c r="E2613" s="5">
        <v>46279</v>
      </c>
      <c r="F2613" t="s">
        <v>204</v>
      </c>
      <c r="G2613" t="s">
        <v>220</v>
      </c>
      <c r="H2613">
        <v>3998</v>
      </c>
      <c r="I2613">
        <v>11.99</v>
      </c>
      <c r="J2613">
        <v>2.16</v>
      </c>
      <c r="K2613">
        <v>3983.85</v>
      </c>
      <c r="L2613" s="5">
        <v>46281</v>
      </c>
      <c r="M2613" t="s">
        <v>5516</v>
      </c>
      <c r="N2613" t="s">
        <v>207</v>
      </c>
      <c r="O2613" t="s">
        <v>5801</v>
      </c>
      <c r="P2613" t="s">
        <v>208</v>
      </c>
      <c r="Q2613" t="s">
        <v>209</v>
      </c>
    </row>
    <row r="2614" spans="1:17" x14ac:dyDescent="0.3">
      <c r="A2614" t="s">
        <v>5802</v>
      </c>
      <c r="C2614" t="s">
        <v>5803</v>
      </c>
      <c r="D2614" t="s">
        <v>5803</v>
      </c>
      <c r="E2614" s="5">
        <v>46279</v>
      </c>
      <c r="F2614" t="s">
        <v>204</v>
      </c>
      <c r="G2614" t="s">
        <v>220</v>
      </c>
      <c r="H2614">
        <v>4999</v>
      </c>
      <c r="I2614">
        <v>15</v>
      </c>
      <c r="J2614">
        <v>2.7</v>
      </c>
      <c r="K2614">
        <v>4981.3</v>
      </c>
      <c r="L2614" s="5">
        <v>46281</v>
      </c>
      <c r="M2614" t="s">
        <v>5516</v>
      </c>
      <c r="N2614" t="s">
        <v>207</v>
      </c>
      <c r="O2614" t="s">
        <v>5803</v>
      </c>
      <c r="P2614" t="s">
        <v>208</v>
      </c>
      <c r="Q2614" t="s">
        <v>209</v>
      </c>
    </row>
    <row r="2615" spans="1:17" x14ac:dyDescent="0.3">
      <c r="A2615" t="s">
        <v>5804</v>
      </c>
      <c r="C2615" t="s">
        <v>5805</v>
      </c>
      <c r="D2615" t="s">
        <v>5805</v>
      </c>
      <c r="E2615" s="5">
        <v>46279</v>
      </c>
      <c r="F2615" t="s">
        <v>204</v>
      </c>
      <c r="G2615" t="s">
        <v>220</v>
      </c>
      <c r="H2615">
        <v>499</v>
      </c>
      <c r="I2615">
        <v>0</v>
      </c>
      <c r="J2615">
        <v>0</v>
      </c>
      <c r="K2615">
        <v>499</v>
      </c>
      <c r="L2615" s="5">
        <v>46281</v>
      </c>
      <c r="M2615" t="s">
        <v>5516</v>
      </c>
      <c r="N2615" t="s">
        <v>207</v>
      </c>
      <c r="O2615" t="s">
        <v>5805</v>
      </c>
      <c r="P2615" t="s">
        <v>208</v>
      </c>
      <c r="Q2615" t="s">
        <v>209</v>
      </c>
    </row>
    <row r="2616" spans="1:17" x14ac:dyDescent="0.3">
      <c r="A2616" t="s">
        <v>5806</v>
      </c>
      <c r="C2616" t="s">
        <v>5807</v>
      </c>
      <c r="D2616" t="s">
        <v>5808</v>
      </c>
      <c r="E2616" s="5">
        <v>46279</v>
      </c>
      <c r="F2616" t="s">
        <v>204</v>
      </c>
      <c r="G2616" t="s">
        <v>205</v>
      </c>
      <c r="H2616">
        <v>1299</v>
      </c>
      <c r="I2616">
        <v>24.68</v>
      </c>
      <c r="J2616">
        <v>4.4400000000000004</v>
      </c>
      <c r="K2616">
        <v>1269.8800000000001</v>
      </c>
      <c r="L2616" s="5">
        <v>46281</v>
      </c>
      <c r="M2616" t="s">
        <v>5516</v>
      </c>
      <c r="N2616" t="s">
        <v>207</v>
      </c>
      <c r="O2616" t="s">
        <v>5808</v>
      </c>
      <c r="P2616" t="s">
        <v>208</v>
      </c>
      <c r="Q2616" t="s">
        <v>209</v>
      </c>
    </row>
    <row r="2617" spans="1:17" x14ac:dyDescent="0.3">
      <c r="A2617" t="s">
        <v>5809</v>
      </c>
      <c r="C2617" t="s">
        <v>5810</v>
      </c>
      <c r="D2617" t="s">
        <v>5810</v>
      </c>
      <c r="E2617" s="5">
        <v>46279</v>
      </c>
      <c r="F2617" t="s">
        <v>204</v>
      </c>
      <c r="G2617" t="s">
        <v>220</v>
      </c>
      <c r="H2617">
        <v>8798</v>
      </c>
      <c r="I2617">
        <v>26.39</v>
      </c>
      <c r="J2617">
        <v>4.75</v>
      </c>
      <c r="K2617">
        <v>8766.86</v>
      </c>
      <c r="L2617" s="5">
        <v>46281</v>
      </c>
      <c r="M2617" t="s">
        <v>5516</v>
      </c>
      <c r="N2617" t="s">
        <v>207</v>
      </c>
      <c r="O2617" t="s">
        <v>5810</v>
      </c>
      <c r="P2617" t="s">
        <v>208</v>
      </c>
      <c r="Q2617" t="s">
        <v>209</v>
      </c>
    </row>
    <row r="2618" spans="1:17" x14ac:dyDescent="0.3">
      <c r="A2618" t="s">
        <v>5811</v>
      </c>
      <c r="C2618" t="s">
        <v>5812</v>
      </c>
      <c r="D2618" t="s">
        <v>5812</v>
      </c>
      <c r="E2618" s="5">
        <v>46279</v>
      </c>
      <c r="F2618" t="s">
        <v>204</v>
      </c>
      <c r="G2618" t="s">
        <v>220</v>
      </c>
      <c r="H2618">
        <v>1198</v>
      </c>
      <c r="I2618">
        <v>0</v>
      </c>
      <c r="J2618">
        <v>0</v>
      </c>
      <c r="K2618">
        <v>1198</v>
      </c>
      <c r="L2618" s="5">
        <v>46281</v>
      </c>
      <c r="M2618" t="s">
        <v>5516</v>
      </c>
      <c r="N2618" t="s">
        <v>207</v>
      </c>
      <c r="O2618" t="s">
        <v>5812</v>
      </c>
      <c r="P2618" t="s">
        <v>208</v>
      </c>
      <c r="Q2618" t="s">
        <v>209</v>
      </c>
    </row>
    <row r="2619" spans="1:17" x14ac:dyDescent="0.3">
      <c r="A2619" t="s">
        <v>5813</v>
      </c>
      <c r="C2619" t="s">
        <v>5814</v>
      </c>
      <c r="D2619" t="s">
        <v>5814</v>
      </c>
      <c r="E2619" s="5">
        <v>46279</v>
      </c>
      <c r="F2619" t="s">
        <v>204</v>
      </c>
      <c r="G2619" t="s">
        <v>220</v>
      </c>
      <c r="H2619">
        <v>3298</v>
      </c>
      <c r="I2619">
        <v>9.89</v>
      </c>
      <c r="J2619">
        <v>1.78</v>
      </c>
      <c r="K2619">
        <v>3286.33</v>
      </c>
      <c r="L2619" s="5">
        <v>46281</v>
      </c>
      <c r="M2619" t="s">
        <v>5516</v>
      </c>
      <c r="N2619" t="s">
        <v>207</v>
      </c>
      <c r="O2619" t="s">
        <v>5814</v>
      </c>
      <c r="P2619" t="s">
        <v>208</v>
      </c>
      <c r="Q2619" t="s">
        <v>209</v>
      </c>
    </row>
    <row r="2620" spans="1:17" x14ac:dyDescent="0.3">
      <c r="A2620" t="s">
        <v>5815</v>
      </c>
      <c r="C2620" t="s">
        <v>5816</v>
      </c>
      <c r="D2620" t="s">
        <v>5816</v>
      </c>
      <c r="E2620" s="5">
        <v>46279</v>
      </c>
      <c r="F2620" t="s">
        <v>204</v>
      </c>
      <c r="G2620" t="s">
        <v>255</v>
      </c>
      <c r="H2620">
        <v>2499</v>
      </c>
      <c r="I2620">
        <v>29.99</v>
      </c>
      <c r="J2620">
        <v>5.4</v>
      </c>
      <c r="K2620">
        <v>2463.61</v>
      </c>
      <c r="L2620" s="5">
        <v>46281</v>
      </c>
      <c r="M2620" t="s">
        <v>5516</v>
      </c>
      <c r="N2620" t="s">
        <v>207</v>
      </c>
      <c r="O2620" t="s">
        <v>5816</v>
      </c>
      <c r="P2620" t="s">
        <v>208</v>
      </c>
      <c r="Q2620" t="s">
        <v>209</v>
      </c>
    </row>
    <row r="2621" spans="1:17" x14ac:dyDescent="0.3">
      <c r="A2621" t="s">
        <v>5817</v>
      </c>
      <c r="C2621" t="s">
        <v>5818</v>
      </c>
      <c r="D2621" t="s">
        <v>5818</v>
      </c>
      <c r="E2621" s="5">
        <v>46279</v>
      </c>
      <c r="F2621" t="s">
        <v>204</v>
      </c>
      <c r="G2621" t="s">
        <v>220</v>
      </c>
      <c r="H2621">
        <v>5797</v>
      </c>
      <c r="I2621">
        <v>17.39</v>
      </c>
      <c r="J2621">
        <v>3.13</v>
      </c>
      <c r="K2621">
        <v>5776.48</v>
      </c>
      <c r="L2621" s="5">
        <v>46281</v>
      </c>
      <c r="M2621" t="s">
        <v>5516</v>
      </c>
      <c r="N2621" t="s">
        <v>207</v>
      </c>
      <c r="O2621" t="s">
        <v>5818</v>
      </c>
      <c r="P2621" t="s">
        <v>208</v>
      </c>
      <c r="Q2621" t="s">
        <v>209</v>
      </c>
    </row>
    <row r="2622" spans="1:17" x14ac:dyDescent="0.3">
      <c r="A2622" t="s">
        <v>5819</v>
      </c>
      <c r="C2622" t="s">
        <v>5820</v>
      </c>
      <c r="D2622" t="s">
        <v>5821</v>
      </c>
      <c r="E2622" s="5">
        <v>46279</v>
      </c>
      <c r="F2622" t="s">
        <v>204</v>
      </c>
      <c r="G2622" t="s">
        <v>220</v>
      </c>
      <c r="H2622">
        <v>6797</v>
      </c>
      <c r="I2622">
        <v>20.39</v>
      </c>
      <c r="J2622">
        <v>3.67</v>
      </c>
      <c r="K2622">
        <v>6772.94</v>
      </c>
      <c r="L2622" s="5">
        <v>46281</v>
      </c>
      <c r="M2622" t="s">
        <v>5516</v>
      </c>
      <c r="N2622" t="s">
        <v>207</v>
      </c>
      <c r="O2622" t="s">
        <v>5821</v>
      </c>
      <c r="P2622" t="s">
        <v>208</v>
      </c>
      <c r="Q2622" t="s">
        <v>209</v>
      </c>
    </row>
    <row r="2623" spans="1:17" x14ac:dyDescent="0.3">
      <c r="A2623" t="s">
        <v>5822</v>
      </c>
      <c r="C2623" t="s">
        <v>5823</v>
      </c>
      <c r="D2623" t="s">
        <v>5823</v>
      </c>
      <c r="E2623" s="5">
        <v>46279</v>
      </c>
      <c r="F2623" t="s">
        <v>204</v>
      </c>
      <c r="G2623" t="s">
        <v>220</v>
      </c>
      <c r="H2623">
        <v>799</v>
      </c>
      <c r="I2623">
        <v>0</v>
      </c>
      <c r="J2623">
        <v>0</v>
      </c>
      <c r="K2623">
        <v>799</v>
      </c>
      <c r="L2623" s="5">
        <v>46281</v>
      </c>
      <c r="M2623" t="s">
        <v>5516</v>
      </c>
      <c r="N2623" t="s">
        <v>207</v>
      </c>
      <c r="O2623" t="s">
        <v>5823</v>
      </c>
      <c r="P2623" t="s">
        <v>208</v>
      </c>
      <c r="Q2623" t="s">
        <v>209</v>
      </c>
    </row>
    <row r="2624" spans="1:17" x14ac:dyDescent="0.3">
      <c r="A2624" t="s">
        <v>5824</v>
      </c>
      <c r="C2624" t="s">
        <v>5825</v>
      </c>
      <c r="D2624" t="s">
        <v>5826</v>
      </c>
      <c r="E2624" s="5">
        <v>46279</v>
      </c>
      <c r="F2624" t="s">
        <v>204</v>
      </c>
      <c r="G2624" t="s">
        <v>220</v>
      </c>
      <c r="H2624">
        <v>7999</v>
      </c>
      <c r="I2624">
        <v>24</v>
      </c>
      <c r="J2624">
        <v>4.32</v>
      </c>
      <c r="K2624">
        <v>7970.68</v>
      </c>
      <c r="L2624" s="5">
        <v>46281</v>
      </c>
      <c r="M2624" t="s">
        <v>5516</v>
      </c>
      <c r="N2624" t="s">
        <v>207</v>
      </c>
      <c r="O2624" t="s">
        <v>5826</v>
      </c>
      <c r="P2624" t="s">
        <v>208</v>
      </c>
      <c r="Q2624" t="s">
        <v>209</v>
      </c>
    </row>
    <row r="2625" spans="1:17" x14ac:dyDescent="0.3">
      <c r="A2625" t="s">
        <v>5827</v>
      </c>
      <c r="C2625" t="s">
        <v>5828</v>
      </c>
      <c r="D2625" t="s">
        <v>5828</v>
      </c>
      <c r="E2625" s="5">
        <v>46279</v>
      </c>
      <c r="F2625" t="s">
        <v>204</v>
      </c>
      <c r="G2625" t="s">
        <v>255</v>
      </c>
      <c r="H2625">
        <v>4147</v>
      </c>
      <c r="I2625">
        <v>49.76</v>
      </c>
      <c r="J2625">
        <v>8.9600000000000009</v>
      </c>
      <c r="K2625">
        <v>4088.28</v>
      </c>
      <c r="L2625" s="5">
        <v>46281</v>
      </c>
      <c r="M2625" t="s">
        <v>5516</v>
      </c>
      <c r="N2625" t="s">
        <v>207</v>
      </c>
      <c r="O2625" t="s">
        <v>5828</v>
      </c>
      <c r="P2625" t="s">
        <v>208</v>
      </c>
      <c r="Q2625" t="s">
        <v>209</v>
      </c>
    </row>
    <row r="2626" spans="1:17" x14ac:dyDescent="0.3">
      <c r="A2626" t="s">
        <v>5829</v>
      </c>
      <c r="C2626" t="s">
        <v>5830</v>
      </c>
      <c r="D2626" t="s">
        <v>5830</v>
      </c>
      <c r="E2626" s="5">
        <v>46279</v>
      </c>
      <c r="F2626" t="s">
        <v>204</v>
      </c>
      <c r="G2626" t="s">
        <v>220</v>
      </c>
      <c r="H2626">
        <v>2847</v>
      </c>
      <c r="I2626">
        <v>8.5399999999999991</v>
      </c>
      <c r="J2626">
        <v>1.54</v>
      </c>
      <c r="K2626">
        <v>2836.92</v>
      </c>
      <c r="L2626" s="5">
        <v>46281</v>
      </c>
      <c r="M2626" t="s">
        <v>5516</v>
      </c>
      <c r="N2626" t="s">
        <v>207</v>
      </c>
      <c r="O2626" t="s">
        <v>5830</v>
      </c>
      <c r="P2626" t="s">
        <v>208</v>
      </c>
      <c r="Q2626" t="s">
        <v>209</v>
      </c>
    </row>
    <row r="2627" spans="1:17" x14ac:dyDescent="0.3">
      <c r="A2627" t="s">
        <v>5831</v>
      </c>
      <c r="C2627" t="s">
        <v>5832</v>
      </c>
      <c r="D2627" t="s">
        <v>5833</v>
      </c>
      <c r="E2627" s="5">
        <v>46279</v>
      </c>
      <c r="F2627" t="s">
        <v>204</v>
      </c>
      <c r="G2627" t="s">
        <v>213</v>
      </c>
      <c r="H2627">
        <v>2499</v>
      </c>
      <c r="I2627">
        <v>39.979999999999997</v>
      </c>
      <c r="J2627">
        <v>7.2</v>
      </c>
      <c r="K2627">
        <v>2451.8200000000002</v>
      </c>
      <c r="L2627" s="5">
        <v>46281</v>
      </c>
      <c r="M2627" t="s">
        <v>5516</v>
      </c>
      <c r="N2627" t="s">
        <v>207</v>
      </c>
      <c r="O2627" t="s">
        <v>5833</v>
      </c>
      <c r="P2627" t="s">
        <v>208</v>
      </c>
      <c r="Q2627" t="s">
        <v>209</v>
      </c>
    </row>
    <row r="2628" spans="1:17" x14ac:dyDescent="0.3">
      <c r="A2628" t="s">
        <v>5834</v>
      </c>
      <c r="C2628" t="s">
        <v>5835</v>
      </c>
      <c r="D2628" t="s">
        <v>5835</v>
      </c>
      <c r="E2628" s="5">
        <v>46279</v>
      </c>
      <c r="F2628" t="s">
        <v>204</v>
      </c>
      <c r="G2628" t="s">
        <v>213</v>
      </c>
      <c r="H2628">
        <v>7999</v>
      </c>
      <c r="I2628">
        <v>127.98</v>
      </c>
      <c r="J2628">
        <v>23.04</v>
      </c>
      <c r="K2628">
        <v>7847.98</v>
      </c>
      <c r="L2628" s="5">
        <v>46281</v>
      </c>
      <c r="M2628" t="s">
        <v>5516</v>
      </c>
      <c r="N2628" t="s">
        <v>207</v>
      </c>
      <c r="O2628" t="s">
        <v>5835</v>
      </c>
      <c r="P2628" t="s">
        <v>208</v>
      </c>
      <c r="Q2628" t="s">
        <v>209</v>
      </c>
    </row>
    <row r="2629" spans="1:17" x14ac:dyDescent="0.3">
      <c r="A2629" t="s">
        <v>5836</v>
      </c>
      <c r="C2629" t="s">
        <v>5837</v>
      </c>
      <c r="D2629" t="s">
        <v>5837</v>
      </c>
      <c r="E2629" s="5">
        <v>46279</v>
      </c>
      <c r="F2629" t="s">
        <v>204</v>
      </c>
      <c r="G2629" t="s">
        <v>220</v>
      </c>
      <c r="H2629">
        <v>999</v>
      </c>
      <c r="I2629">
        <v>0</v>
      </c>
      <c r="J2629">
        <v>0</v>
      </c>
      <c r="K2629">
        <v>999</v>
      </c>
      <c r="L2629" s="5">
        <v>46281</v>
      </c>
      <c r="M2629" t="s">
        <v>5516</v>
      </c>
      <c r="N2629" t="s">
        <v>207</v>
      </c>
      <c r="O2629" t="s">
        <v>5837</v>
      </c>
      <c r="P2629" t="s">
        <v>208</v>
      </c>
      <c r="Q2629" t="s">
        <v>209</v>
      </c>
    </row>
    <row r="2630" spans="1:17" x14ac:dyDescent="0.3">
      <c r="A2630" t="s">
        <v>5838</v>
      </c>
      <c r="C2630" t="s">
        <v>5839</v>
      </c>
      <c r="D2630" t="s">
        <v>5839</v>
      </c>
      <c r="E2630" s="5">
        <v>46279</v>
      </c>
      <c r="F2630" t="s">
        <v>204</v>
      </c>
      <c r="G2630" t="s">
        <v>213</v>
      </c>
      <c r="H2630">
        <v>2499</v>
      </c>
      <c r="I2630">
        <v>39.979999999999997</v>
      </c>
      <c r="J2630">
        <v>7.2</v>
      </c>
      <c r="K2630">
        <v>2451.8200000000002</v>
      </c>
      <c r="L2630" s="5">
        <v>46281</v>
      </c>
      <c r="M2630" t="s">
        <v>5516</v>
      </c>
      <c r="N2630" t="s">
        <v>207</v>
      </c>
      <c r="O2630" t="s">
        <v>5839</v>
      </c>
      <c r="P2630" t="s">
        <v>208</v>
      </c>
      <c r="Q2630" t="s">
        <v>209</v>
      </c>
    </row>
    <row r="2631" spans="1:17" x14ac:dyDescent="0.3">
      <c r="A2631" t="s">
        <v>5840</v>
      </c>
      <c r="C2631" t="s">
        <v>5841</v>
      </c>
      <c r="D2631" t="s">
        <v>5841</v>
      </c>
      <c r="E2631" s="5">
        <v>46279</v>
      </c>
      <c r="F2631" t="s">
        <v>204</v>
      </c>
      <c r="G2631" t="s">
        <v>213</v>
      </c>
      <c r="H2631">
        <v>1298</v>
      </c>
      <c r="I2631">
        <v>23.36</v>
      </c>
      <c r="J2631">
        <v>4.2</v>
      </c>
      <c r="K2631">
        <v>1270.44</v>
      </c>
      <c r="L2631" s="5">
        <v>46281</v>
      </c>
      <c r="M2631" t="s">
        <v>5516</v>
      </c>
      <c r="N2631" t="s">
        <v>207</v>
      </c>
      <c r="O2631" t="s">
        <v>5841</v>
      </c>
      <c r="P2631" t="s">
        <v>208</v>
      </c>
      <c r="Q2631" t="s">
        <v>209</v>
      </c>
    </row>
    <row r="2632" spans="1:17" x14ac:dyDescent="0.3">
      <c r="A2632" t="s">
        <v>5842</v>
      </c>
      <c r="C2632" t="s">
        <v>5843</v>
      </c>
      <c r="D2632" t="s">
        <v>5843</v>
      </c>
      <c r="E2632" s="5">
        <v>46279</v>
      </c>
      <c r="F2632" t="s">
        <v>204</v>
      </c>
      <c r="G2632" t="s">
        <v>213</v>
      </c>
      <c r="H2632">
        <v>1499</v>
      </c>
      <c r="I2632">
        <v>26.98</v>
      </c>
      <c r="J2632">
        <v>4.8600000000000003</v>
      </c>
      <c r="K2632">
        <v>1467.16</v>
      </c>
      <c r="L2632" s="5">
        <v>46281</v>
      </c>
      <c r="M2632" t="s">
        <v>5516</v>
      </c>
      <c r="N2632" t="s">
        <v>207</v>
      </c>
      <c r="O2632" t="s">
        <v>5843</v>
      </c>
      <c r="P2632" t="s">
        <v>208</v>
      </c>
      <c r="Q2632" t="s">
        <v>209</v>
      </c>
    </row>
    <row r="2633" spans="1:17" x14ac:dyDescent="0.3">
      <c r="A2633" t="s">
        <v>5844</v>
      </c>
      <c r="C2633" t="s">
        <v>5845</v>
      </c>
      <c r="D2633" t="s">
        <v>5845</v>
      </c>
      <c r="E2633" s="5">
        <v>46279</v>
      </c>
      <c r="F2633" t="s">
        <v>204</v>
      </c>
      <c r="G2633" t="s">
        <v>213</v>
      </c>
      <c r="H2633">
        <v>499</v>
      </c>
      <c r="I2633">
        <v>8.98</v>
      </c>
      <c r="J2633">
        <v>1.62</v>
      </c>
      <c r="K2633">
        <v>488.4</v>
      </c>
      <c r="L2633" s="5">
        <v>46281</v>
      </c>
      <c r="M2633" t="s">
        <v>5516</v>
      </c>
      <c r="N2633" t="s">
        <v>207</v>
      </c>
      <c r="O2633" t="s">
        <v>5845</v>
      </c>
      <c r="P2633" t="s">
        <v>208</v>
      </c>
      <c r="Q2633" t="s">
        <v>209</v>
      </c>
    </row>
    <row r="2634" spans="1:17" x14ac:dyDescent="0.3">
      <c r="A2634" t="s">
        <v>5846</v>
      </c>
      <c r="C2634" t="s">
        <v>5847</v>
      </c>
      <c r="D2634" t="s">
        <v>5847</v>
      </c>
      <c r="E2634" s="5">
        <v>46279</v>
      </c>
      <c r="F2634" t="s">
        <v>204</v>
      </c>
      <c r="G2634" t="s">
        <v>213</v>
      </c>
      <c r="H2634">
        <v>3499</v>
      </c>
      <c r="I2634">
        <v>55.98</v>
      </c>
      <c r="J2634">
        <v>10.08</v>
      </c>
      <c r="K2634">
        <v>3432.94</v>
      </c>
      <c r="L2634" s="5">
        <v>46281</v>
      </c>
      <c r="M2634" t="s">
        <v>5516</v>
      </c>
      <c r="N2634" t="s">
        <v>207</v>
      </c>
      <c r="O2634" t="s">
        <v>5847</v>
      </c>
      <c r="P2634" t="s">
        <v>208</v>
      </c>
      <c r="Q2634" t="s">
        <v>209</v>
      </c>
    </row>
    <row r="2635" spans="1:17" x14ac:dyDescent="0.3">
      <c r="A2635" t="s">
        <v>5848</v>
      </c>
      <c r="C2635" t="s">
        <v>5849</v>
      </c>
      <c r="D2635" t="s">
        <v>5849</v>
      </c>
      <c r="E2635" s="5">
        <v>46279</v>
      </c>
      <c r="F2635" t="s">
        <v>204</v>
      </c>
      <c r="G2635" t="s">
        <v>205</v>
      </c>
      <c r="H2635">
        <v>499</v>
      </c>
      <c r="I2635">
        <v>9.48</v>
      </c>
      <c r="J2635">
        <v>1.71</v>
      </c>
      <c r="K2635">
        <v>487.81</v>
      </c>
      <c r="L2635" s="5">
        <v>46281</v>
      </c>
      <c r="M2635" t="s">
        <v>5516</v>
      </c>
      <c r="N2635" t="s">
        <v>207</v>
      </c>
      <c r="O2635" t="s">
        <v>5849</v>
      </c>
      <c r="P2635" t="s">
        <v>208</v>
      </c>
      <c r="Q2635" t="s">
        <v>209</v>
      </c>
    </row>
    <row r="2636" spans="1:17" x14ac:dyDescent="0.3">
      <c r="A2636" t="s">
        <v>5850</v>
      </c>
      <c r="C2636" t="s">
        <v>5851</v>
      </c>
      <c r="D2636" t="s">
        <v>5851</v>
      </c>
      <c r="E2636" s="5">
        <v>46279</v>
      </c>
      <c r="F2636" t="s">
        <v>204</v>
      </c>
      <c r="G2636" t="s">
        <v>220</v>
      </c>
      <c r="H2636">
        <v>299</v>
      </c>
      <c r="I2636">
        <v>0</v>
      </c>
      <c r="J2636">
        <v>0</v>
      </c>
      <c r="K2636">
        <v>299</v>
      </c>
      <c r="L2636" s="5">
        <v>46281</v>
      </c>
      <c r="M2636" t="s">
        <v>5516</v>
      </c>
      <c r="N2636" t="s">
        <v>207</v>
      </c>
      <c r="O2636" t="s">
        <v>5851</v>
      </c>
      <c r="P2636" t="s">
        <v>208</v>
      </c>
      <c r="Q2636" t="s">
        <v>209</v>
      </c>
    </row>
    <row r="2637" spans="1:17" x14ac:dyDescent="0.3">
      <c r="A2637" t="s">
        <v>5852</v>
      </c>
      <c r="C2637" t="s">
        <v>5853</v>
      </c>
      <c r="D2637" t="s">
        <v>5853</v>
      </c>
      <c r="E2637" s="5">
        <v>46279</v>
      </c>
      <c r="F2637" t="s">
        <v>204</v>
      </c>
      <c r="G2637" t="s">
        <v>220</v>
      </c>
      <c r="H2637">
        <v>3297</v>
      </c>
      <c r="I2637">
        <v>9.89</v>
      </c>
      <c r="J2637">
        <v>1.78</v>
      </c>
      <c r="K2637">
        <v>3285.33</v>
      </c>
      <c r="L2637" s="5">
        <v>46281</v>
      </c>
      <c r="M2637" t="s">
        <v>5516</v>
      </c>
      <c r="N2637" t="s">
        <v>207</v>
      </c>
      <c r="O2637" t="s">
        <v>5853</v>
      </c>
      <c r="P2637" t="s">
        <v>208</v>
      </c>
      <c r="Q2637" t="s">
        <v>209</v>
      </c>
    </row>
    <row r="2638" spans="1:17" x14ac:dyDescent="0.3">
      <c r="A2638" t="s">
        <v>5854</v>
      </c>
      <c r="C2638" t="s">
        <v>5855</v>
      </c>
      <c r="D2638" t="s">
        <v>5855</v>
      </c>
      <c r="E2638" s="5">
        <v>46279</v>
      </c>
      <c r="F2638" t="s">
        <v>204</v>
      </c>
      <c r="G2638" t="s">
        <v>220</v>
      </c>
      <c r="H2638">
        <v>11498</v>
      </c>
      <c r="I2638">
        <v>34.49</v>
      </c>
      <c r="J2638">
        <v>6.21</v>
      </c>
      <c r="K2638">
        <v>11457.3</v>
      </c>
      <c r="L2638" s="5">
        <v>46281</v>
      </c>
      <c r="M2638" t="s">
        <v>5516</v>
      </c>
      <c r="N2638" t="s">
        <v>207</v>
      </c>
      <c r="O2638" t="s">
        <v>5855</v>
      </c>
      <c r="P2638" t="s">
        <v>208</v>
      </c>
      <c r="Q2638" t="s">
        <v>209</v>
      </c>
    </row>
    <row r="2639" spans="1:17" x14ac:dyDescent="0.3">
      <c r="A2639" t="s">
        <v>5856</v>
      </c>
      <c r="C2639" t="s">
        <v>5857</v>
      </c>
      <c r="D2639" t="s">
        <v>5857</v>
      </c>
      <c r="E2639" s="5">
        <v>46279</v>
      </c>
      <c r="F2639" t="s">
        <v>204</v>
      </c>
      <c r="G2639" t="s">
        <v>205</v>
      </c>
      <c r="H2639">
        <v>2497</v>
      </c>
      <c r="I2639">
        <v>42.45</v>
      </c>
      <c r="J2639">
        <v>7.64</v>
      </c>
      <c r="K2639">
        <v>2446.91</v>
      </c>
      <c r="L2639" s="5">
        <v>46281</v>
      </c>
      <c r="M2639" t="s">
        <v>5516</v>
      </c>
      <c r="N2639" t="s">
        <v>207</v>
      </c>
      <c r="O2639" t="s">
        <v>5857</v>
      </c>
      <c r="P2639" t="s">
        <v>208</v>
      </c>
      <c r="Q2639" t="s">
        <v>209</v>
      </c>
    </row>
    <row r="2640" spans="1:17" x14ac:dyDescent="0.3">
      <c r="A2640" t="s">
        <v>5858</v>
      </c>
      <c r="C2640" t="s">
        <v>5859</v>
      </c>
      <c r="D2640" t="s">
        <v>5859</v>
      </c>
      <c r="E2640" s="5">
        <v>46279</v>
      </c>
      <c r="F2640" t="s">
        <v>204</v>
      </c>
      <c r="G2640" t="s">
        <v>220</v>
      </c>
      <c r="H2640">
        <v>1798</v>
      </c>
      <c r="I2640">
        <v>0</v>
      </c>
      <c r="J2640">
        <v>0</v>
      </c>
      <c r="K2640">
        <v>1798</v>
      </c>
      <c r="L2640" s="5">
        <v>46281</v>
      </c>
      <c r="M2640" t="s">
        <v>5516</v>
      </c>
      <c r="N2640" t="s">
        <v>207</v>
      </c>
      <c r="O2640" t="s">
        <v>5859</v>
      </c>
      <c r="P2640" t="s">
        <v>208</v>
      </c>
      <c r="Q2640" t="s">
        <v>209</v>
      </c>
    </row>
    <row r="2641" spans="1:17" x14ac:dyDescent="0.3">
      <c r="A2641" t="s">
        <v>5860</v>
      </c>
      <c r="C2641" t="s">
        <v>5861</v>
      </c>
      <c r="D2641" t="s">
        <v>5861</v>
      </c>
      <c r="E2641" s="5">
        <v>46279</v>
      </c>
      <c r="F2641" t="s">
        <v>204</v>
      </c>
      <c r="G2641" t="s">
        <v>213</v>
      </c>
      <c r="H2641">
        <v>299</v>
      </c>
      <c r="I2641">
        <v>5.38</v>
      </c>
      <c r="J2641">
        <v>0.97</v>
      </c>
      <c r="K2641">
        <v>292.64999999999998</v>
      </c>
      <c r="L2641" s="5">
        <v>46281</v>
      </c>
      <c r="M2641" t="s">
        <v>5516</v>
      </c>
      <c r="N2641" t="s">
        <v>207</v>
      </c>
      <c r="O2641" t="s">
        <v>5861</v>
      </c>
      <c r="P2641" t="s">
        <v>208</v>
      </c>
      <c r="Q2641" t="s">
        <v>209</v>
      </c>
    </row>
    <row r="2642" spans="1:17" x14ac:dyDescent="0.3">
      <c r="A2642" t="s">
        <v>5862</v>
      </c>
      <c r="C2642" t="s">
        <v>5863</v>
      </c>
      <c r="D2642" t="s">
        <v>5863</v>
      </c>
      <c r="E2642" s="5">
        <v>46279</v>
      </c>
      <c r="F2642" t="s">
        <v>204</v>
      </c>
      <c r="G2642" t="s">
        <v>220</v>
      </c>
      <c r="H2642">
        <v>8297</v>
      </c>
      <c r="I2642">
        <v>24.89</v>
      </c>
      <c r="J2642">
        <v>4.4800000000000004</v>
      </c>
      <c r="K2642">
        <v>8267.6299999999992</v>
      </c>
      <c r="L2642" s="5">
        <v>46281</v>
      </c>
      <c r="M2642" t="s">
        <v>5516</v>
      </c>
      <c r="N2642" t="s">
        <v>207</v>
      </c>
      <c r="O2642" t="s">
        <v>5863</v>
      </c>
      <c r="P2642" t="s">
        <v>208</v>
      </c>
      <c r="Q2642" t="s">
        <v>209</v>
      </c>
    </row>
    <row r="2643" spans="1:17" x14ac:dyDescent="0.3">
      <c r="A2643" t="s">
        <v>5864</v>
      </c>
      <c r="C2643" t="s">
        <v>5865</v>
      </c>
      <c r="D2643" t="s">
        <v>5865</v>
      </c>
      <c r="E2643" s="5">
        <v>46279</v>
      </c>
      <c r="F2643" t="s">
        <v>204</v>
      </c>
      <c r="G2643" t="s">
        <v>213</v>
      </c>
      <c r="H2643">
        <v>8348</v>
      </c>
      <c r="I2643">
        <v>133.57</v>
      </c>
      <c r="J2643">
        <v>24.04</v>
      </c>
      <c r="K2643">
        <v>8190.39</v>
      </c>
      <c r="L2643" s="5">
        <v>46281</v>
      </c>
      <c r="M2643" t="s">
        <v>5516</v>
      </c>
      <c r="N2643" t="s">
        <v>207</v>
      </c>
      <c r="O2643" t="s">
        <v>5865</v>
      </c>
      <c r="P2643" t="s">
        <v>208</v>
      </c>
      <c r="Q2643" t="s">
        <v>209</v>
      </c>
    </row>
    <row r="2644" spans="1:17" x14ac:dyDescent="0.3">
      <c r="A2644" t="s">
        <v>5866</v>
      </c>
      <c r="C2644" t="s">
        <v>5867</v>
      </c>
      <c r="D2644" t="s">
        <v>5867</v>
      </c>
      <c r="E2644" s="5">
        <v>46279</v>
      </c>
      <c r="F2644" t="s">
        <v>204</v>
      </c>
      <c r="G2644" t="s">
        <v>205</v>
      </c>
      <c r="H2644">
        <v>10498</v>
      </c>
      <c r="I2644">
        <v>178.47</v>
      </c>
      <c r="J2644">
        <v>32.119999999999997</v>
      </c>
      <c r="K2644">
        <v>10287.41</v>
      </c>
      <c r="L2644" s="5">
        <v>46281</v>
      </c>
      <c r="M2644" t="s">
        <v>5516</v>
      </c>
      <c r="N2644" t="s">
        <v>207</v>
      </c>
      <c r="O2644" t="s">
        <v>5867</v>
      </c>
      <c r="P2644" t="s">
        <v>208</v>
      </c>
      <c r="Q2644" t="s">
        <v>209</v>
      </c>
    </row>
    <row r="2645" spans="1:17" x14ac:dyDescent="0.3">
      <c r="A2645" t="s">
        <v>5868</v>
      </c>
      <c r="C2645" t="s">
        <v>5869</v>
      </c>
      <c r="D2645" t="s">
        <v>5869</v>
      </c>
      <c r="E2645" s="5">
        <v>46279</v>
      </c>
      <c r="F2645" t="s">
        <v>204</v>
      </c>
      <c r="G2645" t="s">
        <v>205</v>
      </c>
      <c r="H2645">
        <v>2098</v>
      </c>
      <c r="I2645">
        <v>35.67</v>
      </c>
      <c r="J2645">
        <v>6.42</v>
      </c>
      <c r="K2645">
        <v>2055.91</v>
      </c>
      <c r="L2645" s="5">
        <v>46281</v>
      </c>
      <c r="M2645" t="s">
        <v>5516</v>
      </c>
      <c r="N2645" t="s">
        <v>207</v>
      </c>
      <c r="O2645" t="s">
        <v>5869</v>
      </c>
      <c r="P2645" t="s">
        <v>208</v>
      </c>
      <c r="Q2645" t="s">
        <v>209</v>
      </c>
    </row>
    <row r="2646" spans="1:17" x14ac:dyDescent="0.3">
      <c r="A2646" t="s">
        <v>5870</v>
      </c>
      <c r="C2646" t="s">
        <v>5871</v>
      </c>
      <c r="D2646" t="s">
        <v>5872</v>
      </c>
      <c r="E2646" s="5">
        <v>46279</v>
      </c>
      <c r="F2646" t="s">
        <v>204</v>
      </c>
      <c r="G2646" t="s">
        <v>220</v>
      </c>
      <c r="H2646">
        <v>599</v>
      </c>
      <c r="I2646">
        <v>0</v>
      </c>
      <c r="J2646">
        <v>0</v>
      </c>
      <c r="K2646">
        <v>599</v>
      </c>
      <c r="L2646" s="5">
        <v>46281</v>
      </c>
      <c r="M2646" t="s">
        <v>5516</v>
      </c>
      <c r="N2646" t="s">
        <v>207</v>
      </c>
      <c r="O2646" t="s">
        <v>5872</v>
      </c>
      <c r="P2646" t="s">
        <v>208</v>
      </c>
      <c r="Q2646" t="s">
        <v>209</v>
      </c>
    </row>
    <row r="2647" spans="1:17" x14ac:dyDescent="0.3">
      <c r="A2647" t="s">
        <v>5873</v>
      </c>
      <c r="C2647" t="s">
        <v>5874</v>
      </c>
      <c r="D2647" t="s">
        <v>5874</v>
      </c>
      <c r="E2647" s="5">
        <v>46279</v>
      </c>
      <c r="F2647" t="s">
        <v>204</v>
      </c>
      <c r="G2647" t="s">
        <v>205</v>
      </c>
      <c r="H2647">
        <v>7999</v>
      </c>
      <c r="I2647">
        <v>135.97999999999999</v>
      </c>
      <c r="J2647">
        <v>24.48</v>
      </c>
      <c r="K2647">
        <v>7838.54</v>
      </c>
      <c r="L2647" s="5">
        <v>46281</v>
      </c>
      <c r="M2647" t="s">
        <v>5516</v>
      </c>
      <c r="N2647" t="s">
        <v>207</v>
      </c>
      <c r="O2647" t="s">
        <v>5874</v>
      </c>
      <c r="P2647" t="s">
        <v>208</v>
      </c>
      <c r="Q2647" t="s">
        <v>209</v>
      </c>
    </row>
    <row r="2648" spans="1:17" x14ac:dyDescent="0.3">
      <c r="A2648" t="s">
        <v>5875</v>
      </c>
      <c r="C2648" t="s">
        <v>5876</v>
      </c>
      <c r="D2648" t="s">
        <v>5876</v>
      </c>
      <c r="E2648" s="5">
        <v>46279</v>
      </c>
      <c r="F2648" t="s">
        <v>204</v>
      </c>
      <c r="G2648" t="s">
        <v>255</v>
      </c>
      <c r="H2648">
        <v>3499</v>
      </c>
      <c r="I2648">
        <v>41.99</v>
      </c>
      <c r="J2648">
        <v>7.56</v>
      </c>
      <c r="K2648">
        <v>3449.45</v>
      </c>
      <c r="L2648" s="5">
        <v>46281</v>
      </c>
      <c r="M2648" t="s">
        <v>5516</v>
      </c>
      <c r="N2648" t="s">
        <v>207</v>
      </c>
      <c r="O2648" t="s">
        <v>5876</v>
      </c>
      <c r="P2648" t="s">
        <v>208</v>
      </c>
      <c r="Q2648" t="s">
        <v>209</v>
      </c>
    </row>
    <row r="2649" spans="1:17" x14ac:dyDescent="0.3">
      <c r="A2649" t="s">
        <v>5877</v>
      </c>
      <c r="C2649" t="s">
        <v>5878</v>
      </c>
      <c r="D2649" t="s">
        <v>5878</v>
      </c>
      <c r="E2649" s="5">
        <v>46279</v>
      </c>
      <c r="F2649" t="s">
        <v>204</v>
      </c>
      <c r="G2649" t="s">
        <v>213</v>
      </c>
      <c r="H2649">
        <v>3499</v>
      </c>
      <c r="I2649">
        <v>55.98</v>
      </c>
      <c r="J2649">
        <v>10.08</v>
      </c>
      <c r="K2649">
        <v>3432.94</v>
      </c>
      <c r="L2649" s="5">
        <v>46281</v>
      </c>
      <c r="M2649" t="s">
        <v>5516</v>
      </c>
      <c r="N2649" t="s">
        <v>207</v>
      </c>
      <c r="O2649" t="s">
        <v>5878</v>
      </c>
      <c r="P2649" t="s">
        <v>208</v>
      </c>
      <c r="Q2649" t="s">
        <v>209</v>
      </c>
    </row>
    <row r="2650" spans="1:17" x14ac:dyDescent="0.3">
      <c r="A2650" t="s">
        <v>5879</v>
      </c>
      <c r="C2650" t="s">
        <v>5880</v>
      </c>
      <c r="D2650" t="s">
        <v>5880</v>
      </c>
      <c r="E2650" s="5">
        <v>46279</v>
      </c>
      <c r="F2650" t="s">
        <v>204</v>
      </c>
      <c r="G2650" t="s">
        <v>213</v>
      </c>
      <c r="H2650">
        <v>1499</v>
      </c>
      <c r="I2650">
        <v>26.98</v>
      </c>
      <c r="J2650">
        <v>4.8600000000000003</v>
      </c>
      <c r="K2650">
        <v>1467.16</v>
      </c>
      <c r="L2650" s="5">
        <v>46281</v>
      </c>
      <c r="M2650" t="s">
        <v>5516</v>
      </c>
      <c r="N2650" t="s">
        <v>207</v>
      </c>
      <c r="O2650" t="s">
        <v>5880</v>
      </c>
      <c r="P2650" t="s">
        <v>208</v>
      </c>
      <c r="Q2650" t="s">
        <v>209</v>
      </c>
    </row>
    <row r="2651" spans="1:17" x14ac:dyDescent="0.3">
      <c r="A2651" t="s">
        <v>5881</v>
      </c>
      <c r="C2651" t="s">
        <v>5882</v>
      </c>
      <c r="D2651" t="s">
        <v>5882</v>
      </c>
      <c r="E2651" s="5">
        <v>46279</v>
      </c>
      <c r="F2651" t="s">
        <v>204</v>
      </c>
      <c r="G2651" t="s">
        <v>220</v>
      </c>
      <c r="H2651">
        <v>499</v>
      </c>
      <c r="I2651">
        <v>0</v>
      </c>
      <c r="J2651">
        <v>0</v>
      </c>
      <c r="K2651">
        <v>499</v>
      </c>
      <c r="L2651" s="5">
        <v>46281</v>
      </c>
      <c r="M2651" t="s">
        <v>5516</v>
      </c>
      <c r="N2651" t="s">
        <v>207</v>
      </c>
      <c r="O2651" t="s">
        <v>5882</v>
      </c>
      <c r="P2651" t="s">
        <v>208</v>
      </c>
      <c r="Q2651" t="s">
        <v>209</v>
      </c>
    </row>
    <row r="2652" spans="1:17" x14ac:dyDescent="0.3">
      <c r="A2652" t="s">
        <v>5883</v>
      </c>
      <c r="C2652" t="s">
        <v>5884</v>
      </c>
      <c r="D2652" t="s">
        <v>5884</v>
      </c>
      <c r="E2652" s="5">
        <v>46279</v>
      </c>
      <c r="F2652" t="s">
        <v>204</v>
      </c>
      <c r="G2652" t="s">
        <v>220</v>
      </c>
      <c r="H2652">
        <v>1098</v>
      </c>
      <c r="I2652">
        <v>0</v>
      </c>
      <c r="J2652">
        <v>0</v>
      </c>
      <c r="K2652">
        <v>1098</v>
      </c>
      <c r="L2652" s="5">
        <v>46281</v>
      </c>
      <c r="M2652" t="s">
        <v>5516</v>
      </c>
      <c r="N2652" t="s">
        <v>207</v>
      </c>
      <c r="O2652" t="s">
        <v>5884</v>
      </c>
      <c r="P2652" t="s">
        <v>208</v>
      </c>
      <c r="Q2652" t="s">
        <v>209</v>
      </c>
    </row>
    <row r="2653" spans="1:17" x14ac:dyDescent="0.3">
      <c r="A2653" t="s">
        <v>5885</v>
      </c>
      <c r="C2653" t="s">
        <v>5886</v>
      </c>
      <c r="D2653" t="s">
        <v>5886</v>
      </c>
      <c r="E2653" s="5">
        <v>46279</v>
      </c>
      <c r="F2653" t="s">
        <v>204</v>
      </c>
      <c r="G2653" t="s">
        <v>213</v>
      </c>
      <c r="H2653">
        <v>8997</v>
      </c>
      <c r="I2653">
        <v>143.94999999999999</v>
      </c>
      <c r="J2653">
        <v>25.91</v>
      </c>
      <c r="K2653">
        <v>8827.14</v>
      </c>
      <c r="L2653" s="5">
        <v>46281</v>
      </c>
      <c r="M2653" t="s">
        <v>5516</v>
      </c>
      <c r="N2653" t="s">
        <v>207</v>
      </c>
      <c r="O2653" t="s">
        <v>5886</v>
      </c>
      <c r="P2653" t="s">
        <v>208</v>
      </c>
      <c r="Q2653" t="s">
        <v>209</v>
      </c>
    </row>
    <row r="2654" spans="1:17" x14ac:dyDescent="0.3">
      <c r="A2654" t="s">
        <v>5887</v>
      </c>
      <c r="C2654" t="s">
        <v>5888</v>
      </c>
      <c r="D2654" t="s">
        <v>5888</v>
      </c>
      <c r="E2654" s="5">
        <v>46279</v>
      </c>
      <c r="F2654" t="s">
        <v>204</v>
      </c>
      <c r="G2654" t="s">
        <v>213</v>
      </c>
      <c r="H2654">
        <v>5297</v>
      </c>
      <c r="I2654">
        <v>84.75</v>
      </c>
      <c r="J2654">
        <v>15.26</v>
      </c>
      <c r="K2654">
        <v>5196.99</v>
      </c>
      <c r="L2654" s="5">
        <v>46281</v>
      </c>
      <c r="M2654" t="s">
        <v>5516</v>
      </c>
      <c r="N2654" t="s">
        <v>207</v>
      </c>
      <c r="O2654" t="s">
        <v>5888</v>
      </c>
      <c r="P2654" t="s">
        <v>208</v>
      </c>
      <c r="Q2654" t="s">
        <v>209</v>
      </c>
    </row>
    <row r="2655" spans="1:17" x14ac:dyDescent="0.3">
      <c r="A2655" t="s">
        <v>5889</v>
      </c>
      <c r="C2655" t="s">
        <v>5890</v>
      </c>
      <c r="D2655" t="s">
        <v>5891</v>
      </c>
      <c r="E2655" s="5">
        <v>46279</v>
      </c>
      <c r="F2655" t="s">
        <v>204</v>
      </c>
      <c r="G2655" t="s">
        <v>220</v>
      </c>
      <c r="H2655">
        <v>4999</v>
      </c>
      <c r="I2655">
        <v>15</v>
      </c>
      <c r="J2655">
        <v>2.7</v>
      </c>
      <c r="K2655">
        <v>4981.3</v>
      </c>
      <c r="L2655" s="5">
        <v>46281</v>
      </c>
      <c r="M2655" t="s">
        <v>5516</v>
      </c>
      <c r="N2655" t="s">
        <v>207</v>
      </c>
      <c r="O2655" t="s">
        <v>5891</v>
      </c>
      <c r="P2655" t="s">
        <v>208</v>
      </c>
      <c r="Q2655" t="s">
        <v>209</v>
      </c>
    </row>
    <row r="2656" spans="1:17" x14ac:dyDescent="0.3">
      <c r="A2656" t="s">
        <v>5892</v>
      </c>
      <c r="C2656" t="s">
        <v>5893</v>
      </c>
      <c r="D2656" t="s">
        <v>5893</v>
      </c>
      <c r="E2656" s="5">
        <v>46279</v>
      </c>
      <c r="F2656" t="s">
        <v>204</v>
      </c>
      <c r="G2656" t="s">
        <v>213</v>
      </c>
      <c r="H2656">
        <v>3097</v>
      </c>
      <c r="I2656">
        <v>49.55</v>
      </c>
      <c r="J2656">
        <v>8.92</v>
      </c>
      <c r="K2656">
        <v>3038.53</v>
      </c>
      <c r="L2656" s="5">
        <v>46281</v>
      </c>
      <c r="M2656" t="s">
        <v>5516</v>
      </c>
      <c r="N2656" t="s">
        <v>207</v>
      </c>
      <c r="O2656" t="s">
        <v>5893</v>
      </c>
      <c r="P2656" t="s">
        <v>208</v>
      </c>
      <c r="Q2656" t="s">
        <v>209</v>
      </c>
    </row>
    <row r="2657" spans="1:17" x14ac:dyDescent="0.3">
      <c r="A2657" t="s">
        <v>5894</v>
      </c>
      <c r="C2657" t="s">
        <v>5895</v>
      </c>
      <c r="D2657" t="s">
        <v>5895</v>
      </c>
      <c r="E2657" s="5">
        <v>46279</v>
      </c>
      <c r="F2657" t="s">
        <v>204</v>
      </c>
      <c r="G2657" t="s">
        <v>220</v>
      </c>
      <c r="H2657">
        <v>3098</v>
      </c>
      <c r="I2657">
        <v>9.2899999999999991</v>
      </c>
      <c r="J2657">
        <v>1.67</v>
      </c>
      <c r="K2657">
        <v>3087.04</v>
      </c>
      <c r="L2657" s="5">
        <v>46281</v>
      </c>
      <c r="M2657" t="s">
        <v>5516</v>
      </c>
      <c r="N2657" t="s">
        <v>207</v>
      </c>
      <c r="O2657" t="s">
        <v>5895</v>
      </c>
      <c r="P2657" t="s">
        <v>208</v>
      </c>
      <c r="Q2657" t="s">
        <v>209</v>
      </c>
    </row>
    <row r="2658" spans="1:17" x14ac:dyDescent="0.3">
      <c r="A2658" t="s">
        <v>5896</v>
      </c>
      <c r="C2658" t="s">
        <v>5897</v>
      </c>
      <c r="D2658" t="s">
        <v>5897</v>
      </c>
      <c r="E2658" s="5">
        <v>46279</v>
      </c>
      <c r="F2658" t="s">
        <v>204</v>
      </c>
      <c r="G2658" t="s">
        <v>220</v>
      </c>
      <c r="H2658">
        <v>2999</v>
      </c>
      <c r="I2658">
        <v>9</v>
      </c>
      <c r="J2658">
        <v>1.62</v>
      </c>
      <c r="K2658">
        <v>2988.38</v>
      </c>
      <c r="L2658" s="5">
        <v>46281</v>
      </c>
      <c r="M2658" t="s">
        <v>5516</v>
      </c>
      <c r="N2658" t="s">
        <v>207</v>
      </c>
      <c r="O2658" t="s">
        <v>5897</v>
      </c>
      <c r="P2658" t="s">
        <v>208</v>
      </c>
      <c r="Q2658" t="s">
        <v>209</v>
      </c>
    </row>
    <row r="2659" spans="1:17" x14ac:dyDescent="0.3">
      <c r="A2659" t="s">
        <v>5898</v>
      </c>
      <c r="C2659" t="s">
        <v>5899</v>
      </c>
      <c r="D2659" t="s">
        <v>5899</v>
      </c>
      <c r="E2659" s="5">
        <v>46279</v>
      </c>
      <c r="F2659" t="s">
        <v>204</v>
      </c>
      <c r="G2659" t="s">
        <v>220</v>
      </c>
      <c r="H2659">
        <v>499</v>
      </c>
      <c r="I2659">
        <v>0</v>
      </c>
      <c r="J2659">
        <v>0</v>
      </c>
      <c r="K2659">
        <v>499</v>
      </c>
      <c r="L2659" s="5">
        <v>46281</v>
      </c>
      <c r="M2659" t="s">
        <v>5516</v>
      </c>
      <c r="N2659" t="s">
        <v>207</v>
      </c>
      <c r="O2659" t="s">
        <v>5899</v>
      </c>
      <c r="P2659" t="s">
        <v>208</v>
      </c>
      <c r="Q2659" t="s">
        <v>209</v>
      </c>
    </row>
    <row r="2660" spans="1:17" x14ac:dyDescent="0.3">
      <c r="A2660" t="s">
        <v>5900</v>
      </c>
      <c r="C2660" t="s">
        <v>5901</v>
      </c>
      <c r="D2660" t="s">
        <v>5901</v>
      </c>
      <c r="E2660" s="5">
        <v>46279</v>
      </c>
      <c r="F2660" t="s">
        <v>204</v>
      </c>
      <c r="G2660" t="s">
        <v>213</v>
      </c>
      <c r="H2660">
        <v>5097</v>
      </c>
      <c r="I2660">
        <v>81.55</v>
      </c>
      <c r="J2660">
        <v>14.68</v>
      </c>
      <c r="K2660">
        <v>5000.7700000000004</v>
      </c>
      <c r="L2660" s="5">
        <v>46281</v>
      </c>
      <c r="M2660" t="s">
        <v>5516</v>
      </c>
      <c r="N2660" t="s">
        <v>207</v>
      </c>
      <c r="O2660" t="s">
        <v>5901</v>
      </c>
      <c r="P2660" t="s">
        <v>208</v>
      </c>
      <c r="Q2660" t="s">
        <v>209</v>
      </c>
    </row>
    <row r="2661" spans="1:17" x14ac:dyDescent="0.3">
      <c r="A2661" t="s">
        <v>5902</v>
      </c>
      <c r="C2661" t="s">
        <v>5903</v>
      </c>
      <c r="D2661" t="s">
        <v>5903</v>
      </c>
      <c r="E2661" s="5">
        <v>46279</v>
      </c>
      <c r="F2661" t="s">
        <v>204</v>
      </c>
      <c r="G2661" t="s">
        <v>255</v>
      </c>
      <c r="H2661">
        <v>349</v>
      </c>
      <c r="I2661">
        <v>5.24</v>
      </c>
      <c r="J2661">
        <v>0.94</v>
      </c>
      <c r="K2661">
        <v>342.82</v>
      </c>
      <c r="L2661" s="5">
        <v>46281</v>
      </c>
      <c r="M2661" t="s">
        <v>5516</v>
      </c>
      <c r="N2661" t="s">
        <v>207</v>
      </c>
      <c r="O2661" t="s">
        <v>5903</v>
      </c>
      <c r="P2661" t="s">
        <v>208</v>
      </c>
      <c r="Q2661" t="s">
        <v>209</v>
      </c>
    </row>
    <row r="2662" spans="1:17" x14ac:dyDescent="0.3">
      <c r="A2662" t="s">
        <v>5904</v>
      </c>
      <c r="C2662" t="s">
        <v>5905</v>
      </c>
      <c r="D2662" t="s">
        <v>5905</v>
      </c>
      <c r="E2662" s="5">
        <v>46279</v>
      </c>
      <c r="F2662" t="s">
        <v>204</v>
      </c>
      <c r="G2662" t="s">
        <v>255</v>
      </c>
      <c r="H2662">
        <v>4999</v>
      </c>
      <c r="I2662">
        <v>59.99</v>
      </c>
      <c r="J2662">
        <v>10.8</v>
      </c>
      <c r="K2662">
        <v>4928.21</v>
      </c>
      <c r="L2662" s="5">
        <v>46281</v>
      </c>
      <c r="M2662" t="s">
        <v>5516</v>
      </c>
      <c r="N2662" t="s">
        <v>207</v>
      </c>
      <c r="O2662" t="s">
        <v>5905</v>
      </c>
      <c r="P2662" t="s">
        <v>208</v>
      </c>
      <c r="Q2662" t="s">
        <v>209</v>
      </c>
    </row>
    <row r="2663" spans="1:17" x14ac:dyDescent="0.3">
      <c r="A2663" t="s">
        <v>5906</v>
      </c>
      <c r="C2663" t="s">
        <v>5907</v>
      </c>
      <c r="D2663" t="s">
        <v>5907</v>
      </c>
      <c r="E2663" s="5">
        <v>46279</v>
      </c>
      <c r="F2663" t="s">
        <v>204</v>
      </c>
      <c r="G2663" t="s">
        <v>220</v>
      </c>
      <c r="H2663">
        <v>1298</v>
      </c>
      <c r="I2663">
        <v>0</v>
      </c>
      <c r="J2663">
        <v>0</v>
      </c>
      <c r="K2663">
        <v>1298</v>
      </c>
      <c r="L2663" s="5">
        <v>46281</v>
      </c>
      <c r="M2663" t="s">
        <v>5516</v>
      </c>
      <c r="N2663" t="s">
        <v>207</v>
      </c>
      <c r="O2663" t="s">
        <v>5907</v>
      </c>
      <c r="P2663" t="s">
        <v>208</v>
      </c>
      <c r="Q2663" t="s">
        <v>209</v>
      </c>
    </row>
    <row r="2664" spans="1:17" x14ac:dyDescent="0.3">
      <c r="A2664" t="s">
        <v>5908</v>
      </c>
      <c r="C2664" t="s">
        <v>5909</v>
      </c>
      <c r="D2664" t="s">
        <v>5909</v>
      </c>
      <c r="E2664" s="5">
        <v>46279</v>
      </c>
      <c r="F2664" t="s">
        <v>204</v>
      </c>
      <c r="G2664" t="s">
        <v>220</v>
      </c>
      <c r="H2664">
        <v>3798</v>
      </c>
      <c r="I2664">
        <v>11.39</v>
      </c>
      <c r="J2664">
        <v>2.0499999999999998</v>
      </c>
      <c r="K2664">
        <v>3784.56</v>
      </c>
      <c r="L2664" s="5">
        <v>46281</v>
      </c>
      <c r="M2664" t="s">
        <v>5516</v>
      </c>
      <c r="N2664" t="s">
        <v>207</v>
      </c>
      <c r="O2664" t="s">
        <v>5909</v>
      </c>
      <c r="P2664" t="s">
        <v>208</v>
      </c>
      <c r="Q2664" t="s">
        <v>209</v>
      </c>
    </row>
    <row r="2665" spans="1:17" x14ac:dyDescent="0.3">
      <c r="A2665" t="s">
        <v>5910</v>
      </c>
      <c r="C2665" t="s">
        <v>5911</v>
      </c>
      <c r="D2665" t="s">
        <v>5912</v>
      </c>
      <c r="E2665" s="5">
        <v>46279</v>
      </c>
      <c r="F2665" t="s">
        <v>204</v>
      </c>
      <c r="G2665" t="s">
        <v>220</v>
      </c>
      <c r="H2665">
        <v>7797</v>
      </c>
      <c r="I2665">
        <v>23.39</v>
      </c>
      <c r="J2665">
        <v>4.21</v>
      </c>
      <c r="K2665">
        <v>7769.4</v>
      </c>
      <c r="L2665" s="5">
        <v>46281</v>
      </c>
      <c r="M2665" t="s">
        <v>5516</v>
      </c>
      <c r="N2665" t="s">
        <v>207</v>
      </c>
      <c r="O2665" t="s">
        <v>5912</v>
      </c>
      <c r="P2665" t="s">
        <v>208</v>
      </c>
      <c r="Q2665" t="s">
        <v>209</v>
      </c>
    </row>
    <row r="2666" spans="1:17" x14ac:dyDescent="0.3">
      <c r="A2666" t="s">
        <v>5913</v>
      </c>
      <c r="C2666" t="s">
        <v>5914</v>
      </c>
      <c r="D2666" t="s">
        <v>5914</v>
      </c>
      <c r="E2666" s="5">
        <v>46279</v>
      </c>
      <c r="F2666" t="s">
        <v>204</v>
      </c>
      <c r="G2666" t="s">
        <v>220</v>
      </c>
      <c r="H2666">
        <v>4797</v>
      </c>
      <c r="I2666">
        <v>14.39</v>
      </c>
      <c r="J2666">
        <v>2.59</v>
      </c>
      <c r="K2666">
        <v>4780.0200000000004</v>
      </c>
      <c r="L2666" s="5">
        <v>46281</v>
      </c>
      <c r="M2666" t="s">
        <v>5516</v>
      </c>
      <c r="N2666" t="s">
        <v>207</v>
      </c>
      <c r="O2666" t="s">
        <v>5914</v>
      </c>
      <c r="P2666" t="s">
        <v>208</v>
      </c>
      <c r="Q2666" t="s">
        <v>209</v>
      </c>
    </row>
    <row r="2667" spans="1:17" x14ac:dyDescent="0.3">
      <c r="A2667" t="s">
        <v>5915</v>
      </c>
      <c r="C2667" t="s">
        <v>5916</v>
      </c>
      <c r="D2667" t="s">
        <v>5917</v>
      </c>
      <c r="E2667" s="5">
        <v>46279</v>
      </c>
      <c r="F2667" t="s">
        <v>204</v>
      </c>
      <c r="G2667" t="s">
        <v>213</v>
      </c>
      <c r="H2667">
        <v>3499</v>
      </c>
      <c r="I2667">
        <v>55.98</v>
      </c>
      <c r="J2667">
        <v>10.08</v>
      </c>
      <c r="K2667">
        <v>3432.94</v>
      </c>
      <c r="L2667" s="5">
        <v>46281</v>
      </c>
      <c r="M2667" t="s">
        <v>5516</v>
      </c>
      <c r="N2667" t="s">
        <v>207</v>
      </c>
      <c r="O2667" t="s">
        <v>5917</v>
      </c>
      <c r="P2667" t="s">
        <v>208</v>
      </c>
      <c r="Q2667" t="s">
        <v>209</v>
      </c>
    </row>
    <row r="2668" spans="1:17" x14ac:dyDescent="0.3">
      <c r="A2668" t="s">
        <v>5918</v>
      </c>
      <c r="C2668" t="s">
        <v>5919</v>
      </c>
      <c r="D2668" t="s">
        <v>5919</v>
      </c>
      <c r="E2668" s="5">
        <v>46279</v>
      </c>
      <c r="F2668" t="s">
        <v>204</v>
      </c>
      <c r="G2668" t="s">
        <v>205</v>
      </c>
      <c r="H2668">
        <v>3597</v>
      </c>
      <c r="I2668">
        <v>61.15</v>
      </c>
      <c r="J2668">
        <v>11.01</v>
      </c>
      <c r="K2668">
        <v>3524.84</v>
      </c>
      <c r="L2668" s="5">
        <v>46281</v>
      </c>
      <c r="M2668" t="s">
        <v>5516</v>
      </c>
      <c r="N2668" t="s">
        <v>207</v>
      </c>
      <c r="O2668" t="s">
        <v>5919</v>
      </c>
      <c r="P2668" t="s">
        <v>208</v>
      </c>
      <c r="Q2668" t="s">
        <v>209</v>
      </c>
    </row>
    <row r="2669" spans="1:17" x14ac:dyDescent="0.3">
      <c r="A2669" t="s">
        <v>5920</v>
      </c>
      <c r="C2669" t="s">
        <v>5921</v>
      </c>
      <c r="D2669" t="s">
        <v>5921</v>
      </c>
      <c r="E2669" s="5">
        <v>46279</v>
      </c>
      <c r="F2669" t="s">
        <v>204</v>
      </c>
      <c r="G2669" t="s">
        <v>220</v>
      </c>
      <c r="H2669">
        <v>1799</v>
      </c>
      <c r="I2669">
        <v>0</v>
      </c>
      <c r="J2669">
        <v>0</v>
      </c>
      <c r="K2669">
        <v>1799</v>
      </c>
      <c r="L2669" s="5">
        <v>46281</v>
      </c>
      <c r="M2669" t="s">
        <v>5516</v>
      </c>
      <c r="N2669" t="s">
        <v>207</v>
      </c>
      <c r="O2669" t="s">
        <v>5921</v>
      </c>
      <c r="P2669" t="s">
        <v>208</v>
      </c>
      <c r="Q2669" t="s">
        <v>209</v>
      </c>
    </row>
    <row r="2670" spans="1:17" x14ac:dyDescent="0.3">
      <c r="A2670" t="s">
        <v>5922</v>
      </c>
      <c r="C2670" t="s">
        <v>5923</v>
      </c>
      <c r="D2670" t="s">
        <v>5923</v>
      </c>
      <c r="E2670" s="5">
        <v>46279</v>
      </c>
      <c r="F2670" t="s">
        <v>204</v>
      </c>
      <c r="G2670" t="s">
        <v>220</v>
      </c>
      <c r="H2670">
        <v>4098</v>
      </c>
      <c r="I2670">
        <v>12.29</v>
      </c>
      <c r="J2670">
        <v>2.21</v>
      </c>
      <c r="K2670">
        <v>4083.5</v>
      </c>
      <c r="L2670" s="5">
        <v>46281</v>
      </c>
      <c r="M2670" t="s">
        <v>5516</v>
      </c>
      <c r="N2670" t="s">
        <v>207</v>
      </c>
      <c r="O2670" t="s">
        <v>5923</v>
      </c>
      <c r="P2670" t="s">
        <v>208</v>
      </c>
      <c r="Q2670" t="s">
        <v>209</v>
      </c>
    </row>
    <row r="2671" spans="1:17" x14ac:dyDescent="0.3">
      <c r="A2671" t="s">
        <v>5924</v>
      </c>
      <c r="C2671" t="s">
        <v>5925</v>
      </c>
      <c r="D2671" t="s">
        <v>5925</v>
      </c>
      <c r="E2671" s="5">
        <v>46279</v>
      </c>
      <c r="F2671" t="s">
        <v>204</v>
      </c>
      <c r="G2671" t="s">
        <v>220</v>
      </c>
      <c r="H2671">
        <v>3297</v>
      </c>
      <c r="I2671">
        <v>9.89</v>
      </c>
      <c r="J2671">
        <v>1.78</v>
      </c>
      <c r="K2671">
        <v>3285.33</v>
      </c>
      <c r="L2671" s="5">
        <v>46281</v>
      </c>
      <c r="M2671" t="s">
        <v>5516</v>
      </c>
      <c r="N2671" t="s">
        <v>207</v>
      </c>
      <c r="O2671" t="s">
        <v>5925</v>
      </c>
      <c r="P2671" t="s">
        <v>208</v>
      </c>
      <c r="Q2671" t="s">
        <v>209</v>
      </c>
    </row>
    <row r="2672" spans="1:17" x14ac:dyDescent="0.3">
      <c r="A2672" t="s">
        <v>5926</v>
      </c>
      <c r="C2672" t="s">
        <v>5927</v>
      </c>
      <c r="D2672" t="s">
        <v>5928</v>
      </c>
      <c r="E2672" s="5">
        <v>46279</v>
      </c>
      <c r="F2672" t="s">
        <v>204</v>
      </c>
      <c r="G2672" t="s">
        <v>220</v>
      </c>
      <c r="H2672">
        <v>3998</v>
      </c>
      <c r="I2672">
        <v>11.99</v>
      </c>
      <c r="J2672">
        <v>2.16</v>
      </c>
      <c r="K2672">
        <v>3983.85</v>
      </c>
      <c r="L2672" s="5">
        <v>46281</v>
      </c>
      <c r="M2672" t="s">
        <v>5516</v>
      </c>
      <c r="N2672" t="s">
        <v>207</v>
      </c>
      <c r="O2672" t="s">
        <v>5928</v>
      </c>
      <c r="P2672" t="s">
        <v>208</v>
      </c>
      <c r="Q2672" t="s">
        <v>209</v>
      </c>
    </row>
    <row r="2673" spans="1:17" x14ac:dyDescent="0.3">
      <c r="A2673" t="s">
        <v>5929</v>
      </c>
      <c r="C2673" t="s">
        <v>5930</v>
      </c>
      <c r="D2673" t="s">
        <v>5930</v>
      </c>
      <c r="E2673" s="5">
        <v>46279</v>
      </c>
      <c r="F2673" t="s">
        <v>204</v>
      </c>
      <c r="G2673" t="s">
        <v>205</v>
      </c>
      <c r="H2673">
        <v>999</v>
      </c>
      <c r="I2673">
        <v>18.98</v>
      </c>
      <c r="J2673">
        <v>3.42</v>
      </c>
      <c r="K2673">
        <v>976.6</v>
      </c>
      <c r="L2673" s="5">
        <v>46281</v>
      </c>
      <c r="M2673" t="s">
        <v>5516</v>
      </c>
      <c r="N2673" t="s">
        <v>207</v>
      </c>
      <c r="O2673" t="s">
        <v>5930</v>
      </c>
      <c r="P2673" t="s">
        <v>208</v>
      </c>
      <c r="Q2673" t="s">
        <v>209</v>
      </c>
    </row>
    <row r="2674" spans="1:17" x14ac:dyDescent="0.3">
      <c r="A2674" t="s">
        <v>5931</v>
      </c>
      <c r="C2674" t="s">
        <v>5932</v>
      </c>
      <c r="D2674" t="s">
        <v>5932</v>
      </c>
      <c r="E2674" s="5">
        <v>46279</v>
      </c>
      <c r="F2674" t="s">
        <v>204</v>
      </c>
      <c r="G2674" t="s">
        <v>220</v>
      </c>
      <c r="H2674">
        <v>8797</v>
      </c>
      <c r="I2674">
        <v>26.39</v>
      </c>
      <c r="J2674">
        <v>4.75</v>
      </c>
      <c r="K2674">
        <v>8765.86</v>
      </c>
      <c r="L2674" s="5">
        <v>46281</v>
      </c>
      <c r="M2674" t="s">
        <v>5516</v>
      </c>
      <c r="N2674" t="s">
        <v>207</v>
      </c>
      <c r="O2674" t="s">
        <v>5932</v>
      </c>
      <c r="P2674" t="s">
        <v>208</v>
      </c>
      <c r="Q2674" t="s">
        <v>209</v>
      </c>
    </row>
    <row r="2675" spans="1:17" x14ac:dyDescent="0.3">
      <c r="A2675" t="s">
        <v>5933</v>
      </c>
      <c r="B2675" t="s">
        <v>5070</v>
      </c>
      <c r="E2675" s="5">
        <v>46279</v>
      </c>
      <c r="F2675" t="s">
        <v>921</v>
      </c>
      <c r="G2675" t="s">
        <v>220</v>
      </c>
      <c r="H2675">
        <v>3098</v>
      </c>
      <c r="I2675">
        <v>0</v>
      </c>
      <c r="J2675">
        <v>0</v>
      </c>
      <c r="K2675">
        <v>-3098</v>
      </c>
      <c r="L2675" s="5">
        <v>46281</v>
      </c>
      <c r="M2675" t="s">
        <v>5516</v>
      </c>
      <c r="N2675" t="s">
        <v>207</v>
      </c>
      <c r="O2675" t="s">
        <v>5071</v>
      </c>
      <c r="P2675" t="s">
        <v>208</v>
      </c>
    </row>
    <row r="2676" spans="1:17" x14ac:dyDescent="0.3">
      <c r="A2676" t="s">
        <v>5934</v>
      </c>
      <c r="B2676" t="s">
        <v>3218</v>
      </c>
      <c r="E2676" s="5">
        <v>46279</v>
      </c>
      <c r="F2676" t="s">
        <v>921</v>
      </c>
      <c r="G2676" t="s">
        <v>220</v>
      </c>
      <c r="H2676">
        <v>10097</v>
      </c>
      <c r="I2676">
        <v>0</v>
      </c>
      <c r="J2676">
        <v>0</v>
      </c>
      <c r="K2676">
        <v>-10097</v>
      </c>
      <c r="L2676" s="5">
        <v>46281</v>
      </c>
      <c r="M2676" t="s">
        <v>5516</v>
      </c>
      <c r="N2676" t="s">
        <v>207</v>
      </c>
      <c r="O2676" t="s">
        <v>3219</v>
      </c>
      <c r="P2676" t="s">
        <v>208</v>
      </c>
    </row>
    <row r="2677" spans="1:17" x14ac:dyDescent="0.3">
      <c r="A2677" t="s">
        <v>5935</v>
      </c>
      <c r="B2677" t="s">
        <v>4070</v>
      </c>
      <c r="E2677" s="5">
        <v>46279</v>
      </c>
      <c r="F2677" t="s">
        <v>921</v>
      </c>
      <c r="G2677" t="s">
        <v>220</v>
      </c>
      <c r="H2677">
        <v>7999</v>
      </c>
      <c r="I2677">
        <v>0</v>
      </c>
      <c r="J2677">
        <v>0</v>
      </c>
      <c r="K2677">
        <v>-7999</v>
      </c>
      <c r="L2677" s="5">
        <v>46281</v>
      </c>
      <c r="M2677" t="s">
        <v>5516</v>
      </c>
      <c r="N2677" t="s">
        <v>207</v>
      </c>
      <c r="O2677" t="s">
        <v>4071</v>
      </c>
      <c r="P2677" t="s">
        <v>208</v>
      </c>
    </row>
    <row r="2678" spans="1:17" x14ac:dyDescent="0.3">
      <c r="A2678" t="s">
        <v>5936</v>
      </c>
      <c r="B2678" t="s">
        <v>3109</v>
      </c>
      <c r="E2678" s="5">
        <v>46279</v>
      </c>
      <c r="F2678" t="s">
        <v>921</v>
      </c>
      <c r="G2678" t="s">
        <v>220</v>
      </c>
      <c r="H2678">
        <v>12997</v>
      </c>
      <c r="I2678">
        <v>0</v>
      </c>
      <c r="J2678">
        <v>0</v>
      </c>
      <c r="K2678">
        <v>-12997</v>
      </c>
      <c r="L2678" s="5">
        <v>46281</v>
      </c>
      <c r="M2678" t="s">
        <v>5516</v>
      </c>
      <c r="N2678" t="s">
        <v>207</v>
      </c>
      <c r="O2678" t="s">
        <v>3110</v>
      </c>
      <c r="P2678" t="s">
        <v>208</v>
      </c>
    </row>
    <row r="2679" spans="1:17" x14ac:dyDescent="0.3">
      <c r="A2679" t="s">
        <v>5937</v>
      </c>
      <c r="B2679" t="s">
        <v>5013</v>
      </c>
      <c r="E2679" s="5">
        <v>46279</v>
      </c>
      <c r="F2679" t="s">
        <v>921</v>
      </c>
      <c r="G2679" t="s">
        <v>220</v>
      </c>
      <c r="H2679">
        <v>12998</v>
      </c>
      <c r="I2679">
        <v>0</v>
      </c>
      <c r="J2679">
        <v>0</v>
      </c>
      <c r="K2679">
        <v>-12998</v>
      </c>
      <c r="L2679" s="5">
        <v>46281</v>
      </c>
      <c r="M2679" t="s">
        <v>5516</v>
      </c>
      <c r="N2679" t="s">
        <v>207</v>
      </c>
      <c r="O2679" t="s">
        <v>5014</v>
      </c>
      <c r="P2679" t="s">
        <v>208</v>
      </c>
    </row>
    <row r="2680" spans="1:17" x14ac:dyDescent="0.3">
      <c r="A2680" t="s">
        <v>5938</v>
      </c>
      <c r="B2680" t="s">
        <v>4425</v>
      </c>
      <c r="E2680" s="5">
        <v>46279</v>
      </c>
      <c r="F2680" t="s">
        <v>921</v>
      </c>
      <c r="G2680" t="s">
        <v>255</v>
      </c>
      <c r="H2680">
        <v>2499</v>
      </c>
      <c r="I2680">
        <v>0</v>
      </c>
      <c r="J2680">
        <v>0</v>
      </c>
      <c r="K2680">
        <v>-2499</v>
      </c>
      <c r="L2680" s="5">
        <v>46281</v>
      </c>
      <c r="M2680" t="s">
        <v>5516</v>
      </c>
      <c r="N2680" t="s">
        <v>207</v>
      </c>
      <c r="O2680" t="s">
        <v>4426</v>
      </c>
      <c r="P2680" t="s">
        <v>208</v>
      </c>
    </row>
    <row r="2681" spans="1:17" x14ac:dyDescent="0.3">
      <c r="A2681" t="s">
        <v>5939</v>
      </c>
      <c r="B2681" t="s">
        <v>3525</v>
      </c>
      <c r="E2681" s="5">
        <v>46279</v>
      </c>
      <c r="F2681" t="s">
        <v>921</v>
      </c>
      <c r="G2681" t="s">
        <v>205</v>
      </c>
      <c r="H2681">
        <v>3798</v>
      </c>
      <c r="I2681">
        <v>0</v>
      </c>
      <c r="J2681">
        <v>0</v>
      </c>
      <c r="K2681">
        <v>-3798</v>
      </c>
      <c r="L2681" s="5">
        <v>46281</v>
      </c>
      <c r="M2681" t="s">
        <v>5516</v>
      </c>
      <c r="N2681" t="s">
        <v>207</v>
      </c>
      <c r="O2681" t="s">
        <v>3526</v>
      </c>
      <c r="P2681" t="s">
        <v>208</v>
      </c>
    </row>
    <row r="2682" spans="1:17" x14ac:dyDescent="0.3">
      <c r="A2682" t="s">
        <v>5940</v>
      </c>
      <c r="B2682" t="s">
        <v>4057</v>
      </c>
      <c r="E2682" s="5">
        <v>46279</v>
      </c>
      <c r="F2682" t="s">
        <v>921</v>
      </c>
      <c r="G2682" t="s">
        <v>213</v>
      </c>
      <c r="H2682">
        <v>1299</v>
      </c>
      <c r="I2682">
        <v>0</v>
      </c>
      <c r="J2682">
        <v>0</v>
      </c>
      <c r="K2682">
        <v>-1299</v>
      </c>
      <c r="L2682" s="5">
        <v>46281</v>
      </c>
      <c r="M2682" t="s">
        <v>5516</v>
      </c>
      <c r="N2682" t="s">
        <v>207</v>
      </c>
      <c r="O2682" t="s">
        <v>4058</v>
      </c>
      <c r="P2682" t="s">
        <v>208</v>
      </c>
    </row>
    <row r="2683" spans="1:17" x14ac:dyDescent="0.3">
      <c r="A2683" t="s">
        <v>5941</v>
      </c>
      <c r="B2683" t="s">
        <v>4604</v>
      </c>
      <c r="E2683" s="5">
        <v>46279</v>
      </c>
      <c r="F2683" t="s">
        <v>921</v>
      </c>
      <c r="G2683" t="s">
        <v>220</v>
      </c>
      <c r="H2683">
        <v>999</v>
      </c>
      <c r="I2683">
        <v>0</v>
      </c>
      <c r="J2683">
        <v>0</v>
      </c>
      <c r="K2683">
        <v>-999</v>
      </c>
      <c r="L2683" s="5">
        <v>46281</v>
      </c>
      <c r="M2683" t="s">
        <v>5516</v>
      </c>
      <c r="N2683" t="s">
        <v>207</v>
      </c>
      <c r="O2683" t="s">
        <v>4606</v>
      </c>
      <c r="P2683" t="s">
        <v>208</v>
      </c>
    </row>
    <row r="2684" spans="1:17" x14ac:dyDescent="0.3">
      <c r="A2684" t="s">
        <v>5942</v>
      </c>
      <c r="C2684" t="s">
        <v>5943</v>
      </c>
      <c r="D2684" t="s">
        <v>5943</v>
      </c>
      <c r="E2684" s="5">
        <v>46280</v>
      </c>
      <c r="F2684" t="s">
        <v>204</v>
      </c>
      <c r="G2684" t="s">
        <v>220</v>
      </c>
      <c r="H2684">
        <v>9497</v>
      </c>
      <c r="I2684">
        <v>28.49</v>
      </c>
      <c r="J2684">
        <v>5.13</v>
      </c>
      <c r="K2684">
        <v>9463.3799999999992</v>
      </c>
      <c r="L2684" s="5">
        <v>46282</v>
      </c>
      <c r="M2684" t="s">
        <v>5944</v>
      </c>
      <c r="N2684" t="s">
        <v>207</v>
      </c>
      <c r="O2684" t="s">
        <v>5943</v>
      </c>
      <c r="P2684" t="s">
        <v>208</v>
      </c>
      <c r="Q2684" t="s">
        <v>209</v>
      </c>
    </row>
    <row r="2685" spans="1:17" x14ac:dyDescent="0.3">
      <c r="A2685" t="s">
        <v>5945</v>
      </c>
      <c r="C2685" t="s">
        <v>5946</v>
      </c>
      <c r="D2685" t="s">
        <v>5946</v>
      </c>
      <c r="E2685" s="5">
        <v>46280</v>
      </c>
      <c r="F2685" t="s">
        <v>204</v>
      </c>
      <c r="G2685" t="s">
        <v>220</v>
      </c>
      <c r="H2685">
        <v>599</v>
      </c>
      <c r="I2685">
        <v>0</v>
      </c>
      <c r="J2685">
        <v>0</v>
      </c>
      <c r="K2685">
        <v>599</v>
      </c>
      <c r="L2685" s="5">
        <v>46282</v>
      </c>
      <c r="M2685" t="s">
        <v>5944</v>
      </c>
      <c r="N2685" t="s">
        <v>207</v>
      </c>
      <c r="O2685" t="s">
        <v>5946</v>
      </c>
      <c r="P2685" t="s">
        <v>208</v>
      </c>
      <c r="Q2685" t="s">
        <v>209</v>
      </c>
    </row>
    <row r="2686" spans="1:17" x14ac:dyDescent="0.3">
      <c r="A2686" t="s">
        <v>5947</v>
      </c>
      <c r="C2686" t="s">
        <v>5948</v>
      </c>
      <c r="D2686" t="s">
        <v>5948</v>
      </c>
      <c r="E2686" s="5">
        <v>46280</v>
      </c>
      <c r="F2686" t="s">
        <v>204</v>
      </c>
      <c r="G2686" t="s">
        <v>220</v>
      </c>
      <c r="H2686">
        <v>10297</v>
      </c>
      <c r="I2686">
        <v>30.89</v>
      </c>
      <c r="J2686">
        <v>5.56</v>
      </c>
      <c r="K2686">
        <v>10260.549999999999</v>
      </c>
      <c r="L2686" s="5">
        <v>46282</v>
      </c>
      <c r="M2686" t="s">
        <v>5944</v>
      </c>
      <c r="N2686" t="s">
        <v>207</v>
      </c>
      <c r="O2686" t="s">
        <v>5948</v>
      </c>
      <c r="P2686" t="s">
        <v>208</v>
      </c>
      <c r="Q2686" t="s">
        <v>209</v>
      </c>
    </row>
    <row r="2687" spans="1:17" x14ac:dyDescent="0.3">
      <c r="A2687" t="s">
        <v>5949</v>
      </c>
      <c r="C2687" t="s">
        <v>5950</v>
      </c>
      <c r="D2687" t="s">
        <v>5950</v>
      </c>
      <c r="E2687" s="5">
        <v>46280</v>
      </c>
      <c r="F2687" t="s">
        <v>204</v>
      </c>
      <c r="G2687" t="s">
        <v>220</v>
      </c>
      <c r="H2687">
        <v>2848</v>
      </c>
      <c r="I2687">
        <v>8.5399999999999991</v>
      </c>
      <c r="J2687">
        <v>1.54</v>
      </c>
      <c r="K2687">
        <v>2837.92</v>
      </c>
      <c r="L2687" s="5">
        <v>46282</v>
      </c>
      <c r="M2687" t="s">
        <v>5944</v>
      </c>
      <c r="N2687" t="s">
        <v>207</v>
      </c>
      <c r="O2687" t="s">
        <v>5950</v>
      </c>
      <c r="P2687" t="s">
        <v>208</v>
      </c>
      <c r="Q2687" t="s">
        <v>209</v>
      </c>
    </row>
    <row r="2688" spans="1:17" x14ac:dyDescent="0.3">
      <c r="A2688" t="s">
        <v>5951</v>
      </c>
      <c r="C2688" t="s">
        <v>5952</v>
      </c>
      <c r="D2688" t="s">
        <v>5952</v>
      </c>
      <c r="E2688" s="5">
        <v>46280</v>
      </c>
      <c r="F2688" t="s">
        <v>204</v>
      </c>
      <c r="G2688" t="s">
        <v>220</v>
      </c>
      <c r="H2688">
        <v>5498</v>
      </c>
      <c r="I2688">
        <v>16.489999999999998</v>
      </c>
      <c r="J2688">
        <v>2.97</v>
      </c>
      <c r="K2688">
        <v>5478.54</v>
      </c>
      <c r="L2688" s="5">
        <v>46282</v>
      </c>
      <c r="M2688" t="s">
        <v>5944</v>
      </c>
      <c r="N2688" t="s">
        <v>207</v>
      </c>
      <c r="O2688" t="s">
        <v>5952</v>
      </c>
      <c r="P2688" t="s">
        <v>208</v>
      </c>
      <c r="Q2688" t="s">
        <v>209</v>
      </c>
    </row>
    <row r="2689" spans="1:17" x14ac:dyDescent="0.3">
      <c r="A2689" t="s">
        <v>5953</v>
      </c>
      <c r="C2689" t="s">
        <v>5954</v>
      </c>
      <c r="D2689" t="s">
        <v>5955</v>
      </c>
      <c r="E2689" s="5">
        <v>46280</v>
      </c>
      <c r="F2689" t="s">
        <v>204</v>
      </c>
      <c r="G2689" t="s">
        <v>220</v>
      </c>
      <c r="H2689">
        <v>4797</v>
      </c>
      <c r="I2689">
        <v>14.39</v>
      </c>
      <c r="J2689">
        <v>2.59</v>
      </c>
      <c r="K2689">
        <v>4780.0200000000004</v>
      </c>
      <c r="L2689" s="5">
        <v>46282</v>
      </c>
      <c r="M2689" t="s">
        <v>5944</v>
      </c>
      <c r="N2689" t="s">
        <v>207</v>
      </c>
      <c r="O2689" t="s">
        <v>5955</v>
      </c>
      <c r="P2689" t="s">
        <v>208</v>
      </c>
      <c r="Q2689" t="s">
        <v>209</v>
      </c>
    </row>
    <row r="2690" spans="1:17" x14ac:dyDescent="0.3">
      <c r="A2690" t="s">
        <v>5956</v>
      </c>
      <c r="C2690" t="s">
        <v>5957</v>
      </c>
      <c r="D2690" t="s">
        <v>5957</v>
      </c>
      <c r="E2690" s="5">
        <v>46280</v>
      </c>
      <c r="F2690" t="s">
        <v>204</v>
      </c>
      <c r="G2690" t="s">
        <v>213</v>
      </c>
      <c r="H2690">
        <v>1499</v>
      </c>
      <c r="I2690">
        <v>26.98</v>
      </c>
      <c r="J2690">
        <v>4.8600000000000003</v>
      </c>
      <c r="K2690">
        <v>1467.16</v>
      </c>
      <c r="L2690" s="5">
        <v>46282</v>
      </c>
      <c r="M2690" t="s">
        <v>5944</v>
      </c>
      <c r="N2690" t="s">
        <v>207</v>
      </c>
      <c r="O2690" t="s">
        <v>5957</v>
      </c>
      <c r="P2690" t="s">
        <v>208</v>
      </c>
      <c r="Q2690" t="s">
        <v>209</v>
      </c>
    </row>
    <row r="2691" spans="1:17" x14ac:dyDescent="0.3">
      <c r="A2691" t="s">
        <v>5958</v>
      </c>
      <c r="C2691" t="s">
        <v>5959</v>
      </c>
      <c r="D2691" t="s">
        <v>5959</v>
      </c>
      <c r="E2691" s="5">
        <v>46280</v>
      </c>
      <c r="F2691" t="s">
        <v>204</v>
      </c>
      <c r="G2691" t="s">
        <v>220</v>
      </c>
      <c r="H2691">
        <v>999</v>
      </c>
      <c r="I2691">
        <v>0</v>
      </c>
      <c r="J2691">
        <v>0</v>
      </c>
      <c r="K2691">
        <v>999</v>
      </c>
      <c r="L2691" s="5">
        <v>46282</v>
      </c>
      <c r="M2691" t="s">
        <v>5944</v>
      </c>
      <c r="N2691" t="s">
        <v>207</v>
      </c>
      <c r="O2691" t="s">
        <v>5959</v>
      </c>
      <c r="P2691" t="s">
        <v>208</v>
      </c>
      <c r="Q2691" t="s">
        <v>209</v>
      </c>
    </row>
    <row r="2692" spans="1:17" x14ac:dyDescent="0.3">
      <c r="A2692" t="s">
        <v>5960</v>
      </c>
      <c r="C2692" t="s">
        <v>5961</v>
      </c>
      <c r="D2692" t="s">
        <v>5962</v>
      </c>
      <c r="E2692" s="5">
        <v>46280</v>
      </c>
      <c r="F2692" t="s">
        <v>204</v>
      </c>
      <c r="G2692" t="s">
        <v>220</v>
      </c>
      <c r="H2692">
        <v>1799</v>
      </c>
      <c r="I2692">
        <v>0</v>
      </c>
      <c r="J2692">
        <v>0</v>
      </c>
      <c r="K2692">
        <v>1799</v>
      </c>
      <c r="L2692" s="5">
        <v>46282</v>
      </c>
      <c r="M2692" t="s">
        <v>5944</v>
      </c>
      <c r="N2692" t="s">
        <v>207</v>
      </c>
      <c r="O2692" t="s">
        <v>5962</v>
      </c>
      <c r="P2692" t="s">
        <v>208</v>
      </c>
      <c r="Q2692" t="s">
        <v>209</v>
      </c>
    </row>
    <row r="2693" spans="1:17" x14ac:dyDescent="0.3">
      <c r="A2693" t="s">
        <v>5963</v>
      </c>
      <c r="C2693" t="s">
        <v>5964</v>
      </c>
      <c r="D2693" t="s">
        <v>5964</v>
      </c>
      <c r="E2693" s="5">
        <v>46280</v>
      </c>
      <c r="F2693" t="s">
        <v>204</v>
      </c>
      <c r="G2693" t="s">
        <v>213</v>
      </c>
      <c r="H2693">
        <v>3798</v>
      </c>
      <c r="I2693">
        <v>60.77</v>
      </c>
      <c r="J2693">
        <v>10.94</v>
      </c>
      <c r="K2693">
        <v>3726.29</v>
      </c>
      <c r="L2693" s="5">
        <v>46282</v>
      </c>
      <c r="M2693" t="s">
        <v>5944</v>
      </c>
      <c r="N2693" t="s">
        <v>207</v>
      </c>
      <c r="O2693" t="s">
        <v>5964</v>
      </c>
      <c r="P2693" t="s">
        <v>208</v>
      </c>
      <c r="Q2693" t="s">
        <v>209</v>
      </c>
    </row>
    <row r="2694" spans="1:17" x14ac:dyDescent="0.3">
      <c r="A2694" t="s">
        <v>5965</v>
      </c>
      <c r="C2694" t="s">
        <v>5966</v>
      </c>
      <c r="D2694" t="s">
        <v>5966</v>
      </c>
      <c r="E2694" s="5">
        <v>46280</v>
      </c>
      <c r="F2694" t="s">
        <v>204</v>
      </c>
      <c r="G2694" t="s">
        <v>220</v>
      </c>
      <c r="H2694">
        <v>4798</v>
      </c>
      <c r="I2694">
        <v>14.39</v>
      </c>
      <c r="J2694">
        <v>2.59</v>
      </c>
      <c r="K2694">
        <v>4781.0200000000004</v>
      </c>
      <c r="L2694" s="5">
        <v>46282</v>
      </c>
      <c r="M2694" t="s">
        <v>5944</v>
      </c>
      <c r="N2694" t="s">
        <v>207</v>
      </c>
      <c r="O2694" t="s">
        <v>5966</v>
      </c>
      <c r="P2694" t="s">
        <v>208</v>
      </c>
      <c r="Q2694" t="s">
        <v>209</v>
      </c>
    </row>
    <row r="2695" spans="1:17" x14ac:dyDescent="0.3">
      <c r="A2695" t="s">
        <v>5967</v>
      </c>
      <c r="C2695" t="s">
        <v>5968</v>
      </c>
      <c r="D2695" t="s">
        <v>5968</v>
      </c>
      <c r="E2695" s="5">
        <v>46280</v>
      </c>
      <c r="F2695" t="s">
        <v>204</v>
      </c>
      <c r="G2695" t="s">
        <v>255</v>
      </c>
      <c r="H2695">
        <v>4798</v>
      </c>
      <c r="I2695">
        <v>57.58</v>
      </c>
      <c r="J2695">
        <v>10.36</v>
      </c>
      <c r="K2695">
        <v>4730.0600000000004</v>
      </c>
      <c r="L2695" s="5">
        <v>46282</v>
      </c>
      <c r="M2695" t="s">
        <v>5944</v>
      </c>
      <c r="N2695" t="s">
        <v>207</v>
      </c>
      <c r="O2695" t="s">
        <v>5968</v>
      </c>
      <c r="P2695" t="s">
        <v>208</v>
      </c>
      <c r="Q2695" t="s">
        <v>209</v>
      </c>
    </row>
    <row r="2696" spans="1:17" x14ac:dyDescent="0.3">
      <c r="A2696" t="s">
        <v>5969</v>
      </c>
      <c r="C2696" t="s">
        <v>5970</v>
      </c>
      <c r="D2696" t="s">
        <v>5970</v>
      </c>
      <c r="E2696" s="5">
        <v>46280</v>
      </c>
      <c r="F2696" t="s">
        <v>204</v>
      </c>
      <c r="G2696" t="s">
        <v>220</v>
      </c>
      <c r="H2696">
        <v>799</v>
      </c>
      <c r="I2696">
        <v>0</v>
      </c>
      <c r="J2696">
        <v>0</v>
      </c>
      <c r="K2696">
        <v>799</v>
      </c>
      <c r="L2696" s="5">
        <v>46282</v>
      </c>
      <c r="M2696" t="s">
        <v>5944</v>
      </c>
      <c r="N2696" t="s">
        <v>207</v>
      </c>
      <c r="O2696" t="s">
        <v>5970</v>
      </c>
      <c r="P2696" t="s">
        <v>208</v>
      </c>
      <c r="Q2696" t="s">
        <v>209</v>
      </c>
    </row>
    <row r="2697" spans="1:17" x14ac:dyDescent="0.3">
      <c r="A2697" t="s">
        <v>5971</v>
      </c>
      <c r="C2697" t="s">
        <v>5972</v>
      </c>
      <c r="D2697" t="s">
        <v>5972</v>
      </c>
      <c r="E2697" s="5">
        <v>46280</v>
      </c>
      <c r="F2697" t="s">
        <v>204</v>
      </c>
      <c r="G2697" t="s">
        <v>213</v>
      </c>
      <c r="H2697">
        <v>8798</v>
      </c>
      <c r="I2697">
        <v>140.77000000000001</v>
      </c>
      <c r="J2697">
        <v>25.34</v>
      </c>
      <c r="K2697">
        <v>8631.89</v>
      </c>
      <c r="L2697" s="5">
        <v>46282</v>
      </c>
      <c r="M2697" t="s">
        <v>5944</v>
      </c>
      <c r="N2697" t="s">
        <v>207</v>
      </c>
      <c r="O2697" t="s">
        <v>5972</v>
      </c>
      <c r="P2697" t="s">
        <v>208</v>
      </c>
      <c r="Q2697" t="s">
        <v>209</v>
      </c>
    </row>
    <row r="2698" spans="1:17" x14ac:dyDescent="0.3">
      <c r="A2698" t="s">
        <v>5973</v>
      </c>
      <c r="C2698" t="s">
        <v>5974</v>
      </c>
      <c r="D2698" t="s">
        <v>5975</v>
      </c>
      <c r="E2698" s="5">
        <v>46280</v>
      </c>
      <c r="F2698" t="s">
        <v>204</v>
      </c>
      <c r="G2698" t="s">
        <v>220</v>
      </c>
      <c r="H2698">
        <v>299</v>
      </c>
      <c r="I2698">
        <v>0</v>
      </c>
      <c r="J2698">
        <v>0</v>
      </c>
      <c r="K2698">
        <v>299</v>
      </c>
      <c r="L2698" s="5">
        <v>46282</v>
      </c>
      <c r="M2698" t="s">
        <v>5944</v>
      </c>
      <c r="N2698" t="s">
        <v>207</v>
      </c>
      <c r="O2698" t="s">
        <v>5975</v>
      </c>
      <c r="P2698" t="s">
        <v>208</v>
      </c>
      <c r="Q2698" t="s">
        <v>209</v>
      </c>
    </row>
    <row r="2699" spans="1:17" x14ac:dyDescent="0.3">
      <c r="A2699" t="s">
        <v>5976</v>
      </c>
      <c r="C2699" t="s">
        <v>5977</v>
      </c>
      <c r="D2699" t="s">
        <v>5978</v>
      </c>
      <c r="E2699" s="5">
        <v>46280</v>
      </c>
      <c r="F2699" t="s">
        <v>204</v>
      </c>
      <c r="G2699" t="s">
        <v>220</v>
      </c>
      <c r="H2699">
        <v>599</v>
      </c>
      <c r="I2699">
        <v>0</v>
      </c>
      <c r="J2699">
        <v>0</v>
      </c>
      <c r="K2699">
        <v>599</v>
      </c>
      <c r="L2699" s="5">
        <v>46282</v>
      </c>
      <c r="M2699" t="s">
        <v>5944</v>
      </c>
      <c r="N2699" t="s">
        <v>207</v>
      </c>
      <c r="O2699" t="s">
        <v>5978</v>
      </c>
      <c r="P2699" t="s">
        <v>208</v>
      </c>
      <c r="Q2699" t="s">
        <v>209</v>
      </c>
    </row>
    <row r="2700" spans="1:17" x14ac:dyDescent="0.3">
      <c r="A2700" t="s">
        <v>5979</v>
      </c>
      <c r="C2700" t="s">
        <v>5980</v>
      </c>
      <c r="D2700" t="s">
        <v>5980</v>
      </c>
      <c r="E2700" s="5">
        <v>46280</v>
      </c>
      <c r="F2700" t="s">
        <v>204</v>
      </c>
      <c r="G2700" t="s">
        <v>220</v>
      </c>
      <c r="H2700">
        <v>499</v>
      </c>
      <c r="I2700">
        <v>0</v>
      </c>
      <c r="J2700">
        <v>0</v>
      </c>
      <c r="K2700">
        <v>499</v>
      </c>
      <c r="L2700" s="5">
        <v>46282</v>
      </c>
      <c r="M2700" t="s">
        <v>5944</v>
      </c>
      <c r="N2700" t="s">
        <v>207</v>
      </c>
      <c r="O2700" t="s">
        <v>5980</v>
      </c>
      <c r="P2700" t="s">
        <v>208</v>
      </c>
      <c r="Q2700" t="s">
        <v>209</v>
      </c>
    </row>
    <row r="2701" spans="1:17" x14ac:dyDescent="0.3">
      <c r="A2701" t="s">
        <v>5981</v>
      </c>
      <c r="C2701" t="s">
        <v>5982</v>
      </c>
      <c r="D2701" t="s">
        <v>5982</v>
      </c>
      <c r="E2701" s="5">
        <v>46280</v>
      </c>
      <c r="F2701" t="s">
        <v>204</v>
      </c>
      <c r="G2701" t="s">
        <v>213</v>
      </c>
      <c r="H2701">
        <v>4498</v>
      </c>
      <c r="I2701">
        <v>71.97</v>
      </c>
      <c r="J2701">
        <v>12.95</v>
      </c>
      <c r="K2701">
        <v>4413.08</v>
      </c>
      <c r="L2701" s="5">
        <v>46282</v>
      </c>
      <c r="M2701" t="s">
        <v>5944</v>
      </c>
      <c r="N2701" t="s">
        <v>207</v>
      </c>
      <c r="O2701" t="s">
        <v>5982</v>
      </c>
      <c r="P2701" t="s">
        <v>208</v>
      </c>
      <c r="Q2701" t="s">
        <v>209</v>
      </c>
    </row>
    <row r="2702" spans="1:17" x14ac:dyDescent="0.3">
      <c r="A2702" t="s">
        <v>5983</v>
      </c>
      <c r="C2702" t="s">
        <v>5984</v>
      </c>
      <c r="D2702" t="s">
        <v>5984</v>
      </c>
      <c r="E2702" s="5">
        <v>46280</v>
      </c>
      <c r="F2702" t="s">
        <v>204</v>
      </c>
      <c r="G2702" t="s">
        <v>213</v>
      </c>
      <c r="H2702">
        <v>1799</v>
      </c>
      <c r="I2702">
        <v>32.380000000000003</v>
      </c>
      <c r="J2702">
        <v>5.83</v>
      </c>
      <c r="K2702">
        <v>1760.79</v>
      </c>
      <c r="L2702" s="5">
        <v>46282</v>
      </c>
      <c r="M2702" t="s">
        <v>5944</v>
      </c>
      <c r="N2702" t="s">
        <v>207</v>
      </c>
      <c r="O2702" t="s">
        <v>5984</v>
      </c>
      <c r="P2702" t="s">
        <v>208</v>
      </c>
      <c r="Q2702" t="s">
        <v>209</v>
      </c>
    </row>
    <row r="2703" spans="1:17" x14ac:dyDescent="0.3">
      <c r="A2703" t="s">
        <v>5985</v>
      </c>
      <c r="C2703" t="s">
        <v>5986</v>
      </c>
      <c r="D2703" t="s">
        <v>5986</v>
      </c>
      <c r="E2703" s="5">
        <v>46280</v>
      </c>
      <c r="F2703" t="s">
        <v>204</v>
      </c>
      <c r="G2703" t="s">
        <v>220</v>
      </c>
      <c r="H2703">
        <v>4999</v>
      </c>
      <c r="I2703">
        <v>15</v>
      </c>
      <c r="J2703">
        <v>2.7</v>
      </c>
      <c r="K2703">
        <v>4981.3</v>
      </c>
      <c r="L2703" s="5">
        <v>46282</v>
      </c>
      <c r="M2703" t="s">
        <v>5944</v>
      </c>
      <c r="N2703" t="s">
        <v>207</v>
      </c>
      <c r="O2703" t="s">
        <v>5986</v>
      </c>
      <c r="P2703" t="s">
        <v>208</v>
      </c>
      <c r="Q2703" t="s">
        <v>209</v>
      </c>
    </row>
    <row r="2704" spans="1:17" x14ac:dyDescent="0.3">
      <c r="A2704" t="s">
        <v>5987</v>
      </c>
      <c r="C2704" t="s">
        <v>5988</v>
      </c>
      <c r="D2704" t="s">
        <v>5988</v>
      </c>
      <c r="E2704" s="5">
        <v>46280</v>
      </c>
      <c r="F2704" t="s">
        <v>204</v>
      </c>
      <c r="G2704" t="s">
        <v>255</v>
      </c>
      <c r="H2704">
        <v>7999</v>
      </c>
      <c r="I2704">
        <v>95.99</v>
      </c>
      <c r="J2704">
        <v>17.28</v>
      </c>
      <c r="K2704">
        <v>7885.73</v>
      </c>
      <c r="L2704" s="5">
        <v>46282</v>
      </c>
      <c r="M2704" t="s">
        <v>5944</v>
      </c>
      <c r="N2704" t="s">
        <v>207</v>
      </c>
      <c r="O2704" t="s">
        <v>5988</v>
      </c>
      <c r="P2704" t="s">
        <v>208</v>
      </c>
      <c r="Q2704" t="s">
        <v>209</v>
      </c>
    </row>
    <row r="2705" spans="1:17" x14ac:dyDescent="0.3">
      <c r="A2705" t="s">
        <v>5989</v>
      </c>
      <c r="C2705" t="s">
        <v>5990</v>
      </c>
      <c r="D2705" t="s">
        <v>5990</v>
      </c>
      <c r="E2705" s="5">
        <v>46280</v>
      </c>
      <c r="F2705" t="s">
        <v>204</v>
      </c>
      <c r="G2705" t="s">
        <v>213</v>
      </c>
      <c r="H2705">
        <v>1598</v>
      </c>
      <c r="I2705">
        <v>28.76</v>
      </c>
      <c r="J2705">
        <v>5.18</v>
      </c>
      <c r="K2705">
        <v>1564.06</v>
      </c>
      <c r="L2705" s="5">
        <v>46282</v>
      </c>
      <c r="M2705" t="s">
        <v>5944</v>
      </c>
      <c r="N2705" t="s">
        <v>207</v>
      </c>
      <c r="O2705" t="s">
        <v>5990</v>
      </c>
      <c r="P2705" t="s">
        <v>208</v>
      </c>
      <c r="Q2705" t="s">
        <v>209</v>
      </c>
    </row>
    <row r="2706" spans="1:17" x14ac:dyDescent="0.3">
      <c r="A2706" t="s">
        <v>5991</v>
      </c>
      <c r="C2706" t="s">
        <v>5992</v>
      </c>
      <c r="D2706" t="s">
        <v>5992</v>
      </c>
      <c r="E2706" s="5">
        <v>46280</v>
      </c>
      <c r="F2706" t="s">
        <v>204</v>
      </c>
      <c r="G2706" t="s">
        <v>213</v>
      </c>
      <c r="H2706">
        <v>2798</v>
      </c>
      <c r="I2706">
        <v>44.77</v>
      </c>
      <c r="J2706">
        <v>8.06</v>
      </c>
      <c r="K2706">
        <v>2745.17</v>
      </c>
      <c r="L2706" s="5">
        <v>46282</v>
      </c>
      <c r="M2706" t="s">
        <v>5944</v>
      </c>
      <c r="N2706" t="s">
        <v>207</v>
      </c>
      <c r="O2706" t="s">
        <v>5992</v>
      </c>
      <c r="P2706" t="s">
        <v>208</v>
      </c>
      <c r="Q2706" t="s">
        <v>209</v>
      </c>
    </row>
    <row r="2707" spans="1:17" x14ac:dyDescent="0.3">
      <c r="A2707" t="s">
        <v>5993</v>
      </c>
      <c r="C2707" t="s">
        <v>5994</v>
      </c>
      <c r="D2707" t="s">
        <v>5995</v>
      </c>
      <c r="E2707" s="5">
        <v>46280</v>
      </c>
      <c r="F2707" t="s">
        <v>204</v>
      </c>
      <c r="G2707" t="s">
        <v>220</v>
      </c>
      <c r="H2707">
        <v>8697</v>
      </c>
      <c r="I2707">
        <v>26.09</v>
      </c>
      <c r="J2707">
        <v>4.7</v>
      </c>
      <c r="K2707">
        <v>8666.2099999999991</v>
      </c>
      <c r="L2707" s="5">
        <v>46282</v>
      </c>
      <c r="M2707" t="s">
        <v>5944</v>
      </c>
      <c r="N2707" t="s">
        <v>207</v>
      </c>
      <c r="O2707" t="s">
        <v>5995</v>
      </c>
      <c r="P2707" t="s">
        <v>208</v>
      </c>
      <c r="Q2707" t="s">
        <v>209</v>
      </c>
    </row>
    <row r="2708" spans="1:17" x14ac:dyDescent="0.3">
      <c r="A2708" t="s">
        <v>5996</v>
      </c>
      <c r="C2708" t="s">
        <v>5997</v>
      </c>
      <c r="D2708" t="s">
        <v>5997</v>
      </c>
      <c r="E2708" s="5">
        <v>46280</v>
      </c>
      <c r="F2708" t="s">
        <v>204</v>
      </c>
      <c r="G2708" t="s">
        <v>213</v>
      </c>
      <c r="H2708">
        <v>4999</v>
      </c>
      <c r="I2708">
        <v>79.98</v>
      </c>
      <c r="J2708">
        <v>14.4</v>
      </c>
      <c r="K2708">
        <v>4904.62</v>
      </c>
      <c r="L2708" s="5">
        <v>46282</v>
      </c>
      <c r="M2708" t="s">
        <v>5944</v>
      </c>
      <c r="N2708" t="s">
        <v>207</v>
      </c>
      <c r="O2708" t="s">
        <v>5997</v>
      </c>
      <c r="P2708" t="s">
        <v>208</v>
      </c>
      <c r="Q2708" t="s">
        <v>209</v>
      </c>
    </row>
    <row r="2709" spans="1:17" x14ac:dyDescent="0.3">
      <c r="A2709" t="s">
        <v>5998</v>
      </c>
      <c r="C2709" t="s">
        <v>5999</v>
      </c>
      <c r="D2709" t="s">
        <v>5999</v>
      </c>
      <c r="E2709" s="5">
        <v>46280</v>
      </c>
      <c r="F2709" t="s">
        <v>204</v>
      </c>
      <c r="G2709" t="s">
        <v>220</v>
      </c>
      <c r="H2709">
        <v>9498</v>
      </c>
      <c r="I2709">
        <v>28.49</v>
      </c>
      <c r="J2709">
        <v>5.13</v>
      </c>
      <c r="K2709">
        <v>9464.3799999999992</v>
      </c>
      <c r="L2709" s="5">
        <v>46282</v>
      </c>
      <c r="M2709" t="s">
        <v>5944</v>
      </c>
      <c r="N2709" t="s">
        <v>207</v>
      </c>
      <c r="O2709" t="s">
        <v>5999</v>
      </c>
      <c r="P2709" t="s">
        <v>208</v>
      </c>
      <c r="Q2709" t="s">
        <v>209</v>
      </c>
    </row>
    <row r="2710" spans="1:17" x14ac:dyDescent="0.3">
      <c r="A2710" t="s">
        <v>6000</v>
      </c>
      <c r="C2710" t="s">
        <v>6001</v>
      </c>
      <c r="D2710" t="s">
        <v>6001</v>
      </c>
      <c r="E2710" s="5">
        <v>46280</v>
      </c>
      <c r="F2710" t="s">
        <v>204</v>
      </c>
      <c r="G2710" t="s">
        <v>220</v>
      </c>
      <c r="H2710">
        <v>3499</v>
      </c>
      <c r="I2710">
        <v>10.5</v>
      </c>
      <c r="J2710">
        <v>1.89</v>
      </c>
      <c r="K2710">
        <v>3486.61</v>
      </c>
      <c r="L2710" s="5">
        <v>46282</v>
      </c>
      <c r="M2710" t="s">
        <v>5944</v>
      </c>
      <c r="N2710" t="s">
        <v>207</v>
      </c>
      <c r="O2710" t="s">
        <v>6001</v>
      </c>
      <c r="P2710" t="s">
        <v>208</v>
      </c>
      <c r="Q2710" t="s">
        <v>209</v>
      </c>
    </row>
    <row r="2711" spans="1:17" x14ac:dyDescent="0.3">
      <c r="A2711" t="s">
        <v>6002</v>
      </c>
      <c r="C2711" t="s">
        <v>6003</v>
      </c>
      <c r="D2711" t="s">
        <v>6003</v>
      </c>
      <c r="E2711" s="5">
        <v>46280</v>
      </c>
      <c r="F2711" t="s">
        <v>204</v>
      </c>
      <c r="G2711" t="s">
        <v>220</v>
      </c>
      <c r="H2711">
        <v>7147</v>
      </c>
      <c r="I2711">
        <v>21.44</v>
      </c>
      <c r="J2711">
        <v>3.86</v>
      </c>
      <c r="K2711">
        <v>7121.7</v>
      </c>
      <c r="L2711" s="5">
        <v>46282</v>
      </c>
      <c r="M2711" t="s">
        <v>5944</v>
      </c>
      <c r="N2711" t="s">
        <v>207</v>
      </c>
      <c r="O2711" t="s">
        <v>6003</v>
      </c>
      <c r="P2711" t="s">
        <v>208</v>
      </c>
      <c r="Q2711" t="s">
        <v>209</v>
      </c>
    </row>
    <row r="2712" spans="1:17" x14ac:dyDescent="0.3">
      <c r="A2712" t="s">
        <v>6004</v>
      </c>
      <c r="C2712" t="s">
        <v>6005</v>
      </c>
      <c r="D2712" t="s">
        <v>6005</v>
      </c>
      <c r="E2712" s="5">
        <v>46280</v>
      </c>
      <c r="F2712" t="s">
        <v>204</v>
      </c>
      <c r="G2712" t="s">
        <v>220</v>
      </c>
      <c r="H2712">
        <v>3797</v>
      </c>
      <c r="I2712">
        <v>11.39</v>
      </c>
      <c r="J2712">
        <v>2.0499999999999998</v>
      </c>
      <c r="K2712">
        <v>3783.56</v>
      </c>
      <c r="L2712" s="5">
        <v>46282</v>
      </c>
      <c r="M2712" t="s">
        <v>5944</v>
      </c>
      <c r="N2712" t="s">
        <v>207</v>
      </c>
      <c r="O2712" t="s">
        <v>6005</v>
      </c>
      <c r="P2712" t="s">
        <v>208</v>
      </c>
      <c r="Q2712" t="s">
        <v>209</v>
      </c>
    </row>
    <row r="2713" spans="1:17" x14ac:dyDescent="0.3">
      <c r="A2713" t="s">
        <v>6006</v>
      </c>
      <c r="C2713" t="s">
        <v>6007</v>
      </c>
      <c r="D2713" t="s">
        <v>6008</v>
      </c>
      <c r="E2713" s="5">
        <v>46280</v>
      </c>
      <c r="F2713" t="s">
        <v>204</v>
      </c>
      <c r="G2713" t="s">
        <v>220</v>
      </c>
      <c r="H2713">
        <v>599</v>
      </c>
      <c r="I2713">
        <v>0</v>
      </c>
      <c r="J2713">
        <v>0</v>
      </c>
      <c r="K2713">
        <v>599</v>
      </c>
      <c r="L2713" s="5">
        <v>46282</v>
      </c>
      <c r="M2713" t="s">
        <v>5944</v>
      </c>
      <c r="N2713" t="s">
        <v>207</v>
      </c>
      <c r="O2713" t="s">
        <v>6008</v>
      </c>
      <c r="P2713" t="s">
        <v>208</v>
      </c>
      <c r="Q2713" t="s">
        <v>209</v>
      </c>
    </row>
    <row r="2714" spans="1:17" x14ac:dyDescent="0.3">
      <c r="A2714" t="s">
        <v>6009</v>
      </c>
      <c r="C2714" t="s">
        <v>6010</v>
      </c>
      <c r="D2714" t="s">
        <v>6010</v>
      </c>
      <c r="E2714" s="5">
        <v>46280</v>
      </c>
      <c r="F2714" t="s">
        <v>204</v>
      </c>
      <c r="G2714" t="s">
        <v>205</v>
      </c>
      <c r="H2714">
        <v>5498</v>
      </c>
      <c r="I2714">
        <v>93.47</v>
      </c>
      <c r="J2714">
        <v>16.82</v>
      </c>
      <c r="K2714">
        <v>5387.71</v>
      </c>
      <c r="L2714" s="5">
        <v>46282</v>
      </c>
      <c r="M2714" t="s">
        <v>5944</v>
      </c>
      <c r="N2714" t="s">
        <v>207</v>
      </c>
      <c r="O2714" t="s">
        <v>6010</v>
      </c>
      <c r="P2714" t="s">
        <v>208</v>
      </c>
      <c r="Q2714" t="s">
        <v>209</v>
      </c>
    </row>
    <row r="2715" spans="1:17" x14ac:dyDescent="0.3">
      <c r="A2715" t="s">
        <v>6011</v>
      </c>
      <c r="C2715" t="s">
        <v>6012</v>
      </c>
      <c r="D2715" t="s">
        <v>6012</v>
      </c>
      <c r="E2715" s="5">
        <v>46280</v>
      </c>
      <c r="F2715" t="s">
        <v>204</v>
      </c>
      <c r="G2715" t="s">
        <v>220</v>
      </c>
      <c r="H2715">
        <v>5498</v>
      </c>
      <c r="I2715">
        <v>16.489999999999998</v>
      </c>
      <c r="J2715">
        <v>2.97</v>
      </c>
      <c r="K2715">
        <v>5478.54</v>
      </c>
      <c r="L2715" s="5">
        <v>46282</v>
      </c>
      <c r="M2715" t="s">
        <v>5944</v>
      </c>
      <c r="N2715" t="s">
        <v>207</v>
      </c>
      <c r="O2715" t="s">
        <v>6012</v>
      </c>
      <c r="P2715" t="s">
        <v>208</v>
      </c>
      <c r="Q2715" t="s">
        <v>209</v>
      </c>
    </row>
    <row r="2716" spans="1:17" x14ac:dyDescent="0.3">
      <c r="A2716" t="s">
        <v>6013</v>
      </c>
      <c r="C2716" t="s">
        <v>6014</v>
      </c>
      <c r="D2716" t="s">
        <v>6014</v>
      </c>
      <c r="E2716" s="5">
        <v>46280</v>
      </c>
      <c r="F2716" t="s">
        <v>204</v>
      </c>
      <c r="G2716" t="s">
        <v>213</v>
      </c>
      <c r="H2716">
        <v>5998</v>
      </c>
      <c r="I2716">
        <v>95.97</v>
      </c>
      <c r="J2716">
        <v>17.27</v>
      </c>
      <c r="K2716">
        <v>5884.76</v>
      </c>
      <c r="L2716" s="5">
        <v>46282</v>
      </c>
      <c r="M2716" t="s">
        <v>5944</v>
      </c>
      <c r="N2716" t="s">
        <v>207</v>
      </c>
      <c r="O2716" t="s">
        <v>6014</v>
      </c>
      <c r="P2716" t="s">
        <v>208</v>
      </c>
      <c r="Q2716" t="s">
        <v>209</v>
      </c>
    </row>
    <row r="2717" spans="1:17" x14ac:dyDescent="0.3">
      <c r="A2717" t="s">
        <v>6015</v>
      </c>
      <c r="C2717" t="s">
        <v>6016</v>
      </c>
      <c r="D2717" t="s">
        <v>6016</v>
      </c>
      <c r="E2717" s="5">
        <v>46280</v>
      </c>
      <c r="F2717" t="s">
        <v>204</v>
      </c>
      <c r="G2717" t="s">
        <v>213</v>
      </c>
      <c r="H2717">
        <v>3298</v>
      </c>
      <c r="I2717">
        <v>52.77</v>
      </c>
      <c r="J2717">
        <v>9.5</v>
      </c>
      <c r="K2717">
        <v>3235.73</v>
      </c>
      <c r="L2717" s="5">
        <v>46282</v>
      </c>
      <c r="M2717" t="s">
        <v>5944</v>
      </c>
      <c r="N2717" t="s">
        <v>207</v>
      </c>
      <c r="O2717" t="s">
        <v>6016</v>
      </c>
      <c r="P2717" t="s">
        <v>208</v>
      </c>
      <c r="Q2717" t="s">
        <v>209</v>
      </c>
    </row>
    <row r="2718" spans="1:17" x14ac:dyDescent="0.3">
      <c r="A2718" t="s">
        <v>6017</v>
      </c>
      <c r="C2718" t="s">
        <v>6018</v>
      </c>
      <c r="D2718" t="s">
        <v>6018</v>
      </c>
      <c r="E2718" s="5">
        <v>46280</v>
      </c>
      <c r="F2718" t="s">
        <v>204</v>
      </c>
      <c r="G2718" t="s">
        <v>220</v>
      </c>
      <c r="H2718">
        <v>1997</v>
      </c>
      <c r="I2718">
        <v>0</v>
      </c>
      <c r="J2718">
        <v>0</v>
      </c>
      <c r="K2718">
        <v>1997</v>
      </c>
      <c r="L2718" s="5">
        <v>46282</v>
      </c>
      <c r="M2718" t="s">
        <v>5944</v>
      </c>
      <c r="N2718" t="s">
        <v>207</v>
      </c>
      <c r="O2718" t="s">
        <v>6018</v>
      </c>
      <c r="P2718" t="s">
        <v>208</v>
      </c>
      <c r="Q2718" t="s">
        <v>209</v>
      </c>
    </row>
    <row r="2719" spans="1:17" x14ac:dyDescent="0.3">
      <c r="A2719" t="s">
        <v>6019</v>
      </c>
      <c r="C2719" t="s">
        <v>6020</v>
      </c>
      <c r="D2719" t="s">
        <v>6020</v>
      </c>
      <c r="E2719" s="5">
        <v>46280</v>
      </c>
      <c r="F2719" t="s">
        <v>204</v>
      </c>
      <c r="G2719" t="s">
        <v>220</v>
      </c>
      <c r="H2719">
        <v>8847</v>
      </c>
      <c r="I2719">
        <v>26.54</v>
      </c>
      <c r="J2719">
        <v>4.78</v>
      </c>
      <c r="K2719">
        <v>8815.68</v>
      </c>
      <c r="L2719" s="5">
        <v>46282</v>
      </c>
      <c r="M2719" t="s">
        <v>5944</v>
      </c>
      <c r="N2719" t="s">
        <v>207</v>
      </c>
      <c r="O2719" t="s">
        <v>6020</v>
      </c>
      <c r="P2719" t="s">
        <v>208</v>
      </c>
      <c r="Q2719" t="s">
        <v>209</v>
      </c>
    </row>
    <row r="2720" spans="1:17" x14ac:dyDescent="0.3">
      <c r="A2720" t="s">
        <v>6021</v>
      </c>
      <c r="C2720" t="s">
        <v>6022</v>
      </c>
      <c r="D2720" t="s">
        <v>6022</v>
      </c>
      <c r="E2720" s="5">
        <v>46280</v>
      </c>
      <c r="F2720" t="s">
        <v>204</v>
      </c>
      <c r="G2720" t="s">
        <v>220</v>
      </c>
      <c r="H2720">
        <v>3499</v>
      </c>
      <c r="I2720">
        <v>10.5</v>
      </c>
      <c r="J2720">
        <v>1.89</v>
      </c>
      <c r="K2720">
        <v>3486.61</v>
      </c>
      <c r="L2720" s="5">
        <v>46282</v>
      </c>
      <c r="M2720" t="s">
        <v>5944</v>
      </c>
      <c r="N2720" t="s">
        <v>207</v>
      </c>
      <c r="O2720" t="s">
        <v>6022</v>
      </c>
      <c r="P2720" t="s">
        <v>208</v>
      </c>
      <c r="Q2720" t="s">
        <v>209</v>
      </c>
    </row>
    <row r="2721" spans="1:17" x14ac:dyDescent="0.3">
      <c r="A2721" t="s">
        <v>6023</v>
      </c>
      <c r="C2721" t="s">
        <v>6024</v>
      </c>
      <c r="D2721" t="s">
        <v>6025</v>
      </c>
      <c r="E2721" s="5">
        <v>46280</v>
      </c>
      <c r="F2721" t="s">
        <v>204</v>
      </c>
      <c r="G2721" t="s">
        <v>205</v>
      </c>
      <c r="H2721">
        <v>6297</v>
      </c>
      <c r="I2721">
        <v>107.05</v>
      </c>
      <c r="J2721">
        <v>19.27</v>
      </c>
      <c r="K2721">
        <v>6170.68</v>
      </c>
      <c r="L2721" s="5">
        <v>46282</v>
      </c>
      <c r="M2721" t="s">
        <v>5944</v>
      </c>
      <c r="N2721" t="s">
        <v>207</v>
      </c>
      <c r="O2721" t="s">
        <v>6025</v>
      </c>
      <c r="P2721" t="s">
        <v>208</v>
      </c>
      <c r="Q2721" t="s">
        <v>209</v>
      </c>
    </row>
    <row r="2722" spans="1:17" x14ac:dyDescent="0.3">
      <c r="A2722" t="s">
        <v>6026</v>
      </c>
      <c r="C2722" t="s">
        <v>6027</v>
      </c>
      <c r="D2722" t="s">
        <v>6027</v>
      </c>
      <c r="E2722" s="5">
        <v>46280</v>
      </c>
      <c r="F2722" t="s">
        <v>204</v>
      </c>
      <c r="G2722" t="s">
        <v>220</v>
      </c>
      <c r="H2722">
        <v>2298</v>
      </c>
      <c r="I2722">
        <v>6.89</v>
      </c>
      <c r="J2722">
        <v>1.24</v>
      </c>
      <c r="K2722">
        <v>2289.87</v>
      </c>
      <c r="L2722" s="5">
        <v>46282</v>
      </c>
      <c r="M2722" t="s">
        <v>5944</v>
      </c>
      <c r="N2722" t="s">
        <v>207</v>
      </c>
      <c r="O2722" t="s">
        <v>6027</v>
      </c>
      <c r="P2722" t="s">
        <v>208</v>
      </c>
      <c r="Q2722" t="s">
        <v>209</v>
      </c>
    </row>
    <row r="2723" spans="1:17" x14ac:dyDescent="0.3">
      <c r="A2723" t="s">
        <v>6028</v>
      </c>
      <c r="C2723" t="s">
        <v>6029</v>
      </c>
      <c r="D2723" t="s">
        <v>6029</v>
      </c>
      <c r="E2723" s="5">
        <v>46280</v>
      </c>
      <c r="F2723" t="s">
        <v>204</v>
      </c>
      <c r="G2723" t="s">
        <v>205</v>
      </c>
      <c r="H2723">
        <v>6597</v>
      </c>
      <c r="I2723">
        <v>112.15</v>
      </c>
      <c r="J2723">
        <v>20.190000000000001</v>
      </c>
      <c r="K2723">
        <v>6464.66</v>
      </c>
      <c r="L2723" s="5">
        <v>46282</v>
      </c>
      <c r="M2723" t="s">
        <v>5944</v>
      </c>
      <c r="N2723" t="s">
        <v>207</v>
      </c>
      <c r="O2723" t="s">
        <v>6029</v>
      </c>
      <c r="P2723" t="s">
        <v>208</v>
      </c>
      <c r="Q2723" t="s">
        <v>209</v>
      </c>
    </row>
    <row r="2724" spans="1:17" x14ac:dyDescent="0.3">
      <c r="A2724" t="s">
        <v>6030</v>
      </c>
      <c r="C2724" t="s">
        <v>6031</v>
      </c>
      <c r="D2724" t="s">
        <v>6031</v>
      </c>
      <c r="E2724" s="5">
        <v>46280</v>
      </c>
      <c r="F2724" t="s">
        <v>204</v>
      </c>
      <c r="G2724" t="s">
        <v>213</v>
      </c>
      <c r="H2724">
        <v>12297</v>
      </c>
      <c r="I2724">
        <v>196.75</v>
      </c>
      <c r="J2724">
        <v>35.42</v>
      </c>
      <c r="K2724">
        <v>12064.83</v>
      </c>
      <c r="L2724" s="5">
        <v>46282</v>
      </c>
      <c r="M2724" t="s">
        <v>5944</v>
      </c>
      <c r="N2724" t="s">
        <v>207</v>
      </c>
      <c r="O2724" t="s">
        <v>6031</v>
      </c>
      <c r="P2724" t="s">
        <v>208</v>
      </c>
      <c r="Q2724" t="s">
        <v>209</v>
      </c>
    </row>
    <row r="2725" spans="1:17" x14ac:dyDescent="0.3">
      <c r="A2725" t="s">
        <v>6032</v>
      </c>
      <c r="C2725" t="s">
        <v>6033</v>
      </c>
      <c r="D2725" t="s">
        <v>6033</v>
      </c>
      <c r="E2725" s="5">
        <v>46280</v>
      </c>
      <c r="F2725" t="s">
        <v>204</v>
      </c>
      <c r="G2725" t="s">
        <v>220</v>
      </c>
      <c r="H2725">
        <v>299</v>
      </c>
      <c r="I2725">
        <v>0</v>
      </c>
      <c r="J2725">
        <v>0</v>
      </c>
      <c r="K2725">
        <v>299</v>
      </c>
      <c r="L2725" s="5">
        <v>46282</v>
      </c>
      <c r="M2725" t="s">
        <v>5944</v>
      </c>
      <c r="N2725" t="s">
        <v>207</v>
      </c>
      <c r="O2725" t="s">
        <v>6033</v>
      </c>
      <c r="P2725" t="s">
        <v>208</v>
      </c>
      <c r="Q2725" t="s">
        <v>209</v>
      </c>
    </row>
    <row r="2726" spans="1:17" x14ac:dyDescent="0.3">
      <c r="A2726" t="s">
        <v>6034</v>
      </c>
      <c r="C2726" t="s">
        <v>6035</v>
      </c>
      <c r="D2726" t="s">
        <v>6035</v>
      </c>
      <c r="E2726" s="5">
        <v>46280</v>
      </c>
      <c r="F2726" t="s">
        <v>204</v>
      </c>
      <c r="G2726" t="s">
        <v>213</v>
      </c>
      <c r="H2726">
        <v>999</v>
      </c>
      <c r="I2726">
        <v>17.98</v>
      </c>
      <c r="J2726">
        <v>3.24</v>
      </c>
      <c r="K2726">
        <v>977.78</v>
      </c>
      <c r="L2726" s="5">
        <v>46282</v>
      </c>
      <c r="M2726" t="s">
        <v>5944</v>
      </c>
      <c r="N2726" t="s">
        <v>207</v>
      </c>
      <c r="O2726" t="s">
        <v>6035</v>
      </c>
      <c r="P2726" t="s">
        <v>208</v>
      </c>
      <c r="Q2726" t="s">
        <v>209</v>
      </c>
    </row>
    <row r="2727" spans="1:17" x14ac:dyDescent="0.3">
      <c r="A2727" t="s">
        <v>6036</v>
      </c>
      <c r="C2727" t="s">
        <v>6037</v>
      </c>
      <c r="D2727" t="s">
        <v>6037</v>
      </c>
      <c r="E2727" s="5">
        <v>46280</v>
      </c>
      <c r="F2727" t="s">
        <v>204</v>
      </c>
      <c r="G2727" t="s">
        <v>220</v>
      </c>
      <c r="H2727">
        <v>3498</v>
      </c>
      <c r="I2727">
        <v>10.49</v>
      </c>
      <c r="J2727">
        <v>1.89</v>
      </c>
      <c r="K2727">
        <v>3485.62</v>
      </c>
      <c r="L2727" s="5">
        <v>46282</v>
      </c>
      <c r="M2727" t="s">
        <v>5944</v>
      </c>
      <c r="N2727" t="s">
        <v>207</v>
      </c>
      <c r="O2727" t="s">
        <v>6037</v>
      </c>
      <c r="P2727" t="s">
        <v>208</v>
      </c>
      <c r="Q2727" t="s">
        <v>209</v>
      </c>
    </row>
    <row r="2728" spans="1:17" x14ac:dyDescent="0.3">
      <c r="A2728" t="s">
        <v>6038</v>
      </c>
      <c r="C2728" t="s">
        <v>6039</v>
      </c>
      <c r="D2728" t="s">
        <v>6039</v>
      </c>
      <c r="E2728" s="5">
        <v>46280</v>
      </c>
      <c r="F2728" t="s">
        <v>204</v>
      </c>
      <c r="G2728" t="s">
        <v>255</v>
      </c>
      <c r="H2728">
        <v>1298</v>
      </c>
      <c r="I2728">
        <v>19.47</v>
      </c>
      <c r="J2728">
        <v>3.5</v>
      </c>
      <c r="K2728">
        <v>1275.03</v>
      </c>
      <c r="L2728" s="5">
        <v>46282</v>
      </c>
      <c r="M2728" t="s">
        <v>5944</v>
      </c>
      <c r="N2728" t="s">
        <v>207</v>
      </c>
      <c r="O2728" t="s">
        <v>6039</v>
      </c>
      <c r="P2728" t="s">
        <v>208</v>
      </c>
      <c r="Q2728" t="s">
        <v>209</v>
      </c>
    </row>
    <row r="2729" spans="1:17" x14ac:dyDescent="0.3">
      <c r="A2729" t="s">
        <v>6040</v>
      </c>
      <c r="C2729" t="s">
        <v>6041</v>
      </c>
      <c r="D2729" t="s">
        <v>6041</v>
      </c>
      <c r="E2729" s="5">
        <v>46280</v>
      </c>
      <c r="F2729" t="s">
        <v>204</v>
      </c>
      <c r="G2729" t="s">
        <v>213</v>
      </c>
      <c r="H2729">
        <v>1647</v>
      </c>
      <c r="I2729">
        <v>29.65</v>
      </c>
      <c r="J2729">
        <v>5.34</v>
      </c>
      <c r="K2729">
        <v>1612.01</v>
      </c>
      <c r="L2729" s="5">
        <v>46282</v>
      </c>
      <c r="M2729" t="s">
        <v>5944</v>
      </c>
      <c r="N2729" t="s">
        <v>207</v>
      </c>
      <c r="O2729" t="s">
        <v>6041</v>
      </c>
      <c r="P2729" t="s">
        <v>208</v>
      </c>
      <c r="Q2729" t="s">
        <v>209</v>
      </c>
    </row>
    <row r="2730" spans="1:17" x14ac:dyDescent="0.3">
      <c r="A2730" t="s">
        <v>6042</v>
      </c>
      <c r="C2730" t="s">
        <v>6043</v>
      </c>
      <c r="D2730" t="s">
        <v>6043</v>
      </c>
      <c r="E2730" s="5">
        <v>46280</v>
      </c>
      <c r="F2730" t="s">
        <v>204</v>
      </c>
      <c r="G2730" t="s">
        <v>213</v>
      </c>
      <c r="H2730">
        <v>8348</v>
      </c>
      <c r="I2730">
        <v>133.57</v>
      </c>
      <c r="J2730">
        <v>24.04</v>
      </c>
      <c r="K2730">
        <v>8190.39</v>
      </c>
      <c r="L2730" s="5">
        <v>46282</v>
      </c>
      <c r="M2730" t="s">
        <v>5944</v>
      </c>
      <c r="N2730" t="s">
        <v>207</v>
      </c>
      <c r="O2730" t="s">
        <v>6043</v>
      </c>
      <c r="P2730" t="s">
        <v>208</v>
      </c>
      <c r="Q2730" t="s">
        <v>209</v>
      </c>
    </row>
    <row r="2731" spans="1:17" x14ac:dyDescent="0.3">
      <c r="A2731" t="s">
        <v>6044</v>
      </c>
      <c r="C2731" t="s">
        <v>6045</v>
      </c>
      <c r="D2731" t="s">
        <v>6045</v>
      </c>
      <c r="E2731" s="5">
        <v>46280</v>
      </c>
      <c r="F2731" t="s">
        <v>204</v>
      </c>
      <c r="G2731" t="s">
        <v>220</v>
      </c>
      <c r="H2731">
        <v>1299</v>
      </c>
      <c r="I2731">
        <v>0</v>
      </c>
      <c r="J2731">
        <v>0</v>
      </c>
      <c r="K2731">
        <v>1299</v>
      </c>
      <c r="L2731" s="5">
        <v>46282</v>
      </c>
      <c r="M2731" t="s">
        <v>5944</v>
      </c>
      <c r="N2731" t="s">
        <v>207</v>
      </c>
      <c r="O2731" t="s">
        <v>6045</v>
      </c>
      <c r="P2731" t="s">
        <v>208</v>
      </c>
      <c r="Q2731" t="s">
        <v>209</v>
      </c>
    </row>
    <row r="2732" spans="1:17" x14ac:dyDescent="0.3">
      <c r="A2732" t="s">
        <v>6046</v>
      </c>
      <c r="C2732" t="s">
        <v>6047</v>
      </c>
      <c r="D2732" t="s">
        <v>6047</v>
      </c>
      <c r="E2732" s="5">
        <v>46280</v>
      </c>
      <c r="F2732" t="s">
        <v>204</v>
      </c>
      <c r="G2732" t="s">
        <v>220</v>
      </c>
      <c r="H2732">
        <v>3497</v>
      </c>
      <c r="I2732">
        <v>10.49</v>
      </c>
      <c r="J2732">
        <v>1.89</v>
      </c>
      <c r="K2732">
        <v>3484.62</v>
      </c>
      <c r="L2732" s="5">
        <v>46282</v>
      </c>
      <c r="M2732" t="s">
        <v>5944</v>
      </c>
      <c r="N2732" t="s">
        <v>207</v>
      </c>
      <c r="O2732" t="s">
        <v>6047</v>
      </c>
      <c r="P2732" t="s">
        <v>208</v>
      </c>
      <c r="Q2732" t="s">
        <v>209</v>
      </c>
    </row>
    <row r="2733" spans="1:17" x14ac:dyDescent="0.3">
      <c r="A2733" t="s">
        <v>6048</v>
      </c>
      <c r="C2733" t="s">
        <v>6049</v>
      </c>
      <c r="D2733" t="s">
        <v>6049</v>
      </c>
      <c r="E2733" s="5">
        <v>46280</v>
      </c>
      <c r="F2733" t="s">
        <v>204</v>
      </c>
      <c r="G2733" t="s">
        <v>220</v>
      </c>
      <c r="H2733">
        <v>3798</v>
      </c>
      <c r="I2733">
        <v>11.39</v>
      </c>
      <c r="J2733">
        <v>2.0499999999999998</v>
      </c>
      <c r="K2733">
        <v>3784.56</v>
      </c>
      <c r="L2733" s="5">
        <v>46282</v>
      </c>
      <c r="M2733" t="s">
        <v>5944</v>
      </c>
      <c r="N2733" t="s">
        <v>207</v>
      </c>
      <c r="O2733" t="s">
        <v>6049</v>
      </c>
      <c r="P2733" t="s">
        <v>208</v>
      </c>
      <c r="Q2733" t="s">
        <v>209</v>
      </c>
    </row>
    <row r="2734" spans="1:17" x14ac:dyDescent="0.3">
      <c r="A2734" t="s">
        <v>6050</v>
      </c>
      <c r="C2734" t="s">
        <v>6051</v>
      </c>
      <c r="D2734" t="s">
        <v>6051</v>
      </c>
      <c r="E2734" s="5">
        <v>46280</v>
      </c>
      <c r="F2734" t="s">
        <v>204</v>
      </c>
      <c r="G2734" t="s">
        <v>220</v>
      </c>
      <c r="H2734">
        <v>3499</v>
      </c>
      <c r="I2734">
        <v>10.5</v>
      </c>
      <c r="J2734">
        <v>1.89</v>
      </c>
      <c r="K2734">
        <v>3486.61</v>
      </c>
      <c r="L2734" s="5">
        <v>46282</v>
      </c>
      <c r="M2734" t="s">
        <v>5944</v>
      </c>
      <c r="N2734" t="s">
        <v>207</v>
      </c>
      <c r="O2734" t="s">
        <v>6051</v>
      </c>
      <c r="P2734" t="s">
        <v>208</v>
      </c>
      <c r="Q2734" t="s">
        <v>209</v>
      </c>
    </row>
    <row r="2735" spans="1:17" x14ac:dyDescent="0.3">
      <c r="A2735" t="s">
        <v>6052</v>
      </c>
      <c r="C2735" t="s">
        <v>6053</v>
      </c>
      <c r="D2735" t="s">
        <v>6053</v>
      </c>
      <c r="E2735" s="5">
        <v>46280</v>
      </c>
      <c r="F2735" t="s">
        <v>204</v>
      </c>
      <c r="G2735" t="s">
        <v>213</v>
      </c>
      <c r="H2735">
        <v>4798</v>
      </c>
      <c r="I2735">
        <v>76.77</v>
      </c>
      <c r="J2735">
        <v>13.82</v>
      </c>
      <c r="K2735">
        <v>4707.41</v>
      </c>
      <c r="L2735" s="5">
        <v>46282</v>
      </c>
      <c r="M2735" t="s">
        <v>5944</v>
      </c>
      <c r="N2735" t="s">
        <v>207</v>
      </c>
      <c r="O2735" t="s">
        <v>6053</v>
      </c>
      <c r="P2735" t="s">
        <v>208</v>
      </c>
      <c r="Q2735" t="s">
        <v>209</v>
      </c>
    </row>
    <row r="2736" spans="1:17" x14ac:dyDescent="0.3">
      <c r="A2736" t="s">
        <v>6054</v>
      </c>
      <c r="C2736" t="s">
        <v>6055</v>
      </c>
      <c r="D2736" t="s">
        <v>6055</v>
      </c>
      <c r="E2736" s="5">
        <v>46280</v>
      </c>
      <c r="F2736" t="s">
        <v>204</v>
      </c>
      <c r="G2736" t="s">
        <v>205</v>
      </c>
      <c r="H2736">
        <v>7999</v>
      </c>
      <c r="I2736">
        <v>135.97999999999999</v>
      </c>
      <c r="J2736">
        <v>24.48</v>
      </c>
      <c r="K2736">
        <v>7838.54</v>
      </c>
      <c r="L2736" s="5">
        <v>46282</v>
      </c>
      <c r="M2736" t="s">
        <v>5944</v>
      </c>
      <c r="N2736" t="s">
        <v>207</v>
      </c>
      <c r="O2736" t="s">
        <v>6055</v>
      </c>
      <c r="P2736" t="s">
        <v>208</v>
      </c>
      <c r="Q2736" t="s">
        <v>209</v>
      </c>
    </row>
    <row r="2737" spans="1:17" x14ac:dyDescent="0.3">
      <c r="A2737" t="s">
        <v>6056</v>
      </c>
      <c r="C2737" t="s">
        <v>6057</v>
      </c>
      <c r="D2737" t="s">
        <v>6057</v>
      </c>
      <c r="E2737" s="5">
        <v>46280</v>
      </c>
      <c r="F2737" t="s">
        <v>204</v>
      </c>
      <c r="G2737" t="s">
        <v>213</v>
      </c>
      <c r="H2737">
        <v>999</v>
      </c>
      <c r="I2737">
        <v>17.98</v>
      </c>
      <c r="J2737">
        <v>3.24</v>
      </c>
      <c r="K2737">
        <v>977.78</v>
      </c>
      <c r="L2737" s="5">
        <v>46282</v>
      </c>
      <c r="M2737" t="s">
        <v>5944</v>
      </c>
      <c r="N2737" t="s">
        <v>207</v>
      </c>
      <c r="O2737" t="s">
        <v>6057</v>
      </c>
      <c r="P2737" t="s">
        <v>208</v>
      </c>
      <c r="Q2737" t="s">
        <v>209</v>
      </c>
    </row>
    <row r="2738" spans="1:17" x14ac:dyDescent="0.3">
      <c r="A2738" t="s">
        <v>6058</v>
      </c>
      <c r="C2738" t="s">
        <v>6059</v>
      </c>
      <c r="D2738" t="s">
        <v>6059</v>
      </c>
      <c r="E2738" s="5">
        <v>46280</v>
      </c>
      <c r="F2738" t="s">
        <v>204</v>
      </c>
      <c r="G2738" t="s">
        <v>205</v>
      </c>
      <c r="H2738">
        <v>1799</v>
      </c>
      <c r="I2738">
        <v>34.18</v>
      </c>
      <c r="J2738">
        <v>6.15</v>
      </c>
      <c r="K2738">
        <v>1758.67</v>
      </c>
      <c r="L2738" s="5">
        <v>46282</v>
      </c>
      <c r="M2738" t="s">
        <v>5944</v>
      </c>
      <c r="N2738" t="s">
        <v>207</v>
      </c>
      <c r="O2738" t="s">
        <v>6059</v>
      </c>
      <c r="P2738" t="s">
        <v>208</v>
      </c>
      <c r="Q2738" t="s">
        <v>209</v>
      </c>
    </row>
    <row r="2739" spans="1:17" x14ac:dyDescent="0.3">
      <c r="A2739" t="s">
        <v>6060</v>
      </c>
      <c r="C2739" t="s">
        <v>6061</v>
      </c>
      <c r="D2739" t="s">
        <v>6062</v>
      </c>
      <c r="E2739" s="5">
        <v>46280</v>
      </c>
      <c r="F2739" t="s">
        <v>204</v>
      </c>
      <c r="G2739" t="s">
        <v>255</v>
      </c>
      <c r="H2739">
        <v>3798</v>
      </c>
      <c r="I2739">
        <v>45.58</v>
      </c>
      <c r="J2739">
        <v>8.1999999999999993</v>
      </c>
      <c r="K2739">
        <v>3744.22</v>
      </c>
      <c r="L2739" s="5">
        <v>46282</v>
      </c>
      <c r="M2739" t="s">
        <v>5944</v>
      </c>
      <c r="N2739" t="s">
        <v>207</v>
      </c>
      <c r="O2739" t="s">
        <v>6062</v>
      </c>
      <c r="P2739" t="s">
        <v>208</v>
      </c>
      <c r="Q2739" t="s">
        <v>209</v>
      </c>
    </row>
    <row r="2740" spans="1:17" x14ac:dyDescent="0.3">
      <c r="A2740" t="s">
        <v>6063</v>
      </c>
      <c r="C2740" t="s">
        <v>6064</v>
      </c>
      <c r="D2740" t="s">
        <v>6064</v>
      </c>
      <c r="E2740" s="5">
        <v>46280</v>
      </c>
      <c r="F2740" t="s">
        <v>204</v>
      </c>
      <c r="G2740" t="s">
        <v>205</v>
      </c>
      <c r="H2740">
        <v>1299</v>
      </c>
      <c r="I2740">
        <v>24.68</v>
      </c>
      <c r="J2740">
        <v>4.4400000000000004</v>
      </c>
      <c r="K2740">
        <v>1269.8800000000001</v>
      </c>
      <c r="L2740" s="5">
        <v>46282</v>
      </c>
      <c r="M2740" t="s">
        <v>5944</v>
      </c>
      <c r="N2740" t="s">
        <v>207</v>
      </c>
      <c r="O2740" t="s">
        <v>6064</v>
      </c>
      <c r="P2740" t="s">
        <v>208</v>
      </c>
      <c r="Q2740" t="s">
        <v>209</v>
      </c>
    </row>
    <row r="2741" spans="1:17" x14ac:dyDescent="0.3">
      <c r="A2741" t="s">
        <v>6065</v>
      </c>
      <c r="C2741" t="s">
        <v>6066</v>
      </c>
      <c r="D2741" t="s">
        <v>6066</v>
      </c>
      <c r="E2741" s="5">
        <v>46280</v>
      </c>
      <c r="F2741" t="s">
        <v>204</v>
      </c>
      <c r="G2741" t="s">
        <v>220</v>
      </c>
      <c r="H2741">
        <v>9498</v>
      </c>
      <c r="I2741">
        <v>28.49</v>
      </c>
      <c r="J2741">
        <v>5.13</v>
      </c>
      <c r="K2741">
        <v>9464.3799999999992</v>
      </c>
      <c r="L2741" s="5">
        <v>46282</v>
      </c>
      <c r="M2741" t="s">
        <v>5944</v>
      </c>
      <c r="N2741" t="s">
        <v>207</v>
      </c>
      <c r="O2741" t="s">
        <v>6066</v>
      </c>
      <c r="P2741" t="s">
        <v>208</v>
      </c>
      <c r="Q2741" t="s">
        <v>209</v>
      </c>
    </row>
    <row r="2742" spans="1:17" x14ac:dyDescent="0.3">
      <c r="A2742" t="s">
        <v>6067</v>
      </c>
      <c r="C2742" t="s">
        <v>6068</v>
      </c>
      <c r="D2742" t="s">
        <v>6068</v>
      </c>
      <c r="E2742" s="5">
        <v>46280</v>
      </c>
      <c r="F2742" t="s">
        <v>204</v>
      </c>
      <c r="G2742" t="s">
        <v>213</v>
      </c>
      <c r="H2742">
        <v>4298</v>
      </c>
      <c r="I2742">
        <v>68.77</v>
      </c>
      <c r="J2742">
        <v>12.38</v>
      </c>
      <c r="K2742">
        <v>4216.8500000000004</v>
      </c>
      <c r="L2742" s="5">
        <v>46282</v>
      </c>
      <c r="M2742" t="s">
        <v>5944</v>
      </c>
      <c r="N2742" t="s">
        <v>207</v>
      </c>
      <c r="O2742" t="s">
        <v>6068</v>
      </c>
      <c r="P2742" t="s">
        <v>208</v>
      </c>
      <c r="Q2742" t="s">
        <v>209</v>
      </c>
    </row>
    <row r="2743" spans="1:17" x14ac:dyDescent="0.3">
      <c r="A2743" t="s">
        <v>6069</v>
      </c>
      <c r="C2743" t="s">
        <v>6070</v>
      </c>
      <c r="D2743" t="s">
        <v>6070</v>
      </c>
      <c r="E2743" s="5">
        <v>46280</v>
      </c>
      <c r="F2743" t="s">
        <v>204</v>
      </c>
      <c r="G2743" t="s">
        <v>220</v>
      </c>
      <c r="H2743">
        <v>2499</v>
      </c>
      <c r="I2743">
        <v>7.5</v>
      </c>
      <c r="J2743">
        <v>1.35</v>
      </c>
      <c r="K2743">
        <v>2490.15</v>
      </c>
      <c r="L2743" s="5">
        <v>46282</v>
      </c>
      <c r="M2743" t="s">
        <v>5944</v>
      </c>
      <c r="N2743" t="s">
        <v>207</v>
      </c>
      <c r="O2743" t="s">
        <v>6070</v>
      </c>
      <c r="P2743" t="s">
        <v>208</v>
      </c>
      <c r="Q2743" t="s">
        <v>209</v>
      </c>
    </row>
    <row r="2744" spans="1:17" x14ac:dyDescent="0.3">
      <c r="A2744" t="s">
        <v>6071</v>
      </c>
      <c r="C2744" t="s">
        <v>6072</v>
      </c>
      <c r="D2744" t="s">
        <v>6072</v>
      </c>
      <c r="E2744" s="5">
        <v>46280</v>
      </c>
      <c r="F2744" t="s">
        <v>204</v>
      </c>
      <c r="G2744" t="s">
        <v>255</v>
      </c>
      <c r="H2744">
        <v>6797</v>
      </c>
      <c r="I2744">
        <v>81.56</v>
      </c>
      <c r="J2744">
        <v>14.68</v>
      </c>
      <c r="K2744">
        <v>6700.76</v>
      </c>
      <c r="L2744" s="5">
        <v>46282</v>
      </c>
      <c r="M2744" t="s">
        <v>5944</v>
      </c>
      <c r="N2744" t="s">
        <v>207</v>
      </c>
      <c r="O2744" t="s">
        <v>6072</v>
      </c>
      <c r="P2744" t="s">
        <v>208</v>
      </c>
      <c r="Q2744" t="s">
        <v>209</v>
      </c>
    </row>
    <row r="2745" spans="1:17" x14ac:dyDescent="0.3">
      <c r="A2745" t="s">
        <v>6073</v>
      </c>
      <c r="C2745" t="s">
        <v>6074</v>
      </c>
      <c r="D2745" t="s">
        <v>6074</v>
      </c>
      <c r="E2745" s="5">
        <v>46280</v>
      </c>
      <c r="F2745" t="s">
        <v>204</v>
      </c>
      <c r="G2745" t="s">
        <v>213</v>
      </c>
      <c r="H2745">
        <v>299</v>
      </c>
      <c r="I2745">
        <v>5.38</v>
      </c>
      <c r="J2745">
        <v>0.97</v>
      </c>
      <c r="K2745">
        <v>292.64999999999998</v>
      </c>
      <c r="L2745" s="5">
        <v>46282</v>
      </c>
      <c r="M2745" t="s">
        <v>5944</v>
      </c>
      <c r="N2745" t="s">
        <v>207</v>
      </c>
      <c r="O2745" t="s">
        <v>6074</v>
      </c>
      <c r="P2745" t="s">
        <v>208</v>
      </c>
      <c r="Q2745" t="s">
        <v>209</v>
      </c>
    </row>
    <row r="2746" spans="1:17" x14ac:dyDescent="0.3">
      <c r="A2746" t="s">
        <v>6075</v>
      </c>
      <c r="C2746" t="s">
        <v>6076</v>
      </c>
      <c r="D2746" t="s">
        <v>6077</v>
      </c>
      <c r="E2746" s="5">
        <v>46280</v>
      </c>
      <c r="F2746" t="s">
        <v>204</v>
      </c>
      <c r="G2746" t="s">
        <v>220</v>
      </c>
      <c r="H2746">
        <v>7998</v>
      </c>
      <c r="I2746">
        <v>23.99</v>
      </c>
      <c r="J2746">
        <v>4.32</v>
      </c>
      <c r="K2746">
        <v>7969.69</v>
      </c>
      <c r="L2746" s="5">
        <v>46282</v>
      </c>
      <c r="M2746" t="s">
        <v>5944</v>
      </c>
      <c r="N2746" t="s">
        <v>207</v>
      </c>
      <c r="O2746" t="s">
        <v>6077</v>
      </c>
      <c r="P2746" t="s">
        <v>208</v>
      </c>
      <c r="Q2746" t="s">
        <v>209</v>
      </c>
    </row>
    <row r="2747" spans="1:17" x14ac:dyDescent="0.3">
      <c r="A2747" t="s">
        <v>6078</v>
      </c>
      <c r="C2747" t="s">
        <v>6079</v>
      </c>
      <c r="D2747" t="s">
        <v>6079</v>
      </c>
      <c r="E2747" s="5">
        <v>46280</v>
      </c>
      <c r="F2747" t="s">
        <v>204</v>
      </c>
      <c r="G2747" t="s">
        <v>220</v>
      </c>
      <c r="H2747">
        <v>3598</v>
      </c>
      <c r="I2747">
        <v>10.79</v>
      </c>
      <c r="J2747">
        <v>1.94</v>
      </c>
      <c r="K2747">
        <v>3585.27</v>
      </c>
      <c r="L2747" s="5">
        <v>46282</v>
      </c>
      <c r="M2747" t="s">
        <v>5944</v>
      </c>
      <c r="N2747" t="s">
        <v>207</v>
      </c>
      <c r="O2747" t="s">
        <v>6079</v>
      </c>
      <c r="P2747" t="s">
        <v>208</v>
      </c>
      <c r="Q2747" t="s">
        <v>209</v>
      </c>
    </row>
    <row r="2748" spans="1:17" x14ac:dyDescent="0.3">
      <c r="A2748" t="s">
        <v>6080</v>
      </c>
      <c r="C2748" t="s">
        <v>6081</v>
      </c>
      <c r="D2748" t="s">
        <v>6081</v>
      </c>
      <c r="E2748" s="5">
        <v>46280</v>
      </c>
      <c r="F2748" t="s">
        <v>204</v>
      </c>
      <c r="G2748" t="s">
        <v>220</v>
      </c>
      <c r="H2748">
        <v>3499</v>
      </c>
      <c r="I2748">
        <v>10.5</v>
      </c>
      <c r="J2748">
        <v>1.89</v>
      </c>
      <c r="K2748">
        <v>3486.61</v>
      </c>
      <c r="L2748" s="5">
        <v>46282</v>
      </c>
      <c r="M2748" t="s">
        <v>5944</v>
      </c>
      <c r="N2748" t="s">
        <v>207</v>
      </c>
      <c r="O2748" t="s">
        <v>6081</v>
      </c>
      <c r="P2748" t="s">
        <v>208</v>
      </c>
      <c r="Q2748" t="s">
        <v>209</v>
      </c>
    </row>
    <row r="2749" spans="1:17" x14ac:dyDescent="0.3">
      <c r="A2749" t="s">
        <v>6082</v>
      </c>
      <c r="C2749" t="s">
        <v>6083</v>
      </c>
      <c r="D2749" t="s">
        <v>6083</v>
      </c>
      <c r="E2749" s="5">
        <v>46280</v>
      </c>
      <c r="F2749" t="s">
        <v>204</v>
      </c>
      <c r="G2749" t="s">
        <v>220</v>
      </c>
      <c r="H2749">
        <v>7097</v>
      </c>
      <c r="I2749">
        <v>21.29</v>
      </c>
      <c r="J2749">
        <v>3.83</v>
      </c>
      <c r="K2749">
        <v>7071.88</v>
      </c>
      <c r="L2749" s="5">
        <v>46282</v>
      </c>
      <c r="M2749" t="s">
        <v>5944</v>
      </c>
      <c r="N2749" t="s">
        <v>207</v>
      </c>
      <c r="O2749" t="s">
        <v>6083</v>
      </c>
      <c r="P2749" t="s">
        <v>208</v>
      </c>
      <c r="Q2749" t="s">
        <v>209</v>
      </c>
    </row>
    <row r="2750" spans="1:17" x14ac:dyDescent="0.3">
      <c r="A2750" t="s">
        <v>6084</v>
      </c>
      <c r="C2750" t="s">
        <v>6085</v>
      </c>
      <c r="D2750" t="s">
        <v>6085</v>
      </c>
      <c r="E2750" s="5">
        <v>46280</v>
      </c>
      <c r="F2750" t="s">
        <v>204</v>
      </c>
      <c r="G2750" t="s">
        <v>205</v>
      </c>
      <c r="H2750">
        <v>8597</v>
      </c>
      <c r="I2750">
        <v>146.15</v>
      </c>
      <c r="J2750">
        <v>26.31</v>
      </c>
      <c r="K2750">
        <v>8424.5400000000009</v>
      </c>
      <c r="L2750" s="5">
        <v>46282</v>
      </c>
      <c r="M2750" t="s">
        <v>5944</v>
      </c>
      <c r="N2750" t="s">
        <v>207</v>
      </c>
      <c r="O2750" t="s">
        <v>6085</v>
      </c>
      <c r="P2750" t="s">
        <v>208</v>
      </c>
      <c r="Q2750" t="s">
        <v>209</v>
      </c>
    </row>
    <row r="2751" spans="1:17" x14ac:dyDescent="0.3">
      <c r="A2751" t="s">
        <v>6086</v>
      </c>
      <c r="C2751" t="s">
        <v>6087</v>
      </c>
      <c r="D2751" t="s">
        <v>6087</v>
      </c>
      <c r="E2751" s="5">
        <v>46280</v>
      </c>
      <c r="F2751" t="s">
        <v>204</v>
      </c>
      <c r="G2751" t="s">
        <v>213</v>
      </c>
      <c r="H2751">
        <v>599</v>
      </c>
      <c r="I2751">
        <v>10.78</v>
      </c>
      <c r="J2751">
        <v>1.94</v>
      </c>
      <c r="K2751">
        <v>586.28</v>
      </c>
      <c r="L2751" s="5">
        <v>46282</v>
      </c>
      <c r="M2751" t="s">
        <v>5944</v>
      </c>
      <c r="N2751" t="s">
        <v>207</v>
      </c>
      <c r="O2751" t="s">
        <v>6087</v>
      </c>
      <c r="P2751" t="s">
        <v>208</v>
      </c>
      <c r="Q2751" t="s">
        <v>209</v>
      </c>
    </row>
    <row r="2752" spans="1:17" x14ac:dyDescent="0.3">
      <c r="A2752" t="s">
        <v>6088</v>
      </c>
      <c r="C2752" t="s">
        <v>6089</v>
      </c>
      <c r="D2752" t="s">
        <v>6089</v>
      </c>
      <c r="E2752" s="5">
        <v>46280</v>
      </c>
      <c r="F2752" t="s">
        <v>204</v>
      </c>
      <c r="G2752" t="s">
        <v>213</v>
      </c>
      <c r="H2752">
        <v>7999</v>
      </c>
      <c r="I2752">
        <v>127.98</v>
      </c>
      <c r="J2752">
        <v>23.04</v>
      </c>
      <c r="K2752">
        <v>7847.98</v>
      </c>
      <c r="L2752" s="5">
        <v>46282</v>
      </c>
      <c r="M2752" t="s">
        <v>5944</v>
      </c>
      <c r="N2752" t="s">
        <v>207</v>
      </c>
      <c r="O2752" t="s">
        <v>6089</v>
      </c>
      <c r="P2752" t="s">
        <v>208</v>
      </c>
      <c r="Q2752" t="s">
        <v>209</v>
      </c>
    </row>
    <row r="2753" spans="1:17" x14ac:dyDescent="0.3">
      <c r="A2753" t="s">
        <v>6090</v>
      </c>
      <c r="C2753" t="s">
        <v>6091</v>
      </c>
      <c r="D2753" t="s">
        <v>6091</v>
      </c>
      <c r="E2753" s="5">
        <v>46280</v>
      </c>
      <c r="F2753" t="s">
        <v>204</v>
      </c>
      <c r="G2753" t="s">
        <v>220</v>
      </c>
      <c r="H2753">
        <v>1499</v>
      </c>
      <c r="I2753">
        <v>0</v>
      </c>
      <c r="J2753">
        <v>0</v>
      </c>
      <c r="K2753">
        <v>1499</v>
      </c>
      <c r="L2753" s="5">
        <v>46282</v>
      </c>
      <c r="M2753" t="s">
        <v>5944</v>
      </c>
      <c r="N2753" t="s">
        <v>207</v>
      </c>
      <c r="O2753" t="s">
        <v>6091</v>
      </c>
      <c r="P2753" t="s">
        <v>208</v>
      </c>
      <c r="Q2753" t="s">
        <v>209</v>
      </c>
    </row>
    <row r="2754" spans="1:17" x14ac:dyDescent="0.3">
      <c r="A2754" t="s">
        <v>6092</v>
      </c>
      <c r="C2754" t="s">
        <v>6093</v>
      </c>
      <c r="D2754" t="s">
        <v>6093</v>
      </c>
      <c r="E2754" s="5">
        <v>46280</v>
      </c>
      <c r="F2754" t="s">
        <v>204</v>
      </c>
      <c r="G2754" t="s">
        <v>220</v>
      </c>
      <c r="H2754">
        <v>2999</v>
      </c>
      <c r="I2754">
        <v>9</v>
      </c>
      <c r="J2754">
        <v>1.62</v>
      </c>
      <c r="K2754">
        <v>2988.38</v>
      </c>
      <c r="L2754" s="5">
        <v>46282</v>
      </c>
      <c r="M2754" t="s">
        <v>5944</v>
      </c>
      <c r="N2754" t="s">
        <v>207</v>
      </c>
      <c r="O2754" t="s">
        <v>6093</v>
      </c>
      <c r="P2754" t="s">
        <v>208</v>
      </c>
      <c r="Q2754" t="s">
        <v>209</v>
      </c>
    </row>
    <row r="2755" spans="1:17" x14ac:dyDescent="0.3">
      <c r="A2755" t="s">
        <v>6094</v>
      </c>
      <c r="C2755" t="s">
        <v>6095</v>
      </c>
      <c r="D2755" t="s">
        <v>6095</v>
      </c>
      <c r="E2755" s="5">
        <v>46280</v>
      </c>
      <c r="F2755" t="s">
        <v>204</v>
      </c>
      <c r="G2755" t="s">
        <v>205</v>
      </c>
      <c r="H2755">
        <v>3798</v>
      </c>
      <c r="I2755">
        <v>64.569999999999993</v>
      </c>
      <c r="J2755">
        <v>11.62</v>
      </c>
      <c r="K2755">
        <v>3721.81</v>
      </c>
      <c r="L2755" s="5">
        <v>46282</v>
      </c>
      <c r="M2755" t="s">
        <v>5944</v>
      </c>
      <c r="N2755" t="s">
        <v>207</v>
      </c>
      <c r="O2755" t="s">
        <v>6095</v>
      </c>
      <c r="P2755" t="s">
        <v>208</v>
      </c>
      <c r="Q2755" t="s">
        <v>209</v>
      </c>
    </row>
    <row r="2756" spans="1:17" x14ac:dyDescent="0.3">
      <c r="A2756" t="s">
        <v>6096</v>
      </c>
      <c r="C2756" t="s">
        <v>6097</v>
      </c>
      <c r="D2756" t="s">
        <v>6097</v>
      </c>
      <c r="E2756" s="5">
        <v>46280</v>
      </c>
      <c r="F2756" t="s">
        <v>204</v>
      </c>
      <c r="G2756" t="s">
        <v>205</v>
      </c>
      <c r="H2756">
        <v>11097</v>
      </c>
      <c r="I2756">
        <v>188.65</v>
      </c>
      <c r="J2756">
        <v>33.96</v>
      </c>
      <c r="K2756">
        <v>10874.39</v>
      </c>
      <c r="L2756" s="5">
        <v>46282</v>
      </c>
      <c r="M2756" t="s">
        <v>5944</v>
      </c>
      <c r="N2756" t="s">
        <v>207</v>
      </c>
      <c r="O2756" t="s">
        <v>6097</v>
      </c>
      <c r="P2756" t="s">
        <v>208</v>
      </c>
      <c r="Q2756" t="s">
        <v>209</v>
      </c>
    </row>
    <row r="2757" spans="1:17" x14ac:dyDescent="0.3">
      <c r="A2757" t="s">
        <v>6098</v>
      </c>
      <c r="C2757" t="s">
        <v>6099</v>
      </c>
      <c r="D2757" t="s">
        <v>6099</v>
      </c>
      <c r="E2757" s="5">
        <v>46280</v>
      </c>
      <c r="F2757" t="s">
        <v>204</v>
      </c>
      <c r="G2757" t="s">
        <v>220</v>
      </c>
      <c r="H2757">
        <v>5598</v>
      </c>
      <c r="I2757">
        <v>16.79</v>
      </c>
      <c r="J2757">
        <v>3.02</v>
      </c>
      <c r="K2757">
        <v>5578.19</v>
      </c>
      <c r="L2757" s="5">
        <v>46282</v>
      </c>
      <c r="M2757" t="s">
        <v>5944</v>
      </c>
      <c r="N2757" t="s">
        <v>207</v>
      </c>
      <c r="O2757" t="s">
        <v>6099</v>
      </c>
      <c r="P2757" t="s">
        <v>208</v>
      </c>
      <c r="Q2757" t="s">
        <v>209</v>
      </c>
    </row>
    <row r="2758" spans="1:17" x14ac:dyDescent="0.3">
      <c r="A2758" t="s">
        <v>6100</v>
      </c>
      <c r="C2758" t="s">
        <v>6101</v>
      </c>
      <c r="D2758" t="s">
        <v>6101</v>
      </c>
      <c r="E2758" s="5">
        <v>46280</v>
      </c>
      <c r="F2758" t="s">
        <v>204</v>
      </c>
      <c r="G2758" t="s">
        <v>213</v>
      </c>
      <c r="H2758">
        <v>10498</v>
      </c>
      <c r="I2758">
        <v>167.97</v>
      </c>
      <c r="J2758">
        <v>30.23</v>
      </c>
      <c r="K2758">
        <v>10299.799999999999</v>
      </c>
      <c r="L2758" s="5">
        <v>46282</v>
      </c>
      <c r="M2758" t="s">
        <v>5944</v>
      </c>
      <c r="N2758" t="s">
        <v>207</v>
      </c>
      <c r="O2758" t="s">
        <v>6101</v>
      </c>
      <c r="P2758" t="s">
        <v>208</v>
      </c>
      <c r="Q2758" t="s">
        <v>209</v>
      </c>
    </row>
    <row r="2759" spans="1:17" x14ac:dyDescent="0.3">
      <c r="A2759" t="s">
        <v>6102</v>
      </c>
      <c r="C2759" t="s">
        <v>6103</v>
      </c>
      <c r="D2759" t="s">
        <v>6103</v>
      </c>
      <c r="E2759" s="5">
        <v>46280</v>
      </c>
      <c r="F2759" t="s">
        <v>204</v>
      </c>
      <c r="G2759" t="s">
        <v>220</v>
      </c>
      <c r="H2759">
        <v>349</v>
      </c>
      <c r="I2759">
        <v>0</v>
      </c>
      <c r="J2759">
        <v>0</v>
      </c>
      <c r="K2759">
        <v>349</v>
      </c>
      <c r="L2759" s="5">
        <v>46282</v>
      </c>
      <c r="M2759" t="s">
        <v>5944</v>
      </c>
      <c r="N2759" t="s">
        <v>207</v>
      </c>
      <c r="O2759" t="s">
        <v>6103</v>
      </c>
      <c r="P2759" t="s">
        <v>208</v>
      </c>
      <c r="Q2759" t="s">
        <v>209</v>
      </c>
    </row>
    <row r="2760" spans="1:17" x14ac:dyDescent="0.3">
      <c r="A2760" t="s">
        <v>6104</v>
      </c>
      <c r="C2760" t="s">
        <v>6105</v>
      </c>
      <c r="D2760" t="s">
        <v>6106</v>
      </c>
      <c r="E2760" s="5">
        <v>46280</v>
      </c>
      <c r="F2760" t="s">
        <v>204</v>
      </c>
      <c r="G2760" t="s">
        <v>213</v>
      </c>
      <c r="H2760">
        <v>5097</v>
      </c>
      <c r="I2760">
        <v>81.55</v>
      </c>
      <c r="J2760">
        <v>14.68</v>
      </c>
      <c r="K2760">
        <v>5000.7700000000004</v>
      </c>
      <c r="L2760" s="5">
        <v>46282</v>
      </c>
      <c r="M2760" t="s">
        <v>5944</v>
      </c>
      <c r="N2760" t="s">
        <v>207</v>
      </c>
      <c r="O2760" t="s">
        <v>6106</v>
      </c>
      <c r="P2760" t="s">
        <v>208</v>
      </c>
      <c r="Q2760" t="s">
        <v>209</v>
      </c>
    </row>
    <row r="2761" spans="1:17" x14ac:dyDescent="0.3">
      <c r="A2761" t="s">
        <v>6107</v>
      </c>
      <c r="C2761" t="s">
        <v>6108</v>
      </c>
      <c r="D2761" t="s">
        <v>6108</v>
      </c>
      <c r="E2761" s="5">
        <v>46280</v>
      </c>
      <c r="F2761" t="s">
        <v>204</v>
      </c>
      <c r="G2761" t="s">
        <v>220</v>
      </c>
      <c r="H2761">
        <v>299</v>
      </c>
      <c r="I2761">
        <v>0</v>
      </c>
      <c r="J2761">
        <v>0</v>
      </c>
      <c r="K2761">
        <v>299</v>
      </c>
      <c r="L2761" s="5">
        <v>46282</v>
      </c>
      <c r="M2761" t="s">
        <v>5944</v>
      </c>
      <c r="N2761" t="s">
        <v>207</v>
      </c>
      <c r="O2761" t="s">
        <v>6108</v>
      </c>
      <c r="P2761" t="s">
        <v>208</v>
      </c>
      <c r="Q2761" t="s">
        <v>209</v>
      </c>
    </row>
    <row r="2762" spans="1:17" x14ac:dyDescent="0.3">
      <c r="A2762" t="s">
        <v>6109</v>
      </c>
      <c r="C2762" t="s">
        <v>6110</v>
      </c>
      <c r="D2762" t="s">
        <v>6110</v>
      </c>
      <c r="E2762" s="5">
        <v>46280</v>
      </c>
      <c r="F2762" t="s">
        <v>204</v>
      </c>
      <c r="G2762" t="s">
        <v>213</v>
      </c>
      <c r="H2762">
        <v>499</v>
      </c>
      <c r="I2762">
        <v>8.98</v>
      </c>
      <c r="J2762">
        <v>1.62</v>
      </c>
      <c r="K2762">
        <v>488.4</v>
      </c>
      <c r="L2762" s="5">
        <v>46282</v>
      </c>
      <c r="M2762" t="s">
        <v>5944</v>
      </c>
      <c r="N2762" t="s">
        <v>207</v>
      </c>
      <c r="O2762" t="s">
        <v>6110</v>
      </c>
      <c r="P2762" t="s">
        <v>208</v>
      </c>
      <c r="Q2762" t="s">
        <v>209</v>
      </c>
    </row>
    <row r="2763" spans="1:17" x14ac:dyDescent="0.3">
      <c r="A2763" t="s">
        <v>6111</v>
      </c>
      <c r="C2763" t="s">
        <v>6112</v>
      </c>
      <c r="D2763" t="s">
        <v>6112</v>
      </c>
      <c r="E2763" s="5">
        <v>46280</v>
      </c>
      <c r="F2763" t="s">
        <v>204</v>
      </c>
      <c r="G2763" t="s">
        <v>220</v>
      </c>
      <c r="H2763">
        <v>4597</v>
      </c>
      <c r="I2763">
        <v>13.79</v>
      </c>
      <c r="J2763">
        <v>2.48</v>
      </c>
      <c r="K2763">
        <v>4580.7299999999996</v>
      </c>
      <c r="L2763" s="5">
        <v>46282</v>
      </c>
      <c r="M2763" t="s">
        <v>5944</v>
      </c>
      <c r="N2763" t="s">
        <v>207</v>
      </c>
      <c r="O2763" t="s">
        <v>6112</v>
      </c>
      <c r="P2763" t="s">
        <v>208</v>
      </c>
      <c r="Q2763" t="s">
        <v>209</v>
      </c>
    </row>
    <row r="2764" spans="1:17" x14ac:dyDescent="0.3">
      <c r="A2764" t="s">
        <v>6113</v>
      </c>
      <c r="C2764" t="s">
        <v>6114</v>
      </c>
      <c r="D2764" t="s">
        <v>6115</v>
      </c>
      <c r="E2764" s="5">
        <v>46280</v>
      </c>
      <c r="F2764" t="s">
        <v>204</v>
      </c>
      <c r="G2764" t="s">
        <v>205</v>
      </c>
      <c r="H2764">
        <v>7999</v>
      </c>
      <c r="I2764">
        <v>135.97999999999999</v>
      </c>
      <c r="J2764">
        <v>24.48</v>
      </c>
      <c r="K2764">
        <v>7838.54</v>
      </c>
      <c r="L2764" s="5">
        <v>46282</v>
      </c>
      <c r="M2764" t="s">
        <v>5944</v>
      </c>
      <c r="N2764" t="s">
        <v>207</v>
      </c>
      <c r="O2764" t="s">
        <v>6115</v>
      </c>
      <c r="P2764" t="s">
        <v>208</v>
      </c>
      <c r="Q2764" t="s">
        <v>209</v>
      </c>
    </row>
    <row r="2765" spans="1:17" x14ac:dyDescent="0.3">
      <c r="A2765" t="s">
        <v>6116</v>
      </c>
      <c r="C2765" t="s">
        <v>6117</v>
      </c>
      <c r="D2765" t="s">
        <v>6117</v>
      </c>
      <c r="E2765" s="5">
        <v>46280</v>
      </c>
      <c r="F2765" t="s">
        <v>204</v>
      </c>
      <c r="G2765" t="s">
        <v>213</v>
      </c>
      <c r="H2765">
        <v>9298</v>
      </c>
      <c r="I2765">
        <v>148.77000000000001</v>
      </c>
      <c r="J2765">
        <v>26.78</v>
      </c>
      <c r="K2765">
        <v>9122.4500000000007</v>
      </c>
      <c r="L2765" s="5">
        <v>46282</v>
      </c>
      <c r="M2765" t="s">
        <v>5944</v>
      </c>
      <c r="N2765" t="s">
        <v>207</v>
      </c>
      <c r="O2765" t="s">
        <v>6117</v>
      </c>
      <c r="P2765" t="s">
        <v>208</v>
      </c>
      <c r="Q2765" t="s">
        <v>209</v>
      </c>
    </row>
    <row r="2766" spans="1:17" x14ac:dyDescent="0.3">
      <c r="A2766" t="s">
        <v>6118</v>
      </c>
      <c r="C2766" t="s">
        <v>6119</v>
      </c>
      <c r="D2766" t="s">
        <v>6119</v>
      </c>
      <c r="E2766" s="5">
        <v>46280</v>
      </c>
      <c r="F2766" t="s">
        <v>204</v>
      </c>
      <c r="G2766" t="s">
        <v>205</v>
      </c>
      <c r="H2766">
        <v>3498</v>
      </c>
      <c r="I2766">
        <v>59.47</v>
      </c>
      <c r="J2766">
        <v>10.7</v>
      </c>
      <c r="K2766">
        <v>3427.83</v>
      </c>
      <c r="L2766" s="5">
        <v>46282</v>
      </c>
      <c r="M2766" t="s">
        <v>5944</v>
      </c>
      <c r="N2766" t="s">
        <v>207</v>
      </c>
      <c r="O2766" t="s">
        <v>6119</v>
      </c>
      <c r="P2766" t="s">
        <v>208</v>
      </c>
      <c r="Q2766" t="s">
        <v>209</v>
      </c>
    </row>
    <row r="2767" spans="1:17" x14ac:dyDescent="0.3">
      <c r="A2767" t="s">
        <v>6120</v>
      </c>
      <c r="C2767" t="s">
        <v>6121</v>
      </c>
      <c r="D2767" t="s">
        <v>6122</v>
      </c>
      <c r="E2767" s="5">
        <v>46280</v>
      </c>
      <c r="F2767" t="s">
        <v>204</v>
      </c>
      <c r="G2767" t="s">
        <v>220</v>
      </c>
      <c r="H2767">
        <v>999</v>
      </c>
      <c r="I2767">
        <v>0</v>
      </c>
      <c r="J2767">
        <v>0</v>
      </c>
      <c r="K2767">
        <v>999</v>
      </c>
      <c r="L2767" s="5">
        <v>46282</v>
      </c>
      <c r="M2767" t="s">
        <v>5944</v>
      </c>
      <c r="N2767" t="s">
        <v>207</v>
      </c>
      <c r="O2767" t="s">
        <v>6122</v>
      </c>
      <c r="P2767" t="s">
        <v>208</v>
      </c>
      <c r="Q2767" t="s">
        <v>209</v>
      </c>
    </row>
    <row r="2768" spans="1:17" x14ac:dyDescent="0.3">
      <c r="A2768" t="s">
        <v>6123</v>
      </c>
      <c r="C2768" t="s">
        <v>6124</v>
      </c>
      <c r="D2768" t="s">
        <v>6124</v>
      </c>
      <c r="E2768" s="5">
        <v>46280</v>
      </c>
      <c r="F2768" t="s">
        <v>204</v>
      </c>
      <c r="G2768" t="s">
        <v>213</v>
      </c>
      <c r="H2768">
        <v>2098</v>
      </c>
      <c r="I2768">
        <v>33.57</v>
      </c>
      <c r="J2768">
        <v>6.04</v>
      </c>
      <c r="K2768">
        <v>2058.39</v>
      </c>
      <c r="L2768" s="5">
        <v>46282</v>
      </c>
      <c r="M2768" t="s">
        <v>5944</v>
      </c>
      <c r="N2768" t="s">
        <v>207</v>
      </c>
      <c r="O2768" t="s">
        <v>6124</v>
      </c>
      <c r="P2768" t="s">
        <v>208</v>
      </c>
      <c r="Q2768" t="s">
        <v>209</v>
      </c>
    </row>
    <row r="2769" spans="1:17" x14ac:dyDescent="0.3">
      <c r="A2769" t="s">
        <v>6125</v>
      </c>
      <c r="C2769" t="s">
        <v>6126</v>
      </c>
      <c r="D2769" t="s">
        <v>6126</v>
      </c>
      <c r="E2769" s="5">
        <v>46280</v>
      </c>
      <c r="F2769" t="s">
        <v>204</v>
      </c>
      <c r="G2769" t="s">
        <v>220</v>
      </c>
      <c r="H2769">
        <v>799</v>
      </c>
      <c r="I2769">
        <v>0</v>
      </c>
      <c r="J2769">
        <v>0</v>
      </c>
      <c r="K2769">
        <v>799</v>
      </c>
      <c r="L2769" s="5">
        <v>46282</v>
      </c>
      <c r="M2769" t="s">
        <v>5944</v>
      </c>
      <c r="N2769" t="s">
        <v>207</v>
      </c>
      <c r="O2769" t="s">
        <v>6126</v>
      </c>
      <c r="P2769" t="s">
        <v>208</v>
      </c>
      <c r="Q2769" t="s">
        <v>209</v>
      </c>
    </row>
    <row r="2770" spans="1:17" x14ac:dyDescent="0.3">
      <c r="A2770" t="s">
        <v>6127</v>
      </c>
      <c r="C2770" t="s">
        <v>6128</v>
      </c>
      <c r="D2770" t="s">
        <v>6128</v>
      </c>
      <c r="E2770" s="5">
        <v>46280</v>
      </c>
      <c r="F2770" t="s">
        <v>204</v>
      </c>
      <c r="G2770" t="s">
        <v>220</v>
      </c>
      <c r="H2770">
        <v>3499</v>
      </c>
      <c r="I2770">
        <v>10.5</v>
      </c>
      <c r="J2770">
        <v>1.89</v>
      </c>
      <c r="K2770">
        <v>3486.61</v>
      </c>
      <c r="L2770" s="5">
        <v>46282</v>
      </c>
      <c r="M2770" t="s">
        <v>5944</v>
      </c>
      <c r="N2770" t="s">
        <v>207</v>
      </c>
      <c r="O2770" t="s">
        <v>6128</v>
      </c>
      <c r="P2770" t="s">
        <v>208</v>
      </c>
      <c r="Q2770" t="s">
        <v>209</v>
      </c>
    </row>
    <row r="2771" spans="1:17" x14ac:dyDescent="0.3">
      <c r="A2771" t="s">
        <v>6129</v>
      </c>
      <c r="C2771" t="s">
        <v>6130</v>
      </c>
      <c r="D2771" t="s">
        <v>6130</v>
      </c>
      <c r="E2771" s="5">
        <v>46280</v>
      </c>
      <c r="F2771" t="s">
        <v>204</v>
      </c>
      <c r="G2771" t="s">
        <v>220</v>
      </c>
      <c r="H2771">
        <v>799</v>
      </c>
      <c r="I2771">
        <v>0</v>
      </c>
      <c r="J2771">
        <v>0</v>
      </c>
      <c r="K2771">
        <v>799</v>
      </c>
      <c r="L2771" s="5">
        <v>46282</v>
      </c>
      <c r="M2771" t="s">
        <v>5944</v>
      </c>
      <c r="N2771" t="s">
        <v>207</v>
      </c>
      <c r="O2771" t="s">
        <v>6130</v>
      </c>
      <c r="P2771" t="s">
        <v>208</v>
      </c>
      <c r="Q2771" t="s">
        <v>209</v>
      </c>
    </row>
    <row r="2772" spans="1:17" x14ac:dyDescent="0.3">
      <c r="A2772" t="s">
        <v>6131</v>
      </c>
      <c r="C2772" t="s">
        <v>6132</v>
      </c>
      <c r="D2772" t="s">
        <v>6132</v>
      </c>
      <c r="E2772" s="5">
        <v>46280</v>
      </c>
      <c r="F2772" t="s">
        <v>204</v>
      </c>
      <c r="G2772" t="s">
        <v>213</v>
      </c>
      <c r="H2772">
        <v>1147</v>
      </c>
      <c r="I2772">
        <v>20.65</v>
      </c>
      <c r="J2772">
        <v>3.72</v>
      </c>
      <c r="K2772">
        <v>1122.6300000000001</v>
      </c>
      <c r="L2772" s="5">
        <v>46282</v>
      </c>
      <c r="M2772" t="s">
        <v>5944</v>
      </c>
      <c r="N2772" t="s">
        <v>207</v>
      </c>
      <c r="O2772" t="s">
        <v>6132</v>
      </c>
      <c r="P2772" t="s">
        <v>208</v>
      </c>
      <c r="Q2772" t="s">
        <v>209</v>
      </c>
    </row>
    <row r="2773" spans="1:17" x14ac:dyDescent="0.3">
      <c r="A2773" t="s">
        <v>6133</v>
      </c>
      <c r="C2773" t="s">
        <v>6134</v>
      </c>
      <c r="D2773" t="s">
        <v>6134</v>
      </c>
      <c r="E2773" s="5">
        <v>46280</v>
      </c>
      <c r="F2773" t="s">
        <v>204</v>
      </c>
      <c r="G2773" t="s">
        <v>220</v>
      </c>
      <c r="H2773">
        <v>8797</v>
      </c>
      <c r="I2773">
        <v>26.39</v>
      </c>
      <c r="J2773">
        <v>4.75</v>
      </c>
      <c r="K2773">
        <v>8765.86</v>
      </c>
      <c r="L2773" s="5">
        <v>46282</v>
      </c>
      <c r="M2773" t="s">
        <v>5944</v>
      </c>
      <c r="N2773" t="s">
        <v>207</v>
      </c>
      <c r="O2773" t="s">
        <v>6134</v>
      </c>
      <c r="P2773" t="s">
        <v>208</v>
      </c>
      <c r="Q2773" t="s">
        <v>209</v>
      </c>
    </row>
    <row r="2774" spans="1:17" x14ac:dyDescent="0.3">
      <c r="A2774" t="s">
        <v>6135</v>
      </c>
      <c r="C2774" t="s">
        <v>6136</v>
      </c>
      <c r="D2774" t="s">
        <v>6136</v>
      </c>
      <c r="E2774" s="5">
        <v>46280</v>
      </c>
      <c r="F2774" t="s">
        <v>204</v>
      </c>
      <c r="G2774" t="s">
        <v>220</v>
      </c>
      <c r="H2774">
        <v>1598</v>
      </c>
      <c r="I2774">
        <v>0</v>
      </c>
      <c r="J2774">
        <v>0</v>
      </c>
      <c r="K2774">
        <v>1598</v>
      </c>
      <c r="L2774" s="5">
        <v>46282</v>
      </c>
      <c r="M2774" t="s">
        <v>5944</v>
      </c>
      <c r="N2774" t="s">
        <v>207</v>
      </c>
      <c r="O2774" t="s">
        <v>6136</v>
      </c>
      <c r="P2774" t="s">
        <v>208</v>
      </c>
      <c r="Q2774" t="s">
        <v>209</v>
      </c>
    </row>
    <row r="2775" spans="1:17" x14ac:dyDescent="0.3">
      <c r="A2775" t="s">
        <v>6137</v>
      </c>
      <c r="C2775" t="s">
        <v>6138</v>
      </c>
      <c r="D2775" t="s">
        <v>6138</v>
      </c>
      <c r="E2775" s="5">
        <v>46280</v>
      </c>
      <c r="F2775" t="s">
        <v>204</v>
      </c>
      <c r="G2775" t="s">
        <v>220</v>
      </c>
      <c r="H2775">
        <v>1499</v>
      </c>
      <c r="I2775">
        <v>0</v>
      </c>
      <c r="J2775">
        <v>0</v>
      </c>
      <c r="K2775">
        <v>1499</v>
      </c>
      <c r="L2775" s="5">
        <v>46282</v>
      </c>
      <c r="M2775" t="s">
        <v>5944</v>
      </c>
      <c r="N2775" t="s">
        <v>207</v>
      </c>
      <c r="O2775" t="s">
        <v>6138</v>
      </c>
      <c r="P2775" t="s">
        <v>208</v>
      </c>
      <c r="Q2775" t="s">
        <v>209</v>
      </c>
    </row>
    <row r="2776" spans="1:17" x14ac:dyDescent="0.3">
      <c r="A2776" t="s">
        <v>6139</v>
      </c>
      <c r="C2776" t="s">
        <v>6140</v>
      </c>
      <c r="D2776" t="s">
        <v>6140</v>
      </c>
      <c r="E2776" s="5">
        <v>46280</v>
      </c>
      <c r="F2776" t="s">
        <v>204</v>
      </c>
      <c r="G2776" t="s">
        <v>220</v>
      </c>
      <c r="H2776">
        <v>4999</v>
      </c>
      <c r="I2776">
        <v>15</v>
      </c>
      <c r="J2776">
        <v>2.7</v>
      </c>
      <c r="K2776">
        <v>4981.3</v>
      </c>
      <c r="L2776" s="5">
        <v>46282</v>
      </c>
      <c r="M2776" t="s">
        <v>5944</v>
      </c>
      <c r="N2776" t="s">
        <v>207</v>
      </c>
      <c r="O2776" t="s">
        <v>6140</v>
      </c>
      <c r="P2776" t="s">
        <v>208</v>
      </c>
      <c r="Q2776" t="s">
        <v>209</v>
      </c>
    </row>
    <row r="2777" spans="1:17" x14ac:dyDescent="0.3">
      <c r="A2777" t="s">
        <v>6141</v>
      </c>
      <c r="C2777" t="s">
        <v>6142</v>
      </c>
      <c r="D2777" t="s">
        <v>6142</v>
      </c>
      <c r="E2777" s="5">
        <v>46280</v>
      </c>
      <c r="F2777" t="s">
        <v>204</v>
      </c>
      <c r="G2777" t="s">
        <v>220</v>
      </c>
      <c r="H2777">
        <v>2398</v>
      </c>
      <c r="I2777">
        <v>7.19</v>
      </c>
      <c r="J2777">
        <v>1.29</v>
      </c>
      <c r="K2777">
        <v>2389.52</v>
      </c>
      <c r="L2777" s="5">
        <v>46282</v>
      </c>
      <c r="M2777" t="s">
        <v>5944</v>
      </c>
      <c r="N2777" t="s">
        <v>207</v>
      </c>
      <c r="O2777" t="s">
        <v>6142</v>
      </c>
      <c r="P2777" t="s">
        <v>208</v>
      </c>
      <c r="Q2777" t="s">
        <v>209</v>
      </c>
    </row>
    <row r="2778" spans="1:17" x14ac:dyDescent="0.3">
      <c r="A2778" t="s">
        <v>6143</v>
      </c>
      <c r="C2778" t="s">
        <v>6144</v>
      </c>
      <c r="D2778" t="s">
        <v>6144</v>
      </c>
      <c r="E2778" s="5">
        <v>46280</v>
      </c>
      <c r="F2778" t="s">
        <v>204</v>
      </c>
      <c r="G2778" t="s">
        <v>220</v>
      </c>
      <c r="H2778">
        <v>3499</v>
      </c>
      <c r="I2778">
        <v>10.5</v>
      </c>
      <c r="J2778">
        <v>1.89</v>
      </c>
      <c r="K2778">
        <v>3486.61</v>
      </c>
      <c r="L2778" s="5">
        <v>46282</v>
      </c>
      <c r="M2778" t="s">
        <v>5944</v>
      </c>
      <c r="N2778" t="s">
        <v>207</v>
      </c>
      <c r="O2778" t="s">
        <v>6144</v>
      </c>
      <c r="P2778" t="s">
        <v>208</v>
      </c>
      <c r="Q2778" t="s">
        <v>209</v>
      </c>
    </row>
    <row r="2779" spans="1:17" x14ac:dyDescent="0.3">
      <c r="A2779" t="s">
        <v>6145</v>
      </c>
      <c r="C2779" t="s">
        <v>6146</v>
      </c>
      <c r="D2779" t="s">
        <v>6146</v>
      </c>
      <c r="E2779" s="5">
        <v>46280</v>
      </c>
      <c r="F2779" t="s">
        <v>204</v>
      </c>
      <c r="G2779" t="s">
        <v>213</v>
      </c>
      <c r="H2779">
        <v>10497</v>
      </c>
      <c r="I2779">
        <v>167.95</v>
      </c>
      <c r="J2779">
        <v>30.23</v>
      </c>
      <c r="K2779">
        <v>10298.82</v>
      </c>
      <c r="L2779" s="5">
        <v>46282</v>
      </c>
      <c r="M2779" t="s">
        <v>5944</v>
      </c>
      <c r="N2779" t="s">
        <v>207</v>
      </c>
      <c r="O2779" t="s">
        <v>6146</v>
      </c>
      <c r="P2779" t="s">
        <v>208</v>
      </c>
      <c r="Q2779" t="s">
        <v>209</v>
      </c>
    </row>
    <row r="2780" spans="1:17" x14ac:dyDescent="0.3">
      <c r="A2780" t="s">
        <v>6147</v>
      </c>
      <c r="C2780" t="s">
        <v>6148</v>
      </c>
      <c r="D2780" t="s">
        <v>6148</v>
      </c>
      <c r="E2780" s="5">
        <v>46280</v>
      </c>
      <c r="F2780" t="s">
        <v>204</v>
      </c>
      <c r="G2780" t="s">
        <v>220</v>
      </c>
      <c r="H2780">
        <v>3499</v>
      </c>
      <c r="I2780">
        <v>10.5</v>
      </c>
      <c r="J2780">
        <v>1.89</v>
      </c>
      <c r="K2780">
        <v>3486.61</v>
      </c>
      <c r="L2780" s="5">
        <v>46282</v>
      </c>
      <c r="M2780" t="s">
        <v>5944</v>
      </c>
      <c r="N2780" t="s">
        <v>207</v>
      </c>
      <c r="O2780" t="s">
        <v>6148</v>
      </c>
      <c r="P2780" t="s">
        <v>208</v>
      </c>
      <c r="Q2780" t="s">
        <v>209</v>
      </c>
    </row>
    <row r="2781" spans="1:17" x14ac:dyDescent="0.3">
      <c r="A2781" t="s">
        <v>6149</v>
      </c>
      <c r="C2781" t="s">
        <v>6150</v>
      </c>
      <c r="D2781" t="s">
        <v>6150</v>
      </c>
      <c r="E2781" s="5">
        <v>46280</v>
      </c>
      <c r="F2781" t="s">
        <v>204</v>
      </c>
      <c r="G2781" t="s">
        <v>213</v>
      </c>
      <c r="H2781">
        <v>1299</v>
      </c>
      <c r="I2781">
        <v>23.38</v>
      </c>
      <c r="J2781">
        <v>4.21</v>
      </c>
      <c r="K2781">
        <v>1271.4100000000001</v>
      </c>
      <c r="L2781" s="5">
        <v>46282</v>
      </c>
      <c r="M2781" t="s">
        <v>5944</v>
      </c>
      <c r="N2781" t="s">
        <v>207</v>
      </c>
      <c r="O2781" t="s">
        <v>6150</v>
      </c>
      <c r="P2781" t="s">
        <v>208</v>
      </c>
      <c r="Q2781" t="s">
        <v>209</v>
      </c>
    </row>
    <row r="2782" spans="1:17" x14ac:dyDescent="0.3">
      <c r="A2782" t="s">
        <v>6151</v>
      </c>
      <c r="C2782" t="s">
        <v>6152</v>
      </c>
      <c r="D2782" t="s">
        <v>6152</v>
      </c>
      <c r="E2782" s="5">
        <v>46280</v>
      </c>
      <c r="F2782" t="s">
        <v>204</v>
      </c>
      <c r="G2782" t="s">
        <v>220</v>
      </c>
      <c r="H2782">
        <v>799</v>
      </c>
      <c r="I2782">
        <v>2.4</v>
      </c>
      <c r="J2782">
        <v>0.43</v>
      </c>
      <c r="K2782">
        <v>796.17</v>
      </c>
      <c r="L2782" s="5">
        <v>46282</v>
      </c>
      <c r="M2782" t="s">
        <v>5944</v>
      </c>
      <c r="N2782" t="s">
        <v>207</v>
      </c>
      <c r="O2782" t="s">
        <v>6152</v>
      </c>
      <c r="P2782" t="s">
        <v>208</v>
      </c>
      <c r="Q2782" t="s">
        <v>209</v>
      </c>
    </row>
    <row r="2783" spans="1:17" x14ac:dyDescent="0.3">
      <c r="A2783" t="s">
        <v>6153</v>
      </c>
      <c r="C2783" t="s">
        <v>6154</v>
      </c>
      <c r="D2783" t="s">
        <v>6154</v>
      </c>
      <c r="E2783" s="5">
        <v>46280</v>
      </c>
      <c r="F2783" t="s">
        <v>204</v>
      </c>
      <c r="G2783" t="s">
        <v>255</v>
      </c>
      <c r="H2783">
        <v>499</v>
      </c>
      <c r="I2783">
        <v>7.49</v>
      </c>
      <c r="J2783">
        <v>1.35</v>
      </c>
      <c r="K2783">
        <v>490.16</v>
      </c>
      <c r="L2783" s="5">
        <v>46282</v>
      </c>
      <c r="M2783" t="s">
        <v>5944</v>
      </c>
      <c r="N2783" t="s">
        <v>207</v>
      </c>
      <c r="O2783" t="s">
        <v>6154</v>
      </c>
      <c r="P2783" t="s">
        <v>208</v>
      </c>
      <c r="Q2783" t="s">
        <v>209</v>
      </c>
    </row>
    <row r="2784" spans="1:17" x14ac:dyDescent="0.3">
      <c r="A2784" t="s">
        <v>6155</v>
      </c>
      <c r="C2784" t="s">
        <v>6156</v>
      </c>
      <c r="D2784" t="s">
        <v>6156</v>
      </c>
      <c r="E2784" s="5">
        <v>46280</v>
      </c>
      <c r="F2784" t="s">
        <v>204</v>
      </c>
      <c r="G2784" t="s">
        <v>220</v>
      </c>
      <c r="H2784">
        <v>6998</v>
      </c>
      <c r="I2784">
        <v>20.99</v>
      </c>
      <c r="J2784">
        <v>3.78</v>
      </c>
      <c r="K2784">
        <v>6973.23</v>
      </c>
      <c r="L2784" s="5">
        <v>46282</v>
      </c>
      <c r="M2784" t="s">
        <v>5944</v>
      </c>
      <c r="N2784" t="s">
        <v>207</v>
      </c>
      <c r="O2784" t="s">
        <v>6156</v>
      </c>
      <c r="P2784" t="s">
        <v>208</v>
      </c>
      <c r="Q2784" t="s">
        <v>209</v>
      </c>
    </row>
    <row r="2785" spans="1:17" x14ac:dyDescent="0.3">
      <c r="A2785" t="s">
        <v>6157</v>
      </c>
      <c r="C2785" t="s">
        <v>6158</v>
      </c>
      <c r="D2785" t="s">
        <v>6158</v>
      </c>
      <c r="E2785" s="5">
        <v>46280</v>
      </c>
      <c r="F2785" t="s">
        <v>204</v>
      </c>
      <c r="G2785" t="s">
        <v>220</v>
      </c>
      <c r="H2785">
        <v>999</v>
      </c>
      <c r="I2785">
        <v>0</v>
      </c>
      <c r="J2785">
        <v>0</v>
      </c>
      <c r="K2785">
        <v>999</v>
      </c>
      <c r="L2785" s="5">
        <v>46282</v>
      </c>
      <c r="M2785" t="s">
        <v>5944</v>
      </c>
      <c r="N2785" t="s">
        <v>207</v>
      </c>
      <c r="O2785" t="s">
        <v>6158</v>
      </c>
      <c r="P2785" t="s">
        <v>208</v>
      </c>
      <c r="Q2785" t="s">
        <v>209</v>
      </c>
    </row>
    <row r="2786" spans="1:17" x14ac:dyDescent="0.3">
      <c r="A2786" t="s">
        <v>6159</v>
      </c>
      <c r="C2786" t="s">
        <v>6160</v>
      </c>
      <c r="D2786" t="s">
        <v>6160</v>
      </c>
      <c r="E2786" s="5">
        <v>46280</v>
      </c>
      <c r="F2786" t="s">
        <v>204</v>
      </c>
      <c r="G2786" t="s">
        <v>220</v>
      </c>
      <c r="H2786">
        <v>499</v>
      </c>
      <c r="I2786">
        <v>0</v>
      </c>
      <c r="J2786">
        <v>0</v>
      </c>
      <c r="K2786">
        <v>499</v>
      </c>
      <c r="L2786" s="5">
        <v>46282</v>
      </c>
      <c r="M2786" t="s">
        <v>5944</v>
      </c>
      <c r="N2786" t="s">
        <v>207</v>
      </c>
      <c r="O2786" t="s">
        <v>6160</v>
      </c>
      <c r="P2786" t="s">
        <v>208</v>
      </c>
      <c r="Q2786" t="s">
        <v>209</v>
      </c>
    </row>
    <row r="2787" spans="1:17" x14ac:dyDescent="0.3">
      <c r="A2787" t="s">
        <v>6161</v>
      </c>
      <c r="C2787" t="s">
        <v>6162</v>
      </c>
      <c r="D2787" t="s">
        <v>6162</v>
      </c>
      <c r="E2787" s="5">
        <v>46280</v>
      </c>
      <c r="F2787" t="s">
        <v>204</v>
      </c>
      <c r="G2787" t="s">
        <v>220</v>
      </c>
      <c r="H2787">
        <v>2499</v>
      </c>
      <c r="I2787">
        <v>7.5</v>
      </c>
      <c r="J2787">
        <v>1.35</v>
      </c>
      <c r="K2787">
        <v>2490.15</v>
      </c>
      <c r="L2787" s="5">
        <v>46282</v>
      </c>
      <c r="M2787" t="s">
        <v>5944</v>
      </c>
      <c r="N2787" t="s">
        <v>207</v>
      </c>
      <c r="O2787" t="s">
        <v>6162</v>
      </c>
      <c r="P2787" t="s">
        <v>208</v>
      </c>
      <c r="Q2787" t="s">
        <v>209</v>
      </c>
    </row>
    <row r="2788" spans="1:17" x14ac:dyDescent="0.3">
      <c r="A2788" t="s">
        <v>6163</v>
      </c>
      <c r="C2788" t="s">
        <v>6164</v>
      </c>
      <c r="D2788" t="s">
        <v>6164</v>
      </c>
      <c r="E2788" s="5">
        <v>46280</v>
      </c>
      <c r="F2788" t="s">
        <v>204</v>
      </c>
      <c r="G2788" t="s">
        <v>220</v>
      </c>
      <c r="H2788">
        <v>349</v>
      </c>
      <c r="I2788">
        <v>0</v>
      </c>
      <c r="J2788">
        <v>0</v>
      </c>
      <c r="K2788">
        <v>349</v>
      </c>
      <c r="L2788" s="5">
        <v>46282</v>
      </c>
      <c r="M2788" t="s">
        <v>5944</v>
      </c>
      <c r="N2788" t="s">
        <v>207</v>
      </c>
      <c r="O2788" t="s">
        <v>6164</v>
      </c>
      <c r="P2788" t="s">
        <v>208</v>
      </c>
      <c r="Q2788" t="s">
        <v>209</v>
      </c>
    </row>
    <row r="2789" spans="1:17" x14ac:dyDescent="0.3">
      <c r="A2789" t="s">
        <v>6165</v>
      </c>
      <c r="C2789" t="s">
        <v>6166</v>
      </c>
      <c r="D2789" t="s">
        <v>6167</v>
      </c>
      <c r="E2789" s="5">
        <v>46280</v>
      </c>
      <c r="F2789" t="s">
        <v>204</v>
      </c>
      <c r="G2789" t="s">
        <v>213</v>
      </c>
      <c r="H2789">
        <v>598</v>
      </c>
      <c r="I2789">
        <v>10.76</v>
      </c>
      <c r="J2789">
        <v>1.94</v>
      </c>
      <c r="K2789">
        <v>585.29999999999995</v>
      </c>
      <c r="L2789" s="5">
        <v>46282</v>
      </c>
      <c r="M2789" t="s">
        <v>5944</v>
      </c>
      <c r="N2789" t="s">
        <v>207</v>
      </c>
      <c r="O2789" t="s">
        <v>6167</v>
      </c>
      <c r="P2789" t="s">
        <v>208</v>
      </c>
      <c r="Q2789" t="s">
        <v>209</v>
      </c>
    </row>
    <row r="2790" spans="1:17" x14ac:dyDescent="0.3">
      <c r="A2790" t="s">
        <v>6168</v>
      </c>
      <c r="C2790" t="s">
        <v>6169</v>
      </c>
      <c r="D2790" t="s">
        <v>6170</v>
      </c>
      <c r="E2790" s="5">
        <v>46280</v>
      </c>
      <c r="F2790" t="s">
        <v>204</v>
      </c>
      <c r="G2790" t="s">
        <v>255</v>
      </c>
      <c r="H2790">
        <v>299</v>
      </c>
      <c r="I2790">
        <v>4.49</v>
      </c>
      <c r="J2790">
        <v>0.81</v>
      </c>
      <c r="K2790">
        <v>293.7</v>
      </c>
      <c r="L2790" s="5">
        <v>46282</v>
      </c>
      <c r="M2790" t="s">
        <v>5944</v>
      </c>
      <c r="N2790" t="s">
        <v>207</v>
      </c>
      <c r="O2790" t="s">
        <v>6170</v>
      </c>
      <c r="P2790" t="s">
        <v>208</v>
      </c>
      <c r="Q2790" t="s">
        <v>209</v>
      </c>
    </row>
    <row r="2791" spans="1:17" x14ac:dyDescent="0.3">
      <c r="A2791" t="s">
        <v>6171</v>
      </c>
      <c r="C2791" t="s">
        <v>6172</v>
      </c>
      <c r="D2791" t="s">
        <v>6172</v>
      </c>
      <c r="E2791" s="5">
        <v>46280</v>
      </c>
      <c r="F2791" t="s">
        <v>204</v>
      </c>
      <c r="G2791" t="s">
        <v>220</v>
      </c>
      <c r="H2791">
        <v>299</v>
      </c>
      <c r="I2791">
        <v>0</v>
      </c>
      <c r="J2791">
        <v>0</v>
      </c>
      <c r="K2791">
        <v>299</v>
      </c>
      <c r="L2791" s="5">
        <v>46282</v>
      </c>
      <c r="M2791" t="s">
        <v>5944</v>
      </c>
      <c r="N2791" t="s">
        <v>207</v>
      </c>
      <c r="O2791" t="s">
        <v>6172</v>
      </c>
      <c r="P2791" t="s">
        <v>208</v>
      </c>
      <c r="Q2791" t="s">
        <v>209</v>
      </c>
    </row>
    <row r="2792" spans="1:17" x14ac:dyDescent="0.3">
      <c r="A2792" t="s">
        <v>6173</v>
      </c>
      <c r="C2792" t="s">
        <v>6174</v>
      </c>
      <c r="D2792" t="s">
        <v>6175</v>
      </c>
      <c r="E2792" s="5">
        <v>46280</v>
      </c>
      <c r="F2792" t="s">
        <v>204</v>
      </c>
      <c r="G2792" t="s">
        <v>220</v>
      </c>
      <c r="H2792">
        <v>1299</v>
      </c>
      <c r="I2792">
        <v>0</v>
      </c>
      <c r="J2792">
        <v>0</v>
      </c>
      <c r="K2792">
        <v>1299</v>
      </c>
      <c r="L2792" s="5">
        <v>46282</v>
      </c>
      <c r="M2792" t="s">
        <v>5944</v>
      </c>
      <c r="N2792" t="s">
        <v>207</v>
      </c>
      <c r="O2792" t="s">
        <v>6175</v>
      </c>
      <c r="P2792" t="s">
        <v>208</v>
      </c>
      <c r="Q2792" t="s">
        <v>209</v>
      </c>
    </row>
    <row r="2793" spans="1:17" x14ac:dyDescent="0.3">
      <c r="A2793" t="s">
        <v>6176</v>
      </c>
      <c r="C2793" t="s">
        <v>6177</v>
      </c>
      <c r="D2793" t="s">
        <v>6177</v>
      </c>
      <c r="E2793" s="5">
        <v>46280</v>
      </c>
      <c r="F2793" t="s">
        <v>204</v>
      </c>
      <c r="G2793" t="s">
        <v>220</v>
      </c>
      <c r="H2793">
        <v>599</v>
      </c>
      <c r="I2793">
        <v>0</v>
      </c>
      <c r="J2793">
        <v>0</v>
      </c>
      <c r="K2793">
        <v>599</v>
      </c>
      <c r="L2793" s="5">
        <v>46282</v>
      </c>
      <c r="M2793" t="s">
        <v>5944</v>
      </c>
      <c r="N2793" t="s">
        <v>207</v>
      </c>
      <c r="O2793" t="s">
        <v>6177</v>
      </c>
      <c r="P2793" t="s">
        <v>208</v>
      </c>
      <c r="Q2793" t="s">
        <v>209</v>
      </c>
    </row>
    <row r="2794" spans="1:17" x14ac:dyDescent="0.3">
      <c r="A2794" t="s">
        <v>6178</v>
      </c>
      <c r="C2794" t="s">
        <v>6179</v>
      </c>
      <c r="D2794" t="s">
        <v>6179</v>
      </c>
      <c r="E2794" s="5">
        <v>46280</v>
      </c>
      <c r="F2794" t="s">
        <v>204</v>
      </c>
      <c r="G2794" t="s">
        <v>213</v>
      </c>
      <c r="H2794">
        <v>13997</v>
      </c>
      <c r="I2794">
        <v>223.95</v>
      </c>
      <c r="J2794">
        <v>40.31</v>
      </c>
      <c r="K2794">
        <v>13732.74</v>
      </c>
      <c r="L2794" s="5">
        <v>46282</v>
      </c>
      <c r="M2794" t="s">
        <v>5944</v>
      </c>
      <c r="N2794" t="s">
        <v>207</v>
      </c>
      <c r="O2794" t="s">
        <v>6179</v>
      </c>
      <c r="P2794" t="s">
        <v>208</v>
      </c>
      <c r="Q2794" t="s">
        <v>209</v>
      </c>
    </row>
    <row r="2795" spans="1:17" x14ac:dyDescent="0.3">
      <c r="A2795" t="s">
        <v>6180</v>
      </c>
      <c r="C2795" t="s">
        <v>6181</v>
      </c>
      <c r="D2795" t="s">
        <v>6181</v>
      </c>
      <c r="E2795" s="5">
        <v>46280</v>
      </c>
      <c r="F2795" t="s">
        <v>204</v>
      </c>
      <c r="G2795" t="s">
        <v>220</v>
      </c>
      <c r="H2795">
        <v>2098</v>
      </c>
      <c r="I2795">
        <v>6.29</v>
      </c>
      <c r="J2795">
        <v>1.1299999999999999</v>
      </c>
      <c r="K2795">
        <v>2090.58</v>
      </c>
      <c r="L2795" s="5">
        <v>46282</v>
      </c>
      <c r="M2795" t="s">
        <v>5944</v>
      </c>
      <c r="N2795" t="s">
        <v>207</v>
      </c>
      <c r="O2795" t="s">
        <v>6181</v>
      </c>
      <c r="P2795" t="s">
        <v>208</v>
      </c>
      <c r="Q2795" t="s">
        <v>209</v>
      </c>
    </row>
    <row r="2796" spans="1:17" x14ac:dyDescent="0.3">
      <c r="A2796" t="s">
        <v>6182</v>
      </c>
      <c r="C2796" t="s">
        <v>6183</v>
      </c>
      <c r="D2796" t="s">
        <v>6183</v>
      </c>
      <c r="E2796" s="5">
        <v>46280</v>
      </c>
      <c r="F2796" t="s">
        <v>204</v>
      </c>
      <c r="G2796" t="s">
        <v>220</v>
      </c>
      <c r="H2796">
        <v>1799</v>
      </c>
      <c r="I2796">
        <v>0</v>
      </c>
      <c r="J2796">
        <v>0</v>
      </c>
      <c r="K2796">
        <v>1799</v>
      </c>
      <c r="L2796" s="5">
        <v>46282</v>
      </c>
      <c r="M2796" t="s">
        <v>5944</v>
      </c>
      <c r="N2796" t="s">
        <v>207</v>
      </c>
      <c r="O2796" t="s">
        <v>6183</v>
      </c>
      <c r="P2796" t="s">
        <v>208</v>
      </c>
      <c r="Q2796" t="s">
        <v>209</v>
      </c>
    </row>
    <row r="2797" spans="1:17" x14ac:dyDescent="0.3">
      <c r="A2797" t="s">
        <v>6184</v>
      </c>
      <c r="C2797" t="s">
        <v>6185</v>
      </c>
      <c r="D2797" t="s">
        <v>6186</v>
      </c>
      <c r="E2797" s="5">
        <v>46280</v>
      </c>
      <c r="F2797" t="s">
        <v>204</v>
      </c>
      <c r="G2797" t="s">
        <v>220</v>
      </c>
      <c r="H2797">
        <v>1299</v>
      </c>
      <c r="I2797">
        <v>0</v>
      </c>
      <c r="J2797">
        <v>0</v>
      </c>
      <c r="K2797">
        <v>1299</v>
      </c>
      <c r="L2797" s="5">
        <v>46282</v>
      </c>
      <c r="M2797" t="s">
        <v>5944</v>
      </c>
      <c r="N2797" t="s">
        <v>207</v>
      </c>
      <c r="O2797" t="s">
        <v>6186</v>
      </c>
      <c r="P2797" t="s">
        <v>208</v>
      </c>
      <c r="Q2797" t="s">
        <v>209</v>
      </c>
    </row>
    <row r="2798" spans="1:17" x14ac:dyDescent="0.3">
      <c r="A2798" t="s">
        <v>6187</v>
      </c>
      <c r="C2798" t="s">
        <v>6188</v>
      </c>
      <c r="D2798" t="s">
        <v>6188</v>
      </c>
      <c r="E2798" s="5">
        <v>46280</v>
      </c>
      <c r="F2798" t="s">
        <v>204</v>
      </c>
      <c r="G2798" t="s">
        <v>205</v>
      </c>
      <c r="H2798">
        <v>1499</v>
      </c>
      <c r="I2798">
        <v>28.48</v>
      </c>
      <c r="J2798">
        <v>5.13</v>
      </c>
      <c r="K2798">
        <v>1465.39</v>
      </c>
      <c r="L2798" s="5">
        <v>46282</v>
      </c>
      <c r="M2798" t="s">
        <v>5944</v>
      </c>
      <c r="N2798" t="s">
        <v>207</v>
      </c>
      <c r="O2798" t="s">
        <v>6188</v>
      </c>
      <c r="P2798" t="s">
        <v>208</v>
      </c>
      <c r="Q2798" t="s">
        <v>209</v>
      </c>
    </row>
    <row r="2799" spans="1:17" x14ac:dyDescent="0.3">
      <c r="A2799" t="s">
        <v>6189</v>
      </c>
      <c r="C2799" t="s">
        <v>6190</v>
      </c>
      <c r="D2799" t="s">
        <v>6190</v>
      </c>
      <c r="E2799" s="5">
        <v>46280</v>
      </c>
      <c r="F2799" t="s">
        <v>204</v>
      </c>
      <c r="G2799" t="s">
        <v>220</v>
      </c>
      <c r="H2799">
        <v>1299</v>
      </c>
      <c r="I2799">
        <v>0</v>
      </c>
      <c r="J2799">
        <v>0</v>
      </c>
      <c r="K2799">
        <v>1299</v>
      </c>
      <c r="L2799" s="5">
        <v>46282</v>
      </c>
      <c r="M2799" t="s">
        <v>5944</v>
      </c>
      <c r="N2799" t="s">
        <v>207</v>
      </c>
      <c r="O2799" t="s">
        <v>6190</v>
      </c>
      <c r="P2799" t="s">
        <v>208</v>
      </c>
      <c r="Q2799" t="s">
        <v>209</v>
      </c>
    </row>
    <row r="2800" spans="1:17" x14ac:dyDescent="0.3">
      <c r="A2800" t="s">
        <v>6191</v>
      </c>
      <c r="C2800" t="s">
        <v>6192</v>
      </c>
      <c r="D2800" t="s">
        <v>6192</v>
      </c>
      <c r="E2800" s="5">
        <v>46280</v>
      </c>
      <c r="F2800" t="s">
        <v>204</v>
      </c>
      <c r="G2800" t="s">
        <v>205</v>
      </c>
      <c r="H2800">
        <v>299</v>
      </c>
      <c r="I2800">
        <v>5.68</v>
      </c>
      <c r="J2800">
        <v>1.02</v>
      </c>
      <c r="K2800">
        <v>292.3</v>
      </c>
      <c r="L2800" s="5">
        <v>46282</v>
      </c>
      <c r="M2800" t="s">
        <v>5944</v>
      </c>
      <c r="N2800" t="s">
        <v>207</v>
      </c>
      <c r="O2800" t="s">
        <v>6192</v>
      </c>
      <c r="P2800" t="s">
        <v>208</v>
      </c>
      <c r="Q2800" t="s">
        <v>209</v>
      </c>
    </row>
    <row r="2801" spans="1:17" x14ac:dyDescent="0.3">
      <c r="A2801" t="s">
        <v>6193</v>
      </c>
      <c r="C2801" t="s">
        <v>6194</v>
      </c>
      <c r="D2801" t="s">
        <v>6194</v>
      </c>
      <c r="E2801" s="5">
        <v>46280</v>
      </c>
      <c r="F2801" t="s">
        <v>204</v>
      </c>
      <c r="G2801" t="s">
        <v>255</v>
      </c>
      <c r="H2801">
        <v>3447</v>
      </c>
      <c r="I2801">
        <v>41.36</v>
      </c>
      <c r="J2801">
        <v>7.44</v>
      </c>
      <c r="K2801">
        <v>3398.2</v>
      </c>
      <c r="L2801" s="5">
        <v>46282</v>
      </c>
      <c r="M2801" t="s">
        <v>5944</v>
      </c>
      <c r="N2801" t="s">
        <v>207</v>
      </c>
      <c r="O2801" t="s">
        <v>6194</v>
      </c>
      <c r="P2801" t="s">
        <v>208</v>
      </c>
      <c r="Q2801" t="s">
        <v>209</v>
      </c>
    </row>
    <row r="2802" spans="1:17" x14ac:dyDescent="0.3">
      <c r="A2802" t="s">
        <v>6195</v>
      </c>
      <c r="C2802" t="s">
        <v>6196</v>
      </c>
      <c r="D2802" t="s">
        <v>6197</v>
      </c>
      <c r="E2802" s="5">
        <v>46280</v>
      </c>
      <c r="F2802" t="s">
        <v>204</v>
      </c>
      <c r="G2802" t="s">
        <v>220</v>
      </c>
      <c r="H2802">
        <v>3498</v>
      </c>
      <c r="I2802">
        <v>10.49</v>
      </c>
      <c r="J2802">
        <v>1.89</v>
      </c>
      <c r="K2802">
        <v>3485.62</v>
      </c>
      <c r="L2802" s="5">
        <v>46282</v>
      </c>
      <c r="M2802" t="s">
        <v>5944</v>
      </c>
      <c r="N2802" t="s">
        <v>207</v>
      </c>
      <c r="O2802" t="s">
        <v>6197</v>
      </c>
      <c r="P2802" t="s">
        <v>208</v>
      </c>
      <c r="Q2802" t="s">
        <v>209</v>
      </c>
    </row>
    <row r="2803" spans="1:17" x14ac:dyDescent="0.3">
      <c r="A2803" t="s">
        <v>6198</v>
      </c>
      <c r="C2803" t="s">
        <v>6199</v>
      </c>
      <c r="D2803" t="s">
        <v>6199</v>
      </c>
      <c r="E2803" s="5">
        <v>46280</v>
      </c>
      <c r="F2803" t="s">
        <v>204</v>
      </c>
      <c r="G2803" t="s">
        <v>205</v>
      </c>
      <c r="H2803">
        <v>2999</v>
      </c>
      <c r="I2803">
        <v>71.98</v>
      </c>
      <c r="J2803">
        <v>12.96</v>
      </c>
      <c r="K2803">
        <v>2914.06</v>
      </c>
      <c r="L2803" s="5">
        <v>46282</v>
      </c>
      <c r="M2803" t="s">
        <v>5944</v>
      </c>
      <c r="N2803" t="s">
        <v>207</v>
      </c>
      <c r="O2803" t="s">
        <v>6199</v>
      </c>
      <c r="P2803" t="s">
        <v>208</v>
      </c>
      <c r="Q2803" t="s">
        <v>209</v>
      </c>
    </row>
    <row r="2804" spans="1:17" x14ac:dyDescent="0.3">
      <c r="A2804" t="s">
        <v>6200</v>
      </c>
      <c r="C2804" t="s">
        <v>6201</v>
      </c>
      <c r="D2804" t="s">
        <v>6202</v>
      </c>
      <c r="E2804" s="5">
        <v>46280</v>
      </c>
      <c r="F2804" t="s">
        <v>204</v>
      </c>
      <c r="G2804" t="s">
        <v>220</v>
      </c>
      <c r="H2804">
        <v>2098</v>
      </c>
      <c r="I2804">
        <v>6.29</v>
      </c>
      <c r="J2804">
        <v>1.1299999999999999</v>
      </c>
      <c r="K2804">
        <v>2090.58</v>
      </c>
      <c r="L2804" s="5">
        <v>46282</v>
      </c>
      <c r="M2804" t="s">
        <v>5944</v>
      </c>
      <c r="N2804" t="s">
        <v>207</v>
      </c>
      <c r="O2804" t="s">
        <v>6202</v>
      </c>
      <c r="P2804" t="s">
        <v>208</v>
      </c>
      <c r="Q2804" t="s">
        <v>209</v>
      </c>
    </row>
    <row r="2805" spans="1:17" x14ac:dyDescent="0.3">
      <c r="A2805" t="s">
        <v>6203</v>
      </c>
      <c r="C2805" t="s">
        <v>6204</v>
      </c>
      <c r="D2805" t="s">
        <v>6204</v>
      </c>
      <c r="E2805" s="5">
        <v>46280</v>
      </c>
      <c r="F2805" t="s">
        <v>204</v>
      </c>
      <c r="G2805" t="s">
        <v>220</v>
      </c>
      <c r="H2805">
        <v>9498</v>
      </c>
      <c r="I2805">
        <v>28.49</v>
      </c>
      <c r="J2805">
        <v>5.13</v>
      </c>
      <c r="K2805">
        <v>9464.3799999999992</v>
      </c>
      <c r="L2805" s="5">
        <v>46282</v>
      </c>
      <c r="M2805" t="s">
        <v>5944</v>
      </c>
      <c r="N2805" t="s">
        <v>207</v>
      </c>
      <c r="O2805" t="s">
        <v>6204</v>
      </c>
      <c r="P2805" t="s">
        <v>208</v>
      </c>
      <c r="Q2805" t="s">
        <v>209</v>
      </c>
    </row>
    <row r="2806" spans="1:17" x14ac:dyDescent="0.3">
      <c r="A2806" t="s">
        <v>6205</v>
      </c>
      <c r="C2806" t="s">
        <v>6206</v>
      </c>
      <c r="D2806" t="s">
        <v>6206</v>
      </c>
      <c r="E2806" s="5">
        <v>46280</v>
      </c>
      <c r="F2806" t="s">
        <v>204</v>
      </c>
      <c r="G2806" t="s">
        <v>220</v>
      </c>
      <c r="H2806">
        <v>1799</v>
      </c>
      <c r="I2806">
        <v>0</v>
      </c>
      <c r="J2806">
        <v>0</v>
      </c>
      <c r="K2806">
        <v>1799</v>
      </c>
      <c r="L2806" s="5">
        <v>46282</v>
      </c>
      <c r="M2806" t="s">
        <v>5944</v>
      </c>
      <c r="N2806" t="s">
        <v>207</v>
      </c>
      <c r="O2806" t="s">
        <v>6206</v>
      </c>
      <c r="P2806" t="s">
        <v>208</v>
      </c>
      <c r="Q2806" t="s">
        <v>209</v>
      </c>
    </row>
    <row r="2807" spans="1:17" x14ac:dyDescent="0.3">
      <c r="A2807" t="s">
        <v>6207</v>
      </c>
      <c r="C2807" t="s">
        <v>6208</v>
      </c>
      <c r="D2807" t="s">
        <v>6208</v>
      </c>
      <c r="E2807" s="5">
        <v>46280</v>
      </c>
      <c r="F2807" t="s">
        <v>204</v>
      </c>
      <c r="G2807" t="s">
        <v>220</v>
      </c>
      <c r="H2807">
        <v>1797</v>
      </c>
      <c r="I2807">
        <v>0</v>
      </c>
      <c r="J2807">
        <v>0</v>
      </c>
      <c r="K2807">
        <v>1797</v>
      </c>
      <c r="L2807" s="5">
        <v>46282</v>
      </c>
      <c r="M2807" t="s">
        <v>5944</v>
      </c>
      <c r="N2807" t="s">
        <v>207</v>
      </c>
      <c r="O2807" t="s">
        <v>6208</v>
      </c>
      <c r="P2807" t="s">
        <v>208</v>
      </c>
      <c r="Q2807" t="s">
        <v>209</v>
      </c>
    </row>
    <row r="2808" spans="1:17" x14ac:dyDescent="0.3">
      <c r="A2808" t="s">
        <v>6209</v>
      </c>
      <c r="C2808" t="s">
        <v>6210</v>
      </c>
      <c r="D2808" t="s">
        <v>6210</v>
      </c>
      <c r="E2808" s="5">
        <v>46280</v>
      </c>
      <c r="F2808" t="s">
        <v>204</v>
      </c>
      <c r="G2808" t="s">
        <v>213</v>
      </c>
      <c r="H2808">
        <v>5298</v>
      </c>
      <c r="I2808">
        <v>84.77</v>
      </c>
      <c r="J2808">
        <v>15.26</v>
      </c>
      <c r="K2808">
        <v>5197.97</v>
      </c>
      <c r="L2808" s="5">
        <v>46282</v>
      </c>
      <c r="M2808" t="s">
        <v>5944</v>
      </c>
      <c r="N2808" t="s">
        <v>207</v>
      </c>
      <c r="O2808" t="s">
        <v>6210</v>
      </c>
      <c r="P2808" t="s">
        <v>208</v>
      </c>
      <c r="Q2808" t="s">
        <v>209</v>
      </c>
    </row>
    <row r="2809" spans="1:17" x14ac:dyDescent="0.3">
      <c r="A2809" t="s">
        <v>6211</v>
      </c>
      <c r="C2809" t="s">
        <v>6212</v>
      </c>
      <c r="D2809" t="s">
        <v>6212</v>
      </c>
      <c r="E2809" s="5">
        <v>46280</v>
      </c>
      <c r="F2809" t="s">
        <v>204</v>
      </c>
      <c r="G2809" t="s">
        <v>213</v>
      </c>
      <c r="H2809">
        <v>4597</v>
      </c>
      <c r="I2809">
        <v>73.55</v>
      </c>
      <c r="J2809">
        <v>13.24</v>
      </c>
      <c r="K2809">
        <v>4510.21</v>
      </c>
      <c r="L2809" s="5">
        <v>46282</v>
      </c>
      <c r="M2809" t="s">
        <v>5944</v>
      </c>
      <c r="N2809" t="s">
        <v>207</v>
      </c>
      <c r="O2809" t="s">
        <v>6212</v>
      </c>
      <c r="P2809" t="s">
        <v>208</v>
      </c>
      <c r="Q2809" t="s">
        <v>209</v>
      </c>
    </row>
    <row r="2810" spans="1:17" x14ac:dyDescent="0.3">
      <c r="A2810" t="s">
        <v>6213</v>
      </c>
      <c r="C2810" t="s">
        <v>6214</v>
      </c>
      <c r="D2810" t="s">
        <v>6214</v>
      </c>
      <c r="E2810" s="5">
        <v>46280</v>
      </c>
      <c r="F2810" t="s">
        <v>204</v>
      </c>
      <c r="G2810" t="s">
        <v>213</v>
      </c>
      <c r="H2810">
        <v>999</v>
      </c>
      <c r="I2810">
        <v>17.98</v>
      </c>
      <c r="J2810">
        <v>3.24</v>
      </c>
      <c r="K2810">
        <v>977.78</v>
      </c>
      <c r="L2810" s="5">
        <v>46282</v>
      </c>
      <c r="M2810" t="s">
        <v>5944</v>
      </c>
      <c r="N2810" t="s">
        <v>207</v>
      </c>
      <c r="O2810" t="s">
        <v>6214</v>
      </c>
      <c r="P2810" t="s">
        <v>208</v>
      </c>
      <c r="Q2810" t="s">
        <v>209</v>
      </c>
    </row>
    <row r="2811" spans="1:17" x14ac:dyDescent="0.3">
      <c r="A2811" t="s">
        <v>6215</v>
      </c>
      <c r="C2811" t="s">
        <v>6216</v>
      </c>
      <c r="D2811" t="s">
        <v>6216</v>
      </c>
      <c r="E2811" s="5">
        <v>46280</v>
      </c>
      <c r="F2811" t="s">
        <v>204</v>
      </c>
      <c r="G2811" t="s">
        <v>205</v>
      </c>
      <c r="H2811">
        <v>5348</v>
      </c>
      <c r="I2811">
        <v>90.92</v>
      </c>
      <c r="J2811">
        <v>16.37</v>
      </c>
      <c r="K2811">
        <v>5240.71</v>
      </c>
      <c r="L2811" s="5">
        <v>46282</v>
      </c>
      <c r="M2811" t="s">
        <v>5944</v>
      </c>
      <c r="N2811" t="s">
        <v>207</v>
      </c>
      <c r="O2811" t="s">
        <v>6216</v>
      </c>
      <c r="P2811" t="s">
        <v>208</v>
      </c>
      <c r="Q2811" t="s">
        <v>209</v>
      </c>
    </row>
    <row r="2812" spans="1:17" x14ac:dyDescent="0.3">
      <c r="A2812" t="s">
        <v>6217</v>
      </c>
      <c r="C2812" t="s">
        <v>6218</v>
      </c>
      <c r="D2812" t="s">
        <v>6218</v>
      </c>
      <c r="E2812" s="5">
        <v>46280</v>
      </c>
      <c r="F2812" t="s">
        <v>204</v>
      </c>
      <c r="G2812" t="s">
        <v>220</v>
      </c>
      <c r="H2812">
        <v>948</v>
      </c>
      <c r="I2812">
        <v>0</v>
      </c>
      <c r="J2812">
        <v>0</v>
      </c>
      <c r="K2812">
        <v>948</v>
      </c>
      <c r="L2812" s="5">
        <v>46282</v>
      </c>
      <c r="M2812" t="s">
        <v>5944</v>
      </c>
      <c r="N2812" t="s">
        <v>207</v>
      </c>
      <c r="O2812" t="s">
        <v>6218</v>
      </c>
      <c r="P2812" t="s">
        <v>208</v>
      </c>
      <c r="Q2812" t="s">
        <v>209</v>
      </c>
    </row>
    <row r="2813" spans="1:17" x14ac:dyDescent="0.3">
      <c r="A2813" t="s">
        <v>6219</v>
      </c>
      <c r="C2813" t="s">
        <v>6220</v>
      </c>
      <c r="D2813" t="s">
        <v>6220</v>
      </c>
      <c r="E2813" s="5">
        <v>46280</v>
      </c>
      <c r="F2813" t="s">
        <v>204</v>
      </c>
      <c r="G2813" t="s">
        <v>220</v>
      </c>
      <c r="H2813">
        <v>2998</v>
      </c>
      <c r="I2813">
        <v>8.99</v>
      </c>
      <c r="J2813">
        <v>1.62</v>
      </c>
      <c r="K2813">
        <v>2987.39</v>
      </c>
      <c r="L2813" s="5">
        <v>46282</v>
      </c>
      <c r="M2813" t="s">
        <v>5944</v>
      </c>
      <c r="N2813" t="s">
        <v>207</v>
      </c>
      <c r="O2813" t="s">
        <v>6220</v>
      </c>
      <c r="P2813" t="s">
        <v>208</v>
      </c>
      <c r="Q2813" t="s">
        <v>209</v>
      </c>
    </row>
    <row r="2814" spans="1:17" x14ac:dyDescent="0.3">
      <c r="A2814" t="s">
        <v>6221</v>
      </c>
      <c r="C2814" t="s">
        <v>6222</v>
      </c>
      <c r="D2814" t="s">
        <v>6222</v>
      </c>
      <c r="E2814" s="5">
        <v>46280</v>
      </c>
      <c r="F2814" t="s">
        <v>204</v>
      </c>
      <c r="G2814" t="s">
        <v>205</v>
      </c>
      <c r="H2814">
        <v>2999</v>
      </c>
      <c r="I2814">
        <v>50.98</v>
      </c>
      <c r="J2814">
        <v>9.18</v>
      </c>
      <c r="K2814">
        <v>2938.84</v>
      </c>
      <c r="L2814" s="5">
        <v>46282</v>
      </c>
      <c r="M2814" t="s">
        <v>5944</v>
      </c>
      <c r="N2814" t="s">
        <v>207</v>
      </c>
      <c r="O2814" t="s">
        <v>6222</v>
      </c>
      <c r="P2814" t="s">
        <v>208</v>
      </c>
      <c r="Q2814" t="s">
        <v>209</v>
      </c>
    </row>
    <row r="2815" spans="1:17" x14ac:dyDescent="0.3">
      <c r="A2815" t="s">
        <v>6223</v>
      </c>
      <c r="C2815" t="s">
        <v>6224</v>
      </c>
      <c r="D2815" t="s">
        <v>6224</v>
      </c>
      <c r="E2815" s="5">
        <v>46280</v>
      </c>
      <c r="F2815" t="s">
        <v>204</v>
      </c>
      <c r="G2815" t="s">
        <v>220</v>
      </c>
      <c r="H2815">
        <v>3499</v>
      </c>
      <c r="I2815">
        <v>10.5</v>
      </c>
      <c r="J2815">
        <v>1.89</v>
      </c>
      <c r="K2815">
        <v>3486.61</v>
      </c>
      <c r="L2815" s="5">
        <v>46282</v>
      </c>
      <c r="M2815" t="s">
        <v>5944</v>
      </c>
      <c r="N2815" t="s">
        <v>207</v>
      </c>
      <c r="O2815" t="s">
        <v>6224</v>
      </c>
      <c r="P2815" t="s">
        <v>208</v>
      </c>
      <c r="Q2815" t="s">
        <v>209</v>
      </c>
    </row>
    <row r="2816" spans="1:17" x14ac:dyDescent="0.3">
      <c r="A2816" t="s">
        <v>6225</v>
      </c>
      <c r="C2816" t="s">
        <v>6226</v>
      </c>
      <c r="D2816" t="s">
        <v>6226</v>
      </c>
      <c r="E2816" s="5">
        <v>46280</v>
      </c>
      <c r="F2816" t="s">
        <v>204</v>
      </c>
      <c r="G2816" t="s">
        <v>213</v>
      </c>
      <c r="H2816">
        <v>349</v>
      </c>
      <c r="I2816">
        <v>6.28</v>
      </c>
      <c r="J2816">
        <v>1.1299999999999999</v>
      </c>
      <c r="K2816">
        <v>341.59</v>
      </c>
      <c r="L2816" s="5">
        <v>46282</v>
      </c>
      <c r="M2816" t="s">
        <v>5944</v>
      </c>
      <c r="N2816" t="s">
        <v>207</v>
      </c>
      <c r="O2816" t="s">
        <v>6226</v>
      </c>
      <c r="P2816" t="s">
        <v>208</v>
      </c>
      <c r="Q2816" t="s">
        <v>209</v>
      </c>
    </row>
    <row r="2817" spans="1:17" x14ac:dyDescent="0.3">
      <c r="A2817" t="s">
        <v>6227</v>
      </c>
      <c r="C2817" t="s">
        <v>6228</v>
      </c>
      <c r="D2817" t="s">
        <v>6228</v>
      </c>
      <c r="E2817" s="5">
        <v>46280</v>
      </c>
      <c r="F2817" t="s">
        <v>204</v>
      </c>
      <c r="G2817" t="s">
        <v>220</v>
      </c>
      <c r="H2817">
        <v>1799</v>
      </c>
      <c r="I2817">
        <v>0</v>
      </c>
      <c r="J2817">
        <v>0</v>
      </c>
      <c r="K2817">
        <v>1799</v>
      </c>
      <c r="L2817" s="5">
        <v>46282</v>
      </c>
      <c r="M2817" t="s">
        <v>5944</v>
      </c>
      <c r="N2817" t="s">
        <v>207</v>
      </c>
      <c r="O2817" t="s">
        <v>6228</v>
      </c>
      <c r="P2817" t="s">
        <v>208</v>
      </c>
      <c r="Q2817" t="s">
        <v>209</v>
      </c>
    </row>
    <row r="2818" spans="1:17" x14ac:dyDescent="0.3">
      <c r="A2818" t="s">
        <v>6229</v>
      </c>
      <c r="C2818" t="s">
        <v>6230</v>
      </c>
      <c r="D2818" t="s">
        <v>6230</v>
      </c>
      <c r="E2818" s="5">
        <v>46280</v>
      </c>
      <c r="F2818" t="s">
        <v>204</v>
      </c>
      <c r="G2818" t="s">
        <v>205</v>
      </c>
      <c r="H2818">
        <v>1798</v>
      </c>
      <c r="I2818">
        <v>34.159999999999997</v>
      </c>
      <c r="J2818">
        <v>6.15</v>
      </c>
      <c r="K2818">
        <v>1757.69</v>
      </c>
      <c r="L2818" s="5">
        <v>46282</v>
      </c>
      <c r="M2818" t="s">
        <v>5944</v>
      </c>
      <c r="N2818" t="s">
        <v>207</v>
      </c>
      <c r="O2818" t="s">
        <v>6230</v>
      </c>
      <c r="P2818" t="s">
        <v>208</v>
      </c>
      <c r="Q2818" t="s">
        <v>209</v>
      </c>
    </row>
    <row r="2819" spans="1:17" x14ac:dyDescent="0.3">
      <c r="A2819" t="s">
        <v>6231</v>
      </c>
      <c r="C2819" t="s">
        <v>6232</v>
      </c>
      <c r="D2819" t="s">
        <v>6232</v>
      </c>
      <c r="E2819" s="5">
        <v>46280</v>
      </c>
      <c r="F2819" t="s">
        <v>204</v>
      </c>
      <c r="G2819" t="s">
        <v>220</v>
      </c>
      <c r="H2819">
        <v>349</v>
      </c>
      <c r="I2819">
        <v>0</v>
      </c>
      <c r="J2819">
        <v>0</v>
      </c>
      <c r="K2819">
        <v>349</v>
      </c>
      <c r="L2819" s="5">
        <v>46282</v>
      </c>
      <c r="M2819" t="s">
        <v>5944</v>
      </c>
      <c r="N2819" t="s">
        <v>207</v>
      </c>
      <c r="O2819" t="s">
        <v>6232</v>
      </c>
      <c r="P2819" t="s">
        <v>208</v>
      </c>
      <c r="Q2819" t="s">
        <v>209</v>
      </c>
    </row>
    <row r="2820" spans="1:17" x14ac:dyDescent="0.3">
      <c r="A2820" t="s">
        <v>6233</v>
      </c>
      <c r="C2820" t="s">
        <v>6234</v>
      </c>
      <c r="D2820" t="s">
        <v>6234</v>
      </c>
      <c r="E2820" s="5">
        <v>46280</v>
      </c>
      <c r="F2820" t="s">
        <v>204</v>
      </c>
      <c r="G2820" t="s">
        <v>220</v>
      </c>
      <c r="H2820">
        <v>4999</v>
      </c>
      <c r="I2820">
        <v>15</v>
      </c>
      <c r="J2820">
        <v>2.7</v>
      </c>
      <c r="K2820">
        <v>4981.3</v>
      </c>
      <c r="L2820" s="5">
        <v>46282</v>
      </c>
      <c r="M2820" t="s">
        <v>5944</v>
      </c>
      <c r="N2820" t="s">
        <v>207</v>
      </c>
      <c r="O2820" t="s">
        <v>6234</v>
      </c>
      <c r="P2820" t="s">
        <v>208</v>
      </c>
      <c r="Q2820" t="s">
        <v>209</v>
      </c>
    </row>
    <row r="2821" spans="1:17" x14ac:dyDescent="0.3">
      <c r="A2821" t="s">
        <v>6235</v>
      </c>
      <c r="C2821" t="s">
        <v>6236</v>
      </c>
      <c r="D2821" t="s">
        <v>6236</v>
      </c>
      <c r="E2821" s="5">
        <v>46280</v>
      </c>
      <c r="F2821" t="s">
        <v>204</v>
      </c>
      <c r="G2821" t="s">
        <v>220</v>
      </c>
      <c r="H2821">
        <v>1799</v>
      </c>
      <c r="I2821">
        <v>0</v>
      </c>
      <c r="J2821">
        <v>0</v>
      </c>
      <c r="K2821">
        <v>1799</v>
      </c>
      <c r="L2821" s="5">
        <v>46282</v>
      </c>
      <c r="M2821" t="s">
        <v>5944</v>
      </c>
      <c r="N2821" t="s">
        <v>207</v>
      </c>
      <c r="O2821" t="s">
        <v>6236</v>
      </c>
      <c r="P2821" t="s">
        <v>208</v>
      </c>
      <c r="Q2821" t="s">
        <v>209</v>
      </c>
    </row>
    <row r="2822" spans="1:17" x14ac:dyDescent="0.3">
      <c r="A2822" t="s">
        <v>6237</v>
      </c>
      <c r="C2822" t="s">
        <v>6238</v>
      </c>
      <c r="D2822" t="s">
        <v>6238</v>
      </c>
      <c r="E2822" s="5">
        <v>46280</v>
      </c>
      <c r="F2822" t="s">
        <v>204</v>
      </c>
      <c r="G2822" t="s">
        <v>213</v>
      </c>
      <c r="H2822">
        <v>5998</v>
      </c>
      <c r="I2822">
        <v>95.97</v>
      </c>
      <c r="J2822">
        <v>17.27</v>
      </c>
      <c r="K2822">
        <v>5884.76</v>
      </c>
      <c r="L2822" s="5">
        <v>46282</v>
      </c>
      <c r="M2822" t="s">
        <v>5944</v>
      </c>
      <c r="N2822" t="s">
        <v>207</v>
      </c>
      <c r="O2822" t="s">
        <v>6238</v>
      </c>
      <c r="P2822" t="s">
        <v>208</v>
      </c>
      <c r="Q2822" t="s">
        <v>209</v>
      </c>
    </row>
    <row r="2823" spans="1:17" x14ac:dyDescent="0.3">
      <c r="A2823" t="s">
        <v>6239</v>
      </c>
      <c r="C2823" t="s">
        <v>6240</v>
      </c>
      <c r="D2823" t="s">
        <v>6240</v>
      </c>
      <c r="E2823" s="5">
        <v>46280</v>
      </c>
      <c r="F2823" t="s">
        <v>204</v>
      </c>
      <c r="G2823" t="s">
        <v>220</v>
      </c>
      <c r="H2823">
        <v>799</v>
      </c>
      <c r="I2823">
        <v>0</v>
      </c>
      <c r="J2823">
        <v>0</v>
      </c>
      <c r="K2823">
        <v>799</v>
      </c>
      <c r="L2823" s="5">
        <v>46282</v>
      </c>
      <c r="M2823" t="s">
        <v>5944</v>
      </c>
      <c r="N2823" t="s">
        <v>207</v>
      </c>
      <c r="O2823" t="s">
        <v>6240</v>
      </c>
      <c r="P2823" t="s">
        <v>208</v>
      </c>
      <c r="Q2823" t="s">
        <v>209</v>
      </c>
    </row>
    <row r="2824" spans="1:17" x14ac:dyDescent="0.3">
      <c r="A2824" t="s">
        <v>6241</v>
      </c>
      <c r="C2824" t="s">
        <v>6242</v>
      </c>
      <c r="D2824" t="s">
        <v>6243</v>
      </c>
      <c r="E2824" s="5">
        <v>46280</v>
      </c>
      <c r="F2824" t="s">
        <v>204</v>
      </c>
      <c r="G2824" t="s">
        <v>213</v>
      </c>
      <c r="H2824">
        <v>2499</v>
      </c>
      <c r="I2824">
        <v>39.979999999999997</v>
      </c>
      <c r="J2824">
        <v>7.2</v>
      </c>
      <c r="K2824">
        <v>2451.8200000000002</v>
      </c>
      <c r="L2824" s="5">
        <v>46282</v>
      </c>
      <c r="M2824" t="s">
        <v>5944</v>
      </c>
      <c r="N2824" t="s">
        <v>207</v>
      </c>
      <c r="O2824" t="s">
        <v>6243</v>
      </c>
      <c r="P2824" t="s">
        <v>208</v>
      </c>
      <c r="Q2824" t="s">
        <v>209</v>
      </c>
    </row>
    <row r="2825" spans="1:17" x14ac:dyDescent="0.3">
      <c r="A2825" t="s">
        <v>6244</v>
      </c>
      <c r="C2825" t="s">
        <v>6245</v>
      </c>
      <c r="D2825" t="s">
        <v>6245</v>
      </c>
      <c r="E2825" s="5">
        <v>46280</v>
      </c>
      <c r="F2825" t="s">
        <v>204</v>
      </c>
      <c r="G2825" t="s">
        <v>213</v>
      </c>
      <c r="H2825">
        <v>3097</v>
      </c>
      <c r="I2825">
        <v>49.55</v>
      </c>
      <c r="J2825">
        <v>8.92</v>
      </c>
      <c r="K2825">
        <v>3038.53</v>
      </c>
      <c r="L2825" s="5">
        <v>46282</v>
      </c>
      <c r="M2825" t="s">
        <v>5944</v>
      </c>
      <c r="N2825" t="s">
        <v>207</v>
      </c>
      <c r="O2825" t="s">
        <v>6245</v>
      </c>
      <c r="P2825" t="s">
        <v>208</v>
      </c>
      <c r="Q2825" t="s">
        <v>209</v>
      </c>
    </row>
    <row r="2826" spans="1:17" x14ac:dyDescent="0.3">
      <c r="A2826" t="s">
        <v>6246</v>
      </c>
      <c r="C2826" t="s">
        <v>6247</v>
      </c>
      <c r="D2826" t="s">
        <v>6247</v>
      </c>
      <c r="E2826" s="5">
        <v>46280</v>
      </c>
      <c r="F2826" t="s">
        <v>204</v>
      </c>
      <c r="G2826" t="s">
        <v>220</v>
      </c>
      <c r="H2826">
        <v>3598</v>
      </c>
      <c r="I2826">
        <v>10.79</v>
      </c>
      <c r="J2826">
        <v>1.94</v>
      </c>
      <c r="K2826">
        <v>3585.27</v>
      </c>
      <c r="L2826" s="5">
        <v>46282</v>
      </c>
      <c r="M2826" t="s">
        <v>5944</v>
      </c>
      <c r="N2826" t="s">
        <v>207</v>
      </c>
      <c r="O2826" t="s">
        <v>6247</v>
      </c>
      <c r="P2826" t="s">
        <v>208</v>
      </c>
      <c r="Q2826" t="s">
        <v>209</v>
      </c>
    </row>
    <row r="2827" spans="1:17" x14ac:dyDescent="0.3">
      <c r="A2827" t="s">
        <v>6248</v>
      </c>
      <c r="C2827" t="s">
        <v>6249</v>
      </c>
      <c r="D2827" t="s">
        <v>6249</v>
      </c>
      <c r="E2827" s="5">
        <v>46280</v>
      </c>
      <c r="F2827" t="s">
        <v>204</v>
      </c>
      <c r="G2827" t="s">
        <v>220</v>
      </c>
      <c r="H2827">
        <v>1499</v>
      </c>
      <c r="I2827">
        <v>0</v>
      </c>
      <c r="J2827">
        <v>0</v>
      </c>
      <c r="K2827">
        <v>1499</v>
      </c>
      <c r="L2827" s="5">
        <v>46282</v>
      </c>
      <c r="M2827" t="s">
        <v>5944</v>
      </c>
      <c r="N2827" t="s">
        <v>207</v>
      </c>
      <c r="O2827" t="s">
        <v>6249</v>
      </c>
      <c r="P2827" t="s">
        <v>208</v>
      </c>
      <c r="Q2827" t="s">
        <v>209</v>
      </c>
    </row>
    <row r="2828" spans="1:17" x14ac:dyDescent="0.3">
      <c r="A2828" t="s">
        <v>6250</v>
      </c>
      <c r="C2828" t="s">
        <v>6251</v>
      </c>
      <c r="D2828" t="s">
        <v>6252</v>
      </c>
      <c r="E2828" s="5">
        <v>46280</v>
      </c>
      <c r="F2828" t="s">
        <v>204</v>
      </c>
      <c r="G2828" t="s">
        <v>220</v>
      </c>
      <c r="H2828">
        <v>10998</v>
      </c>
      <c r="I2828">
        <v>32.99</v>
      </c>
      <c r="J2828">
        <v>5.94</v>
      </c>
      <c r="K2828">
        <v>10959.07</v>
      </c>
      <c r="L2828" s="5">
        <v>46282</v>
      </c>
      <c r="M2828" t="s">
        <v>5944</v>
      </c>
      <c r="N2828" t="s">
        <v>207</v>
      </c>
      <c r="O2828" t="s">
        <v>6252</v>
      </c>
      <c r="P2828" t="s">
        <v>208</v>
      </c>
      <c r="Q2828" t="s">
        <v>209</v>
      </c>
    </row>
    <row r="2829" spans="1:17" x14ac:dyDescent="0.3">
      <c r="A2829" t="s">
        <v>6253</v>
      </c>
      <c r="C2829" t="s">
        <v>6254</v>
      </c>
      <c r="D2829" t="s">
        <v>6254</v>
      </c>
      <c r="E2829" s="5">
        <v>46280</v>
      </c>
      <c r="F2829" t="s">
        <v>204</v>
      </c>
      <c r="G2829" t="s">
        <v>213</v>
      </c>
      <c r="H2829">
        <v>6297</v>
      </c>
      <c r="I2829">
        <v>100.75</v>
      </c>
      <c r="J2829">
        <v>18.14</v>
      </c>
      <c r="K2829">
        <v>6178.11</v>
      </c>
      <c r="L2829" s="5">
        <v>46282</v>
      </c>
      <c r="M2829" t="s">
        <v>5944</v>
      </c>
      <c r="N2829" t="s">
        <v>207</v>
      </c>
      <c r="O2829" t="s">
        <v>6254</v>
      </c>
      <c r="P2829" t="s">
        <v>208</v>
      </c>
      <c r="Q2829" t="s">
        <v>209</v>
      </c>
    </row>
    <row r="2830" spans="1:17" x14ac:dyDescent="0.3">
      <c r="A2830" t="s">
        <v>6255</v>
      </c>
      <c r="C2830" t="s">
        <v>6256</v>
      </c>
      <c r="D2830" t="s">
        <v>6256</v>
      </c>
      <c r="E2830" s="5">
        <v>46280</v>
      </c>
      <c r="F2830" t="s">
        <v>204</v>
      </c>
      <c r="G2830" t="s">
        <v>220</v>
      </c>
      <c r="H2830">
        <v>6897</v>
      </c>
      <c r="I2830">
        <v>20.69</v>
      </c>
      <c r="J2830">
        <v>3.72</v>
      </c>
      <c r="K2830">
        <v>6872.59</v>
      </c>
      <c r="L2830" s="5">
        <v>46282</v>
      </c>
      <c r="M2830" t="s">
        <v>5944</v>
      </c>
      <c r="N2830" t="s">
        <v>207</v>
      </c>
      <c r="O2830" t="s">
        <v>6256</v>
      </c>
      <c r="P2830" t="s">
        <v>208</v>
      </c>
      <c r="Q2830" t="s">
        <v>209</v>
      </c>
    </row>
    <row r="2831" spans="1:17" x14ac:dyDescent="0.3">
      <c r="A2831" t="s">
        <v>6257</v>
      </c>
      <c r="C2831" t="s">
        <v>6258</v>
      </c>
      <c r="D2831" t="s">
        <v>6258</v>
      </c>
      <c r="E2831" s="5">
        <v>46280</v>
      </c>
      <c r="F2831" t="s">
        <v>204</v>
      </c>
      <c r="G2831" t="s">
        <v>213</v>
      </c>
      <c r="H2831">
        <v>2098</v>
      </c>
      <c r="I2831">
        <v>33.57</v>
      </c>
      <c r="J2831">
        <v>6.04</v>
      </c>
      <c r="K2831">
        <v>2058.39</v>
      </c>
      <c r="L2831" s="5">
        <v>46282</v>
      </c>
      <c r="M2831" t="s">
        <v>5944</v>
      </c>
      <c r="N2831" t="s">
        <v>207</v>
      </c>
      <c r="O2831" t="s">
        <v>6258</v>
      </c>
      <c r="P2831" t="s">
        <v>208</v>
      </c>
      <c r="Q2831" t="s">
        <v>209</v>
      </c>
    </row>
    <row r="2832" spans="1:17" x14ac:dyDescent="0.3">
      <c r="A2832" t="s">
        <v>6259</v>
      </c>
      <c r="C2832" t="s">
        <v>6260</v>
      </c>
      <c r="D2832" t="s">
        <v>6260</v>
      </c>
      <c r="E2832" s="5">
        <v>46280</v>
      </c>
      <c r="F2832" t="s">
        <v>204</v>
      </c>
      <c r="G2832" t="s">
        <v>205</v>
      </c>
      <c r="H2832">
        <v>4999</v>
      </c>
      <c r="I2832">
        <v>84.98</v>
      </c>
      <c r="J2832">
        <v>15.3</v>
      </c>
      <c r="K2832">
        <v>4898.72</v>
      </c>
      <c r="L2832" s="5">
        <v>46282</v>
      </c>
      <c r="M2832" t="s">
        <v>5944</v>
      </c>
      <c r="N2832" t="s">
        <v>207</v>
      </c>
      <c r="O2832" t="s">
        <v>6260</v>
      </c>
      <c r="P2832" t="s">
        <v>208</v>
      </c>
      <c r="Q2832" t="s">
        <v>209</v>
      </c>
    </row>
    <row r="2833" spans="1:17" x14ac:dyDescent="0.3">
      <c r="A2833" t="s">
        <v>6261</v>
      </c>
      <c r="C2833" t="s">
        <v>6262</v>
      </c>
      <c r="D2833" t="s">
        <v>6262</v>
      </c>
      <c r="E2833" s="5">
        <v>46280</v>
      </c>
      <c r="F2833" t="s">
        <v>204</v>
      </c>
      <c r="G2833" t="s">
        <v>220</v>
      </c>
      <c r="H2833">
        <v>799</v>
      </c>
      <c r="I2833">
        <v>0</v>
      </c>
      <c r="J2833">
        <v>0</v>
      </c>
      <c r="K2833">
        <v>799</v>
      </c>
      <c r="L2833" s="5">
        <v>46282</v>
      </c>
      <c r="M2833" t="s">
        <v>5944</v>
      </c>
      <c r="N2833" t="s">
        <v>207</v>
      </c>
      <c r="O2833" t="s">
        <v>6262</v>
      </c>
      <c r="P2833" t="s">
        <v>208</v>
      </c>
      <c r="Q2833" t="s">
        <v>209</v>
      </c>
    </row>
    <row r="2834" spans="1:17" x14ac:dyDescent="0.3">
      <c r="A2834" t="s">
        <v>6263</v>
      </c>
      <c r="C2834" t="s">
        <v>6264</v>
      </c>
      <c r="D2834" t="s">
        <v>6264</v>
      </c>
      <c r="E2834" s="5">
        <v>46280</v>
      </c>
      <c r="F2834" t="s">
        <v>204</v>
      </c>
      <c r="G2834" t="s">
        <v>220</v>
      </c>
      <c r="H2834">
        <v>3298</v>
      </c>
      <c r="I2834">
        <v>9.89</v>
      </c>
      <c r="J2834">
        <v>1.78</v>
      </c>
      <c r="K2834">
        <v>3286.33</v>
      </c>
      <c r="L2834" s="5">
        <v>46282</v>
      </c>
      <c r="M2834" t="s">
        <v>5944</v>
      </c>
      <c r="N2834" t="s">
        <v>207</v>
      </c>
      <c r="O2834" t="s">
        <v>6264</v>
      </c>
      <c r="P2834" t="s">
        <v>208</v>
      </c>
      <c r="Q2834" t="s">
        <v>209</v>
      </c>
    </row>
    <row r="2835" spans="1:17" x14ac:dyDescent="0.3">
      <c r="A2835" t="s">
        <v>6265</v>
      </c>
      <c r="C2835" t="s">
        <v>6266</v>
      </c>
      <c r="D2835" t="s">
        <v>6266</v>
      </c>
      <c r="E2835" s="5">
        <v>46280</v>
      </c>
      <c r="F2835" t="s">
        <v>204</v>
      </c>
      <c r="G2835" t="s">
        <v>213</v>
      </c>
      <c r="H2835">
        <v>2598</v>
      </c>
      <c r="I2835">
        <v>41.57</v>
      </c>
      <c r="J2835">
        <v>7.48</v>
      </c>
      <c r="K2835">
        <v>2548.9499999999998</v>
      </c>
      <c r="L2835" s="5">
        <v>46282</v>
      </c>
      <c r="M2835" t="s">
        <v>5944</v>
      </c>
      <c r="N2835" t="s">
        <v>207</v>
      </c>
      <c r="O2835" t="s">
        <v>6266</v>
      </c>
      <c r="P2835" t="s">
        <v>208</v>
      </c>
      <c r="Q2835" t="s">
        <v>209</v>
      </c>
    </row>
    <row r="2836" spans="1:17" x14ac:dyDescent="0.3">
      <c r="A2836" t="s">
        <v>6267</v>
      </c>
      <c r="C2836" t="s">
        <v>6268</v>
      </c>
      <c r="D2836" t="s">
        <v>6269</v>
      </c>
      <c r="E2836" s="5">
        <v>46280</v>
      </c>
      <c r="F2836" t="s">
        <v>204</v>
      </c>
      <c r="G2836" t="s">
        <v>220</v>
      </c>
      <c r="H2836">
        <v>1299</v>
      </c>
      <c r="I2836">
        <v>0</v>
      </c>
      <c r="J2836">
        <v>0</v>
      </c>
      <c r="K2836">
        <v>1299</v>
      </c>
      <c r="L2836" s="5">
        <v>46282</v>
      </c>
      <c r="M2836" t="s">
        <v>5944</v>
      </c>
      <c r="N2836" t="s">
        <v>207</v>
      </c>
      <c r="O2836" t="s">
        <v>6269</v>
      </c>
      <c r="P2836" t="s">
        <v>208</v>
      </c>
      <c r="Q2836" t="s">
        <v>209</v>
      </c>
    </row>
    <row r="2837" spans="1:17" x14ac:dyDescent="0.3">
      <c r="A2837" t="s">
        <v>6270</v>
      </c>
      <c r="C2837" t="s">
        <v>6271</v>
      </c>
      <c r="D2837" t="s">
        <v>6272</v>
      </c>
      <c r="E2837" s="5">
        <v>46280</v>
      </c>
      <c r="F2837" t="s">
        <v>204</v>
      </c>
      <c r="G2837" t="s">
        <v>220</v>
      </c>
      <c r="H2837">
        <v>599</v>
      </c>
      <c r="I2837">
        <v>0</v>
      </c>
      <c r="J2837">
        <v>0</v>
      </c>
      <c r="K2837">
        <v>599</v>
      </c>
      <c r="L2837" s="5">
        <v>46282</v>
      </c>
      <c r="M2837" t="s">
        <v>5944</v>
      </c>
      <c r="N2837" t="s">
        <v>207</v>
      </c>
      <c r="O2837" t="s">
        <v>6272</v>
      </c>
      <c r="P2837" t="s">
        <v>208</v>
      </c>
      <c r="Q2837" t="s">
        <v>209</v>
      </c>
    </row>
    <row r="2838" spans="1:17" x14ac:dyDescent="0.3">
      <c r="A2838" t="s">
        <v>6273</v>
      </c>
      <c r="C2838" t="s">
        <v>6274</v>
      </c>
      <c r="D2838" t="s">
        <v>6275</v>
      </c>
      <c r="E2838" s="5">
        <v>46280</v>
      </c>
      <c r="F2838" t="s">
        <v>204</v>
      </c>
      <c r="G2838" t="s">
        <v>220</v>
      </c>
      <c r="H2838">
        <v>499</v>
      </c>
      <c r="I2838">
        <v>0</v>
      </c>
      <c r="J2838">
        <v>0</v>
      </c>
      <c r="K2838">
        <v>499</v>
      </c>
      <c r="L2838" s="5">
        <v>46282</v>
      </c>
      <c r="M2838" t="s">
        <v>5944</v>
      </c>
      <c r="N2838" t="s">
        <v>207</v>
      </c>
      <c r="O2838" t="s">
        <v>6275</v>
      </c>
      <c r="P2838" t="s">
        <v>208</v>
      </c>
      <c r="Q2838" t="s">
        <v>209</v>
      </c>
    </row>
    <row r="2839" spans="1:17" x14ac:dyDescent="0.3">
      <c r="A2839" t="s">
        <v>6276</v>
      </c>
      <c r="C2839" t="s">
        <v>6277</v>
      </c>
      <c r="D2839" t="s">
        <v>6278</v>
      </c>
      <c r="E2839" s="5">
        <v>46280</v>
      </c>
      <c r="F2839" t="s">
        <v>204</v>
      </c>
      <c r="G2839" t="s">
        <v>220</v>
      </c>
      <c r="H2839">
        <v>999</v>
      </c>
      <c r="I2839">
        <v>0</v>
      </c>
      <c r="J2839">
        <v>0</v>
      </c>
      <c r="K2839">
        <v>999</v>
      </c>
      <c r="L2839" s="5">
        <v>46282</v>
      </c>
      <c r="M2839" t="s">
        <v>5944</v>
      </c>
      <c r="N2839" t="s">
        <v>207</v>
      </c>
      <c r="O2839" t="s">
        <v>6278</v>
      </c>
      <c r="P2839" t="s">
        <v>208</v>
      </c>
      <c r="Q2839" t="s">
        <v>209</v>
      </c>
    </row>
    <row r="2840" spans="1:17" x14ac:dyDescent="0.3">
      <c r="A2840" t="s">
        <v>6279</v>
      </c>
      <c r="C2840" t="s">
        <v>6280</v>
      </c>
      <c r="D2840" t="s">
        <v>6280</v>
      </c>
      <c r="E2840" s="5">
        <v>46280</v>
      </c>
      <c r="F2840" t="s">
        <v>204</v>
      </c>
      <c r="G2840" t="s">
        <v>220</v>
      </c>
      <c r="H2840">
        <v>2797</v>
      </c>
      <c r="I2840">
        <v>8.39</v>
      </c>
      <c r="J2840">
        <v>1.51</v>
      </c>
      <c r="K2840">
        <v>2787.1</v>
      </c>
      <c r="L2840" s="5">
        <v>46282</v>
      </c>
      <c r="M2840" t="s">
        <v>5944</v>
      </c>
      <c r="N2840" t="s">
        <v>207</v>
      </c>
      <c r="O2840" t="s">
        <v>6280</v>
      </c>
      <c r="P2840" t="s">
        <v>208</v>
      </c>
      <c r="Q2840" t="s">
        <v>209</v>
      </c>
    </row>
    <row r="2841" spans="1:17" x14ac:dyDescent="0.3">
      <c r="A2841" t="s">
        <v>6281</v>
      </c>
      <c r="C2841" t="s">
        <v>6282</v>
      </c>
      <c r="D2841" t="s">
        <v>6282</v>
      </c>
      <c r="E2841" s="5">
        <v>46280</v>
      </c>
      <c r="F2841" t="s">
        <v>204</v>
      </c>
      <c r="G2841" t="s">
        <v>205</v>
      </c>
      <c r="H2841">
        <v>2148</v>
      </c>
      <c r="I2841">
        <v>36.520000000000003</v>
      </c>
      <c r="J2841">
        <v>6.57</v>
      </c>
      <c r="K2841">
        <v>2104.91</v>
      </c>
      <c r="L2841" s="5">
        <v>46282</v>
      </c>
      <c r="M2841" t="s">
        <v>5944</v>
      </c>
      <c r="N2841" t="s">
        <v>207</v>
      </c>
      <c r="O2841" t="s">
        <v>6282</v>
      </c>
      <c r="P2841" t="s">
        <v>208</v>
      </c>
      <c r="Q2841" t="s">
        <v>209</v>
      </c>
    </row>
    <row r="2842" spans="1:17" x14ac:dyDescent="0.3">
      <c r="A2842" t="s">
        <v>6283</v>
      </c>
      <c r="C2842" t="s">
        <v>6284</v>
      </c>
      <c r="D2842" t="s">
        <v>6284</v>
      </c>
      <c r="E2842" s="5">
        <v>46280</v>
      </c>
      <c r="F2842" t="s">
        <v>204</v>
      </c>
      <c r="G2842" t="s">
        <v>213</v>
      </c>
      <c r="H2842">
        <v>799</v>
      </c>
      <c r="I2842">
        <v>14.38</v>
      </c>
      <c r="J2842">
        <v>2.59</v>
      </c>
      <c r="K2842">
        <v>782.03</v>
      </c>
      <c r="L2842" s="5">
        <v>46282</v>
      </c>
      <c r="M2842" t="s">
        <v>5944</v>
      </c>
      <c r="N2842" t="s">
        <v>207</v>
      </c>
      <c r="O2842" t="s">
        <v>6284</v>
      </c>
      <c r="P2842" t="s">
        <v>208</v>
      </c>
      <c r="Q2842" t="s">
        <v>209</v>
      </c>
    </row>
    <row r="2843" spans="1:17" x14ac:dyDescent="0.3">
      <c r="A2843" t="s">
        <v>6285</v>
      </c>
      <c r="C2843" t="s">
        <v>6286</v>
      </c>
      <c r="D2843" t="s">
        <v>6286</v>
      </c>
      <c r="E2843" s="5">
        <v>46280</v>
      </c>
      <c r="F2843" t="s">
        <v>204</v>
      </c>
      <c r="G2843" t="s">
        <v>220</v>
      </c>
      <c r="H2843">
        <v>1798</v>
      </c>
      <c r="I2843">
        <v>0</v>
      </c>
      <c r="J2843">
        <v>0</v>
      </c>
      <c r="K2843">
        <v>1798</v>
      </c>
      <c r="L2843" s="5">
        <v>46282</v>
      </c>
      <c r="M2843" t="s">
        <v>5944</v>
      </c>
      <c r="N2843" t="s">
        <v>207</v>
      </c>
      <c r="O2843" t="s">
        <v>6286</v>
      </c>
      <c r="P2843" t="s">
        <v>208</v>
      </c>
      <c r="Q2843" t="s">
        <v>209</v>
      </c>
    </row>
    <row r="2844" spans="1:17" x14ac:dyDescent="0.3">
      <c r="A2844" t="s">
        <v>6287</v>
      </c>
      <c r="C2844" t="s">
        <v>6288</v>
      </c>
      <c r="D2844" t="s">
        <v>6288</v>
      </c>
      <c r="E2844" s="5">
        <v>46280</v>
      </c>
      <c r="F2844" t="s">
        <v>204</v>
      </c>
      <c r="G2844" t="s">
        <v>255</v>
      </c>
      <c r="H2844">
        <v>7999</v>
      </c>
      <c r="I2844">
        <v>95.99</v>
      </c>
      <c r="J2844">
        <v>17.28</v>
      </c>
      <c r="K2844">
        <v>7885.73</v>
      </c>
      <c r="L2844" s="5">
        <v>46282</v>
      </c>
      <c r="M2844" t="s">
        <v>5944</v>
      </c>
      <c r="N2844" t="s">
        <v>207</v>
      </c>
      <c r="O2844" t="s">
        <v>6288</v>
      </c>
      <c r="P2844" t="s">
        <v>208</v>
      </c>
      <c r="Q2844" t="s">
        <v>209</v>
      </c>
    </row>
    <row r="2845" spans="1:17" x14ac:dyDescent="0.3">
      <c r="A2845" t="s">
        <v>6289</v>
      </c>
      <c r="C2845" t="s">
        <v>6290</v>
      </c>
      <c r="D2845" t="s">
        <v>6290</v>
      </c>
      <c r="E2845" s="5">
        <v>46280</v>
      </c>
      <c r="F2845" t="s">
        <v>204</v>
      </c>
      <c r="G2845" t="s">
        <v>220</v>
      </c>
      <c r="H2845">
        <v>7999</v>
      </c>
      <c r="I2845">
        <v>24</v>
      </c>
      <c r="J2845">
        <v>4.32</v>
      </c>
      <c r="K2845">
        <v>7970.68</v>
      </c>
      <c r="L2845" s="5">
        <v>46282</v>
      </c>
      <c r="M2845" t="s">
        <v>5944</v>
      </c>
      <c r="N2845" t="s">
        <v>207</v>
      </c>
      <c r="O2845" t="s">
        <v>6290</v>
      </c>
      <c r="P2845" t="s">
        <v>208</v>
      </c>
      <c r="Q2845" t="s">
        <v>209</v>
      </c>
    </row>
    <row r="2846" spans="1:17" x14ac:dyDescent="0.3">
      <c r="A2846" t="s">
        <v>6291</v>
      </c>
      <c r="C2846" t="s">
        <v>6292</v>
      </c>
      <c r="D2846" t="s">
        <v>6292</v>
      </c>
      <c r="E2846" s="5">
        <v>46280</v>
      </c>
      <c r="F2846" t="s">
        <v>204</v>
      </c>
      <c r="G2846" t="s">
        <v>220</v>
      </c>
      <c r="H2846">
        <v>799</v>
      </c>
      <c r="I2846">
        <v>0</v>
      </c>
      <c r="J2846">
        <v>0</v>
      </c>
      <c r="K2846">
        <v>799</v>
      </c>
      <c r="L2846" s="5">
        <v>46282</v>
      </c>
      <c r="M2846" t="s">
        <v>5944</v>
      </c>
      <c r="N2846" t="s">
        <v>207</v>
      </c>
      <c r="O2846" t="s">
        <v>6292</v>
      </c>
      <c r="P2846" t="s">
        <v>208</v>
      </c>
      <c r="Q2846" t="s">
        <v>209</v>
      </c>
    </row>
    <row r="2847" spans="1:17" x14ac:dyDescent="0.3">
      <c r="A2847" t="s">
        <v>6293</v>
      </c>
      <c r="C2847" t="s">
        <v>6294</v>
      </c>
      <c r="D2847" t="s">
        <v>6294</v>
      </c>
      <c r="E2847" s="5">
        <v>46280</v>
      </c>
      <c r="F2847" t="s">
        <v>204</v>
      </c>
      <c r="G2847" t="s">
        <v>220</v>
      </c>
      <c r="H2847">
        <v>11847</v>
      </c>
      <c r="I2847">
        <v>35.54</v>
      </c>
      <c r="J2847">
        <v>6.4</v>
      </c>
      <c r="K2847">
        <v>11805.06</v>
      </c>
      <c r="L2847" s="5">
        <v>46282</v>
      </c>
      <c r="M2847" t="s">
        <v>5944</v>
      </c>
      <c r="N2847" t="s">
        <v>207</v>
      </c>
      <c r="O2847" t="s">
        <v>6294</v>
      </c>
      <c r="P2847" t="s">
        <v>208</v>
      </c>
      <c r="Q2847" t="s">
        <v>209</v>
      </c>
    </row>
    <row r="2848" spans="1:17" x14ac:dyDescent="0.3">
      <c r="A2848" t="s">
        <v>6295</v>
      </c>
      <c r="C2848" t="s">
        <v>6296</v>
      </c>
      <c r="D2848" t="s">
        <v>6296</v>
      </c>
      <c r="E2848" s="5">
        <v>46280</v>
      </c>
      <c r="F2848" t="s">
        <v>204</v>
      </c>
      <c r="G2848" t="s">
        <v>213</v>
      </c>
      <c r="H2848">
        <v>7998</v>
      </c>
      <c r="I2848">
        <v>127.97</v>
      </c>
      <c r="J2848">
        <v>23.03</v>
      </c>
      <c r="K2848">
        <v>7847</v>
      </c>
      <c r="L2848" s="5">
        <v>46282</v>
      </c>
      <c r="M2848" t="s">
        <v>5944</v>
      </c>
      <c r="N2848" t="s">
        <v>207</v>
      </c>
      <c r="O2848" t="s">
        <v>6296</v>
      </c>
      <c r="P2848" t="s">
        <v>208</v>
      </c>
      <c r="Q2848" t="s">
        <v>209</v>
      </c>
    </row>
    <row r="2849" spans="1:17" x14ac:dyDescent="0.3">
      <c r="A2849" t="s">
        <v>6297</v>
      </c>
      <c r="C2849" t="s">
        <v>6298</v>
      </c>
      <c r="D2849" t="s">
        <v>6298</v>
      </c>
      <c r="E2849" s="5">
        <v>46280</v>
      </c>
      <c r="F2849" t="s">
        <v>204</v>
      </c>
      <c r="G2849" t="s">
        <v>205</v>
      </c>
      <c r="H2849">
        <v>1499</v>
      </c>
      <c r="I2849">
        <v>28.48</v>
      </c>
      <c r="J2849">
        <v>5.13</v>
      </c>
      <c r="K2849">
        <v>1465.39</v>
      </c>
      <c r="L2849" s="5">
        <v>46282</v>
      </c>
      <c r="M2849" t="s">
        <v>5944</v>
      </c>
      <c r="N2849" t="s">
        <v>207</v>
      </c>
      <c r="O2849" t="s">
        <v>6298</v>
      </c>
      <c r="P2849" t="s">
        <v>208</v>
      </c>
      <c r="Q2849" t="s">
        <v>209</v>
      </c>
    </row>
    <row r="2850" spans="1:17" x14ac:dyDescent="0.3">
      <c r="A2850" t="s">
        <v>6299</v>
      </c>
      <c r="C2850" t="s">
        <v>6300</v>
      </c>
      <c r="D2850" t="s">
        <v>6300</v>
      </c>
      <c r="E2850" s="5">
        <v>46280</v>
      </c>
      <c r="F2850" t="s">
        <v>204</v>
      </c>
      <c r="G2850" t="s">
        <v>255</v>
      </c>
      <c r="H2850">
        <v>4999</v>
      </c>
      <c r="I2850">
        <v>59.99</v>
      </c>
      <c r="J2850">
        <v>10.8</v>
      </c>
      <c r="K2850">
        <v>4928.21</v>
      </c>
      <c r="L2850" s="5">
        <v>46282</v>
      </c>
      <c r="M2850" t="s">
        <v>5944</v>
      </c>
      <c r="N2850" t="s">
        <v>207</v>
      </c>
      <c r="O2850" t="s">
        <v>6300</v>
      </c>
      <c r="P2850" t="s">
        <v>208</v>
      </c>
      <c r="Q2850" t="s">
        <v>209</v>
      </c>
    </row>
    <row r="2851" spans="1:17" x14ac:dyDescent="0.3">
      <c r="A2851" t="s">
        <v>6301</v>
      </c>
      <c r="C2851" t="s">
        <v>6302</v>
      </c>
      <c r="D2851" t="s">
        <v>6302</v>
      </c>
      <c r="E2851" s="5">
        <v>46280</v>
      </c>
      <c r="F2851" t="s">
        <v>204</v>
      </c>
      <c r="G2851" t="s">
        <v>220</v>
      </c>
      <c r="H2851">
        <v>1499</v>
      </c>
      <c r="I2851">
        <v>0</v>
      </c>
      <c r="J2851">
        <v>0</v>
      </c>
      <c r="K2851">
        <v>1499</v>
      </c>
      <c r="L2851" s="5">
        <v>46282</v>
      </c>
      <c r="M2851" t="s">
        <v>5944</v>
      </c>
      <c r="N2851" t="s">
        <v>207</v>
      </c>
      <c r="O2851" t="s">
        <v>6302</v>
      </c>
      <c r="P2851" t="s">
        <v>208</v>
      </c>
      <c r="Q2851" t="s">
        <v>209</v>
      </c>
    </row>
    <row r="2852" spans="1:17" x14ac:dyDescent="0.3">
      <c r="A2852" t="s">
        <v>6303</v>
      </c>
      <c r="C2852" t="s">
        <v>6304</v>
      </c>
      <c r="D2852" t="s">
        <v>6305</v>
      </c>
      <c r="E2852" s="5">
        <v>46280</v>
      </c>
      <c r="F2852" t="s">
        <v>204</v>
      </c>
      <c r="G2852" t="s">
        <v>220</v>
      </c>
      <c r="H2852">
        <v>499</v>
      </c>
      <c r="I2852">
        <v>0</v>
      </c>
      <c r="J2852">
        <v>0</v>
      </c>
      <c r="K2852">
        <v>499</v>
      </c>
      <c r="L2852" s="5">
        <v>46282</v>
      </c>
      <c r="M2852" t="s">
        <v>5944</v>
      </c>
      <c r="N2852" t="s">
        <v>207</v>
      </c>
      <c r="O2852" t="s">
        <v>6305</v>
      </c>
      <c r="P2852" t="s">
        <v>208</v>
      </c>
      <c r="Q2852" t="s">
        <v>209</v>
      </c>
    </row>
    <row r="2853" spans="1:17" x14ac:dyDescent="0.3">
      <c r="A2853" t="s">
        <v>6306</v>
      </c>
      <c r="C2853" t="s">
        <v>6307</v>
      </c>
      <c r="D2853" t="s">
        <v>6307</v>
      </c>
      <c r="E2853" s="5">
        <v>46280</v>
      </c>
      <c r="F2853" t="s">
        <v>204</v>
      </c>
      <c r="G2853" t="s">
        <v>255</v>
      </c>
      <c r="H2853">
        <v>2347</v>
      </c>
      <c r="I2853">
        <v>28.16</v>
      </c>
      <c r="J2853">
        <v>5.07</v>
      </c>
      <c r="K2853">
        <v>2313.77</v>
      </c>
      <c r="L2853" s="5">
        <v>46282</v>
      </c>
      <c r="M2853" t="s">
        <v>5944</v>
      </c>
      <c r="N2853" t="s">
        <v>207</v>
      </c>
      <c r="O2853" t="s">
        <v>6307</v>
      </c>
      <c r="P2853" t="s">
        <v>208</v>
      </c>
      <c r="Q2853" t="s">
        <v>209</v>
      </c>
    </row>
    <row r="2854" spans="1:17" x14ac:dyDescent="0.3">
      <c r="A2854" t="s">
        <v>6308</v>
      </c>
      <c r="C2854" t="s">
        <v>6309</v>
      </c>
      <c r="D2854" t="s">
        <v>6309</v>
      </c>
      <c r="E2854" s="5">
        <v>46280</v>
      </c>
      <c r="F2854" t="s">
        <v>204</v>
      </c>
      <c r="G2854" t="s">
        <v>205</v>
      </c>
      <c r="H2854">
        <v>799</v>
      </c>
      <c r="I2854">
        <v>15.18</v>
      </c>
      <c r="J2854">
        <v>2.73</v>
      </c>
      <c r="K2854">
        <v>781.09</v>
      </c>
      <c r="L2854" s="5">
        <v>46282</v>
      </c>
      <c r="M2854" t="s">
        <v>5944</v>
      </c>
      <c r="N2854" t="s">
        <v>207</v>
      </c>
      <c r="O2854" t="s">
        <v>6309</v>
      </c>
      <c r="P2854" t="s">
        <v>208</v>
      </c>
      <c r="Q2854" t="s">
        <v>209</v>
      </c>
    </row>
    <row r="2855" spans="1:17" x14ac:dyDescent="0.3">
      <c r="A2855" t="s">
        <v>6310</v>
      </c>
      <c r="C2855" t="s">
        <v>6311</v>
      </c>
      <c r="D2855" t="s">
        <v>6311</v>
      </c>
      <c r="E2855" s="5">
        <v>46280</v>
      </c>
      <c r="F2855" t="s">
        <v>204</v>
      </c>
      <c r="G2855" t="s">
        <v>205</v>
      </c>
      <c r="H2855">
        <v>799</v>
      </c>
      <c r="I2855">
        <v>15.18</v>
      </c>
      <c r="J2855">
        <v>2.73</v>
      </c>
      <c r="K2855">
        <v>781.09</v>
      </c>
      <c r="L2855" s="5">
        <v>46282</v>
      </c>
      <c r="M2855" t="s">
        <v>5944</v>
      </c>
      <c r="N2855" t="s">
        <v>207</v>
      </c>
      <c r="O2855" t="s">
        <v>6311</v>
      </c>
      <c r="P2855" t="s">
        <v>208</v>
      </c>
      <c r="Q2855" t="s">
        <v>209</v>
      </c>
    </row>
    <row r="2856" spans="1:17" x14ac:dyDescent="0.3">
      <c r="A2856" t="s">
        <v>6312</v>
      </c>
      <c r="C2856" t="s">
        <v>6313</v>
      </c>
      <c r="D2856" t="s">
        <v>6313</v>
      </c>
      <c r="E2856" s="5">
        <v>46280</v>
      </c>
      <c r="F2856" t="s">
        <v>204</v>
      </c>
      <c r="G2856" t="s">
        <v>213</v>
      </c>
      <c r="H2856">
        <v>5598</v>
      </c>
      <c r="I2856">
        <v>89.57</v>
      </c>
      <c r="J2856">
        <v>16.12</v>
      </c>
      <c r="K2856">
        <v>5492.31</v>
      </c>
      <c r="L2856" s="5">
        <v>46282</v>
      </c>
      <c r="M2856" t="s">
        <v>5944</v>
      </c>
      <c r="N2856" t="s">
        <v>207</v>
      </c>
      <c r="O2856" t="s">
        <v>6313</v>
      </c>
      <c r="P2856" t="s">
        <v>208</v>
      </c>
      <c r="Q2856" t="s">
        <v>209</v>
      </c>
    </row>
    <row r="2857" spans="1:17" x14ac:dyDescent="0.3">
      <c r="A2857" t="s">
        <v>6314</v>
      </c>
      <c r="C2857" t="s">
        <v>6315</v>
      </c>
      <c r="D2857" t="s">
        <v>6315</v>
      </c>
      <c r="E2857" s="5">
        <v>46280</v>
      </c>
      <c r="F2857" t="s">
        <v>204</v>
      </c>
      <c r="G2857" t="s">
        <v>220</v>
      </c>
      <c r="H2857">
        <v>799</v>
      </c>
      <c r="I2857">
        <v>0</v>
      </c>
      <c r="J2857">
        <v>0</v>
      </c>
      <c r="K2857">
        <v>799</v>
      </c>
      <c r="L2857" s="5">
        <v>46282</v>
      </c>
      <c r="M2857" t="s">
        <v>5944</v>
      </c>
      <c r="N2857" t="s">
        <v>207</v>
      </c>
      <c r="O2857" t="s">
        <v>6315</v>
      </c>
      <c r="P2857" t="s">
        <v>208</v>
      </c>
      <c r="Q2857" t="s">
        <v>209</v>
      </c>
    </row>
    <row r="2858" spans="1:17" x14ac:dyDescent="0.3">
      <c r="A2858" t="s">
        <v>6316</v>
      </c>
      <c r="C2858" t="s">
        <v>6317</v>
      </c>
      <c r="D2858" t="s">
        <v>6317</v>
      </c>
      <c r="E2858" s="5">
        <v>46280</v>
      </c>
      <c r="F2858" t="s">
        <v>204</v>
      </c>
      <c r="G2858" t="s">
        <v>213</v>
      </c>
      <c r="H2858">
        <v>1947</v>
      </c>
      <c r="I2858">
        <v>35.049999999999997</v>
      </c>
      <c r="J2858">
        <v>6.31</v>
      </c>
      <c r="K2858">
        <v>1905.64</v>
      </c>
      <c r="L2858" s="5">
        <v>46282</v>
      </c>
      <c r="M2858" t="s">
        <v>5944</v>
      </c>
      <c r="N2858" t="s">
        <v>207</v>
      </c>
      <c r="O2858" t="s">
        <v>6317</v>
      </c>
      <c r="P2858" t="s">
        <v>208</v>
      </c>
      <c r="Q2858" t="s">
        <v>209</v>
      </c>
    </row>
    <row r="2859" spans="1:17" x14ac:dyDescent="0.3">
      <c r="A2859" t="s">
        <v>6318</v>
      </c>
      <c r="C2859" t="s">
        <v>6319</v>
      </c>
      <c r="D2859" t="s">
        <v>6319</v>
      </c>
      <c r="E2859" s="5">
        <v>46280</v>
      </c>
      <c r="F2859" t="s">
        <v>204</v>
      </c>
      <c r="G2859" t="s">
        <v>213</v>
      </c>
      <c r="H2859">
        <v>9097</v>
      </c>
      <c r="I2859">
        <v>145.55000000000001</v>
      </c>
      <c r="J2859">
        <v>26.2</v>
      </c>
      <c r="K2859">
        <v>8925.25</v>
      </c>
      <c r="L2859" s="5">
        <v>46282</v>
      </c>
      <c r="M2859" t="s">
        <v>5944</v>
      </c>
      <c r="N2859" t="s">
        <v>207</v>
      </c>
      <c r="O2859" t="s">
        <v>6319</v>
      </c>
      <c r="P2859" t="s">
        <v>208</v>
      </c>
      <c r="Q2859" t="s">
        <v>209</v>
      </c>
    </row>
    <row r="2860" spans="1:17" x14ac:dyDescent="0.3">
      <c r="A2860" t="s">
        <v>6320</v>
      </c>
      <c r="C2860" t="s">
        <v>6321</v>
      </c>
      <c r="D2860" t="s">
        <v>6321</v>
      </c>
      <c r="E2860" s="5">
        <v>46280</v>
      </c>
      <c r="F2860" t="s">
        <v>204</v>
      </c>
      <c r="G2860" t="s">
        <v>213</v>
      </c>
      <c r="H2860">
        <v>9498</v>
      </c>
      <c r="I2860">
        <v>151.97</v>
      </c>
      <c r="J2860">
        <v>27.35</v>
      </c>
      <c r="K2860">
        <v>9318.68</v>
      </c>
      <c r="L2860" s="5">
        <v>46282</v>
      </c>
      <c r="M2860" t="s">
        <v>5944</v>
      </c>
      <c r="N2860" t="s">
        <v>207</v>
      </c>
      <c r="O2860" t="s">
        <v>6321</v>
      </c>
      <c r="P2860" t="s">
        <v>208</v>
      </c>
      <c r="Q2860" t="s">
        <v>209</v>
      </c>
    </row>
    <row r="2861" spans="1:17" x14ac:dyDescent="0.3">
      <c r="A2861" t="s">
        <v>6322</v>
      </c>
      <c r="C2861" t="s">
        <v>6323</v>
      </c>
      <c r="D2861" t="s">
        <v>6323</v>
      </c>
      <c r="E2861" s="5">
        <v>46280</v>
      </c>
      <c r="F2861" t="s">
        <v>204</v>
      </c>
      <c r="G2861" t="s">
        <v>220</v>
      </c>
      <c r="H2861">
        <v>4999</v>
      </c>
      <c r="I2861">
        <v>15</v>
      </c>
      <c r="J2861">
        <v>2.7</v>
      </c>
      <c r="K2861">
        <v>4981.3</v>
      </c>
      <c r="L2861" s="5">
        <v>46282</v>
      </c>
      <c r="M2861" t="s">
        <v>5944</v>
      </c>
      <c r="N2861" t="s">
        <v>207</v>
      </c>
      <c r="O2861" t="s">
        <v>6323</v>
      </c>
      <c r="P2861" t="s">
        <v>208</v>
      </c>
      <c r="Q2861" t="s">
        <v>209</v>
      </c>
    </row>
    <row r="2862" spans="1:17" x14ac:dyDescent="0.3">
      <c r="A2862" t="s">
        <v>6324</v>
      </c>
      <c r="C2862" t="s">
        <v>6325</v>
      </c>
      <c r="D2862" t="s">
        <v>6325</v>
      </c>
      <c r="E2862" s="5">
        <v>46280</v>
      </c>
      <c r="F2862" t="s">
        <v>204</v>
      </c>
      <c r="G2862" t="s">
        <v>220</v>
      </c>
      <c r="H2862">
        <v>5998</v>
      </c>
      <c r="I2862">
        <v>17.989999999999998</v>
      </c>
      <c r="J2862">
        <v>3.24</v>
      </c>
      <c r="K2862">
        <v>5976.77</v>
      </c>
      <c r="L2862" s="5">
        <v>46282</v>
      </c>
      <c r="M2862" t="s">
        <v>5944</v>
      </c>
      <c r="N2862" t="s">
        <v>207</v>
      </c>
      <c r="O2862" t="s">
        <v>6325</v>
      </c>
      <c r="P2862" t="s">
        <v>208</v>
      </c>
      <c r="Q2862" t="s">
        <v>209</v>
      </c>
    </row>
    <row r="2863" spans="1:17" x14ac:dyDescent="0.3">
      <c r="A2863" t="s">
        <v>6326</v>
      </c>
      <c r="C2863" t="s">
        <v>6327</v>
      </c>
      <c r="D2863" t="s">
        <v>6327</v>
      </c>
      <c r="E2863" s="5">
        <v>46280</v>
      </c>
      <c r="F2863" t="s">
        <v>204</v>
      </c>
      <c r="G2863" t="s">
        <v>220</v>
      </c>
      <c r="H2863">
        <v>1848</v>
      </c>
      <c r="I2863">
        <v>0</v>
      </c>
      <c r="J2863">
        <v>0</v>
      </c>
      <c r="K2863">
        <v>1848</v>
      </c>
      <c r="L2863" s="5">
        <v>46282</v>
      </c>
      <c r="M2863" t="s">
        <v>5944</v>
      </c>
      <c r="N2863" t="s">
        <v>207</v>
      </c>
      <c r="O2863" t="s">
        <v>6327</v>
      </c>
      <c r="P2863" t="s">
        <v>208</v>
      </c>
      <c r="Q2863" t="s">
        <v>209</v>
      </c>
    </row>
    <row r="2864" spans="1:17" x14ac:dyDescent="0.3">
      <c r="A2864" t="s">
        <v>6328</v>
      </c>
      <c r="C2864" t="s">
        <v>6329</v>
      </c>
      <c r="D2864" t="s">
        <v>6329</v>
      </c>
      <c r="E2864" s="5">
        <v>46280</v>
      </c>
      <c r="F2864" t="s">
        <v>204</v>
      </c>
      <c r="G2864" t="s">
        <v>220</v>
      </c>
      <c r="H2864">
        <v>3499</v>
      </c>
      <c r="I2864">
        <v>10.5</v>
      </c>
      <c r="J2864">
        <v>1.89</v>
      </c>
      <c r="K2864">
        <v>3486.61</v>
      </c>
      <c r="L2864" s="5">
        <v>46282</v>
      </c>
      <c r="M2864" t="s">
        <v>5944</v>
      </c>
      <c r="N2864" t="s">
        <v>207</v>
      </c>
      <c r="O2864" t="s">
        <v>6329</v>
      </c>
      <c r="P2864" t="s">
        <v>208</v>
      </c>
      <c r="Q2864" t="s">
        <v>209</v>
      </c>
    </row>
    <row r="2865" spans="1:17" x14ac:dyDescent="0.3">
      <c r="A2865" t="s">
        <v>6330</v>
      </c>
      <c r="C2865" t="s">
        <v>6331</v>
      </c>
      <c r="D2865" t="s">
        <v>6331</v>
      </c>
      <c r="E2865" s="5">
        <v>46280</v>
      </c>
      <c r="F2865" t="s">
        <v>204</v>
      </c>
      <c r="G2865" t="s">
        <v>220</v>
      </c>
      <c r="H2865">
        <v>1499</v>
      </c>
      <c r="I2865">
        <v>0</v>
      </c>
      <c r="J2865">
        <v>0</v>
      </c>
      <c r="K2865">
        <v>1499</v>
      </c>
      <c r="L2865" s="5">
        <v>46282</v>
      </c>
      <c r="M2865" t="s">
        <v>5944</v>
      </c>
      <c r="N2865" t="s">
        <v>207</v>
      </c>
      <c r="O2865" t="s">
        <v>6331</v>
      </c>
      <c r="P2865" t="s">
        <v>208</v>
      </c>
      <c r="Q2865" t="s">
        <v>209</v>
      </c>
    </row>
    <row r="2866" spans="1:17" x14ac:dyDescent="0.3">
      <c r="A2866" t="s">
        <v>6332</v>
      </c>
      <c r="C2866" t="s">
        <v>6333</v>
      </c>
      <c r="D2866" t="s">
        <v>6334</v>
      </c>
      <c r="E2866" s="5">
        <v>46280</v>
      </c>
      <c r="F2866" t="s">
        <v>204</v>
      </c>
      <c r="G2866" t="s">
        <v>213</v>
      </c>
      <c r="H2866">
        <v>4999</v>
      </c>
      <c r="I2866">
        <v>79.98</v>
      </c>
      <c r="J2866">
        <v>14.4</v>
      </c>
      <c r="K2866">
        <v>4904.62</v>
      </c>
      <c r="L2866" s="5">
        <v>46282</v>
      </c>
      <c r="M2866" t="s">
        <v>5944</v>
      </c>
      <c r="N2866" t="s">
        <v>207</v>
      </c>
      <c r="O2866" t="s">
        <v>6334</v>
      </c>
      <c r="P2866" t="s">
        <v>208</v>
      </c>
      <c r="Q2866" t="s">
        <v>209</v>
      </c>
    </row>
    <row r="2867" spans="1:17" x14ac:dyDescent="0.3">
      <c r="A2867" t="s">
        <v>6335</v>
      </c>
      <c r="C2867" t="s">
        <v>6336</v>
      </c>
      <c r="D2867" t="s">
        <v>6336</v>
      </c>
      <c r="E2867" s="5">
        <v>46280</v>
      </c>
      <c r="F2867" t="s">
        <v>204</v>
      </c>
      <c r="G2867" t="s">
        <v>213</v>
      </c>
      <c r="H2867">
        <v>6797</v>
      </c>
      <c r="I2867">
        <v>108.75</v>
      </c>
      <c r="J2867">
        <v>19.579999999999998</v>
      </c>
      <c r="K2867">
        <v>6668.67</v>
      </c>
      <c r="L2867" s="5">
        <v>46282</v>
      </c>
      <c r="M2867" t="s">
        <v>5944</v>
      </c>
      <c r="N2867" t="s">
        <v>207</v>
      </c>
      <c r="O2867" t="s">
        <v>6336</v>
      </c>
      <c r="P2867" t="s">
        <v>208</v>
      </c>
      <c r="Q2867" t="s">
        <v>209</v>
      </c>
    </row>
    <row r="2868" spans="1:17" x14ac:dyDescent="0.3">
      <c r="A2868" t="s">
        <v>6337</v>
      </c>
      <c r="C2868" t="s">
        <v>6338</v>
      </c>
      <c r="D2868" t="s">
        <v>6338</v>
      </c>
      <c r="E2868" s="5">
        <v>46280</v>
      </c>
      <c r="F2868" t="s">
        <v>204</v>
      </c>
      <c r="G2868" t="s">
        <v>220</v>
      </c>
      <c r="H2868">
        <v>3598</v>
      </c>
      <c r="I2868">
        <v>10.79</v>
      </c>
      <c r="J2868">
        <v>1.94</v>
      </c>
      <c r="K2868">
        <v>3585.27</v>
      </c>
      <c r="L2868" s="5">
        <v>46282</v>
      </c>
      <c r="M2868" t="s">
        <v>5944</v>
      </c>
      <c r="N2868" t="s">
        <v>207</v>
      </c>
      <c r="O2868" t="s">
        <v>6338</v>
      </c>
      <c r="P2868" t="s">
        <v>208</v>
      </c>
      <c r="Q2868" t="s">
        <v>209</v>
      </c>
    </row>
    <row r="2869" spans="1:17" x14ac:dyDescent="0.3">
      <c r="A2869" t="s">
        <v>6339</v>
      </c>
      <c r="C2869" t="s">
        <v>6340</v>
      </c>
      <c r="D2869" t="s">
        <v>6341</v>
      </c>
      <c r="E2869" s="5">
        <v>46280</v>
      </c>
      <c r="F2869" t="s">
        <v>204</v>
      </c>
      <c r="G2869" t="s">
        <v>220</v>
      </c>
      <c r="H2869">
        <v>1697</v>
      </c>
      <c r="I2869">
        <v>0</v>
      </c>
      <c r="J2869">
        <v>0</v>
      </c>
      <c r="K2869">
        <v>1697</v>
      </c>
      <c r="L2869" s="5">
        <v>46282</v>
      </c>
      <c r="M2869" t="s">
        <v>5944</v>
      </c>
      <c r="N2869" t="s">
        <v>207</v>
      </c>
      <c r="O2869" t="s">
        <v>6341</v>
      </c>
      <c r="P2869" t="s">
        <v>208</v>
      </c>
      <c r="Q2869" t="s">
        <v>209</v>
      </c>
    </row>
    <row r="2870" spans="1:17" x14ac:dyDescent="0.3">
      <c r="A2870" t="s">
        <v>6342</v>
      </c>
      <c r="C2870" t="s">
        <v>6343</v>
      </c>
      <c r="D2870" t="s">
        <v>6343</v>
      </c>
      <c r="E2870" s="5">
        <v>46280</v>
      </c>
      <c r="F2870" t="s">
        <v>204</v>
      </c>
      <c r="G2870" t="s">
        <v>255</v>
      </c>
      <c r="H2870">
        <v>5998</v>
      </c>
      <c r="I2870">
        <v>71.98</v>
      </c>
      <c r="J2870">
        <v>12.96</v>
      </c>
      <c r="K2870">
        <v>5913.06</v>
      </c>
      <c r="L2870" s="5">
        <v>46282</v>
      </c>
      <c r="M2870" t="s">
        <v>5944</v>
      </c>
      <c r="N2870" t="s">
        <v>207</v>
      </c>
      <c r="O2870" t="s">
        <v>6343</v>
      </c>
      <c r="P2870" t="s">
        <v>208</v>
      </c>
      <c r="Q2870" t="s">
        <v>209</v>
      </c>
    </row>
    <row r="2871" spans="1:17" x14ac:dyDescent="0.3">
      <c r="A2871" t="s">
        <v>6344</v>
      </c>
      <c r="C2871" t="s">
        <v>6345</v>
      </c>
      <c r="D2871" t="s">
        <v>6345</v>
      </c>
      <c r="E2871" s="5">
        <v>46280</v>
      </c>
      <c r="F2871" t="s">
        <v>204</v>
      </c>
      <c r="G2871" t="s">
        <v>205</v>
      </c>
      <c r="H2871">
        <v>698</v>
      </c>
      <c r="I2871">
        <v>13.26</v>
      </c>
      <c r="J2871">
        <v>2.39</v>
      </c>
      <c r="K2871">
        <v>682.35</v>
      </c>
      <c r="L2871" s="5">
        <v>46282</v>
      </c>
      <c r="M2871" t="s">
        <v>5944</v>
      </c>
      <c r="N2871" t="s">
        <v>207</v>
      </c>
      <c r="O2871" t="s">
        <v>6345</v>
      </c>
      <c r="P2871" t="s">
        <v>208</v>
      </c>
      <c r="Q2871" t="s">
        <v>209</v>
      </c>
    </row>
    <row r="2872" spans="1:17" x14ac:dyDescent="0.3">
      <c r="A2872" t="s">
        <v>6346</v>
      </c>
      <c r="C2872" t="s">
        <v>6347</v>
      </c>
      <c r="D2872" t="s">
        <v>6347</v>
      </c>
      <c r="E2872" s="5">
        <v>46280</v>
      </c>
      <c r="F2872" t="s">
        <v>204</v>
      </c>
      <c r="G2872" t="s">
        <v>205</v>
      </c>
      <c r="H2872">
        <v>1499</v>
      </c>
      <c r="I2872">
        <v>28.48</v>
      </c>
      <c r="J2872">
        <v>5.13</v>
      </c>
      <c r="K2872">
        <v>1465.39</v>
      </c>
      <c r="L2872" s="5">
        <v>46282</v>
      </c>
      <c r="M2872" t="s">
        <v>5944</v>
      </c>
      <c r="N2872" t="s">
        <v>207</v>
      </c>
      <c r="O2872" t="s">
        <v>6347</v>
      </c>
      <c r="P2872" t="s">
        <v>208</v>
      </c>
      <c r="Q2872" t="s">
        <v>209</v>
      </c>
    </row>
    <row r="2873" spans="1:17" x14ac:dyDescent="0.3">
      <c r="A2873" t="s">
        <v>6348</v>
      </c>
      <c r="C2873" t="s">
        <v>6349</v>
      </c>
      <c r="D2873" t="s">
        <v>6349</v>
      </c>
      <c r="E2873" s="5">
        <v>46280</v>
      </c>
      <c r="F2873" t="s">
        <v>204</v>
      </c>
      <c r="G2873" t="s">
        <v>220</v>
      </c>
      <c r="H2873">
        <v>1648</v>
      </c>
      <c r="I2873">
        <v>0</v>
      </c>
      <c r="J2873">
        <v>0</v>
      </c>
      <c r="K2873">
        <v>1648</v>
      </c>
      <c r="L2873" s="5">
        <v>46282</v>
      </c>
      <c r="M2873" t="s">
        <v>5944</v>
      </c>
      <c r="N2873" t="s">
        <v>207</v>
      </c>
      <c r="O2873" t="s">
        <v>6349</v>
      </c>
      <c r="P2873" t="s">
        <v>208</v>
      </c>
      <c r="Q2873" t="s">
        <v>209</v>
      </c>
    </row>
    <row r="2874" spans="1:17" x14ac:dyDescent="0.3">
      <c r="A2874" t="s">
        <v>6350</v>
      </c>
      <c r="B2874" t="s">
        <v>5519</v>
      </c>
      <c r="E2874" s="5">
        <v>46280</v>
      </c>
      <c r="F2874" t="s">
        <v>921</v>
      </c>
      <c r="G2874" t="s">
        <v>205</v>
      </c>
      <c r="H2874">
        <v>599</v>
      </c>
      <c r="I2874">
        <v>0</v>
      </c>
      <c r="J2874">
        <v>0</v>
      </c>
      <c r="K2874">
        <v>-599</v>
      </c>
      <c r="L2874" s="5">
        <v>46282</v>
      </c>
      <c r="M2874" t="s">
        <v>5944</v>
      </c>
      <c r="N2874" t="s">
        <v>207</v>
      </c>
      <c r="O2874" t="s">
        <v>5521</v>
      </c>
      <c r="P2874" t="s">
        <v>208</v>
      </c>
    </row>
    <row r="2875" spans="1:17" x14ac:dyDescent="0.3">
      <c r="A2875" t="s">
        <v>6351</v>
      </c>
      <c r="B2875" t="s">
        <v>4268</v>
      </c>
      <c r="E2875" s="5">
        <v>46280</v>
      </c>
      <c r="F2875" t="s">
        <v>921</v>
      </c>
      <c r="G2875" t="s">
        <v>220</v>
      </c>
      <c r="H2875">
        <v>2499</v>
      </c>
      <c r="I2875">
        <v>0</v>
      </c>
      <c r="J2875">
        <v>0</v>
      </c>
      <c r="K2875">
        <v>-2499</v>
      </c>
      <c r="L2875" s="5">
        <v>46282</v>
      </c>
      <c r="M2875" t="s">
        <v>5944</v>
      </c>
      <c r="N2875" t="s">
        <v>207</v>
      </c>
      <c r="O2875" t="s">
        <v>4269</v>
      </c>
      <c r="P2875" t="s">
        <v>208</v>
      </c>
    </row>
    <row r="2876" spans="1:17" x14ac:dyDescent="0.3">
      <c r="A2876" t="s">
        <v>6352</v>
      </c>
      <c r="B2876" t="s">
        <v>5257</v>
      </c>
      <c r="E2876" s="5">
        <v>46280</v>
      </c>
      <c r="F2876" t="s">
        <v>921</v>
      </c>
      <c r="G2876" t="s">
        <v>220</v>
      </c>
      <c r="H2876">
        <v>2499</v>
      </c>
      <c r="I2876">
        <v>0</v>
      </c>
      <c r="J2876">
        <v>0</v>
      </c>
      <c r="K2876">
        <v>-2499</v>
      </c>
      <c r="L2876" s="5">
        <v>46282</v>
      </c>
      <c r="M2876" t="s">
        <v>5944</v>
      </c>
      <c r="N2876" t="s">
        <v>207</v>
      </c>
      <c r="O2876" t="s">
        <v>5258</v>
      </c>
      <c r="P2876" t="s">
        <v>208</v>
      </c>
    </row>
    <row r="2877" spans="1:17" x14ac:dyDescent="0.3">
      <c r="A2877" t="s">
        <v>6353</v>
      </c>
      <c r="B2877" t="s">
        <v>5875</v>
      </c>
      <c r="E2877" s="5">
        <v>46280</v>
      </c>
      <c r="F2877" t="s">
        <v>921</v>
      </c>
      <c r="G2877" t="s">
        <v>255</v>
      </c>
      <c r="H2877">
        <v>3499</v>
      </c>
      <c r="I2877">
        <v>0</v>
      </c>
      <c r="J2877">
        <v>0</v>
      </c>
      <c r="K2877">
        <v>-3499</v>
      </c>
      <c r="L2877" s="5">
        <v>46282</v>
      </c>
      <c r="M2877" t="s">
        <v>5944</v>
      </c>
      <c r="N2877" t="s">
        <v>207</v>
      </c>
      <c r="O2877" t="s">
        <v>5876</v>
      </c>
      <c r="P2877" t="s">
        <v>208</v>
      </c>
    </row>
    <row r="2878" spans="1:17" x14ac:dyDescent="0.3">
      <c r="A2878" t="s">
        <v>6354</v>
      </c>
      <c r="B2878" t="s">
        <v>4436</v>
      </c>
      <c r="E2878" s="5">
        <v>46280</v>
      </c>
      <c r="F2878" t="s">
        <v>921</v>
      </c>
      <c r="G2878" t="s">
        <v>220</v>
      </c>
      <c r="H2878">
        <v>599</v>
      </c>
      <c r="I2878">
        <v>0</v>
      </c>
      <c r="J2878">
        <v>0</v>
      </c>
      <c r="K2878">
        <v>-599</v>
      </c>
      <c r="L2878" s="5">
        <v>46282</v>
      </c>
      <c r="M2878" t="s">
        <v>5944</v>
      </c>
      <c r="N2878" t="s">
        <v>207</v>
      </c>
      <c r="O2878" t="s">
        <v>4438</v>
      </c>
      <c r="P2878" t="s">
        <v>208</v>
      </c>
    </row>
    <row r="2879" spans="1:17" x14ac:dyDescent="0.3">
      <c r="A2879" t="s">
        <v>6355</v>
      </c>
      <c r="B2879" t="s">
        <v>5614</v>
      </c>
      <c r="E2879" s="5">
        <v>46280</v>
      </c>
      <c r="F2879" t="s">
        <v>921</v>
      </c>
      <c r="G2879" t="s">
        <v>213</v>
      </c>
      <c r="H2879">
        <v>1798</v>
      </c>
      <c r="I2879">
        <v>0</v>
      </c>
      <c r="J2879">
        <v>0</v>
      </c>
      <c r="K2879">
        <v>-1798</v>
      </c>
      <c r="L2879" s="5">
        <v>46282</v>
      </c>
      <c r="M2879" t="s">
        <v>5944</v>
      </c>
      <c r="N2879" t="s">
        <v>207</v>
      </c>
      <c r="O2879" t="s">
        <v>5615</v>
      </c>
      <c r="P2879" t="s">
        <v>208</v>
      </c>
    </row>
    <row r="2880" spans="1:17" x14ac:dyDescent="0.3">
      <c r="A2880" t="s">
        <v>6356</v>
      </c>
      <c r="B2880" t="s">
        <v>5664</v>
      </c>
      <c r="E2880" s="5">
        <v>46280</v>
      </c>
      <c r="F2880" t="s">
        <v>921</v>
      </c>
      <c r="G2880" t="s">
        <v>213</v>
      </c>
      <c r="H2880">
        <v>999</v>
      </c>
      <c r="I2880">
        <v>0</v>
      </c>
      <c r="J2880">
        <v>0</v>
      </c>
      <c r="K2880">
        <v>-999</v>
      </c>
      <c r="L2880" s="5">
        <v>46282</v>
      </c>
      <c r="M2880" t="s">
        <v>5944</v>
      </c>
      <c r="N2880" t="s">
        <v>207</v>
      </c>
      <c r="O2880" t="s">
        <v>5665</v>
      </c>
      <c r="P2880" t="s">
        <v>208</v>
      </c>
    </row>
    <row r="2881" spans="1:17" x14ac:dyDescent="0.3">
      <c r="A2881" t="s">
        <v>6357</v>
      </c>
      <c r="B2881" t="s">
        <v>4734</v>
      </c>
      <c r="E2881" s="5">
        <v>46280</v>
      </c>
      <c r="F2881" t="s">
        <v>921</v>
      </c>
      <c r="G2881" t="s">
        <v>220</v>
      </c>
      <c r="H2881">
        <v>1799</v>
      </c>
      <c r="I2881">
        <v>0</v>
      </c>
      <c r="J2881">
        <v>0</v>
      </c>
      <c r="K2881">
        <v>-1799</v>
      </c>
      <c r="L2881" s="5">
        <v>46282</v>
      </c>
      <c r="M2881" t="s">
        <v>5944</v>
      </c>
      <c r="N2881" t="s">
        <v>207</v>
      </c>
      <c r="O2881" t="s">
        <v>4735</v>
      </c>
      <c r="P2881" t="s">
        <v>208</v>
      </c>
    </row>
    <row r="2882" spans="1:17" x14ac:dyDescent="0.3">
      <c r="A2882" t="s">
        <v>6358</v>
      </c>
      <c r="B2882" t="s">
        <v>5539</v>
      </c>
      <c r="E2882" s="5">
        <v>46280</v>
      </c>
      <c r="F2882" t="s">
        <v>921</v>
      </c>
      <c r="G2882" t="s">
        <v>205</v>
      </c>
      <c r="H2882">
        <v>1898</v>
      </c>
      <c r="I2882">
        <v>0</v>
      </c>
      <c r="J2882">
        <v>0</v>
      </c>
      <c r="K2882">
        <v>-1898</v>
      </c>
      <c r="L2882" s="5">
        <v>46282</v>
      </c>
      <c r="M2882" t="s">
        <v>5944</v>
      </c>
      <c r="N2882" t="s">
        <v>207</v>
      </c>
      <c r="O2882" t="s">
        <v>5541</v>
      </c>
      <c r="P2882" t="s">
        <v>208</v>
      </c>
    </row>
    <row r="2883" spans="1:17" x14ac:dyDescent="0.3">
      <c r="A2883" t="s">
        <v>6359</v>
      </c>
      <c r="B2883" t="s">
        <v>3950</v>
      </c>
      <c r="E2883" s="5">
        <v>46280</v>
      </c>
      <c r="F2883" t="s">
        <v>921</v>
      </c>
      <c r="G2883" t="s">
        <v>220</v>
      </c>
      <c r="H2883">
        <v>1598</v>
      </c>
      <c r="I2883">
        <v>0</v>
      </c>
      <c r="J2883">
        <v>0</v>
      </c>
      <c r="K2883">
        <v>-1598</v>
      </c>
      <c r="L2883" s="5">
        <v>46282</v>
      </c>
      <c r="M2883" t="s">
        <v>5944</v>
      </c>
      <c r="N2883" t="s">
        <v>207</v>
      </c>
      <c r="O2883" t="s">
        <v>3951</v>
      </c>
      <c r="P2883" t="s">
        <v>208</v>
      </c>
    </row>
    <row r="2884" spans="1:17" x14ac:dyDescent="0.3">
      <c r="A2884" t="s">
        <v>6360</v>
      </c>
      <c r="B2884" t="s">
        <v>4200</v>
      </c>
      <c r="E2884" s="5">
        <v>46280</v>
      </c>
      <c r="F2884" t="s">
        <v>921</v>
      </c>
      <c r="G2884" t="s">
        <v>220</v>
      </c>
      <c r="H2884">
        <v>2999</v>
      </c>
      <c r="I2884">
        <v>0</v>
      </c>
      <c r="J2884">
        <v>0</v>
      </c>
      <c r="K2884">
        <v>-2999</v>
      </c>
      <c r="L2884" s="5">
        <v>46282</v>
      </c>
      <c r="M2884" t="s">
        <v>5944</v>
      </c>
      <c r="N2884" t="s">
        <v>207</v>
      </c>
      <c r="O2884" t="s">
        <v>4201</v>
      </c>
      <c r="P2884" t="s">
        <v>208</v>
      </c>
    </row>
    <row r="2885" spans="1:17" x14ac:dyDescent="0.3">
      <c r="A2885" t="s">
        <v>6361</v>
      </c>
      <c r="B2885" t="s">
        <v>5422</v>
      </c>
      <c r="E2885" s="5">
        <v>46280</v>
      </c>
      <c r="F2885" t="s">
        <v>921</v>
      </c>
      <c r="G2885" t="s">
        <v>205</v>
      </c>
      <c r="H2885">
        <v>299</v>
      </c>
      <c r="I2885">
        <v>0</v>
      </c>
      <c r="J2885">
        <v>0</v>
      </c>
      <c r="K2885">
        <v>-299</v>
      </c>
      <c r="L2885" s="5">
        <v>46282</v>
      </c>
      <c r="M2885" t="s">
        <v>5944</v>
      </c>
      <c r="N2885" t="s">
        <v>207</v>
      </c>
      <c r="O2885" t="s">
        <v>5423</v>
      </c>
      <c r="P2885" t="s">
        <v>208</v>
      </c>
    </row>
    <row r="2886" spans="1:17" x14ac:dyDescent="0.3">
      <c r="A2886" t="s">
        <v>6362</v>
      </c>
      <c r="B2886" t="s">
        <v>4553</v>
      </c>
      <c r="E2886" s="5">
        <v>46280</v>
      </c>
      <c r="F2886" t="s">
        <v>921</v>
      </c>
      <c r="G2886" t="s">
        <v>220</v>
      </c>
      <c r="H2886">
        <v>499</v>
      </c>
      <c r="I2886">
        <v>0</v>
      </c>
      <c r="J2886">
        <v>0</v>
      </c>
      <c r="K2886">
        <v>-499</v>
      </c>
      <c r="L2886" s="5">
        <v>46282</v>
      </c>
      <c r="M2886" t="s">
        <v>5944</v>
      </c>
      <c r="N2886" t="s">
        <v>207</v>
      </c>
      <c r="O2886" t="s">
        <v>4554</v>
      </c>
      <c r="P2886" t="s">
        <v>208</v>
      </c>
    </row>
    <row r="2887" spans="1:17" x14ac:dyDescent="0.3">
      <c r="A2887" t="s">
        <v>6363</v>
      </c>
      <c r="C2887" t="s">
        <v>6364</v>
      </c>
      <c r="D2887" t="s">
        <v>6365</v>
      </c>
      <c r="E2887" s="5">
        <v>46281</v>
      </c>
      <c r="F2887" t="s">
        <v>204</v>
      </c>
      <c r="G2887" t="s">
        <v>220</v>
      </c>
      <c r="H2887">
        <v>1098</v>
      </c>
      <c r="I2887">
        <v>0</v>
      </c>
      <c r="J2887">
        <v>0</v>
      </c>
      <c r="K2887">
        <v>1098</v>
      </c>
      <c r="L2887" s="5">
        <v>46283</v>
      </c>
      <c r="M2887" t="s">
        <v>6366</v>
      </c>
      <c r="N2887" t="s">
        <v>207</v>
      </c>
      <c r="O2887" t="s">
        <v>6365</v>
      </c>
      <c r="P2887" t="s">
        <v>208</v>
      </c>
      <c r="Q2887" t="s">
        <v>209</v>
      </c>
    </row>
    <row r="2888" spans="1:17" x14ac:dyDescent="0.3">
      <c r="A2888" t="s">
        <v>6367</v>
      </c>
      <c r="C2888" t="s">
        <v>6368</v>
      </c>
      <c r="D2888" t="s">
        <v>6368</v>
      </c>
      <c r="E2888" s="5">
        <v>46281</v>
      </c>
      <c r="F2888" t="s">
        <v>204</v>
      </c>
      <c r="G2888" t="s">
        <v>220</v>
      </c>
      <c r="H2888">
        <v>349</v>
      </c>
      <c r="I2888">
        <v>0</v>
      </c>
      <c r="J2888">
        <v>0</v>
      </c>
      <c r="K2888">
        <v>349</v>
      </c>
      <c r="L2888" s="5">
        <v>46283</v>
      </c>
      <c r="M2888" t="s">
        <v>6366</v>
      </c>
      <c r="N2888" t="s">
        <v>207</v>
      </c>
      <c r="O2888" t="s">
        <v>6368</v>
      </c>
      <c r="P2888" t="s">
        <v>208</v>
      </c>
      <c r="Q2888" t="s">
        <v>209</v>
      </c>
    </row>
    <row r="2889" spans="1:17" x14ac:dyDescent="0.3">
      <c r="A2889" t="s">
        <v>6369</v>
      </c>
      <c r="C2889" t="s">
        <v>6370</v>
      </c>
      <c r="D2889" t="s">
        <v>6370</v>
      </c>
      <c r="E2889" s="5">
        <v>46281</v>
      </c>
      <c r="F2889" t="s">
        <v>204</v>
      </c>
      <c r="G2889" t="s">
        <v>213</v>
      </c>
      <c r="H2889">
        <v>4298</v>
      </c>
      <c r="I2889">
        <v>68.77</v>
      </c>
      <c r="J2889">
        <v>12.38</v>
      </c>
      <c r="K2889">
        <v>4216.8500000000004</v>
      </c>
      <c r="L2889" s="5">
        <v>46283</v>
      </c>
      <c r="M2889" t="s">
        <v>6366</v>
      </c>
      <c r="N2889" t="s">
        <v>207</v>
      </c>
      <c r="O2889" t="s">
        <v>6370</v>
      </c>
      <c r="P2889" t="s">
        <v>208</v>
      </c>
      <c r="Q2889" t="s">
        <v>209</v>
      </c>
    </row>
    <row r="2890" spans="1:17" x14ac:dyDescent="0.3">
      <c r="A2890" t="s">
        <v>6371</v>
      </c>
      <c r="C2890" t="s">
        <v>6372</v>
      </c>
      <c r="D2890" t="s">
        <v>6373</v>
      </c>
      <c r="E2890" s="5">
        <v>46281</v>
      </c>
      <c r="F2890" t="s">
        <v>204</v>
      </c>
      <c r="G2890" t="s">
        <v>205</v>
      </c>
      <c r="H2890">
        <v>1499</v>
      </c>
      <c r="I2890">
        <v>28.48</v>
      </c>
      <c r="J2890">
        <v>5.13</v>
      </c>
      <c r="K2890">
        <v>1465.39</v>
      </c>
      <c r="L2890" s="5">
        <v>46283</v>
      </c>
      <c r="M2890" t="s">
        <v>6366</v>
      </c>
      <c r="N2890" t="s">
        <v>207</v>
      </c>
      <c r="O2890" t="s">
        <v>6373</v>
      </c>
      <c r="P2890" t="s">
        <v>208</v>
      </c>
      <c r="Q2890" t="s">
        <v>209</v>
      </c>
    </row>
    <row r="2891" spans="1:17" x14ac:dyDescent="0.3">
      <c r="A2891" t="s">
        <v>6374</v>
      </c>
      <c r="C2891" t="s">
        <v>6375</v>
      </c>
      <c r="D2891" t="s">
        <v>6375</v>
      </c>
      <c r="E2891" s="5">
        <v>46281</v>
      </c>
      <c r="F2891" t="s">
        <v>204</v>
      </c>
      <c r="G2891" t="s">
        <v>220</v>
      </c>
      <c r="H2891">
        <v>3998</v>
      </c>
      <c r="I2891">
        <v>11.99</v>
      </c>
      <c r="J2891">
        <v>2.16</v>
      </c>
      <c r="K2891">
        <v>3983.85</v>
      </c>
      <c r="L2891" s="5">
        <v>46283</v>
      </c>
      <c r="M2891" t="s">
        <v>6366</v>
      </c>
      <c r="N2891" t="s">
        <v>207</v>
      </c>
      <c r="O2891" t="s">
        <v>6375</v>
      </c>
      <c r="P2891" t="s">
        <v>208</v>
      </c>
      <c r="Q2891" t="s">
        <v>209</v>
      </c>
    </row>
    <row r="2892" spans="1:17" x14ac:dyDescent="0.3">
      <c r="A2892" t="s">
        <v>6376</v>
      </c>
      <c r="C2892" t="s">
        <v>6377</v>
      </c>
      <c r="D2892" t="s">
        <v>6377</v>
      </c>
      <c r="E2892" s="5">
        <v>46281</v>
      </c>
      <c r="F2892" t="s">
        <v>204</v>
      </c>
      <c r="G2892" t="s">
        <v>213</v>
      </c>
      <c r="H2892">
        <v>599</v>
      </c>
      <c r="I2892">
        <v>10.78</v>
      </c>
      <c r="J2892">
        <v>1.94</v>
      </c>
      <c r="K2892">
        <v>586.28</v>
      </c>
      <c r="L2892" s="5">
        <v>46283</v>
      </c>
      <c r="M2892" t="s">
        <v>6366</v>
      </c>
      <c r="N2892" t="s">
        <v>207</v>
      </c>
      <c r="O2892" t="s">
        <v>6377</v>
      </c>
      <c r="P2892" t="s">
        <v>208</v>
      </c>
      <c r="Q2892" t="s">
        <v>209</v>
      </c>
    </row>
    <row r="2893" spans="1:17" x14ac:dyDescent="0.3">
      <c r="A2893" t="s">
        <v>6378</v>
      </c>
      <c r="C2893" t="s">
        <v>6379</v>
      </c>
      <c r="D2893" t="s">
        <v>6379</v>
      </c>
      <c r="E2893" s="5">
        <v>46281</v>
      </c>
      <c r="F2893" t="s">
        <v>204</v>
      </c>
      <c r="G2893" t="s">
        <v>220</v>
      </c>
      <c r="H2893">
        <v>599</v>
      </c>
      <c r="I2893">
        <v>0</v>
      </c>
      <c r="J2893">
        <v>0</v>
      </c>
      <c r="K2893">
        <v>599</v>
      </c>
      <c r="L2893" s="5">
        <v>46283</v>
      </c>
      <c r="M2893" t="s">
        <v>6366</v>
      </c>
      <c r="N2893" t="s">
        <v>207</v>
      </c>
      <c r="O2893" t="s">
        <v>6379</v>
      </c>
      <c r="P2893" t="s">
        <v>208</v>
      </c>
      <c r="Q2893" t="s">
        <v>209</v>
      </c>
    </row>
    <row r="2894" spans="1:17" x14ac:dyDescent="0.3">
      <c r="A2894" t="s">
        <v>6380</v>
      </c>
      <c r="C2894" t="s">
        <v>6381</v>
      </c>
      <c r="D2894" t="s">
        <v>6382</v>
      </c>
      <c r="E2894" s="5">
        <v>46281</v>
      </c>
      <c r="F2894" t="s">
        <v>204</v>
      </c>
      <c r="G2894" t="s">
        <v>255</v>
      </c>
      <c r="H2894">
        <v>2798</v>
      </c>
      <c r="I2894">
        <v>33.58</v>
      </c>
      <c r="J2894">
        <v>6.04</v>
      </c>
      <c r="K2894">
        <v>2758.38</v>
      </c>
      <c r="L2894" s="5">
        <v>46283</v>
      </c>
      <c r="M2894" t="s">
        <v>6366</v>
      </c>
      <c r="N2894" t="s">
        <v>207</v>
      </c>
      <c r="O2894" t="s">
        <v>6382</v>
      </c>
      <c r="P2894" t="s">
        <v>208</v>
      </c>
      <c r="Q2894" t="s">
        <v>209</v>
      </c>
    </row>
    <row r="2895" spans="1:17" x14ac:dyDescent="0.3">
      <c r="A2895" t="s">
        <v>6383</v>
      </c>
      <c r="C2895" t="s">
        <v>6384</v>
      </c>
      <c r="D2895" t="s">
        <v>6384</v>
      </c>
      <c r="E2895" s="5">
        <v>46281</v>
      </c>
      <c r="F2895" t="s">
        <v>204</v>
      </c>
      <c r="G2895" t="s">
        <v>220</v>
      </c>
      <c r="H2895">
        <v>349</v>
      </c>
      <c r="I2895">
        <v>0</v>
      </c>
      <c r="J2895">
        <v>0</v>
      </c>
      <c r="K2895">
        <v>349</v>
      </c>
      <c r="L2895" s="5">
        <v>46283</v>
      </c>
      <c r="M2895" t="s">
        <v>6366</v>
      </c>
      <c r="N2895" t="s">
        <v>207</v>
      </c>
      <c r="O2895" t="s">
        <v>6384</v>
      </c>
      <c r="P2895" t="s">
        <v>208</v>
      </c>
      <c r="Q2895" t="s">
        <v>209</v>
      </c>
    </row>
    <row r="2896" spans="1:17" x14ac:dyDescent="0.3">
      <c r="A2896" t="s">
        <v>6385</v>
      </c>
      <c r="C2896" t="s">
        <v>6386</v>
      </c>
      <c r="D2896" t="s">
        <v>6386</v>
      </c>
      <c r="E2896" s="5">
        <v>46281</v>
      </c>
      <c r="F2896" t="s">
        <v>204</v>
      </c>
      <c r="G2896" t="s">
        <v>220</v>
      </c>
      <c r="H2896">
        <v>799</v>
      </c>
      <c r="I2896">
        <v>0</v>
      </c>
      <c r="J2896">
        <v>0</v>
      </c>
      <c r="K2896">
        <v>799</v>
      </c>
      <c r="L2896" s="5">
        <v>46283</v>
      </c>
      <c r="M2896" t="s">
        <v>6366</v>
      </c>
      <c r="N2896" t="s">
        <v>207</v>
      </c>
      <c r="O2896" t="s">
        <v>6386</v>
      </c>
      <c r="P2896" t="s">
        <v>208</v>
      </c>
      <c r="Q2896" t="s">
        <v>209</v>
      </c>
    </row>
    <row r="2897" spans="1:17" x14ac:dyDescent="0.3">
      <c r="A2897" t="s">
        <v>6387</v>
      </c>
      <c r="C2897" t="s">
        <v>6388</v>
      </c>
      <c r="D2897" t="s">
        <v>6388</v>
      </c>
      <c r="E2897" s="5">
        <v>46281</v>
      </c>
      <c r="F2897" t="s">
        <v>204</v>
      </c>
      <c r="G2897" t="s">
        <v>220</v>
      </c>
      <c r="H2897">
        <v>2499</v>
      </c>
      <c r="I2897">
        <v>7.5</v>
      </c>
      <c r="J2897">
        <v>1.35</v>
      </c>
      <c r="K2897">
        <v>2490.15</v>
      </c>
      <c r="L2897" s="5">
        <v>46283</v>
      </c>
      <c r="M2897" t="s">
        <v>6366</v>
      </c>
      <c r="N2897" t="s">
        <v>207</v>
      </c>
      <c r="O2897" t="s">
        <v>6388</v>
      </c>
      <c r="P2897" t="s">
        <v>208</v>
      </c>
      <c r="Q2897" t="s">
        <v>209</v>
      </c>
    </row>
    <row r="2898" spans="1:17" x14ac:dyDescent="0.3">
      <c r="A2898" t="s">
        <v>6389</v>
      </c>
      <c r="C2898" t="s">
        <v>6390</v>
      </c>
      <c r="D2898" t="s">
        <v>6390</v>
      </c>
      <c r="E2898" s="5">
        <v>46281</v>
      </c>
      <c r="F2898" t="s">
        <v>204</v>
      </c>
      <c r="G2898" t="s">
        <v>213</v>
      </c>
      <c r="H2898">
        <v>1799</v>
      </c>
      <c r="I2898">
        <v>32.380000000000003</v>
      </c>
      <c r="J2898">
        <v>5.83</v>
      </c>
      <c r="K2898">
        <v>1760.79</v>
      </c>
      <c r="L2898" s="5">
        <v>46283</v>
      </c>
      <c r="M2898" t="s">
        <v>6366</v>
      </c>
      <c r="N2898" t="s">
        <v>207</v>
      </c>
      <c r="O2898" t="s">
        <v>6390</v>
      </c>
      <c r="P2898" t="s">
        <v>208</v>
      </c>
      <c r="Q2898" t="s">
        <v>209</v>
      </c>
    </row>
    <row r="2899" spans="1:17" x14ac:dyDescent="0.3">
      <c r="A2899" t="s">
        <v>6391</v>
      </c>
      <c r="C2899" t="s">
        <v>6392</v>
      </c>
      <c r="D2899" t="s">
        <v>6392</v>
      </c>
      <c r="E2899" s="5">
        <v>46281</v>
      </c>
      <c r="F2899" t="s">
        <v>204</v>
      </c>
      <c r="G2899" t="s">
        <v>213</v>
      </c>
      <c r="H2899">
        <v>999</v>
      </c>
      <c r="I2899">
        <v>17.98</v>
      </c>
      <c r="J2899">
        <v>3.24</v>
      </c>
      <c r="K2899">
        <v>977.78</v>
      </c>
      <c r="L2899" s="5">
        <v>46283</v>
      </c>
      <c r="M2899" t="s">
        <v>6366</v>
      </c>
      <c r="N2899" t="s">
        <v>207</v>
      </c>
      <c r="O2899" t="s">
        <v>6392</v>
      </c>
      <c r="P2899" t="s">
        <v>208</v>
      </c>
      <c r="Q2899" t="s">
        <v>209</v>
      </c>
    </row>
    <row r="2900" spans="1:17" x14ac:dyDescent="0.3">
      <c r="A2900" t="s">
        <v>6393</v>
      </c>
      <c r="C2900" t="s">
        <v>6394</v>
      </c>
      <c r="D2900" t="s">
        <v>6394</v>
      </c>
      <c r="E2900" s="5">
        <v>46281</v>
      </c>
      <c r="F2900" t="s">
        <v>204</v>
      </c>
      <c r="G2900" t="s">
        <v>220</v>
      </c>
      <c r="H2900">
        <v>598</v>
      </c>
      <c r="I2900">
        <v>0</v>
      </c>
      <c r="J2900">
        <v>0</v>
      </c>
      <c r="K2900">
        <v>598</v>
      </c>
      <c r="L2900" s="5">
        <v>46283</v>
      </c>
      <c r="M2900" t="s">
        <v>6366</v>
      </c>
      <c r="N2900" t="s">
        <v>207</v>
      </c>
      <c r="O2900" t="s">
        <v>6394</v>
      </c>
      <c r="P2900" t="s">
        <v>208</v>
      </c>
      <c r="Q2900" t="s">
        <v>209</v>
      </c>
    </row>
    <row r="2901" spans="1:17" x14ac:dyDescent="0.3">
      <c r="A2901" t="s">
        <v>6395</v>
      </c>
      <c r="C2901" t="s">
        <v>6396</v>
      </c>
      <c r="D2901" t="s">
        <v>6396</v>
      </c>
      <c r="E2901" s="5">
        <v>46281</v>
      </c>
      <c r="F2901" t="s">
        <v>204</v>
      </c>
      <c r="G2901" t="s">
        <v>220</v>
      </c>
      <c r="H2901">
        <v>1898</v>
      </c>
      <c r="I2901">
        <v>0</v>
      </c>
      <c r="J2901">
        <v>0</v>
      </c>
      <c r="K2901">
        <v>1898</v>
      </c>
      <c r="L2901" s="5">
        <v>46283</v>
      </c>
      <c r="M2901" t="s">
        <v>6366</v>
      </c>
      <c r="N2901" t="s">
        <v>207</v>
      </c>
      <c r="O2901" t="s">
        <v>6396</v>
      </c>
      <c r="P2901" t="s">
        <v>208</v>
      </c>
      <c r="Q2901" t="s">
        <v>209</v>
      </c>
    </row>
    <row r="2902" spans="1:17" x14ac:dyDescent="0.3">
      <c r="A2902" t="s">
        <v>6397</v>
      </c>
      <c r="C2902" t="s">
        <v>6398</v>
      </c>
      <c r="D2902" t="s">
        <v>6398</v>
      </c>
      <c r="E2902" s="5">
        <v>46281</v>
      </c>
      <c r="F2902" t="s">
        <v>204</v>
      </c>
      <c r="G2902" t="s">
        <v>213</v>
      </c>
      <c r="H2902">
        <v>2499</v>
      </c>
      <c r="I2902">
        <v>39.979999999999997</v>
      </c>
      <c r="J2902">
        <v>7.2</v>
      </c>
      <c r="K2902">
        <v>2451.8200000000002</v>
      </c>
      <c r="L2902" s="5">
        <v>46283</v>
      </c>
      <c r="M2902" t="s">
        <v>6366</v>
      </c>
      <c r="N2902" t="s">
        <v>207</v>
      </c>
      <c r="O2902" t="s">
        <v>6398</v>
      </c>
      <c r="P2902" t="s">
        <v>208</v>
      </c>
      <c r="Q2902" t="s">
        <v>209</v>
      </c>
    </row>
    <row r="2903" spans="1:17" x14ac:dyDescent="0.3">
      <c r="A2903" t="s">
        <v>6399</v>
      </c>
      <c r="C2903" t="s">
        <v>6400</v>
      </c>
      <c r="D2903" t="s">
        <v>6400</v>
      </c>
      <c r="E2903" s="5">
        <v>46281</v>
      </c>
      <c r="F2903" t="s">
        <v>204</v>
      </c>
      <c r="G2903" t="s">
        <v>213</v>
      </c>
      <c r="H2903">
        <v>999</v>
      </c>
      <c r="I2903">
        <v>17.98</v>
      </c>
      <c r="J2903">
        <v>3.24</v>
      </c>
      <c r="K2903">
        <v>977.78</v>
      </c>
      <c r="L2903" s="5">
        <v>46283</v>
      </c>
      <c r="M2903" t="s">
        <v>6366</v>
      </c>
      <c r="N2903" t="s">
        <v>207</v>
      </c>
      <c r="O2903" t="s">
        <v>6400</v>
      </c>
      <c r="P2903" t="s">
        <v>208</v>
      </c>
      <c r="Q2903" t="s">
        <v>209</v>
      </c>
    </row>
    <row r="2904" spans="1:17" x14ac:dyDescent="0.3">
      <c r="A2904" t="s">
        <v>6401</v>
      </c>
      <c r="C2904" t="s">
        <v>6402</v>
      </c>
      <c r="D2904" t="s">
        <v>6402</v>
      </c>
      <c r="E2904" s="5">
        <v>46281</v>
      </c>
      <c r="F2904" t="s">
        <v>204</v>
      </c>
      <c r="G2904" t="s">
        <v>205</v>
      </c>
      <c r="H2904">
        <v>6798</v>
      </c>
      <c r="I2904">
        <v>115.57</v>
      </c>
      <c r="J2904">
        <v>20.8</v>
      </c>
      <c r="K2904">
        <v>6661.63</v>
      </c>
      <c r="L2904" s="5">
        <v>46283</v>
      </c>
      <c r="M2904" t="s">
        <v>6366</v>
      </c>
      <c r="N2904" t="s">
        <v>207</v>
      </c>
      <c r="O2904" t="s">
        <v>6402</v>
      </c>
      <c r="P2904" t="s">
        <v>208</v>
      </c>
      <c r="Q2904" t="s">
        <v>209</v>
      </c>
    </row>
    <row r="2905" spans="1:17" x14ac:dyDescent="0.3">
      <c r="A2905" t="s">
        <v>6403</v>
      </c>
      <c r="C2905" t="s">
        <v>6404</v>
      </c>
      <c r="D2905" t="s">
        <v>6404</v>
      </c>
      <c r="E2905" s="5">
        <v>46281</v>
      </c>
      <c r="F2905" t="s">
        <v>204</v>
      </c>
      <c r="G2905" t="s">
        <v>213</v>
      </c>
      <c r="H2905">
        <v>2999</v>
      </c>
      <c r="I2905">
        <v>47.98</v>
      </c>
      <c r="J2905">
        <v>8.64</v>
      </c>
      <c r="K2905">
        <v>2942.38</v>
      </c>
      <c r="L2905" s="5">
        <v>46283</v>
      </c>
      <c r="M2905" t="s">
        <v>6366</v>
      </c>
      <c r="N2905" t="s">
        <v>207</v>
      </c>
      <c r="O2905" t="s">
        <v>6404</v>
      </c>
      <c r="P2905" t="s">
        <v>208</v>
      </c>
      <c r="Q2905" t="s">
        <v>209</v>
      </c>
    </row>
    <row r="2906" spans="1:17" x14ac:dyDescent="0.3">
      <c r="A2906" t="s">
        <v>6405</v>
      </c>
      <c r="C2906" t="s">
        <v>6406</v>
      </c>
      <c r="D2906" t="s">
        <v>6406</v>
      </c>
      <c r="E2906" s="5">
        <v>46281</v>
      </c>
      <c r="F2906" t="s">
        <v>204</v>
      </c>
      <c r="G2906" t="s">
        <v>220</v>
      </c>
      <c r="H2906">
        <v>3647</v>
      </c>
      <c r="I2906">
        <v>10.94</v>
      </c>
      <c r="J2906">
        <v>1.97</v>
      </c>
      <c r="K2906">
        <v>3634.09</v>
      </c>
      <c r="L2906" s="5">
        <v>46283</v>
      </c>
      <c r="M2906" t="s">
        <v>6366</v>
      </c>
      <c r="N2906" t="s">
        <v>207</v>
      </c>
      <c r="O2906" t="s">
        <v>6406</v>
      </c>
      <c r="P2906" t="s">
        <v>208</v>
      </c>
      <c r="Q2906" t="s">
        <v>209</v>
      </c>
    </row>
    <row r="2907" spans="1:17" x14ac:dyDescent="0.3">
      <c r="A2907" t="s">
        <v>6407</v>
      </c>
      <c r="C2907" t="s">
        <v>6408</v>
      </c>
      <c r="D2907" t="s">
        <v>6408</v>
      </c>
      <c r="E2907" s="5">
        <v>46281</v>
      </c>
      <c r="F2907" t="s">
        <v>204</v>
      </c>
      <c r="G2907" t="s">
        <v>213</v>
      </c>
      <c r="H2907">
        <v>7597</v>
      </c>
      <c r="I2907">
        <v>121.55</v>
      </c>
      <c r="J2907">
        <v>21.88</v>
      </c>
      <c r="K2907">
        <v>7453.57</v>
      </c>
      <c r="L2907" s="5">
        <v>46283</v>
      </c>
      <c r="M2907" t="s">
        <v>6366</v>
      </c>
      <c r="N2907" t="s">
        <v>207</v>
      </c>
      <c r="O2907" t="s">
        <v>6408</v>
      </c>
      <c r="P2907" t="s">
        <v>208</v>
      </c>
      <c r="Q2907" t="s">
        <v>209</v>
      </c>
    </row>
    <row r="2908" spans="1:17" x14ac:dyDescent="0.3">
      <c r="A2908" t="s">
        <v>6409</v>
      </c>
      <c r="C2908" t="s">
        <v>6410</v>
      </c>
      <c r="D2908" t="s">
        <v>6410</v>
      </c>
      <c r="E2908" s="5">
        <v>46281</v>
      </c>
      <c r="F2908" t="s">
        <v>204</v>
      </c>
      <c r="G2908" t="s">
        <v>220</v>
      </c>
      <c r="H2908">
        <v>898</v>
      </c>
      <c r="I2908">
        <v>0</v>
      </c>
      <c r="J2908">
        <v>0</v>
      </c>
      <c r="K2908">
        <v>898</v>
      </c>
      <c r="L2908" s="5">
        <v>46283</v>
      </c>
      <c r="M2908" t="s">
        <v>6366</v>
      </c>
      <c r="N2908" t="s">
        <v>207</v>
      </c>
      <c r="O2908" t="s">
        <v>6410</v>
      </c>
      <c r="P2908" t="s">
        <v>208</v>
      </c>
      <c r="Q2908" t="s">
        <v>209</v>
      </c>
    </row>
    <row r="2909" spans="1:17" x14ac:dyDescent="0.3">
      <c r="A2909" t="s">
        <v>6411</v>
      </c>
      <c r="C2909" t="s">
        <v>6412</v>
      </c>
      <c r="D2909" t="s">
        <v>6412</v>
      </c>
      <c r="E2909" s="5">
        <v>46281</v>
      </c>
      <c r="F2909" t="s">
        <v>204</v>
      </c>
      <c r="G2909" t="s">
        <v>220</v>
      </c>
      <c r="H2909">
        <v>499</v>
      </c>
      <c r="I2909">
        <v>0</v>
      </c>
      <c r="J2909">
        <v>0</v>
      </c>
      <c r="K2909">
        <v>499</v>
      </c>
      <c r="L2909" s="5">
        <v>46283</v>
      </c>
      <c r="M2909" t="s">
        <v>6366</v>
      </c>
      <c r="N2909" t="s">
        <v>207</v>
      </c>
      <c r="O2909" t="s">
        <v>6412</v>
      </c>
      <c r="P2909" t="s">
        <v>208</v>
      </c>
      <c r="Q2909" t="s">
        <v>209</v>
      </c>
    </row>
    <row r="2910" spans="1:17" x14ac:dyDescent="0.3">
      <c r="A2910" t="s">
        <v>6413</v>
      </c>
      <c r="C2910" t="s">
        <v>6414</v>
      </c>
      <c r="D2910" t="s">
        <v>6414</v>
      </c>
      <c r="E2910" s="5">
        <v>46281</v>
      </c>
      <c r="F2910" t="s">
        <v>204</v>
      </c>
      <c r="G2910" t="s">
        <v>220</v>
      </c>
      <c r="H2910">
        <v>7097</v>
      </c>
      <c r="I2910">
        <v>21.29</v>
      </c>
      <c r="J2910">
        <v>3.83</v>
      </c>
      <c r="K2910">
        <v>7071.88</v>
      </c>
      <c r="L2910" s="5">
        <v>46283</v>
      </c>
      <c r="M2910" t="s">
        <v>6366</v>
      </c>
      <c r="N2910" t="s">
        <v>207</v>
      </c>
      <c r="O2910" t="s">
        <v>6414</v>
      </c>
      <c r="P2910" t="s">
        <v>208</v>
      </c>
      <c r="Q2910" t="s">
        <v>209</v>
      </c>
    </row>
    <row r="2911" spans="1:17" x14ac:dyDescent="0.3">
      <c r="A2911" t="s">
        <v>6415</v>
      </c>
      <c r="C2911" t="s">
        <v>6416</v>
      </c>
      <c r="D2911" t="s">
        <v>6416</v>
      </c>
      <c r="E2911" s="5">
        <v>46281</v>
      </c>
      <c r="F2911" t="s">
        <v>204</v>
      </c>
      <c r="G2911" t="s">
        <v>220</v>
      </c>
      <c r="H2911">
        <v>349</v>
      </c>
      <c r="I2911">
        <v>0</v>
      </c>
      <c r="J2911">
        <v>0</v>
      </c>
      <c r="K2911">
        <v>349</v>
      </c>
      <c r="L2911" s="5">
        <v>46283</v>
      </c>
      <c r="M2911" t="s">
        <v>6366</v>
      </c>
      <c r="N2911" t="s">
        <v>207</v>
      </c>
      <c r="O2911" t="s">
        <v>6416</v>
      </c>
      <c r="P2911" t="s">
        <v>208</v>
      </c>
      <c r="Q2911" t="s">
        <v>209</v>
      </c>
    </row>
    <row r="2912" spans="1:17" x14ac:dyDescent="0.3">
      <c r="A2912" t="s">
        <v>6417</v>
      </c>
      <c r="C2912" t="s">
        <v>6418</v>
      </c>
      <c r="D2912" t="s">
        <v>6418</v>
      </c>
      <c r="E2912" s="5">
        <v>46281</v>
      </c>
      <c r="F2912" t="s">
        <v>204</v>
      </c>
      <c r="G2912" t="s">
        <v>213</v>
      </c>
      <c r="H2912">
        <v>9298</v>
      </c>
      <c r="I2912">
        <v>148.77000000000001</v>
      </c>
      <c r="J2912">
        <v>26.78</v>
      </c>
      <c r="K2912">
        <v>9122.4500000000007</v>
      </c>
      <c r="L2912" s="5">
        <v>46283</v>
      </c>
      <c r="M2912" t="s">
        <v>6366</v>
      </c>
      <c r="N2912" t="s">
        <v>207</v>
      </c>
      <c r="O2912" t="s">
        <v>6418</v>
      </c>
      <c r="P2912" t="s">
        <v>208</v>
      </c>
      <c r="Q2912" t="s">
        <v>209</v>
      </c>
    </row>
    <row r="2913" spans="1:17" x14ac:dyDescent="0.3">
      <c r="A2913" t="s">
        <v>6419</v>
      </c>
      <c r="C2913" t="s">
        <v>6420</v>
      </c>
      <c r="D2913" t="s">
        <v>6420</v>
      </c>
      <c r="E2913" s="5">
        <v>46281</v>
      </c>
      <c r="F2913" t="s">
        <v>204</v>
      </c>
      <c r="G2913" t="s">
        <v>220</v>
      </c>
      <c r="H2913">
        <v>11797</v>
      </c>
      <c r="I2913">
        <v>35.39</v>
      </c>
      <c r="J2913">
        <v>6.37</v>
      </c>
      <c r="K2913">
        <v>11755.24</v>
      </c>
      <c r="L2913" s="5">
        <v>46283</v>
      </c>
      <c r="M2913" t="s">
        <v>6366</v>
      </c>
      <c r="N2913" t="s">
        <v>207</v>
      </c>
      <c r="O2913" t="s">
        <v>6420</v>
      </c>
      <c r="P2913" t="s">
        <v>208</v>
      </c>
      <c r="Q2913" t="s">
        <v>209</v>
      </c>
    </row>
    <row r="2914" spans="1:17" x14ac:dyDescent="0.3">
      <c r="A2914" t="s">
        <v>6421</v>
      </c>
      <c r="C2914" t="s">
        <v>6422</v>
      </c>
      <c r="D2914" t="s">
        <v>6422</v>
      </c>
      <c r="E2914" s="5">
        <v>46281</v>
      </c>
      <c r="F2914" t="s">
        <v>204</v>
      </c>
      <c r="G2914" t="s">
        <v>213</v>
      </c>
      <c r="H2914">
        <v>2999</v>
      </c>
      <c r="I2914">
        <v>47.98</v>
      </c>
      <c r="J2914">
        <v>8.64</v>
      </c>
      <c r="K2914">
        <v>2942.38</v>
      </c>
      <c r="L2914" s="5">
        <v>46283</v>
      </c>
      <c r="M2914" t="s">
        <v>6366</v>
      </c>
      <c r="N2914" t="s">
        <v>207</v>
      </c>
      <c r="O2914" t="s">
        <v>6422</v>
      </c>
      <c r="P2914" t="s">
        <v>208</v>
      </c>
      <c r="Q2914" t="s">
        <v>209</v>
      </c>
    </row>
    <row r="2915" spans="1:17" x14ac:dyDescent="0.3">
      <c r="A2915" t="s">
        <v>6423</v>
      </c>
      <c r="C2915" t="s">
        <v>6424</v>
      </c>
      <c r="D2915" t="s">
        <v>6424</v>
      </c>
      <c r="E2915" s="5">
        <v>46281</v>
      </c>
      <c r="F2915" t="s">
        <v>204</v>
      </c>
      <c r="G2915" t="s">
        <v>220</v>
      </c>
      <c r="H2915">
        <v>2598</v>
      </c>
      <c r="I2915">
        <v>7.79</v>
      </c>
      <c r="J2915">
        <v>1.4</v>
      </c>
      <c r="K2915">
        <v>2588.81</v>
      </c>
      <c r="L2915" s="5">
        <v>46283</v>
      </c>
      <c r="M2915" t="s">
        <v>6366</v>
      </c>
      <c r="N2915" t="s">
        <v>207</v>
      </c>
      <c r="O2915" t="s">
        <v>6424</v>
      </c>
      <c r="P2915" t="s">
        <v>208</v>
      </c>
      <c r="Q2915" t="s">
        <v>209</v>
      </c>
    </row>
    <row r="2916" spans="1:17" x14ac:dyDescent="0.3">
      <c r="A2916" t="s">
        <v>6425</v>
      </c>
      <c r="C2916" t="s">
        <v>6426</v>
      </c>
      <c r="D2916" t="s">
        <v>6426</v>
      </c>
      <c r="E2916" s="5">
        <v>46281</v>
      </c>
      <c r="F2916" t="s">
        <v>204</v>
      </c>
      <c r="G2916" t="s">
        <v>205</v>
      </c>
      <c r="H2916">
        <v>9797</v>
      </c>
      <c r="I2916">
        <v>166.55</v>
      </c>
      <c r="J2916">
        <v>29.98</v>
      </c>
      <c r="K2916">
        <v>9600.4699999999993</v>
      </c>
      <c r="L2916" s="5">
        <v>46283</v>
      </c>
      <c r="M2916" t="s">
        <v>6366</v>
      </c>
      <c r="N2916" t="s">
        <v>207</v>
      </c>
      <c r="O2916" t="s">
        <v>6426</v>
      </c>
      <c r="P2916" t="s">
        <v>208</v>
      </c>
      <c r="Q2916" t="s">
        <v>209</v>
      </c>
    </row>
    <row r="2917" spans="1:17" x14ac:dyDescent="0.3">
      <c r="A2917" t="s">
        <v>6427</v>
      </c>
      <c r="C2917" t="s">
        <v>6428</v>
      </c>
      <c r="D2917" t="s">
        <v>6428</v>
      </c>
      <c r="E2917" s="5">
        <v>46281</v>
      </c>
      <c r="F2917" t="s">
        <v>204</v>
      </c>
      <c r="G2917" t="s">
        <v>213</v>
      </c>
      <c r="H2917">
        <v>7999</v>
      </c>
      <c r="I2917">
        <v>127.98</v>
      </c>
      <c r="J2917">
        <v>23.04</v>
      </c>
      <c r="K2917">
        <v>7847.98</v>
      </c>
      <c r="L2917" s="5">
        <v>46283</v>
      </c>
      <c r="M2917" t="s">
        <v>6366</v>
      </c>
      <c r="N2917" t="s">
        <v>207</v>
      </c>
      <c r="O2917" t="s">
        <v>6428</v>
      </c>
      <c r="P2917" t="s">
        <v>208</v>
      </c>
      <c r="Q2917" t="s">
        <v>209</v>
      </c>
    </row>
    <row r="2918" spans="1:17" x14ac:dyDescent="0.3">
      <c r="A2918" t="s">
        <v>6429</v>
      </c>
      <c r="C2918" t="s">
        <v>6430</v>
      </c>
      <c r="D2918" t="s">
        <v>6430</v>
      </c>
      <c r="E2918" s="5">
        <v>46281</v>
      </c>
      <c r="F2918" t="s">
        <v>204</v>
      </c>
      <c r="G2918" t="s">
        <v>205</v>
      </c>
      <c r="H2918">
        <v>3499</v>
      </c>
      <c r="I2918">
        <v>59.48</v>
      </c>
      <c r="J2918">
        <v>10.71</v>
      </c>
      <c r="K2918">
        <v>3428.81</v>
      </c>
      <c r="L2918" s="5">
        <v>46283</v>
      </c>
      <c r="M2918" t="s">
        <v>6366</v>
      </c>
      <c r="N2918" t="s">
        <v>207</v>
      </c>
      <c r="O2918" t="s">
        <v>6430</v>
      </c>
      <c r="P2918" t="s">
        <v>208</v>
      </c>
      <c r="Q2918" t="s">
        <v>209</v>
      </c>
    </row>
    <row r="2919" spans="1:17" x14ac:dyDescent="0.3">
      <c r="A2919" t="s">
        <v>6431</v>
      </c>
      <c r="C2919" t="s">
        <v>6432</v>
      </c>
      <c r="D2919" t="s">
        <v>6432</v>
      </c>
      <c r="E2919" s="5">
        <v>46281</v>
      </c>
      <c r="F2919" t="s">
        <v>204</v>
      </c>
      <c r="G2919" t="s">
        <v>220</v>
      </c>
      <c r="H2919">
        <v>7999</v>
      </c>
      <c r="I2919">
        <v>24</v>
      </c>
      <c r="J2919">
        <v>4.32</v>
      </c>
      <c r="K2919">
        <v>7970.68</v>
      </c>
      <c r="L2919" s="5">
        <v>46283</v>
      </c>
      <c r="M2919" t="s">
        <v>6366</v>
      </c>
      <c r="N2919" t="s">
        <v>207</v>
      </c>
      <c r="O2919" t="s">
        <v>6432</v>
      </c>
      <c r="P2919" t="s">
        <v>208</v>
      </c>
      <c r="Q2919" t="s">
        <v>209</v>
      </c>
    </row>
    <row r="2920" spans="1:17" x14ac:dyDescent="0.3">
      <c r="A2920" t="s">
        <v>6433</v>
      </c>
      <c r="C2920" t="s">
        <v>6434</v>
      </c>
      <c r="D2920" t="s">
        <v>6434</v>
      </c>
      <c r="E2920" s="5">
        <v>46281</v>
      </c>
      <c r="F2920" t="s">
        <v>204</v>
      </c>
      <c r="G2920" t="s">
        <v>213</v>
      </c>
      <c r="H2920">
        <v>3298</v>
      </c>
      <c r="I2920">
        <v>52.77</v>
      </c>
      <c r="J2920">
        <v>9.5</v>
      </c>
      <c r="K2920">
        <v>3235.73</v>
      </c>
      <c r="L2920" s="5">
        <v>46283</v>
      </c>
      <c r="M2920" t="s">
        <v>6366</v>
      </c>
      <c r="N2920" t="s">
        <v>207</v>
      </c>
      <c r="O2920" t="s">
        <v>6434</v>
      </c>
      <c r="P2920" t="s">
        <v>208</v>
      </c>
      <c r="Q2920" t="s">
        <v>209</v>
      </c>
    </row>
    <row r="2921" spans="1:17" x14ac:dyDescent="0.3">
      <c r="A2921" t="s">
        <v>6435</v>
      </c>
      <c r="C2921" t="s">
        <v>6436</v>
      </c>
      <c r="D2921" t="s">
        <v>6436</v>
      </c>
      <c r="E2921" s="5">
        <v>46281</v>
      </c>
      <c r="F2921" t="s">
        <v>204</v>
      </c>
      <c r="G2921" t="s">
        <v>205</v>
      </c>
      <c r="H2921">
        <v>1299</v>
      </c>
      <c r="I2921">
        <v>24.68</v>
      </c>
      <c r="J2921">
        <v>4.4400000000000004</v>
      </c>
      <c r="K2921">
        <v>1269.8800000000001</v>
      </c>
      <c r="L2921" s="5">
        <v>46283</v>
      </c>
      <c r="M2921" t="s">
        <v>6366</v>
      </c>
      <c r="N2921" t="s">
        <v>207</v>
      </c>
      <c r="O2921" t="s">
        <v>6436</v>
      </c>
      <c r="P2921" t="s">
        <v>208</v>
      </c>
      <c r="Q2921" t="s">
        <v>209</v>
      </c>
    </row>
    <row r="2922" spans="1:17" x14ac:dyDescent="0.3">
      <c r="A2922" t="s">
        <v>6437</v>
      </c>
      <c r="C2922" t="s">
        <v>6438</v>
      </c>
      <c r="D2922" t="s">
        <v>6438</v>
      </c>
      <c r="E2922" s="5">
        <v>46281</v>
      </c>
      <c r="F2922" t="s">
        <v>204</v>
      </c>
      <c r="G2922" t="s">
        <v>220</v>
      </c>
      <c r="H2922">
        <v>599</v>
      </c>
      <c r="I2922">
        <v>0</v>
      </c>
      <c r="J2922">
        <v>0</v>
      </c>
      <c r="K2922">
        <v>599</v>
      </c>
      <c r="L2922" s="5">
        <v>46283</v>
      </c>
      <c r="M2922" t="s">
        <v>6366</v>
      </c>
      <c r="N2922" t="s">
        <v>207</v>
      </c>
      <c r="O2922" t="s">
        <v>6438</v>
      </c>
      <c r="P2922" t="s">
        <v>208</v>
      </c>
      <c r="Q2922" t="s">
        <v>209</v>
      </c>
    </row>
    <row r="2923" spans="1:17" x14ac:dyDescent="0.3">
      <c r="A2923" t="s">
        <v>6439</v>
      </c>
      <c r="C2923" t="s">
        <v>6440</v>
      </c>
      <c r="D2923" t="s">
        <v>6440</v>
      </c>
      <c r="E2923" s="5">
        <v>46281</v>
      </c>
      <c r="F2923" t="s">
        <v>204</v>
      </c>
      <c r="G2923" t="s">
        <v>205</v>
      </c>
      <c r="H2923">
        <v>299</v>
      </c>
      <c r="I2923">
        <v>5.68</v>
      </c>
      <c r="J2923">
        <v>1.02</v>
      </c>
      <c r="K2923">
        <v>292.3</v>
      </c>
      <c r="L2923" s="5">
        <v>46283</v>
      </c>
      <c r="M2923" t="s">
        <v>6366</v>
      </c>
      <c r="N2923" t="s">
        <v>207</v>
      </c>
      <c r="O2923" t="s">
        <v>6440</v>
      </c>
      <c r="P2923" t="s">
        <v>208</v>
      </c>
      <c r="Q2923" t="s">
        <v>209</v>
      </c>
    </row>
    <row r="2924" spans="1:17" x14ac:dyDescent="0.3">
      <c r="A2924" t="s">
        <v>6441</v>
      </c>
      <c r="C2924" t="s">
        <v>6442</v>
      </c>
      <c r="D2924" t="s">
        <v>6442</v>
      </c>
      <c r="E2924" s="5">
        <v>46281</v>
      </c>
      <c r="F2924" t="s">
        <v>204</v>
      </c>
      <c r="G2924" t="s">
        <v>213</v>
      </c>
      <c r="H2924">
        <v>4497</v>
      </c>
      <c r="I2924">
        <v>71.95</v>
      </c>
      <c r="J2924">
        <v>12.95</v>
      </c>
      <c r="K2924">
        <v>4412.1000000000004</v>
      </c>
      <c r="L2924" s="5">
        <v>46283</v>
      </c>
      <c r="M2924" t="s">
        <v>6366</v>
      </c>
      <c r="N2924" t="s">
        <v>207</v>
      </c>
      <c r="O2924" t="s">
        <v>6442</v>
      </c>
      <c r="P2924" t="s">
        <v>208</v>
      </c>
      <c r="Q2924" t="s">
        <v>209</v>
      </c>
    </row>
    <row r="2925" spans="1:17" x14ac:dyDescent="0.3">
      <c r="A2925" t="s">
        <v>6443</v>
      </c>
      <c r="C2925" t="s">
        <v>6444</v>
      </c>
      <c r="D2925" t="s">
        <v>6444</v>
      </c>
      <c r="E2925" s="5">
        <v>46281</v>
      </c>
      <c r="F2925" t="s">
        <v>204</v>
      </c>
      <c r="G2925" t="s">
        <v>205</v>
      </c>
      <c r="H2925">
        <v>2499</v>
      </c>
      <c r="I2925">
        <v>42.48</v>
      </c>
      <c r="J2925">
        <v>7.65</v>
      </c>
      <c r="K2925">
        <v>2448.87</v>
      </c>
      <c r="L2925" s="5">
        <v>46283</v>
      </c>
      <c r="M2925" t="s">
        <v>6366</v>
      </c>
      <c r="N2925" t="s">
        <v>207</v>
      </c>
      <c r="O2925" t="s">
        <v>6444</v>
      </c>
      <c r="P2925" t="s">
        <v>208</v>
      </c>
      <c r="Q2925" t="s">
        <v>209</v>
      </c>
    </row>
    <row r="2926" spans="1:17" x14ac:dyDescent="0.3">
      <c r="A2926" t="s">
        <v>6445</v>
      </c>
      <c r="C2926" t="s">
        <v>6446</v>
      </c>
      <c r="D2926" t="s">
        <v>6446</v>
      </c>
      <c r="E2926" s="5">
        <v>46281</v>
      </c>
      <c r="F2926" t="s">
        <v>204</v>
      </c>
      <c r="G2926" t="s">
        <v>220</v>
      </c>
      <c r="H2926">
        <v>9997</v>
      </c>
      <c r="I2926">
        <v>29.99</v>
      </c>
      <c r="J2926">
        <v>5.4</v>
      </c>
      <c r="K2926">
        <v>9961.61</v>
      </c>
      <c r="L2926" s="5">
        <v>46283</v>
      </c>
      <c r="M2926" t="s">
        <v>6366</v>
      </c>
      <c r="N2926" t="s">
        <v>207</v>
      </c>
      <c r="O2926" t="s">
        <v>6446</v>
      </c>
      <c r="P2926" t="s">
        <v>208</v>
      </c>
      <c r="Q2926" t="s">
        <v>209</v>
      </c>
    </row>
    <row r="2927" spans="1:17" x14ac:dyDescent="0.3">
      <c r="A2927" t="s">
        <v>6447</v>
      </c>
      <c r="C2927" t="s">
        <v>6448</v>
      </c>
      <c r="D2927" t="s">
        <v>6449</v>
      </c>
      <c r="E2927" s="5">
        <v>46281</v>
      </c>
      <c r="F2927" t="s">
        <v>204</v>
      </c>
      <c r="G2927" t="s">
        <v>220</v>
      </c>
      <c r="H2927">
        <v>799</v>
      </c>
      <c r="I2927">
        <v>0</v>
      </c>
      <c r="J2927">
        <v>0</v>
      </c>
      <c r="K2927">
        <v>799</v>
      </c>
      <c r="L2927" s="5">
        <v>46283</v>
      </c>
      <c r="M2927" t="s">
        <v>6366</v>
      </c>
      <c r="N2927" t="s">
        <v>207</v>
      </c>
      <c r="O2927" t="s">
        <v>6449</v>
      </c>
      <c r="P2927" t="s">
        <v>208</v>
      </c>
      <c r="Q2927" t="s">
        <v>209</v>
      </c>
    </row>
    <row r="2928" spans="1:17" x14ac:dyDescent="0.3">
      <c r="A2928" t="s">
        <v>6450</v>
      </c>
      <c r="C2928" t="s">
        <v>6451</v>
      </c>
      <c r="D2928" t="s">
        <v>6451</v>
      </c>
      <c r="E2928" s="5">
        <v>46281</v>
      </c>
      <c r="F2928" t="s">
        <v>204</v>
      </c>
      <c r="G2928" t="s">
        <v>220</v>
      </c>
      <c r="H2928">
        <v>2598</v>
      </c>
      <c r="I2928">
        <v>7.79</v>
      </c>
      <c r="J2928">
        <v>1.4</v>
      </c>
      <c r="K2928">
        <v>2588.81</v>
      </c>
      <c r="L2928" s="5">
        <v>46283</v>
      </c>
      <c r="M2928" t="s">
        <v>6366</v>
      </c>
      <c r="N2928" t="s">
        <v>207</v>
      </c>
      <c r="O2928" t="s">
        <v>6451</v>
      </c>
      <c r="P2928" t="s">
        <v>208</v>
      </c>
      <c r="Q2928" t="s">
        <v>209</v>
      </c>
    </row>
    <row r="2929" spans="1:17" x14ac:dyDescent="0.3">
      <c r="A2929" t="s">
        <v>6452</v>
      </c>
      <c r="C2929" t="s">
        <v>6453</v>
      </c>
      <c r="D2929" t="s">
        <v>6453</v>
      </c>
      <c r="E2929" s="5">
        <v>46281</v>
      </c>
      <c r="F2929" t="s">
        <v>204</v>
      </c>
      <c r="G2929" t="s">
        <v>220</v>
      </c>
      <c r="H2929">
        <v>2499</v>
      </c>
      <c r="I2929">
        <v>7.5</v>
      </c>
      <c r="J2929">
        <v>1.35</v>
      </c>
      <c r="K2929">
        <v>2490.15</v>
      </c>
      <c r="L2929" s="5">
        <v>46283</v>
      </c>
      <c r="M2929" t="s">
        <v>6366</v>
      </c>
      <c r="N2929" t="s">
        <v>207</v>
      </c>
      <c r="O2929" t="s">
        <v>6453</v>
      </c>
      <c r="P2929" t="s">
        <v>208</v>
      </c>
      <c r="Q2929" t="s">
        <v>209</v>
      </c>
    </row>
    <row r="2930" spans="1:17" x14ac:dyDescent="0.3">
      <c r="A2930" t="s">
        <v>6454</v>
      </c>
      <c r="C2930" t="s">
        <v>6455</v>
      </c>
      <c r="D2930" t="s">
        <v>6455</v>
      </c>
      <c r="E2930" s="5">
        <v>46281</v>
      </c>
      <c r="F2930" t="s">
        <v>204</v>
      </c>
      <c r="G2930" t="s">
        <v>220</v>
      </c>
      <c r="H2930">
        <v>3598</v>
      </c>
      <c r="I2930">
        <v>10.79</v>
      </c>
      <c r="J2930">
        <v>1.94</v>
      </c>
      <c r="K2930">
        <v>3585.27</v>
      </c>
      <c r="L2930" s="5">
        <v>46283</v>
      </c>
      <c r="M2930" t="s">
        <v>6366</v>
      </c>
      <c r="N2930" t="s">
        <v>207</v>
      </c>
      <c r="O2930" t="s">
        <v>6455</v>
      </c>
      <c r="P2930" t="s">
        <v>208</v>
      </c>
      <c r="Q2930" t="s">
        <v>209</v>
      </c>
    </row>
    <row r="2931" spans="1:17" x14ac:dyDescent="0.3">
      <c r="A2931" t="s">
        <v>6456</v>
      </c>
      <c r="C2931" t="s">
        <v>6457</v>
      </c>
      <c r="D2931" t="s">
        <v>6457</v>
      </c>
      <c r="E2931" s="5">
        <v>46281</v>
      </c>
      <c r="F2931" t="s">
        <v>204</v>
      </c>
      <c r="G2931" t="s">
        <v>220</v>
      </c>
      <c r="H2931">
        <v>11597</v>
      </c>
      <c r="I2931">
        <v>34.79</v>
      </c>
      <c r="J2931">
        <v>6.26</v>
      </c>
      <c r="K2931">
        <v>11555.95</v>
      </c>
      <c r="L2931" s="5">
        <v>46283</v>
      </c>
      <c r="M2931" t="s">
        <v>6366</v>
      </c>
      <c r="N2931" t="s">
        <v>207</v>
      </c>
      <c r="O2931" t="s">
        <v>6457</v>
      </c>
      <c r="P2931" t="s">
        <v>208</v>
      </c>
      <c r="Q2931" t="s">
        <v>209</v>
      </c>
    </row>
    <row r="2932" spans="1:17" x14ac:dyDescent="0.3">
      <c r="A2932" t="s">
        <v>6458</v>
      </c>
      <c r="C2932" t="s">
        <v>6459</v>
      </c>
      <c r="D2932" t="s">
        <v>6459</v>
      </c>
      <c r="E2932" s="5">
        <v>46281</v>
      </c>
      <c r="F2932" t="s">
        <v>204</v>
      </c>
      <c r="G2932" t="s">
        <v>213</v>
      </c>
      <c r="H2932">
        <v>8498</v>
      </c>
      <c r="I2932">
        <v>135.97</v>
      </c>
      <c r="J2932">
        <v>24.47</v>
      </c>
      <c r="K2932">
        <v>8337.56</v>
      </c>
      <c r="L2932" s="5">
        <v>46283</v>
      </c>
      <c r="M2932" t="s">
        <v>6366</v>
      </c>
      <c r="N2932" t="s">
        <v>207</v>
      </c>
      <c r="O2932" t="s">
        <v>6459</v>
      </c>
      <c r="P2932" t="s">
        <v>208</v>
      </c>
      <c r="Q2932" t="s">
        <v>209</v>
      </c>
    </row>
    <row r="2933" spans="1:17" x14ac:dyDescent="0.3">
      <c r="A2933" t="s">
        <v>6460</v>
      </c>
      <c r="C2933" t="s">
        <v>6461</v>
      </c>
      <c r="D2933" t="s">
        <v>6461</v>
      </c>
      <c r="E2933" s="5">
        <v>46281</v>
      </c>
      <c r="F2933" t="s">
        <v>204</v>
      </c>
      <c r="G2933" t="s">
        <v>205</v>
      </c>
      <c r="H2933">
        <v>4297</v>
      </c>
      <c r="I2933">
        <v>73.05</v>
      </c>
      <c r="J2933">
        <v>13.15</v>
      </c>
      <c r="K2933">
        <v>4210.8</v>
      </c>
      <c r="L2933" s="5">
        <v>46283</v>
      </c>
      <c r="M2933" t="s">
        <v>6366</v>
      </c>
      <c r="N2933" t="s">
        <v>207</v>
      </c>
      <c r="O2933" t="s">
        <v>6461</v>
      </c>
      <c r="P2933" t="s">
        <v>208</v>
      </c>
      <c r="Q2933" t="s">
        <v>209</v>
      </c>
    </row>
    <row r="2934" spans="1:17" x14ac:dyDescent="0.3">
      <c r="A2934" t="s">
        <v>6462</v>
      </c>
      <c r="C2934" t="s">
        <v>6463</v>
      </c>
      <c r="D2934" t="s">
        <v>6464</v>
      </c>
      <c r="E2934" s="5">
        <v>46281</v>
      </c>
      <c r="F2934" t="s">
        <v>204</v>
      </c>
      <c r="G2934" t="s">
        <v>213</v>
      </c>
      <c r="H2934">
        <v>999</v>
      </c>
      <c r="I2934">
        <v>17.98</v>
      </c>
      <c r="J2934">
        <v>3.24</v>
      </c>
      <c r="K2934">
        <v>977.78</v>
      </c>
      <c r="L2934" s="5">
        <v>46283</v>
      </c>
      <c r="M2934" t="s">
        <v>6366</v>
      </c>
      <c r="N2934" t="s">
        <v>207</v>
      </c>
      <c r="O2934" t="s">
        <v>6464</v>
      </c>
      <c r="P2934" t="s">
        <v>208</v>
      </c>
      <c r="Q2934" t="s">
        <v>209</v>
      </c>
    </row>
    <row r="2935" spans="1:17" x14ac:dyDescent="0.3">
      <c r="A2935" t="s">
        <v>6465</v>
      </c>
      <c r="C2935" t="s">
        <v>6466</v>
      </c>
      <c r="D2935" t="s">
        <v>6466</v>
      </c>
      <c r="E2935" s="5">
        <v>46281</v>
      </c>
      <c r="F2935" t="s">
        <v>204</v>
      </c>
      <c r="G2935" t="s">
        <v>213</v>
      </c>
      <c r="H2935">
        <v>13497</v>
      </c>
      <c r="I2935">
        <v>215.95</v>
      </c>
      <c r="J2935">
        <v>38.869999999999997</v>
      </c>
      <c r="K2935">
        <v>13242.18</v>
      </c>
      <c r="L2935" s="5">
        <v>46283</v>
      </c>
      <c r="M2935" t="s">
        <v>6366</v>
      </c>
      <c r="N2935" t="s">
        <v>207</v>
      </c>
      <c r="O2935" t="s">
        <v>6466</v>
      </c>
      <c r="P2935" t="s">
        <v>208</v>
      </c>
      <c r="Q2935" t="s">
        <v>209</v>
      </c>
    </row>
    <row r="2936" spans="1:17" x14ac:dyDescent="0.3">
      <c r="A2936" t="s">
        <v>6467</v>
      </c>
      <c r="C2936" t="s">
        <v>6468</v>
      </c>
      <c r="D2936" t="s">
        <v>6468</v>
      </c>
      <c r="E2936" s="5">
        <v>46281</v>
      </c>
      <c r="F2936" t="s">
        <v>204</v>
      </c>
      <c r="G2936" t="s">
        <v>220</v>
      </c>
      <c r="H2936">
        <v>2647</v>
      </c>
      <c r="I2936">
        <v>7.94</v>
      </c>
      <c r="J2936">
        <v>1.43</v>
      </c>
      <c r="K2936">
        <v>2637.63</v>
      </c>
      <c r="L2936" s="5">
        <v>46283</v>
      </c>
      <c r="M2936" t="s">
        <v>6366</v>
      </c>
      <c r="N2936" t="s">
        <v>207</v>
      </c>
      <c r="O2936" t="s">
        <v>6468</v>
      </c>
      <c r="P2936" t="s">
        <v>208</v>
      </c>
      <c r="Q2936" t="s">
        <v>209</v>
      </c>
    </row>
    <row r="2937" spans="1:17" x14ac:dyDescent="0.3">
      <c r="A2937" t="s">
        <v>6469</v>
      </c>
      <c r="C2937" t="s">
        <v>6470</v>
      </c>
      <c r="D2937" t="s">
        <v>6470</v>
      </c>
      <c r="E2937" s="5">
        <v>46281</v>
      </c>
      <c r="F2937" t="s">
        <v>204</v>
      </c>
      <c r="G2937" t="s">
        <v>205</v>
      </c>
      <c r="H2937">
        <v>349</v>
      </c>
      <c r="I2937">
        <v>6.63</v>
      </c>
      <c r="J2937">
        <v>1.19</v>
      </c>
      <c r="K2937">
        <v>341.18</v>
      </c>
      <c r="L2937" s="5">
        <v>46283</v>
      </c>
      <c r="M2937" t="s">
        <v>6366</v>
      </c>
      <c r="N2937" t="s">
        <v>207</v>
      </c>
      <c r="O2937" t="s">
        <v>6470</v>
      </c>
      <c r="P2937" t="s">
        <v>208</v>
      </c>
      <c r="Q2937" t="s">
        <v>209</v>
      </c>
    </row>
    <row r="2938" spans="1:17" x14ac:dyDescent="0.3">
      <c r="A2938" t="s">
        <v>6471</v>
      </c>
      <c r="C2938" t="s">
        <v>6472</v>
      </c>
      <c r="D2938" t="s">
        <v>6472</v>
      </c>
      <c r="E2938" s="5">
        <v>46281</v>
      </c>
      <c r="F2938" t="s">
        <v>204</v>
      </c>
      <c r="G2938" t="s">
        <v>220</v>
      </c>
      <c r="H2938">
        <v>2999</v>
      </c>
      <c r="I2938">
        <v>9</v>
      </c>
      <c r="J2938">
        <v>1.62</v>
      </c>
      <c r="K2938">
        <v>2988.38</v>
      </c>
      <c r="L2938" s="5">
        <v>46283</v>
      </c>
      <c r="M2938" t="s">
        <v>6366</v>
      </c>
      <c r="N2938" t="s">
        <v>207</v>
      </c>
      <c r="O2938" t="s">
        <v>6472</v>
      </c>
      <c r="P2938" t="s">
        <v>208</v>
      </c>
      <c r="Q2938" t="s">
        <v>209</v>
      </c>
    </row>
    <row r="2939" spans="1:17" x14ac:dyDescent="0.3">
      <c r="A2939" t="s">
        <v>6473</v>
      </c>
      <c r="C2939" t="s">
        <v>6474</v>
      </c>
      <c r="D2939" t="s">
        <v>6474</v>
      </c>
      <c r="E2939" s="5">
        <v>46281</v>
      </c>
      <c r="F2939" t="s">
        <v>204</v>
      </c>
      <c r="G2939" t="s">
        <v>213</v>
      </c>
      <c r="H2939">
        <v>1499</v>
      </c>
      <c r="I2939">
        <v>26.98</v>
      </c>
      <c r="J2939">
        <v>4.8600000000000003</v>
      </c>
      <c r="K2939">
        <v>1467.16</v>
      </c>
      <c r="L2939" s="5">
        <v>46283</v>
      </c>
      <c r="M2939" t="s">
        <v>6366</v>
      </c>
      <c r="N2939" t="s">
        <v>207</v>
      </c>
      <c r="O2939" t="s">
        <v>6474</v>
      </c>
      <c r="P2939" t="s">
        <v>208</v>
      </c>
      <c r="Q2939" t="s">
        <v>209</v>
      </c>
    </row>
    <row r="2940" spans="1:17" x14ac:dyDescent="0.3">
      <c r="A2940" t="s">
        <v>6475</v>
      </c>
      <c r="C2940" t="s">
        <v>6476</v>
      </c>
      <c r="D2940" t="s">
        <v>6476</v>
      </c>
      <c r="E2940" s="5">
        <v>46281</v>
      </c>
      <c r="F2940" t="s">
        <v>204</v>
      </c>
      <c r="G2940" t="s">
        <v>220</v>
      </c>
      <c r="H2940">
        <v>5597</v>
      </c>
      <c r="I2940">
        <v>16.79</v>
      </c>
      <c r="J2940">
        <v>3.02</v>
      </c>
      <c r="K2940">
        <v>5577.19</v>
      </c>
      <c r="L2940" s="5">
        <v>46283</v>
      </c>
      <c r="M2940" t="s">
        <v>6366</v>
      </c>
      <c r="N2940" t="s">
        <v>207</v>
      </c>
      <c r="O2940" t="s">
        <v>6476</v>
      </c>
      <c r="P2940" t="s">
        <v>208</v>
      </c>
      <c r="Q2940" t="s">
        <v>209</v>
      </c>
    </row>
    <row r="2941" spans="1:17" x14ac:dyDescent="0.3">
      <c r="A2941" t="s">
        <v>6477</v>
      </c>
      <c r="C2941" t="s">
        <v>6478</v>
      </c>
      <c r="D2941" t="s">
        <v>6478</v>
      </c>
      <c r="E2941" s="5">
        <v>46281</v>
      </c>
      <c r="F2941" t="s">
        <v>204</v>
      </c>
      <c r="G2941" t="s">
        <v>220</v>
      </c>
      <c r="H2941">
        <v>5348</v>
      </c>
      <c r="I2941">
        <v>16.04</v>
      </c>
      <c r="J2941">
        <v>2.89</v>
      </c>
      <c r="K2941">
        <v>5329.07</v>
      </c>
      <c r="L2941" s="5">
        <v>46283</v>
      </c>
      <c r="M2941" t="s">
        <v>6366</v>
      </c>
      <c r="N2941" t="s">
        <v>207</v>
      </c>
      <c r="O2941" t="s">
        <v>6478</v>
      </c>
      <c r="P2941" t="s">
        <v>208</v>
      </c>
      <c r="Q2941" t="s">
        <v>209</v>
      </c>
    </row>
    <row r="2942" spans="1:17" x14ac:dyDescent="0.3">
      <c r="A2942" t="s">
        <v>6479</v>
      </c>
      <c r="C2942" t="s">
        <v>6480</v>
      </c>
      <c r="D2942" t="s">
        <v>6480</v>
      </c>
      <c r="E2942" s="5">
        <v>46281</v>
      </c>
      <c r="F2942" t="s">
        <v>204</v>
      </c>
      <c r="G2942" t="s">
        <v>213</v>
      </c>
      <c r="H2942">
        <v>1498</v>
      </c>
      <c r="I2942">
        <v>26.96</v>
      </c>
      <c r="J2942">
        <v>4.8499999999999996</v>
      </c>
      <c r="K2942">
        <v>1466.19</v>
      </c>
      <c r="L2942" s="5">
        <v>46283</v>
      </c>
      <c r="M2942" t="s">
        <v>6366</v>
      </c>
      <c r="N2942" t="s">
        <v>207</v>
      </c>
      <c r="O2942" t="s">
        <v>6480</v>
      </c>
      <c r="P2942" t="s">
        <v>208</v>
      </c>
      <c r="Q2942" t="s">
        <v>209</v>
      </c>
    </row>
    <row r="2943" spans="1:17" x14ac:dyDescent="0.3">
      <c r="A2943" t="s">
        <v>6481</v>
      </c>
      <c r="C2943" t="s">
        <v>6482</v>
      </c>
      <c r="D2943" t="s">
        <v>6482</v>
      </c>
      <c r="E2943" s="5">
        <v>46281</v>
      </c>
      <c r="F2943" t="s">
        <v>204</v>
      </c>
      <c r="G2943" t="s">
        <v>213</v>
      </c>
      <c r="H2943">
        <v>1299</v>
      </c>
      <c r="I2943">
        <v>23.38</v>
      </c>
      <c r="J2943">
        <v>4.21</v>
      </c>
      <c r="K2943">
        <v>1271.4100000000001</v>
      </c>
      <c r="L2943" s="5">
        <v>46283</v>
      </c>
      <c r="M2943" t="s">
        <v>6366</v>
      </c>
      <c r="N2943" t="s">
        <v>207</v>
      </c>
      <c r="O2943" t="s">
        <v>6482</v>
      </c>
      <c r="P2943" t="s">
        <v>208</v>
      </c>
      <c r="Q2943" t="s">
        <v>209</v>
      </c>
    </row>
    <row r="2944" spans="1:17" x14ac:dyDescent="0.3">
      <c r="A2944" t="s">
        <v>6483</v>
      </c>
      <c r="C2944" t="s">
        <v>6484</v>
      </c>
      <c r="D2944" t="s">
        <v>6484</v>
      </c>
      <c r="E2944" s="5">
        <v>46281</v>
      </c>
      <c r="F2944" t="s">
        <v>204</v>
      </c>
      <c r="G2944" t="s">
        <v>220</v>
      </c>
      <c r="H2944">
        <v>2499</v>
      </c>
      <c r="I2944">
        <v>7.5</v>
      </c>
      <c r="J2944">
        <v>1.35</v>
      </c>
      <c r="K2944">
        <v>2490.15</v>
      </c>
      <c r="L2944" s="5">
        <v>46283</v>
      </c>
      <c r="M2944" t="s">
        <v>6366</v>
      </c>
      <c r="N2944" t="s">
        <v>207</v>
      </c>
      <c r="O2944" t="s">
        <v>6484</v>
      </c>
      <c r="P2944" t="s">
        <v>208</v>
      </c>
      <c r="Q2944" t="s">
        <v>209</v>
      </c>
    </row>
    <row r="2945" spans="1:17" x14ac:dyDescent="0.3">
      <c r="A2945" t="s">
        <v>6485</v>
      </c>
      <c r="C2945" t="s">
        <v>6486</v>
      </c>
      <c r="D2945" t="s">
        <v>6486</v>
      </c>
      <c r="E2945" s="5">
        <v>46281</v>
      </c>
      <c r="F2945" t="s">
        <v>204</v>
      </c>
      <c r="G2945" t="s">
        <v>220</v>
      </c>
      <c r="H2945">
        <v>499</v>
      </c>
      <c r="I2945">
        <v>0</v>
      </c>
      <c r="J2945">
        <v>0</v>
      </c>
      <c r="K2945">
        <v>499</v>
      </c>
      <c r="L2945" s="5">
        <v>46283</v>
      </c>
      <c r="M2945" t="s">
        <v>6366</v>
      </c>
      <c r="N2945" t="s">
        <v>207</v>
      </c>
      <c r="O2945" t="s">
        <v>6486</v>
      </c>
      <c r="P2945" t="s">
        <v>208</v>
      </c>
      <c r="Q2945" t="s">
        <v>209</v>
      </c>
    </row>
    <row r="2946" spans="1:17" x14ac:dyDescent="0.3">
      <c r="A2946" t="s">
        <v>6487</v>
      </c>
      <c r="C2946" t="s">
        <v>6488</v>
      </c>
      <c r="D2946" t="s">
        <v>6489</v>
      </c>
      <c r="E2946" s="5">
        <v>46281</v>
      </c>
      <c r="F2946" t="s">
        <v>204</v>
      </c>
      <c r="G2946" t="s">
        <v>220</v>
      </c>
      <c r="H2946">
        <v>11498</v>
      </c>
      <c r="I2946">
        <v>34.49</v>
      </c>
      <c r="J2946">
        <v>6.21</v>
      </c>
      <c r="K2946">
        <v>11457.3</v>
      </c>
      <c r="L2946" s="5">
        <v>46283</v>
      </c>
      <c r="M2946" t="s">
        <v>6366</v>
      </c>
      <c r="N2946" t="s">
        <v>207</v>
      </c>
      <c r="O2946" t="s">
        <v>6489</v>
      </c>
      <c r="P2946" t="s">
        <v>208</v>
      </c>
      <c r="Q2946" t="s">
        <v>209</v>
      </c>
    </row>
    <row r="2947" spans="1:17" x14ac:dyDescent="0.3">
      <c r="A2947" t="s">
        <v>6490</v>
      </c>
      <c r="C2947" t="s">
        <v>6491</v>
      </c>
      <c r="D2947" t="s">
        <v>6491</v>
      </c>
      <c r="E2947" s="5">
        <v>46281</v>
      </c>
      <c r="F2947" t="s">
        <v>204</v>
      </c>
      <c r="G2947" t="s">
        <v>213</v>
      </c>
      <c r="H2947">
        <v>4999</v>
      </c>
      <c r="I2947">
        <v>79.98</v>
      </c>
      <c r="J2947">
        <v>14.4</v>
      </c>
      <c r="K2947">
        <v>4904.62</v>
      </c>
      <c r="L2947" s="5">
        <v>46283</v>
      </c>
      <c r="M2947" t="s">
        <v>6366</v>
      </c>
      <c r="N2947" t="s">
        <v>207</v>
      </c>
      <c r="O2947" t="s">
        <v>6491</v>
      </c>
      <c r="P2947" t="s">
        <v>208</v>
      </c>
      <c r="Q2947" t="s">
        <v>209</v>
      </c>
    </row>
    <row r="2948" spans="1:17" x14ac:dyDescent="0.3">
      <c r="A2948" t="s">
        <v>6492</v>
      </c>
      <c r="C2948" t="s">
        <v>6493</v>
      </c>
      <c r="D2948" t="s">
        <v>6493</v>
      </c>
      <c r="E2948" s="5">
        <v>46281</v>
      </c>
      <c r="F2948" t="s">
        <v>204</v>
      </c>
      <c r="G2948" t="s">
        <v>220</v>
      </c>
      <c r="H2948">
        <v>799</v>
      </c>
      <c r="I2948">
        <v>0</v>
      </c>
      <c r="J2948">
        <v>0</v>
      </c>
      <c r="K2948">
        <v>799</v>
      </c>
      <c r="L2948" s="5">
        <v>46283</v>
      </c>
      <c r="M2948" t="s">
        <v>6366</v>
      </c>
      <c r="N2948" t="s">
        <v>207</v>
      </c>
      <c r="O2948" t="s">
        <v>6493</v>
      </c>
      <c r="P2948" t="s">
        <v>208</v>
      </c>
      <c r="Q2948" t="s">
        <v>209</v>
      </c>
    </row>
    <row r="2949" spans="1:17" x14ac:dyDescent="0.3">
      <c r="A2949" t="s">
        <v>6494</v>
      </c>
      <c r="C2949" t="s">
        <v>6495</v>
      </c>
      <c r="D2949" t="s">
        <v>6495</v>
      </c>
      <c r="E2949" s="5">
        <v>46281</v>
      </c>
      <c r="F2949" t="s">
        <v>204</v>
      </c>
      <c r="G2949" t="s">
        <v>220</v>
      </c>
      <c r="H2949">
        <v>299</v>
      </c>
      <c r="I2949">
        <v>0</v>
      </c>
      <c r="J2949">
        <v>0</v>
      </c>
      <c r="K2949">
        <v>299</v>
      </c>
      <c r="L2949" s="5">
        <v>46283</v>
      </c>
      <c r="M2949" t="s">
        <v>6366</v>
      </c>
      <c r="N2949" t="s">
        <v>207</v>
      </c>
      <c r="O2949" t="s">
        <v>6495</v>
      </c>
      <c r="P2949" t="s">
        <v>208</v>
      </c>
      <c r="Q2949" t="s">
        <v>209</v>
      </c>
    </row>
    <row r="2950" spans="1:17" x14ac:dyDescent="0.3">
      <c r="A2950" t="s">
        <v>6496</v>
      </c>
      <c r="C2950" t="s">
        <v>6497</v>
      </c>
      <c r="D2950" t="s">
        <v>6497</v>
      </c>
      <c r="E2950" s="5">
        <v>46281</v>
      </c>
      <c r="F2950" t="s">
        <v>204</v>
      </c>
      <c r="G2950" t="s">
        <v>213</v>
      </c>
      <c r="H2950">
        <v>1499</v>
      </c>
      <c r="I2950">
        <v>26.98</v>
      </c>
      <c r="J2950">
        <v>4.8600000000000003</v>
      </c>
      <c r="K2950">
        <v>1467.16</v>
      </c>
      <c r="L2950" s="5">
        <v>46283</v>
      </c>
      <c r="M2950" t="s">
        <v>6366</v>
      </c>
      <c r="N2950" t="s">
        <v>207</v>
      </c>
      <c r="O2950" t="s">
        <v>6497</v>
      </c>
      <c r="P2950" t="s">
        <v>208</v>
      </c>
      <c r="Q2950" t="s">
        <v>209</v>
      </c>
    </row>
    <row r="2951" spans="1:17" x14ac:dyDescent="0.3">
      <c r="A2951" t="s">
        <v>6498</v>
      </c>
      <c r="C2951" t="s">
        <v>6499</v>
      </c>
      <c r="D2951" t="s">
        <v>6499</v>
      </c>
      <c r="E2951" s="5">
        <v>46281</v>
      </c>
      <c r="F2951" t="s">
        <v>204</v>
      </c>
      <c r="G2951" t="s">
        <v>220</v>
      </c>
      <c r="H2951">
        <v>5998</v>
      </c>
      <c r="I2951">
        <v>17.989999999999998</v>
      </c>
      <c r="J2951">
        <v>3.24</v>
      </c>
      <c r="K2951">
        <v>5976.77</v>
      </c>
      <c r="L2951" s="5">
        <v>46283</v>
      </c>
      <c r="M2951" t="s">
        <v>6366</v>
      </c>
      <c r="N2951" t="s">
        <v>207</v>
      </c>
      <c r="O2951" t="s">
        <v>6499</v>
      </c>
      <c r="P2951" t="s">
        <v>208</v>
      </c>
      <c r="Q2951" t="s">
        <v>209</v>
      </c>
    </row>
    <row r="2952" spans="1:17" x14ac:dyDescent="0.3">
      <c r="A2952" t="s">
        <v>6500</v>
      </c>
      <c r="C2952" t="s">
        <v>6501</v>
      </c>
      <c r="D2952" t="s">
        <v>6502</v>
      </c>
      <c r="E2952" s="5">
        <v>46281</v>
      </c>
      <c r="F2952" t="s">
        <v>204</v>
      </c>
      <c r="G2952" t="s">
        <v>213</v>
      </c>
      <c r="H2952">
        <v>4999</v>
      </c>
      <c r="I2952">
        <v>79.98</v>
      </c>
      <c r="J2952">
        <v>14.4</v>
      </c>
      <c r="K2952">
        <v>4904.62</v>
      </c>
      <c r="L2952" s="5">
        <v>46283</v>
      </c>
      <c r="M2952" t="s">
        <v>6366</v>
      </c>
      <c r="N2952" t="s">
        <v>207</v>
      </c>
      <c r="O2952" t="s">
        <v>6502</v>
      </c>
      <c r="P2952" t="s">
        <v>208</v>
      </c>
      <c r="Q2952" t="s">
        <v>209</v>
      </c>
    </row>
    <row r="2953" spans="1:17" x14ac:dyDescent="0.3">
      <c r="A2953" t="s">
        <v>6503</v>
      </c>
      <c r="C2953" t="s">
        <v>6504</v>
      </c>
      <c r="D2953" t="s">
        <v>6504</v>
      </c>
      <c r="E2953" s="5">
        <v>46281</v>
      </c>
      <c r="F2953" t="s">
        <v>204</v>
      </c>
      <c r="G2953" t="s">
        <v>213</v>
      </c>
      <c r="H2953">
        <v>12998</v>
      </c>
      <c r="I2953">
        <v>207.97</v>
      </c>
      <c r="J2953">
        <v>37.43</v>
      </c>
      <c r="K2953">
        <v>12752.6</v>
      </c>
      <c r="L2953" s="5">
        <v>46283</v>
      </c>
      <c r="M2953" t="s">
        <v>6366</v>
      </c>
      <c r="N2953" t="s">
        <v>207</v>
      </c>
      <c r="O2953" t="s">
        <v>6504</v>
      </c>
      <c r="P2953" t="s">
        <v>208</v>
      </c>
      <c r="Q2953" t="s">
        <v>209</v>
      </c>
    </row>
    <row r="2954" spans="1:17" x14ac:dyDescent="0.3">
      <c r="A2954" t="s">
        <v>6505</v>
      </c>
      <c r="C2954" t="s">
        <v>6506</v>
      </c>
      <c r="D2954" t="s">
        <v>6506</v>
      </c>
      <c r="E2954" s="5">
        <v>46281</v>
      </c>
      <c r="F2954" t="s">
        <v>204</v>
      </c>
      <c r="G2954" t="s">
        <v>205</v>
      </c>
      <c r="H2954">
        <v>4998</v>
      </c>
      <c r="I2954">
        <v>84.97</v>
      </c>
      <c r="J2954">
        <v>15.29</v>
      </c>
      <c r="K2954">
        <v>4897.74</v>
      </c>
      <c r="L2954" s="5">
        <v>46283</v>
      </c>
      <c r="M2954" t="s">
        <v>6366</v>
      </c>
      <c r="N2954" t="s">
        <v>207</v>
      </c>
      <c r="O2954" t="s">
        <v>6506</v>
      </c>
      <c r="P2954" t="s">
        <v>208</v>
      </c>
      <c r="Q2954" t="s">
        <v>209</v>
      </c>
    </row>
    <row r="2955" spans="1:17" x14ac:dyDescent="0.3">
      <c r="A2955" t="s">
        <v>6507</v>
      </c>
      <c r="C2955" t="s">
        <v>6508</v>
      </c>
      <c r="D2955" t="s">
        <v>6508</v>
      </c>
      <c r="E2955" s="5">
        <v>46281</v>
      </c>
      <c r="F2955" t="s">
        <v>204</v>
      </c>
      <c r="G2955" t="s">
        <v>220</v>
      </c>
      <c r="H2955">
        <v>499</v>
      </c>
      <c r="I2955">
        <v>0</v>
      </c>
      <c r="J2955">
        <v>0</v>
      </c>
      <c r="K2955">
        <v>499</v>
      </c>
      <c r="L2955" s="5">
        <v>46283</v>
      </c>
      <c r="M2955" t="s">
        <v>6366</v>
      </c>
      <c r="N2955" t="s">
        <v>207</v>
      </c>
      <c r="O2955" t="s">
        <v>6508</v>
      </c>
      <c r="P2955" t="s">
        <v>208</v>
      </c>
      <c r="Q2955" t="s">
        <v>209</v>
      </c>
    </row>
    <row r="2956" spans="1:17" x14ac:dyDescent="0.3">
      <c r="A2956" t="s">
        <v>6509</v>
      </c>
      <c r="C2956" t="s">
        <v>6510</v>
      </c>
      <c r="D2956" t="s">
        <v>6510</v>
      </c>
      <c r="E2956" s="5">
        <v>46281</v>
      </c>
      <c r="F2956" t="s">
        <v>204</v>
      </c>
      <c r="G2956" t="s">
        <v>213</v>
      </c>
      <c r="H2956">
        <v>349</v>
      </c>
      <c r="I2956">
        <v>6.28</v>
      </c>
      <c r="J2956">
        <v>1.1299999999999999</v>
      </c>
      <c r="K2956">
        <v>341.59</v>
      </c>
      <c r="L2956" s="5">
        <v>46283</v>
      </c>
      <c r="M2956" t="s">
        <v>6366</v>
      </c>
      <c r="N2956" t="s">
        <v>207</v>
      </c>
      <c r="O2956" t="s">
        <v>6510</v>
      </c>
      <c r="P2956" t="s">
        <v>208</v>
      </c>
      <c r="Q2956" t="s">
        <v>209</v>
      </c>
    </row>
    <row r="2957" spans="1:17" x14ac:dyDescent="0.3">
      <c r="A2957" t="s">
        <v>6511</v>
      </c>
      <c r="C2957" t="s">
        <v>6512</v>
      </c>
      <c r="D2957" t="s">
        <v>6512</v>
      </c>
      <c r="E2957" s="5">
        <v>46281</v>
      </c>
      <c r="F2957" t="s">
        <v>204</v>
      </c>
      <c r="G2957" t="s">
        <v>213</v>
      </c>
      <c r="H2957">
        <v>2297</v>
      </c>
      <c r="I2957">
        <v>36.75</v>
      </c>
      <c r="J2957">
        <v>6.62</v>
      </c>
      <c r="K2957">
        <v>2253.63</v>
      </c>
      <c r="L2957" s="5">
        <v>46283</v>
      </c>
      <c r="M2957" t="s">
        <v>6366</v>
      </c>
      <c r="N2957" t="s">
        <v>207</v>
      </c>
      <c r="O2957" t="s">
        <v>6512</v>
      </c>
      <c r="P2957" t="s">
        <v>208</v>
      </c>
      <c r="Q2957" t="s">
        <v>209</v>
      </c>
    </row>
    <row r="2958" spans="1:17" x14ac:dyDescent="0.3">
      <c r="A2958" t="s">
        <v>6513</v>
      </c>
      <c r="C2958" t="s">
        <v>6514</v>
      </c>
      <c r="D2958" t="s">
        <v>6514</v>
      </c>
      <c r="E2958" s="5">
        <v>46281</v>
      </c>
      <c r="F2958" t="s">
        <v>204</v>
      </c>
      <c r="G2958" t="s">
        <v>220</v>
      </c>
      <c r="H2958">
        <v>2098</v>
      </c>
      <c r="I2958">
        <v>6.29</v>
      </c>
      <c r="J2958">
        <v>1.1299999999999999</v>
      </c>
      <c r="K2958">
        <v>2090.58</v>
      </c>
      <c r="L2958" s="5">
        <v>46283</v>
      </c>
      <c r="M2958" t="s">
        <v>6366</v>
      </c>
      <c r="N2958" t="s">
        <v>207</v>
      </c>
      <c r="O2958" t="s">
        <v>6514</v>
      </c>
      <c r="P2958" t="s">
        <v>208</v>
      </c>
      <c r="Q2958" t="s">
        <v>209</v>
      </c>
    </row>
    <row r="2959" spans="1:17" x14ac:dyDescent="0.3">
      <c r="A2959" t="s">
        <v>6515</v>
      </c>
      <c r="C2959" t="s">
        <v>6516</v>
      </c>
      <c r="D2959" t="s">
        <v>6516</v>
      </c>
      <c r="E2959" s="5">
        <v>46281</v>
      </c>
      <c r="F2959" t="s">
        <v>204</v>
      </c>
      <c r="G2959" t="s">
        <v>220</v>
      </c>
      <c r="H2959">
        <v>1799</v>
      </c>
      <c r="I2959">
        <v>0</v>
      </c>
      <c r="J2959">
        <v>0</v>
      </c>
      <c r="K2959">
        <v>1799</v>
      </c>
      <c r="L2959" s="5">
        <v>46283</v>
      </c>
      <c r="M2959" t="s">
        <v>6366</v>
      </c>
      <c r="N2959" t="s">
        <v>207</v>
      </c>
      <c r="O2959" t="s">
        <v>6516</v>
      </c>
      <c r="P2959" t="s">
        <v>208</v>
      </c>
      <c r="Q2959" t="s">
        <v>209</v>
      </c>
    </row>
    <row r="2960" spans="1:17" x14ac:dyDescent="0.3">
      <c r="A2960" t="s">
        <v>6517</v>
      </c>
      <c r="C2960" t="s">
        <v>6518</v>
      </c>
      <c r="D2960" t="s">
        <v>6518</v>
      </c>
      <c r="E2960" s="5">
        <v>46281</v>
      </c>
      <c r="F2960" t="s">
        <v>204</v>
      </c>
      <c r="G2960" t="s">
        <v>213</v>
      </c>
      <c r="H2960">
        <v>1499</v>
      </c>
      <c r="I2960">
        <v>26.98</v>
      </c>
      <c r="J2960">
        <v>4.8600000000000003</v>
      </c>
      <c r="K2960">
        <v>1467.16</v>
      </c>
      <c r="L2960" s="5">
        <v>46283</v>
      </c>
      <c r="M2960" t="s">
        <v>6366</v>
      </c>
      <c r="N2960" t="s">
        <v>207</v>
      </c>
      <c r="O2960" t="s">
        <v>6518</v>
      </c>
      <c r="P2960" t="s">
        <v>208</v>
      </c>
      <c r="Q2960" t="s">
        <v>209</v>
      </c>
    </row>
    <row r="2961" spans="1:17" x14ac:dyDescent="0.3">
      <c r="A2961" t="s">
        <v>6519</v>
      </c>
      <c r="C2961" t="s">
        <v>6520</v>
      </c>
      <c r="D2961" t="s">
        <v>6520</v>
      </c>
      <c r="E2961" s="5">
        <v>46281</v>
      </c>
      <c r="F2961" t="s">
        <v>204</v>
      </c>
      <c r="G2961" t="s">
        <v>220</v>
      </c>
      <c r="H2961">
        <v>7999</v>
      </c>
      <c r="I2961">
        <v>24</v>
      </c>
      <c r="J2961">
        <v>4.32</v>
      </c>
      <c r="K2961">
        <v>7970.68</v>
      </c>
      <c r="L2961" s="5">
        <v>46283</v>
      </c>
      <c r="M2961" t="s">
        <v>6366</v>
      </c>
      <c r="N2961" t="s">
        <v>207</v>
      </c>
      <c r="O2961" t="s">
        <v>6520</v>
      </c>
      <c r="P2961" t="s">
        <v>208</v>
      </c>
      <c r="Q2961" t="s">
        <v>209</v>
      </c>
    </row>
    <row r="2962" spans="1:17" x14ac:dyDescent="0.3">
      <c r="A2962" t="s">
        <v>6521</v>
      </c>
      <c r="C2962" t="s">
        <v>6522</v>
      </c>
      <c r="D2962" t="s">
        <v>6522</v>
      </c>
      <c r="E2962" s="5">
        <v>46281</v>
      </c>
      <c r="F2962" t="s">
        <v>204</v>
      </c>
      <c r="G2962" t="s">
        <v>220</v>
      </c>
      <c r="H2962">
        <v>10147</v>
      </c>
      <c r="I2962">
        <v>30.44</v>
      </c>
      <c r="J2962">
        <v>5.48</v>
      </c>
      <c r="K2962">
        <v>10111.08</v>
      </c>
      <c r="L2962" s="5">
        <v>46283</v>
      </c>
      <c r="M2962" t="s">
        <v>6366</v>
      </c>
      <c r="N2962" t="s">
        <v>207</v>
      </c>
      <c r="O2962" t="s">
        <v>6522</v>
      </c>
      <c r="P2962" t="s">
        <v>208</v>
      </c>
      <c r="Q2962" t="s">
        <v>209</v>
      </c>
    </row>
    <row r="2963" spans="1:17" x14ac:dyDescent="0.3">
      <c r="A2963" t="s">
        <v>6523</v>
      </c>
      <c r="C2963" t="s">
        <v>6524</v>
      </c>
      <c r="D2963" t="s">
        <v>6524</v>
      </c>
      <c r="E2963" s="5">
        <v>46281</v>
      </c>
      <c r="F2963" t="s">
        <v>204</v>
      </c>
      <c r="G2963" t="s">
        <v>220</v>
      </c>
      <c r="H2963">
        <v>599</v>
      </c>
      <c r="I2963">
        <v>0</v>
      </c>
      <c r="J2963">
        <v>0</v>
      </c>
      <c r="K2963">
        <v>599</v>
      </c>
      <c r="L2963" s="5">
        <v>46283</v>
      </c>
      <c r="M2963" t="s">
        <v>6366</v>
      </c>
      <c r="N2963" t="s">
        <v>207</v>
      </c>
      <c r="O2963" t="s">
        <v>6524</v>
      </c>
      <c r="P2963" t="s">
        <v>208</v>
      </c>
      <c r="Q2963" t="s">
        <v>209</v>
      </c>
    </row>
    <row r="2964" spans="1:17" x14ac:dyDescent="0.3">
      <c r="A2964" t="s">
        <v>6525</v>
      </c>
      <c r="C2964" t="s">
        <v>6526</v>
      </c>
      <c r="D2964" t="s">
        <v>6526</v>
      </c>
      <c r="E2964" s="5">
        <v>46281</v>
      </c>
      <c r="F2964" t="s">
        <v>204</v>
      </c>
      <c r="G2964" t="s">
        <v>205</v>
      </c>
      <c r="H2964">
        <v>4999</v>
      </c>
      <c r="I2964">
        <v>84.98</v>
      </c>
      <c r="J2964">
        <v>15.3</v>
      </c>
      <c r="K2964">
        <v>4898.72</v>
      </c>
      <c r="L2964" s="5">
        <v>46283</v>
      </c>
      <c r="M2964" t="s">
        <v>6366</v>
      </c>
      <c r="N2964" t="s">
        <v>207</v>
      </c>
      <c r="O2964" t="s">
        <v>6526</v>
      </c>
      <c r="P2964" t="s">
        <v>208</v>
      </c>
      <c r="Q2964" t="s">
        <v>209</v>
      </c>
    </row>
    <row r="2965" spans="1:17" x14ac:dyDescent="0.3">
      <c r="A2965" t="s">
        <v>6527</v>
      </c>
      <c r="C2965" t="s">
        <v>6528</v>
      </c>
      <c r="D2965" t="s">
        <v>6528</v>
      </c>
      <c r="E2965" s="5">
        <v>46281</v>
      </c>
      <c r="F2965" t="s">
        <v>204</v>
      </c>
      <c r="G2965" t="s">
        <v>255</v>
      </c>
      <c r="H2965">
        <v>499</v>
      </c>
      <c r="I2965">
        <v>7.49</v>
      </c>
      <c r="J2965">
        <v>1.35</v>
      </c>
      <c r="K2965">
        <v>490.16</v>
      </c>
      <c r="L2965" s="5">
        <v>46283</v>
      </c>
      <c r="M2965" t="s">
        <v>6366</v>
      </c>
      <c r="N2965" t="s">
        <v>207</v>
      </c>
      <c r="O2965" t="s">
        <v>6528</v>
      </c>
      <c r="P2965" t="s">
        <v>208</v>
      </c>
      <c r="Q2965" t="s">
        <v>209</v>
      </c>
    </row>
    <row r="2966" spans="1:17" x14ac:dyDescent="0.3">
      <c r="A2966" t="s">
        <v>6529</v>
      </c>
      <c r="C2966" t="s">
        <v>6530</v>
      </c>
      <c r="D2966" t="s">
        <v>6530</v>
      </c>
      <c r="E2966" s="5">
        <v>46281</v>
      </c>
      <c r="F2966" t="s">
        <v>204</v>
      </c>
      <c r="G2966" t="s">
        <v>213</v>
      </c>
      <c r="H2966">
        <v>2647</v>
      </c>
      <c r="I2966">
        <v>42.35</v>
      </c>
      <c r="J2966">
        <v>7.62</v>
      </c>
      <c r="K2966">
        <v>2597.0300000000002</v>
      </c>
      <c r="L2966" s="5">
        <v>46283</v>
      </c>
      <c r="M2966" t="s">
        <v>6366</v>
      </c>
      <c r="N2966" t="s">
        <v>207</v>
      </c>
      <c r="O2966" t="s">
        <v>6530</v>
      </c>
      <c r="P2966" t="s">
        <v>208</v>
      </c>
      <c r="Q2966" t="s">
        <v>209</v>
      </c>
    </row>
    <row r="2967" spans="1:17" x14ac:dyDescent="0.3">
      <c r="A2967" t="s">
        <v>6531</v>
      </c>
      <c r="C2967" t="s">
        <v>6532</v>
      </c>
      <c r="D2967" t="s">
        <v>6532</v>
      </c>
      <c r="E2967" s="5">
        <v>46281</v>
      </c>
      <c r="F2967" t="s">
        <v>204</v>
      </c>
      <c r="G2967" t="s">
        <v>213</v>
      </c>
      <c r="H2967">
        <v>4999</v>
      </c>
      <c r="I2967">
        <v>79.98</v>
      </c>
      <c r="J2967">
        <v>14.4</v>
      </c>
      <c r="K2967">
        <v>4904.62</v>
      </c>
      <c r="L2967" s="5">
        <v>46283</v>
      </c>
      <c r="M2967" t="s">
        <v>6366</v>
      </c>
      <c r="N2967" t="s">
        <v>207</v>
      </c>
      <c r="O2967" t="s">
        <v>6532</v>
      </c>
      <c r="P2967" t="s">
        <v>208</v>
      </c>
      <c r="Q2967" t="s">
        <v>209</v>
      </c>
    </row>
    <row r="2968" spans="1:17" x14ac:dyDescent="0.3">
      <c r="A2968" t="s">
        <v>6533</v>
      </c>
      <c r="C2968" t="s">
        <v>6534</v>
      </c>
      <c r="D2968" t="s">
        <v>6534</v>
      </c>
      <c r="E2968" s="5">
        <v>46281</v>
      </c>
      <c r="F2968" t="s">
        <v>204</v>
      </c>
      <c r="G2968" t="s">
        <v>220</v>
      </c>
      <c r="H2968">
        <v>8998</v>
      </c>
      <c r="I2968">
        <v>26.99</v>
      </c>
      <c r="J2968">
        <v>4.8600000000000003</v>
      </c>
      <c r="K2968">
        <v>8966.15</v>
      </c>
      <c r="L2968" s="5">
        <v>46283</v>
      </c>
      <c r="M2968" t="s">
        <v>6366</v>
      </c>
      <c r="N2968" t="s">
        <v>207</v>
      </c>
      <c r="O2968" t="s">
        <v>6534</v>
      </c>
      <c r="P2968" t="s">
        <v>208</v>
      </c>
      <c r="Q2968" t="s">
        <v>209</v>
      </c>
    </row>
    <row r="2969" spans="1:17" x14ac:dyDescent="0.3">
      <c r="A2969" t="s">
        <v>6535</v>
      </c>
      <c r="C2969" t="s">
        <v>6536</v>
      </c>
      <c r="D2969" t="s">
        <v>6536</v>
      </c>
      <c r="E2969" s="5">
        <v>46281</v>
      </c>
      <c r="F2969" t="s">
        <v>204</v>
      </c>
      <c r="G2969" t="s">
        <v>220</v>
      </c>
      <c r="H2969">
        <v>5598</v>
      </c>
      <c r="I2969">
        <v>16.79</v>
      </c>
      <c r="J2969">
        <v>3.02</v>
      </c>
      <c r="K2969">
        <v>5578.19</v>
      </c>
      <c r="L2969" s="5">
        <v>46283</v>
      </c>
      <c r="M2969" t="s">
        <v>6366</v>
      </c>
      <c r="N2969" t="s">
        <v>207</v>
      </c>
      <c r="O2969" t="s">
        <v>6536</v>
      </c>
      <c r="P2969" t="s">
        <v>208</v>
      </c>
      <c r="Q2969" t="s">
        <v>209</v>
      </c>
    </row>
    <row r="2970" spans="1:17" x14ac:dyDescent="0.3">
      <c r="A2970" t="s">
        <v>6537</v>
      </c>
      <c r="C2970" t="s">
        <v>6538</v>
      </c>
      <c r="D2970" t="s">
        <v>6538</v>
      </c>
      <c r="E2970" s="5">
        <v>46281</v>
      </c>
      <c r="F2970" t="s">
        <v>204</v>
      </c>
      <c r="G2970" t="s">
        <v>255</v>
      </c>
      <c r="H2970">
        <v>299</v>
      </c>
      <c r="I2970">
        <v>4.49</v>
      </c>
      <c r="J2970">
        <v>0.81</v>
      </c>
      <c r="K2970">
        <v>293.7</v>
      </c>
      <c r="L2970" s="5">
        <v>46283</v>
      </c>
      <c r="M2970" t="s">
        <v>6366</v>
      </c>
      <c r="N2970" t="s">
        <v>207</v>
      </c>
      <c r="O2970" t="s">
        <v>6538</v>
      </c>
      <c r="P2970" t="s">
        <v>208</v>
      </c>
      <c r="Q2970" t="s">
        <v>209</v>
      </c>
    </row>
    <row r="2971" spans="1:17" x14ac:dyDescent="0.3">
      <c r="A2971" t="s">
        <v>6539</v>
      </c>
      <c r="C2971" t="s">
        <v>6540</v>
      </c>
      <c r="D2971" t="s">
        <v>6541</v>
      </c>
      <c r="E2971" s="5">
        <v>46281</v>
      </c>
      <c r="F2971" t="s">
        <v>204</v>
      </c>
      <c r="G2971" t="s">
        <v>213</v>
      </c>
      <c r="H2971">
        <v>5998</v>
      </c>
      <c r="I2971">
        <v>95.97</v>
      </c>
      <c r="J2971">
        <v>17.27</v>
      </c>
      <c r="K2971">
        <v>5884.76</v>
      </c>
      <c r="L2971" s="5">
        <v>46283</v>
      </c>
      <c r="M2971" t="s">
        <v>6366</v>
      </c>
      <c r="N2971" t="s">
        <v>207</v>
      </c>
      <c r="O2971" t="s">
        <v>6541</v>
      </c>
      <c r="P2971" t="s">
        <v>208</v>
      </c>
      <c r="Q2971" t="s">
        <v>209</v>
      </c>
    </row>
    <row r="2972" spans="1:17" x14ac:dyDescent="0.3">
      <c r="A2972" t="s">
        <v>6542</v>
      </c>
      <c r="C2972" t="s">
        <v>6543</v>
      </c>
      <c r="D2972" t="s">
        <v>6543</v>
      </c>
      <c r="E2972" s="5">
        <v>46281</v>
      </c>
      <c r="F2972" t="s">
        <v>204</v>
      </c>
      <c r="G2972" t="s">
        <v>213</v>
      </c>
      <c r="H2972">
        <v>4298</v>
      </c>
      <c r="I2972">
        <v>68.77</v>
      </c>
      <c r="J2972">
        <v>12.38</v>
      </c>
      <c r="K2972">
        <v>4216.8500000000004</v>
      </c>
      <c r="L2972" s="5">
        <v>46283</v>
      </c>
      <c r="M2972" t="s">
        <v>6366</v>
      </c>
      <c r="N2972" t="s">
        <v>207</v>
      </c>
      <c r="O2972" t="s">
        <v>6543</v>
      </c>
      <c r="P2972" t="s">
        <v>208</v>
      </c>
      <c r="Q2972" t="s">
        <v>209</v>
      </c>
    </row>
    <row r="2973" spans="1:17" x14ac:dyDescent="0.3">
      <c r="A2973" t="s">
        <v>6544</v>
      </c>
      <c r="C2973" t="s">
        <v>6545</v>
      </c>
      <c r="D2973" t="s">
        <v>6545</v>
      </c>
      <c r="E2973" s="5">
        <v>46281</v>
      </c>
      <c r="F2973" t="s">
        <v>204</v>
      </c>
      <c r="G2973" t="s">
        <v>220</v>
      </c>
      <c r="H2973">
        <v>999</v>
      </c>
      <c r="I2973">
        <v>0</v>
      </c>
      <c r="J2973">
        <v>0</v>
      </c>
      <c r="K2973">
        <v>999</v>
      </c>
      <c r="L2973" s="5">
        <v>46283</v>
      </c>
      <c r="M2973" t="s">
        <v>6366</v>
      </c>
      <c r="N2973" t="s">
        <v>207</v>
      </c>
      <c r="O2973" t="s">
        <v>6545</v>
      </c>
      <c r="P2973" t="s">
        <v>208</v>
      </c>
      <c r="Q2973" t="s">
        <v>209</v>
      </c>
    </row>
    <row r="2974" spans="1:17" x14ac:dyDescent="0.3">
      <c r="A2974" t="s">
        <v>6546</v>
      </c>
      <c r="C2974" t="s">
        <v>6547</v>
      </c>
      <c r="D2974" t="s">
        <v>6547</v>
      </c>
      <c r="E2974" s="5">
        <v>46281</v>
      </c>
      <c r="F2974" t="s">
        <v>204</v>
      </c>
      <c r="G2974" t="s">
        <v>220</v>
      </c>
      <c r="H2974">
        <v>1299</v>
      </c>
      <c r="I2974">
        <v>0</v>
      </c>
      <c r="J2974">
        <v>0</v>
      </c>
      <c r="K2974">
        <v>1299</v>
      </c>
      <c r="L2974" s="5">
        <v>46283</v>
      </c>
      <c r="M2974" t="s">
        <v>6366</v>
      </c>
      <c r="N2974" t="s">
        <v>207</v>
      </c>
      <c r="O2974" t="s">
        <v>6547</v>
      </c>
      <c r="P2974" t="s">
        <v>208</v>
      </c>
      <c r="Q2974" t="s">
        <v>209</v>
      </c>
    </row>
    <row r="2975" spans="1:17" x14ac:dyDescent="0.3">
      <c r="A2975" t="s">
        <v>6548</v>
      </c>
      <c r="C2975" t="s">
        <v>6549</v>
      </c>
      <c r="D2975" t="s">
        <v>6549</v>
      </c>
      <c r="E2975" s="5">
        <v>46281</v>
      </c>
      <c r="F2975" t="s">
        <v>204</v>
      </c>
      <c r="G2975" t="s">
        <v>220</v>
      </c>
      <c r="H2975">
        <v>7999</v>
      </c>
      <c r="I2975">
        <v>24</v>
      </c>
      <c r="J2975">
        <v>4.32</v>
      </c>
      <c r="K2975">
        <v>7970.68</v>
      </c>
      <c r="L2975" s="5">
        <v>46283</v>
      </c>
      <c r="M2975" t="s">
        <v>6366</v>
      </c>
      <c r="N2975" t="s">
        <v>207</v>
      </c>
      <c r="O2975" t="s">
        <v>6549</v>
      </c>
      <c r="P2975" t="s">
        <v>208</v>
      </c>
      <c r="Q2975" t="s">
        <v>209</v>
      </c>
    </row>
    <row r="2976" spans="1:17" x14ac:dyDescent="0.3">
      <c r="A2976" t="s">
        <v>6550</v>
      </c>
      <c r="C2976" t="s">
        <v>6551</v>
      </c>
      <c r="D2976" t="s">
        <v>6552</v>
      </c>
      <c r="E2976" s="5">
        <v>46281</v>
      </c>
      <c r="F2976" t="s">
        <v>204</v>
      </c>
      <c r="G2976" t="s">
        <v>213</v>
      </c>
      <c r="H2976">
        <v>499</v>
      </c>
      <c r="I2976">
        <v>8.98</v>
      </c>
      <c r="J2976">
        <v>1.62</v>
      </c>
      <c r="K2976">
        <v>488.4</v>
      </c>
      <c r="L2976" s="5">
        <v>46283</v>
      </c>
      <c r="M2976" t="s">
        <v>6366</v>
      </c>
      <c r="N2976" t="s">
        <v>207</v>
      </c>
      <c r="O2976" t="s">
        <v>6552</v>
      </c>
      <c r="P2976" t="s">
        <v>208</v>
      </c>
      <c r="Q2976" t="s">
        <v>209</v>
      </c>
    </row>
    <row r="2977" spans="1:17" x14ac:dyDescent="0.3">
      <c r="A2977" t="s">
        <v>6553</v>
      </c>
      <c r="C2977" t="s">
        <v>6554</v>
      </c>
      <c r="D2977" t="s">
        <v>6554</v>
      </c>
      <c r="E2977" s="5">
        <v>46281</v>
      </c>
      <c r="F2977" t="s">
        <v>204</v>
      </c>
      <c r="G2977" t="s">
        <v>220</v>
      </c>
      <c r="H2977">
        <v>4999</v>
      </c>
      <c r="I2977">
        <v>15</v>
      </c>
      <c r="J2977">
        <v>2.7</v>
      </c>
      <c r="K2977">
        <v>4981.3</v>
      </c>
      <c r="L2977" s="5">
        <v>46283</v>
      </c>
      <c r="M2977" t="s">
        <v>6366</v>
      </c>
      <c r="N2977" t="s">
        <v>207</v>
      </c>
      <c r="O2977" t="s">
        <v>6554</v>
      </c>
      <c r="P2977" t="s">
        <v>208</v>
      </c>
      <c r="Q2977" t="s">
        <v>209</v>
      </c>
    </row>
    <row r="2978" spans="1:17" x14ac:dyDescent="0.3">
      <c r="A2978" t="s">
        <v>6555</v>
      </c>
      <c r="C2978" t="s">
        <v>6556</v>
      </c>
      <c r="D2978" t="s">
        <v>6556</v>
      </c>
      <c r="E2978" s="5">
        <v>46281</v>
      </c>
      <c r="F2978" t="s">
        <v>204</v>
      </c>
      <c r="G2978" t="s">
        <v>220</v>
      </c>
      <c r="H2978">
        <v>299</v>
      </c>
      <c r="I2978">
        <v>0</v>
      </c>
      <c r="J2978">
        <v>0</v>
      </c>
      <c r="K2978">
        <v>299</v>
      </c>
      <c r="L2978" s="5">
        <v>46283</v>
      </c>
      <c r="M2978" t="s">
        <v>6366</v>
      </c>
      <c r="N2978" t="s">
        <v>207</v>
      </c>
      <c r="O2978" t="s">
        <v>6556</v>
      </c>
      <c r="P2978" t="s">
        <v>208</v>
      </c>
      <c r="Q2978" t="s">
        <v>209</v>
      </c>
    </row>
    <row r="2979" spans="1:17" x14ac:dyDescent="0.3">
      <c r="A2979" t="s">
        <v>6557</v>
      </c>
      <c r="C2979" t="s">
        <v>6558</v>
      </c>
      <c r="D2979" t="s">
        <v>6558</v>
      </c>
      <c r="E2979" s="5">
        <v>46281</v>
      </c>
      <c r="F2979" t="s">
        <v>204</v>
      </c>
      <c r="G2979" t="s">
        <v>213</v>
      </c>
      <c r="H2979">
        <v>3499</v>
      </c>
      <c r="I2979">
        <v>55.98</v>
      </c>
      <c r="J2979">
        <v>10.08</v>
      </c>
      <c r="K2979">
        <v>3432.94</v>
      </c>
      <c r="L2979" s="5">
        <v>46283</v>
      </c>
      <c r="M2979" t="s">
        <v>6366</v>
      </c>
      <c r="N2979" t="s">
        <v>207</v>
      </c>
      <c r="O2979" t="s">
        <v>6558</v>
      </c>
      <c r="P2979" t="s">
        <v>208</v>
      </c>
      <c r="Q2979" t="s">
        <v>209</v>
      </c>
    </row>
    <row r="2980" spans="1:17" x14ac:dyDescent="0.3">
      <c r="A2980" t="s">
        <v>6559</v>
      </c>
      <c r="C2980" t="s">
        <v>6560</v>
      </c>
      <c r="D2980" t="s">
        <v>6561</v>
      </c>
      <c r="E2980" s="5">
        <v>46281</v>
      </c>
      <c r="F2980" t="s">
        <v>204</v>
      </c>
      <c r="G2980" t="s">
        <v>220</v>
      </c>
      <c r="H2980">
        <v>2498</v>
      </c>
      <c r="I2980">
        <v>7.49</v>
      </c>
      <c r="J2980">
        <v>1.35</v>
      </c>
      <c r="K2980">
        <v>2489.16</v>
      </c>
      <c r="L2980" s="5">
        <v>46283</v>
      </c>
      <c r="M2980" t="s">
        <v>6366</v>
      </c>
      <c r="N2980" t="s">
        <v>207</v>
      </c>
      <c r="O2980" t="s">
        <v>6561</v>
      </c>
      <c r="P2980" t="s">
        <v>208</v>
      </c>
      <c r="Q2980" t="s">
        <v>209</v>
      </c>
    </row>
    <row r="2981" spans="1:17" x14ac:dyDescent="0.3">
      <c r="A2981" t="s">
        <v>6562</v>
      </c>
      <c r="C2981" t="s">
        <v>6563</v>
      </c>
      <c r="D2981" t="s">
        <v>6563</v>
      </c>
      <c r="E2981" s="5">
        <v>46281</v>
      </c>
      <c r="F2981" t="s">
        <v>204</v>
      </c>
      <c r="G2981" t="s">
        <v>220</v>
      </c>
      <c r="H2981">
        <v>1998</v>
      </c>
      <c r="I2981">
        <v>0</v>
      </c>
      <c r="J2981">
        <v>0</v>
      </c>
      <c r="K2981">
        <v>1998</v>
      </c>
      <c r="L2981" s="5">
        <v>46283</v>
      </c>
      <c r="M2981" t="s">
        <v>6366</v>
      </c>
      <c r="N2981" t="s">
        <v>207</v>
      </c>
      <c r="O2981" t="s">
        <v>6563</v>
      </c>
      <c r="P2981" t="s">
        <v>208</v>
      </c>
      <c r="Q2981" t="s">
        <v>209</v>
      </c>
    </row>
    <row r="2982" spans="1:17" x14ac:dyDescent="0.3">
      <c r="A2982" t="s">
        <v>6564</v>
      </c>
      <c r="C2982" t="s">
        <v>6565</v>
      </c>
      <c r="D2982" t="s">
        <v>6565</v>
      </c>
      <c r="E2982" s="5">
        <v>46281</v>
      </c>
      <c r="F2982" t="s">
        <v>204</v>
      </c>
      <c r="G2982" t="s">
        <v>220</v>
      </c>
      <c r="H2982">
        <v>299</v>
      </c>
      <c r="I2982">
        <v>0</v>
      </c>
      <c r="J2982">
        <v>0</v>
      </c>
      <c r="K2982">
        <v>299</v>
      </c>
      <c r="L2982" s="5">
        <v>46283</v>
      </c>
      <c r="M2982" t="s">
        <v>6366</v>
      </c>
      <c r="N2982" t="s">
        <v>207</v>
      </c>
      <c r="O2982" t="s">
        <v>6565</v>
      </c>
      <c r="P2982" t="s">
        <v>208</v>
      </c>
      <c r="Q2982" t="s">
        <v>209</v>
      </c>
    </row>
    <row r="2983" spans="1:17" x14ac:dyDescent="0.3">
      <c r="A2983" t="s">
        <v>6566</v>
      </c>
      <c r="C2983" t="s">
        <v>6567</v>
      </c>
      <c r="D2983" t="s">
        <v>6567</v>
      </c>
      <c r="E2983" s="5">
        <v>46281</v>
      </c>
      <c r="F2983" t="s">
        <v>204</v>
      </c>
      <c r="G2983" t="s">
        <v>213</v>
      </c>
      <c r="H2983">
        <v>1799</v>
      </c>
      <c r="I2983">
        <v>32.380000000000003</v>
      </c>
      <c r="J2983">
        <v>5.83</v>
      </c>
      <c r="K2983">
        <v>1760.79</v>
      </c>
      <c r="L2983" s="5">
        <v>46283</v>
      </c>
      <c r="M2983" t="s">
        <v>6366</v>
      </c>
      <c r="N2983" t="s">
        <v>207</v>
      </c>
      <c r="O2983" t="s">
        <v>6567</v>
      </c>
      <c r="P2983" t="s">
        <v>208</v>
      </c>
      <c r="Q2983" t="s">
        <v>209</v>
      </c>
    </row>
    <row r="2984" spans="1:17" x14ac:dyDescent="0.3">
      <c r="A2984" t="s">
        <v>6568</v>
      </c>
      <c r="C2984" t="s">
        <v>6569</v>
      </c>
      <c r="D2984" t="s">
        <v>6569</v>
      </c>
      <c r="E2984" s="5">
        <v>46281</v>
      </c>
      <c r="F2984" t="s">
        <v>204</v>
      </c>
      <c r="G2984" t="s">
        <v>220</v>
      </c>
      <c r="H2984">
        <v>1299</v>
      </c>
      <c r="I2984">
        <v>0</v>
      </c>
      <c r="J2984">
        <v>0</v>
      </c>
      <c r="K2984">
        <v>1299</v>
      </c>
      <c r="L2984" s="5">
        <v>46283</v>
      </c>
      <c r="M2984" t="s">
        <v>6366</v>
      </c>
      <c r="N2984" t="s">
        <v>207</v>
      </c>
      <c r="O2984" t="s">
        <v>6569</v>
      </c>
      <c r="P2984" t="s">
        <v>208</v>
      </c>
      <c r="Q2984" t="s">
        <v>209</v>
      </c>
    </row>
    <row r="2985" spans="1:17" x14ac:dyDescent="0.3">
      <c r="A2985" t="s">
        <v>6570</v>
      </c>
      <c r="C2985" t="s">
        <v>6571</v>
      </c>
      <c r="D2985" t="s">
        <v>6571</v>
      </c>
      <c r="E2985" s="5">
        <v>46281</v>
      </c>
      <c r="F2985" t="s">
        <v>204</v>
      </c>
      <c r="G2985" t="s">
        <v>255</v>
      </c>
      <c r="H2985">
        <v>1799</v>
      </c>
      <c r="I2985">
        <v>26.99</v>
      </c>
      <c r="J2985">
        <v>4.8600000000000003</v>
      </c>
      <c r="K2985">
        <v>1767.15</v>
      </c>
      <c r="L2985" s="5">
        <v>46283</v>
      </c>
      <c r="M2985" t="s">
        <v>6366</v>
      </c>
      <c r="N2985" t="s">
        <v>207</v>
      </c>
      <c r="O2985" t="s">
        <v>6571</v>
      </c>
      <c r="P2985" t="s">
        <v>208</v>
      </c>
      <c r="Q2985" t="s">
        <v>209</v>
      </c>
    </row>
    <row r="2986" spans="1:17" x14ac:dyDescent="0.3">
      <c r="A2986" t="s">
        <v>6572</v>
      </c>
      <c r="C2986" t="s">
        <v>6573</v>
      </c>
      <c r="D2986" t="s">
        <v>6573</v>
      </c>
      <c r="E2986" s="5">
        <v>46281</v>
      </c>
      <c r="F2986" t="s">
        <v>204</v>
      </c>
      <c r="G2986" t="s">
        <v>213</v>
      </c>
      <c r="H2986">
        <v>1749</v>
      </c>
      <c r="I2986">
        <v>31.48</v>
      </c>
      <c r="J2986">
        <v>5.67</v>
      </c>
      <c r="K2986">
        <v>1711.85</v>
      </c>
      <c r="L2986" s="5">
        <v>46283</v>
      </c>
      <c r="M2986" t="s">
        <v>6366</v>
      </c>
      <c r="N2986" t="s">
        <v>207</v>
      </c>
      <c r="O2986" t="s">
        <v>6573</v>
      </c>
      <c r="P2986" t="s">
        <v>208</v>
      </c>
      <c r="Q2986" t="s">
        <v>209</v>
      </c>
    </row>
    <row r="2987" spans="1:17" x14ac:dyDescent="0.3">
      <c r="A2987" t="s">
        <v>6574</v>
      </c>
      <c r="C2987" t="s">
        <v>6575</v>
      </c>
      <c r="D2987" t="s">
        <v>6575</v>
      </c>
      <c r="E2987" s="5">
        <v>46281</v>
      </c>
      <c r="F2987" t="s">
        <v>204</v>
      </c>
      <c r="G2987" t="s">
        <v>220</v>
      </c>
      <c r="H2987">
        <v>2499</v>
      </c>
      <c r="I2987">
        <v>7.5</v>
      </c>
      <c r="J2987">
        <v>1.35</v>
      </c>
      <c r="K2987">
        <v>2490.15</v>
      </c>
      <c r="L2987" s="5">
        <v>46283</v>
      </c>
      <c r="M2987" t="s">
        <v>6366</v>
      </c>
      <c r="N2987" t="s">
        <v>207</v>
      </c>
      <c r="O2987" t="s">
        <v>6575</v>
      </c>
      <c r="P2987" t="s">
        <v>208</v>
      </c>
      <c r="Q2987" t="s">
        <v>209</v>
      </c>
    </row>
    <row r="2988" spans="1:17" x14ac:dyDescent="0.3">
      <c r="A2988" t="s">
        <v>6576</v>
      </c>
      <c r="C2988" t="s">
        <v>6577</v>
      </c>
      <c r="D2988" t="s">
        <v>6577</v>
      </c>
      <c r="E2988" s="5">
        <v>46281</v>
      </c>
      <c r="F2988" t="s">
        <v>204</v>
      </c>
      <c r="G2988" t="s">
        <v>255</v>
      </c>
      <c r="H2988">
        <v>7999</v>
      </c>
      <c r="I2988">
        <v>95.99</v>
      </c>
      <c r="J2988">
        <v>17.28</v>
      </c>
      <c r="K2988">
        <v>7885.73</v>
      </c>
      <c r="L2988" s="5">
        <v>46283</v>
      </c>
      <c r="M2988" t="s">
        <v>6366</v>
      </c>
      <c r="N2988" t="s">
        <v>207</v>
      </c>
      <c r="O2988" t="s">
        <v>6577</v>
      </c>
      <c r="P2988" t="s">
        <v>208</v>
      </c>
      <c r="Q2988" t="s">
        <v>209</v>
      </c>
    </row>
    <row r="2989" spans="1:17" x14ac:dyDescent="0.3">
      <c r="A2989" t="s">
        <v>6578</v>
      </c>
      <c r="C2989" t="s">
        <v>6579</v>
      </c>
      <c r="D2989" t="s">
        <v>6579</v>
      </c>
      <c r="E2989" s="5">
        <v>46281</v>
      </c>
      <c r="F2989" t="s">
        <v>204</v>
      </c>
      <c r="G2989" t="s">
        <v>220</v>
      </c>
      <c r="H2989">
        <v>948</v>
      </c>
      <c r="I2989">
        <v>0</v>
      </c>
      <c r="J2989">
        <v>0</v>
      </c>
      <c r="K2989">
        <v>948</v>
      </c>
      <c r="L2989" s="5">
        <v>46283</v>
      </c>
      <c r="M2989" t="s">
        <v>6366</v>
      </c>
      <c r="N2989" t="s">
        <v>207</v>
      </c>
      <c r="O2989" t="s">
        <v>6579</v>
      </c>
      <c r="P2989" t="s">
        <v>208</v>
      </c>
      <c r="Q2989" t="s">
        <v>209</v>
      </c>
    </row>
    <row r="2990" spans="1:17" x14ac:dyDescent="0.3">
      <c r="A2990" t="s">
        <v>6580</v>
      </c>
      <c r="C2990" t="s">
        <v>6581</v>
      </c>
      <c r="D2990" t="s">
        <v>6581</v>
      </c>
      <c r="E2990" s="5">
        <v>46281</v>
      </c>
      <c r="F2990" t="s">
        <v>204</v>
      </c>
      <c r="G2990" t="s">
        <v>220</v>
      </c>
      <c r="H2990">
        <v>5597</v>
      </c>
      <c r="I2990">
        <v>16.79</v>
      </c>
      <c r="J2990">
        <v>3.02</v>
      </c>
      <c r="K2990">
        <v>5577.19</v>
      </c>
      <c r="L2990" s="5">
        <v>46283</v>
      </c>
      <c r="M2990" t="s">
        <v>6366</v>
      </c>
      <c r="N2990" t="s">
        <v>207</v>
      </c>
      <c r="O2990" t="s">
        <v>6581</v>
      </c>
      <c r="P2990" t="s">
        <v>208</v>
      </c>
      <c r="Q2990" t="s">
        <v>209</v>
      </c>
    </row>
    <row r="2991" spans="1:17" x14ac:dyDescent="0.3">
      <c r="A2991" t="s">
        <v>6582</v>
      </c>
      <c r="C2991" t="s">
        <v>6583</v>
      </c>
      <c r="D2991" t="s">
        <v>6583</v>
      </c>
      <c r="E2991" s="5">
        <v>46281</v>
      </c>
      <c r="F2991" t="s">
        <v>204</v>
      </c>
      <c r="G2991" t="s">
        <v>220</v>
      </c>
      <c r="H2991">
        <v>8498</v>
      </c>
      <c r="I2991">
        <v>25.49</v>
      </c>
      <c r="J2991">
        <v>4.59</v>
      </c>
      <c r="K2991">
        <v>8467.92</v>
      </c>
      <c r="L2991" s="5">
        <v>46283</v>
      </c>
      <c r="M2991" t="s">
        <v>6366</v>
      </c>
      <c r="N2991" t="s">
        <v>207</v>
      </c>
      <c r="O2991" t="s">
        <v>6583</v>
      </c>
      <c r="P2991" t="s">
        <v>208</v>
      </c>
      <c r="Q2991" t="s">
        <v>209</v>
      </c>
    </row>
    <row r="2992" spans="1:17" x14ac:dyDescent="0.3">
      <c r="A2992" t="s">
        <v>6584</v>
      </c>
      <c r="C2992" t="s">
        <v>6585</v>
      </c>
      <c r="D2992" t="s">
        <v>6585</v>
      </c>
      <c r="E2992" s="5">
        <v>46281</v>
      </c>
      <c r="F2992" t="s">
        <v>204</v>
      </c>
      <c r="G2992" t="s">
        <v>220</v>
      </c>
      <c r="H2992">
        <v>7999</v>
      </c>
      <c r="I2992">
        <v>24</v>
      </c>
      <c r="J2992">
        <v>4.32</v>
      </c>
      <c r="K2992">
        <v>7970.68</v>
      </c>
      <c r="L2992" s="5">
        <v>46283</v>
      </c>
      <c r="M2992" t="s">
        <v>6366</v>
      </c>
      <c r="N2992" t="s">
        <v>207</v>
      </c>
      <c r="O2992" t="s">
        <v>6585</v>
      </c>
      <c r="P2992" t="s">
        <v>208</v>
      </c>
      <c r="Q2992" t="s">
        <v>209</v>
      </c>
    </row>
    <row r="2993" spans="1:17" x14ac:dyDescent="0.3">
      <c r="A2993" t="s">
        <v>6586</v>
      </c>
      <c r="C2993" t="s">
        <v>6587</v>
      </c>
      <c r="D2993" t="s">
        <v>6587</v>
      </c>
      <c r="E2993" s="5">
        <v>46281</v>
      </c>
      <c r="F2993" t="s">
        <v>204</v>
      </c>
      <c r="G2993" t="s">
        <v>220</v>
      </c>
      <c r="H2993">
        <v>5097</v>
      </c>
      <c r="I2993">
        <v>15.29</v>
      </c>
      <c r="J2993">
        <v>2.75</v>
      </c>
      <c r="K2993">
        <v>5078.96</v>
      </c>
      <c r="L2993" s="5">
        <v>46283</v>
      </c>
      <c r="M2993" t="s">
        <v>6366</v>
      </c>
      <c r="N2993" t="s">
        <v>207</v>
      </c>
      <c r="O2993" t="s">
        <v>6587</v>
      </c>
      <c r="P2993" t="s">
        <v>208</v>
      </c>
      <c r="Q2993" t="s">
        <v>209</v>
      </c>
    </row>
    <row r="2994" spans="1:17" x14ac:dyDescent="0.3">
      <c r="A2994" t="s">
        <v>6588</v>
      </c>
      <c r="C2994" t="s">
        <v>6589</v>
      </c>
      <c r="D2994" t="s">
        <v>6589</v>
      </c>
      <c r="E2994" s="5">
        <v>46281</v>
      </c>
      <c r="F2994" t="s">
        <v>204</v>
      </c>
      <c r="G2994" t="s">
        <v>213</v>
      </c>
      <c r="H2994">
        <v>599</v>
      </c>
      <c r="I2994">
        <v>10.78</v>
      </c>
      <c r="J2994">
        <v>1.94</v>
      </c>
      <c r="K2994">
        <v>586.28</v>
      </c>
      <c r="L2994" s="5">
        <v>46283</v>
      </c>
      <c r="M2994" t="s">
        <v>6366</v>
      </c>
      <c r="N2994" t="s">
        <v>207</v>
      </c>
      <c r="O2994" t="s">
        <v>6589</v>
      </c>
      <c r="P2994" t="s">
        <v>208</v>
      </c>
      <c r="Q2994" t="s">
        <v>209</v>
      </c>
    </row>
    <row r="2995" spans="1:17" x14ac:dyDescent="0.3">
      <c r="A2995" t="s">
        <v>6590</v>
      </c>
      <c r="C2995" t="s">
        <v>6591</v>
      </c>
      <c r="D2995" t="s">
        <v>6591</v>
      </c>
      <c r="E2995" s="5">
        <v>46281</v>
      </c>
      <c r="F2995" t="s">
        <v>204</v>
      </c>
      <c r="G2995" t="s">
        <v>213</v>
      </c>
      <c r="H2995">
        <v>4097</v>
      </c>
      <c r="I2995">
        <v>65.55</v>
      </c>
      <c r="J2995">
        <v>11.8</v>
      </c>
      <c r="K2995">
        <v>4019.65</v>
      </c>
      <c r="L2995" s="5">
        <v>46283</v>
      </c>
      <c r="M2995" t="s">
        <v>6366</v>
      </c>
      <c r="N2995" t="s">
        <v>207</v>
      </c>
      <c r="O2995" t="s">
        <v>6591</v>
      </c>
      <c r="P2995" t="s">
        <v>208</v>
      </c>
      <c r="Q2995" t="s">
        <v>209</v>
      </c>
    </row>
    <row r="2996" spans="1:17" x14ac:dyDescent="0.3">
      <c r="A2996" t="s">
        <v>6592</v>
      </c>
      <c r="C2996" t="s">
        <v>6593</v>
      </c>
      <c r="D2996" t="s">
        <v>6593</v>
      </c>
      <c r="E2996" s="5">
        <v>46281</v>
      </c>
      <c r="F2996" t="s">
        <v>204</v>
      </c>
      <c r="G2996" t="s">
        <v>255</v>
      </c>
      <c r="H2996">
        <v>499</v>
      </c>
      <c r="I2996">
        <v>7.49</v>
      </c>
      <c r="J2996">
        <v>1.35</v>
      </c>
      <c r="K2996">
        <v>490.16</v>
      </c>
      <c r="L2996" s="5">
        <v>46283</v>
      </c>
      <c r="M2996" t="s">
        <v>6366</v>
      </c>
      <c r="N2996" t="s">
        <v>207</v>
      </c>
      <c r="O2996" t="s">
        <v>6593</v>
      </c>
      <c r="P2996" t="s">
        <v>208</v>
      </c>
      <c r="Q2996" t="s">
        <v>209</v>
      </c>
    </row>
    <row r="2997" spans="1:17" x14ac:dyDescent="0.3">
      <c r="A2997" t="s">
        <v>6594</v>
      </c>
      <c r="C2997" t="s">
        <v>6595</v>
      </c>
      <c r="D2997" t="s">
        <v>6595</v>
      </c>
      <c r="E2997" s="5">
        <v>46281</v>
      </c>
      <c r="F2997" t="s">
        <v>204</v>
      </c>
      <c r="G2997" t="s">
        <v>205</v>
      </c>
      <c r="H2997">
        <v>13497</v>
      </c>
      <c r="I2997">
        <v>229.45</v>
      </c>
      <c r="J2997">
        <v>41.3</v>
      </c>
      <c r="K2997">
        <v>13226.25</v>
      </c>
      <c r="L2997" s="5">
        <v>46283</v>
      </c>
      <c r="M2997" t="s">
        <v>6366</v>
      </c>
      <c r="N2997" t="s">
        <v>207</v>
      </c>
      <c r="O2997" t="s">
        <v>6595</v>
      </c>
      <c r="P2997" t="s">
        <v>208</v>
      </c>
      <c r="Q2997" t="s">
        <v>209</v>
      </c>
    </row>
    <row r="2998" spans="1:17" x14ac:dyDescent="0.3">
      <c r="A2998" t="s">
        <v>6596</v>
      </c>
      <c r="C2998" t="s">
        <v>6597</v>
      </c>
      <c r="D2998" t="s">
        <v>6597</v>
      </c>
      <c r="E2998" s="5">
        <v>46281</v>
      </c>
      <c r="F2998" t="s">
        <v>204</v>
      </c>
      <c r="G2998" t="s">
        <v>255</v>
      </c>
      <c r="H2998">
        <v>8498</v>
      </c>
      <c r="I2998">
        <v>101.98</v>
      </c>
      <c r="J2998">
        <v>18.36</v>
      </c>
      <c r="K2998">
        <v>8377.66</v>
      </c>
      <c r="L2998" s="5">
        <v>46283</v>
      </c>
      <c r="M2998" t="s">
        <v>6366</v>
      </c>
      <c r="N2998" t="s">
        <v>207</v>
      </c>
      <c r="O2998" t="s">
        <v>6597</v>
      </c>
      <c r="P2998" t="s">
        <v>208</v>
      </c>
      <c r="Q2998" t="s">
        <v>209</v>
      </c>
    </row>
    <row r="2999" spans="1:17" x14ac:dyDescent="0.3">
      <c r="A2999" t="s">
        <v>6598</v>
      </c>
      <c r="C2999" t="s">
        <v>6599</v>
      </c>
      <c r="D2999" t="s">
        <v>6599</v>
      </c>
      <c r="E2999" s="5">
        <v>46281</v>
      </c>
      <c r="F2999" t="s">
        <v>204</v>
      </c>
      <c r="G2999" t="s">
        <v>255</v>
      </c>
      <c r="H2999">
        <v>499</v>
      </c>
      <c r="I2999">
        <v>7.49</v>
      </c>
      <c r="J2999">
        <v>1.35</v>
      </c>
      <c r="K2999">
        <v>490.16</v>
      </c>
      <c r="L2999" s="5">
        <v>46283</v>
      </c>
      <c r="M2999" t="s">
        <v>6366</v>
      </c>
      <c r="N2999" t="s">
        <v>207</v>
      </c>
      <c r="O2999" t="s">
        <v>6599</v>
      </c>
      <c r="P2999" t="s">
        <v>208</v>
      </c>
      <c r="Q2999" t="s">
        <v>209</v>
      </c>
    </row>
    <row r="3000" spans="1:17" x14ac:dyDescent="0.3">
      <c r="A3000" t="s">
        <v>6600</v>
      </c>
      <c r="C3000" t="s">
        <v>6601</v>
      </c>
      <c r="D3000" t="s">
        <v>6601</v>
      </c>
      <c r="E3000" s="5">
        <v>46281</v>
      </c>
      <c r="F3000" t="s">
        <v>204</v>
      </c>
      <c r="G3000" t="s">
        <v>220</v>
      </c>
      <c r="H3000">
        <v>1299</v>
      </c>
      <c r="I3000">
        <v>0</v>
      </c>
      <c r="J3000">
        <v>0</v>
      </c>
      <c r="K3000">
        <v>1299</v>
      </c>
      <c r="L3000" s="5">
        <v>46283</v>
      </c>
      <c r="M3000" t="s">
        <v>6366</v>
      </c>
      <c r="N3000" t="s">
        <v>207</v>
      </c>
      <c r="O3000" t="s">
        <v>6601</v>
      </c>
      <c r="P3000" t="s">
        <v>208</v>
      </c>
      <c r="Q3000" t="s">
        <v>209</v>
      </c>
    </row>
    <row r="3001" spans="1:17" x14ac:dyDescent="0.3">
      <c r="A3001" t="s">
        <v>6602</v>
      </c>
      <c r="C3001" t="s">
        <v>6603</v>
      </c>
      <c r="D3001" t="s">
        <v>6603</v>
      </c>
      <c r="E3001" s="5">
        <v>46281</v>
      </c>
      <c r="F3001" t="s">
        <v>204</v>
      </c>
      <c r="G3001" t="s">
        <v>213</v>
      </c>
      <c r="H3001">
        <v>1598</v>
      </c>
      <c r="I3001">
        <v>28.76</v>
      </c>
      <c r="J3001">
        <v>5.18</v>
      </c>
      <c r="K3001">
        <v>1564.06</v>
      </c>
      <c r="L3001" s="5">
        <v>46283</v>
      </c>
      <c r="M3001" t="s">
        <v>6366</v>
      </c>
      <c r="N3001" t="s">
        <v>207</v>
      </c>
      <c r="O3001" t="s">
        <v>6603</v>
      </c>
      <c r="P3001" t="s">
        <v>208</v>
      </c>
      <c r="Q3001" t="s">
        <v>209</v>
      </c>
    </row>
    <row r="3002" spans="1:17" x14ac:dyDescent="0.3">
      <c r="A3002" t="s">
        <v>6604</v>
      </c>
      <c r="C3002" t="s">
        <v>6605</v>
      </c>
      <c r="D3002" t="s">
        <v>6605</v>
      </c>
      <c r="E3002" s="5">
        <v>46281</v>
      </c>
      <c r="F3002" t="s">
        <v>204</v>
      </c>
      <c r="G3002" t="s">
        <v>205</v>
      </c>
      <c r="H3002">
        <v>499</v>
      </c>
      <c r="I3002">
        <v>9.48</v>
      </c>
      <c r="J3002">
        <v>1.71</v>
      </c>
      <c r="K3002">
        <v>487.81</v>
      </c>
      <c r="L3002" s="5">
        <v>46283</v>
      </c>
      <c r="M3002" t="s">
        <v>6366</v>
      </c>
      <c r="N3002" t="s">
        <v>207</v>
      </c>
      <c r="O3002" t="s">
        <v>6605</v>
      </c>
      <c r="P3002" t="s">
        <v>208</v>
      </c>
      <c r="Q3002" t="s">
        <v>209</v>
      </c>
    </row>
    <row r="3003" spans="1:17" x14ac:dyDescent="0.3">
      <c r="A3003" t="s">
        <v>6606</v>
      </c>
      <c r="C3003" t="s">
        <v>6607</v>
      </c>
      <c r="D3003" t="s">
        <v>6607</v>
      </c>
      <c r="E3003" s="5">
        <v>46281</v>
      </c>
      <c r="F3003" t="s">
        <v>204</v>
      </c>
      <c r="G3003" t="s">
        <v>205</v>
      </c>
      <c r="H3003">
        <v>1799</v>
      </c>
      <c r="I3003">
        <v>34.18</v>
      </c>
      <c r="J3003">
        <v>6.15</v>
      </c>
      <c r="K3003">
        <v>1758.67</v>
      </c>
      <c r="L3003" s="5">
        <v>46283</v>
      </c>
      <c r="M3003" t="s">
        <v>6366</v>
      </c>
      <c r="N3003" t="s">
        <v>207</v>
      </c>
      <c r="O3003" t="s">
        <v>6607</v>
      </c>
      <c r="P3003" t="s">
        <v>208</v>
      </c>
      <c r="Q3003" t="s">
        <v>209</v>
      </c>
    </row>
    <row r="3004" spans="1:17" x14ac:dyDescent="0.3">
      <c r="A3004" t="s">
        <v>6608</v>
      </c>
      <c r="C3004" t="s">
        <v>6609</v>
      </c>
      <c r="D3004" t="s">
        <v>6609</v>
      </c>
      <c r="E3004" s="5">
        <v>46281</v>
      </c>
      <c r="F3004" t="s">
        <v>204</v>
      </c>
      <c r="G3004" t="s">
        <v>213</v>
      </c>
      <c r="H3004">
        <v>9797</v>
      </c>
      <c r="I3004">
        <v>156.75</v>
      </c>
      <c r="J3004">
        <v>28.22</v>
      </c>
      <c r="K3004">
        <v>9612.0300000000007</v>
      </c>
      <c r="L3004" s="5">
        <v>46283</v>
      </c>
      <c r="M3004" t="s">
        <v>6366</v>
      </c>
      <c r="N3004" t="s">
        <v>207</v>
      </c>
      <c r="O3004" t="s">
        <v>6609</v>
      </c>
      <c r="P3004" t="s">
        <v>208</v>
      </c>
      <c r="Q3004" t="s">
        <v>209</v>
      </c>
    </row>
    <row r="3005" spans="1:17" x14ac:dyDescent="0.3">
      <c r="A3005" t="s">
        <v>6610</v>
      </c>
      <c r="C3005" t="s">
        <v>6611</v>
      </c>
      <c r="D3005" t="s">
        <v>6612</v>
      </c>
      <c r="E3005" s="5">
        <v>46281</v>
      </c>
      <c r="F3005" t="s">
        <v>204</v>
      </c>
      <c r="G3005" t="s">
        <v>220</v>
      </c>
      <c r="H3005">
        <v>3348</v>
      </c>
      <c r="I3005">
        <v>10.039999999999999</v>
      </c>
      <c r="J3005">
        <v>1.81</v>
      </c>
      <c r="K3005">
        <v>3336.15</v>
      </c>
      <c r="L3005" s="5">
        <v>46283</v>
      </c>
      <c r="M3005" t="s">
        <v>6366</v>
      </c>
      <c r="N3005" t="s">
        <v>207</v>
      </c>
      <c r="O3005" t="s">
        <v>6612</v>
      </c>
      <c r="P3005" t="s">
        <v>208</v>
      </c>
      <c r="Q3005" t="s">
        <v>209</v>
      </c>
    </row>
    <row r="3006" spans="1:17" x14ac:dyDescent="0.3">
      <c r="A3006" t="s">
        <v>6613</v>
      </c>
      <c r="C3006" t="s">
        <v>6614</v>
      </c>
      <c r="D3006" t="s">
        <v>6614</v>
      </c>
      <c r="E3006" s="5">
        <v>46281</v>
      </c>
      <c r="F3006" t="s">
        <v>204</v>
      </c>
      <c r="G3006" t="s">
        <v>220</v>
      </c>
      <c r="H3006">
        <v>1499</v>
      </c>
      <c r="I3006">
        <v>0</v>
      </c>
      <c r="J3006">
        <v>0</v>
      </c>
      <c r="K3006">
        <v>1499</v>
      </c>
      <c r="L3006" s="5">
        <v>46283</v>
      </c>
      <c r="M3006" t="s">
        <v>6366</v>
      </c>
      <c r="N3006" t="s">
        <v>207</v>
      </c>
      <c r="O3006" t="s">
        <v>6614</v>
      </c>
      <c r="P3006" t="s">
        <v>208</v>
      </c>
      <c r="Q3006" t="s">
        <v>209</v>
      </c>
    </row>
    <row r="3007" spans="1:17" x14ac:dyDescent="0.3">
      <c r="A3007" t="s">
        <v>6615</v>
      </c>
      <c r="C3007" t="s">
        <v>6616</v>
      </c>
      <c r="D3007" t="s">
        <v>6616</v>
      </c>
      <c r="E3007" s="5">
        <v>46281</v>
      </c>
      <c r="F3007" t="s">
        <v>204</v>
      </c>
      <c r="G3007" t="s">
        <v>213</v>
      </c>
      <c r="H3007">
        <v>4897</v>
      </c>
      <c r="I3007">
        <v>78.349999999999994</v>
      </c>
      <c r="J3007">
        <v>14.1</v>
      </c>
      <c r="K3007">
        <v>4804.55</v>
      </c>
      <c r="L3007" s="5">
        <v>46283</v>
      </c>
      <c r="M3007" t="s">
        <v>6366</v>
      </c>
      <c r="N3007" t="s">
        <v>207</v>
      </c>
      <c r="O3007" t="s">
        <v>6616</v>
      </c>
      <c r="P3007" t="s">
        <v>208</v>
      </c>
      <c r="Q3007" t="s">
        <v>209</v>
      </c>
    </row>
    <row r="3008" spans="1:17" x14ac:dyDescent="0.3">
      <c r="A3008" t="s">
        <v>6617</v>
      </c>
      <c r="C3008" t="s">
        <v>6618</v>
      </c>
      <c r="D3008" t="s">
        <v>6618</v>
      </c>
      <c r="E3008" s="5">
        <v>46281</v>
      </c>
      <c r="F3008" t="s">
        <v>204</v>
      </c>
      <c r="G3008" t="s">
        <v>255</v>
      </c>
      <c r="H3008">
        <v>799</v>
      </c>
      <c r="I3008">
        <v>11.99</v>
      </c>
      <c r="J3008">
        <v>2.16</v>
      </c>
      <c r="K3008">
        <v>784.85</v>
      </c>
      <c r="L3008" s="5">
        <v>46283</v>
      </c>
      <c r="M3008" t="s">
        <v>6366</v>
      </c>
      <c r="N3008" t="s">
        <v>207</v>
      </c>
      <c r="O3008" t="s">
        <v>6618</v>
      </c>
      <c r="P3008" t="s">
        <v>208</v>
      </c>
      <c r="Q3008" t="s">
        <v>209</v>
      </c>
    </row>
    <row r="3009" spans="1:17" x14ac:dyDescent="0.3">
      <c r="A3009" t="s">
        <v>6619</v>
      </c>
      <c r="C3009" t="s">
        <v>6620</v>
      </c>
      <c r="D3009" t="s">
        <v>6620</v>
      </c>
      <c r="E3009" s="5">
        <v>46281</v>
      </c>
      <c r="F3009" t="s">
        <v>204</v>
      </c>
      <c r="G3009" t="s">
        <v>213</v>
      </c>
      <c r="H3009">
        <v>5798</v>
      </c>
      <c r="I3009">
        <v>92.77</v>
      </c>
      <c r="J3009">
        <v>16.7</v>
      </c>
      <c r="K3009">
        <v>5688.53</v>
      </c>
      <c r="L3009" s="5">
        <v>46283</v>
      </c>
      <c r="M3009" t="s">
        <v>6366</v>
      </c>
      <c r="N3009" t="s">
        <v>207</v>
      </c>
      <c r="O3009" t="s">
        <v>6620</v>
      </c>
      <c r="P3009" t="s">
        <v>208</v>
      </c>
      <c r="Q3009" t="s">
        <v>209</v>
      </c>
    </row>
    <row r="3010" spans="1:17" x14ac:dyDescent="0.3">
      <c r="A3010" t="s">
        <v>6621</v>
      </c>
      <c r="C3010" t="s">
        <v>6622</v>
      </c>
      <c r="D3010" t="s">
        <v>6622</v>
      </c>
      <c r="E3010" s="5">
        <v>46281</v>
      </c>
      <c r="F3010" t="s">
        <v>204</v>
      </c>
      <c r="G3010" t="s">
        <v>220</v>
      </c>
      <c r="H3010">
        <v>499</v>
      </c>
      <c r="I3010">
        <v>0</v>
      </c>
      <c r="J3010">
        <v>0</v>
      </c>
      <c r="K3010">
        <v>499</v>
      </c>
      <c r="L3010" s="5">
        <v>46283</v>
      </c>
      <c r="M3010" t="s">
        <v>6366</v>
      </c>
      <c r="N3010" t="s">
        <v>207</v>
      </c>
      <c r="O3010" t="s">
        <v>6622</v>
      </c>
      <c r="P3010" t="s">
        <v>208</v>
      </c>
      <c r="Q3010" t="s">
        <v>209</v>
      </c>
    </row>
    <row r="3011" spans="1:17" x14ac:dyDescent="0.3">
      <c r="A3011" t="s">
        <v>6623</v>
      </c>
      <c r="C3011" t="s">
        <v>6624</v>
      </c>
      <c r="D3011" t="s">
        <v>6624</v>
      </c>
      <c r="E3011" s="5">
        <v>46281</v>
      </c>
      <c r="F3011" t="s">
        <v>204</v>
      </c>
      <c r="G3011" t="s">
        <v>213</v>
      </c>
      <c r="H3011">
        <v>2999</v>
      </c>
      <c r="I3011">
        <v>47.98</v>
      </c>
      <c r="J3011">
        <v>8.64</v>
      </c>
      <c r="K3011">
        <v>2942.38</v>
      </c>
      <c r="L3011" s="5">
        <v>46283</v>
      </c>
      <c r="M3011" t="s">
        <v>6366</v>
      </c>
      <c r="N3011" t="s">
        <v>207</v>
      </c>
      <c r="O3011" t="s">
        <v>6624</v>
      </c>
      <c r="P3011" t="s">
        <v>208</v>
      </c>
      <c r="Q3011" t="s">
        <v>209</v>
      </c>
    </row>
    <row r="3012" spans="1:17" x14ac:dyDescent="0.3">
      <c r="A3012" t="s">
        <v>6625</v>
      </c>
      <c r="C3012" t="s">
        <v>6626</v>
      </c>
      <c r="D3012" t="s">
        <v>6626</v>
      </c>
      <c r="E3012" s="5">
        <v>46281</v>
      </c>
      <c r="F3012" t="s">
        <v>204</v>
      </c>
      <c r="G3012" t="s">
        <v>220</v>
      </c>
      <c r="H3012">
        <v>7999</v>
      </c>
      <c r="I3012">
        <v>24</v>
      </c>
      <c r="J3012">
        <v>4.32</v>
      </c>
      <c r="K3012">
        <v>7970.68</v>
      </c>
      <c r="L3012" s="5">
        <v>46283</v>
      </c>
      <c r="M3012" t="s">
        <v>6366</v>
      </c>
      <c r="N3012" t="s">
        <v>207</v>
      </c>
      <c r="O3012" t="s">
        <v>6626</v>
      </c>
      <c r="P3012" t="s">
        <v>208</v>
      </c>
      <c r="Q3012" t="s">
        <v>209</v>
      </c>
    </row>
    <row r="3013" spans="1:17" x14ac:dyDescent="0.3">
      <c r="A3013" t="s">
        <v>6627</v>
      </c>
      <c r="C3013" t="s">
        <v>6628</v>
      </c>
      <c r="D3013" t="s">
        <v>6628</v>
      </c>
      <c r="E3013" s="5">
        <v>46281</v>
      </c>
      <c r="F3013" t="s">
        <v>204</v>
      </c>
      <c r="G3013" t="s">
        <v>220</v>
      </c>
      <c r="H3013">
        <v>4098</v>
      </c>
      <c r="I3013">
        <v>12.29</v>
      </c>
      <c r="J3013">
        <v>2.21</v>
      </c>
      <c r="K3013">
        <v>4083.5</v>
      </c>
      <c r="L3013" s="5">
        <v>46283</v>
      </c>
      <c r="M3013" t="s">
        <v>6366</v>
      </c>
      <c r="N3013" t="s">
        <v>207</v>
      </c>
      <c r="O3013" t="s">
        <v>6628</v>
      </c>
      <c r="P3013" t="s">
        <v>208</v>
      </c>
      <c r="Q3013" t="s">
        <v>209</v>
      </c>
    </row>
    <row r="3014" spans="1:17" x14ac:dyDescent="0.3">
      <c r="A3014" t="s">
        <v>6629</v>
      </c>
      <c r="C3014" t="s">
        <v>6630</v>
      </c>
      <c r="D3014" t="s">
        <v>6630</v>
      </c>
      <c r="E3014" s="5">
        <v>46281</v>
      </c>
      <c r="F3014" t="s">
        <v>204</v>
      </c>
      <c r="G3014" t="s">
        <v>220</v>
      </c>
      <c r="H3014">
        <v>4647</v>
      </c>
      <c r="I3014">
        <v>13.94</v>
      </c>
      <c r="J3014">
        <v>2.5099999999999998</v>
      </c>
      <c r="K3014">
        <v>4630.55</v>
      </c>
      <c r="L3014" s="5">
        <v>46283</v>
      </c>
      <c r="M3014" t="s">
        <v>6366</v>
      </c>
      <c r="N3014" t="s">
        <v>207</v>
      </c>
      <c r="O3014" t="s">
        <v>6630</v>
      </c>
      <c r="P3014" t="s">
        <v>208</v>
      </c>
      <c r="Q3014" t="s">
        <v>209</v>
      </c>
    </row>
    <row r="3015" spans="1:17" x14ac:dyDescent="0.3">
      <c r="A3015" t="s">
        <v>6631</v>
      </c>
      <c r="C3015" t="s">
        <v>6632</v>
      </c>
      <c r="D3015" t="s">
        <v>6632</v>
      </c>
      <c r="E3015" s="5">
        <v>46281</v>
      </c>
      <c r="F3015" t="s">
        <v>204</v>
      </c>
      <c r="G3015" t="s">
        <v>205</v>
      </c>
      <c r="H3015">
        <v>4798</v>
      </c>
      <c r="I3015">
        <v>81.569999999999993</v>
      </c>
      <c r="J3015">
        <v>14.68</v>
      </c>
      <c r="K3015">
        <v>4701.75</v>
      </c>
      <c r="L3015" s="5">
        <v>46283</v>
      </c>
      <c r="M3015" t="s">
        <v>6366</v>
      </c>
      <c r="N3015" t="s">
        <v>207</v>
      </c>
      <c r="O3015" t="s">
        <v>6632</v>
      </c>
      <c r="P3015" t="s">
        <v>208</v>
      </c>
      <c r="Q3015" t="s">
        <v>209</v>
      </c>
    </row>
    <row r="3016" spans="1:17" x14ac:dyDescent="0.3">
      <c r="A3016" t="s">
        <v>6633</v>
      </c>
      <c r="C3016" t="s">
        <v>6634</v>
      </c>
      <c r="D3016" t="s">
        <v>6634</v>
      </c>
      <c r="E3016" s="5">
        <v>46281</v>
      </c>
      <c r="F3016" t="s">
        <v>204</v>
      </c>
      <c r="G3016" t="s">
        <v>220</v>
      </c>
      <c r="H3016">
        <v>3498</v>
      </c>
      <c r="I3016">
        <v>10.49</v>
      </c>
      <c r="J3016">
        <v>1.89</v>
      </c>
      <c r="K3016">
        <v>3485.62</v>
      </c>
      <c r="L3016" s="5">
        <v>46283</v>
      </c>
      <c r="M3016" t="s">
        <v>6366</v>
      </c>
      <c r="N3016" t="s">
        <v>207</v>
      </c>
      <c r="O3016" t="s">
        <v>6634</v>
      </c>
      <c r="P3016" t="s">
        <v>208</v>
      </c>
      <c r="Q3016" t="s">
        <v>209</v>
      </c>
    </row>
    <row r="3017" spans="1:17" x14ac:dyDescent="0.3">
      <c r="A3017" t="s">
        <v>6635</v>
      </c>
      <c r="C3017" t="s">
        <v>6636</v>
      </c>
      <c r="D3017" t="s">
        <v>6636</v>
      </c>
      <c r="E3017" s="5">
        <v>46281</v>
      </c>
      <c r="F3017" t="s">
        <v>204</v>
      </c>
      <c r="G3017" t="s">
        <v>213</v>
      </c>
      <c r="H3017">
        <v>1299</v>
      </c>
      <c r="I3017">
        <v>23.38</v>
      </c>
      <c r="J3017">
        <v>4.21</v>
      </c>
      <c r="K3017">
        <v>1271.4100000000001</v>
      </c>
      <c r="L3017" s="5">
        <v>46283</v>
      </c>
      <c r="M3017" t="s">
        <v>6366</v>
      </c>
      <c r="N3017" t="s">
        <v>207</v>
      </c>
      <c r="O3017" t="s">
        <v>6636</v>
      </c>
      <c r="P3017" t="s">
        <v>208</v>
      </c>
      <c r="Q3017" t="s">
        <v>209</v>
      </c>
    </row>
    <row r="3018" spans="1:17" x14ac:dyDescent="0.3">
      <c r="A3018" t="s">
        <v>6637</v>
      </c>
      <c r="C3018" t="s">
        <v>6638</v>
      </c>
      <c r="D3018" t="s">
        <v>6639</v>
      </c>
      <c r="E3018" s="5">
        <v>46281</v>
      </c>
      <c r="F3018" t="s">
        <v>204</v>
      </c>
      <c r="G3018" t="s">
        <v>213</v>
      </c>
      <c r="H3018">
        <v>7999</v>
      </c>
      <c r="I3018">
        <v>127.98</v>
      </c>
      <c r="J3018">
        <v>23.04</v>
      </c>
      <c r="K3018">
        <v>7847.98</v>
      </c>
      <c r="L3018" s="5">
        <v>46283</v>
      </c>
      <c r="M3018" t="s">
        <v>6366</v>
      </c>
      <c r="N3018" t="s">
        <v>207</v>
      </c>
      <c r="O3018" t="s">
        <v>6639</v>
      </c>
      <c r="P3018" t="s">
        <v>208</v>
      </c>
      <c r="Q3018" t="s">
        <v>209</v>
      </c>
    </row>
    <row r="3019" spans="1:17" x14ac:dyDescent="0.3">
      <c r="A3019" t="s">
        <v>6640</v>
      </c>
      <c r="C3019" t="s">
        <v>6641</v>
      </c>
      <c r="D3019" t="s">
        <v>6641</v>
      </c>
      <c r="E3019" s="5">
        <v>46281</v>
      </c>
      <c r="F3019" t="s">
        <v>204</v>
      </c>
      <c r="G3019" t="s">
        <v>220</v>
      </c>
      <c r="H3019">
        <v>599</v>
      </c>
      <c r="I3019">
        <v>0</v>
      </c>
      <c r="J3019">
        <v>0</v>
      </c>
      <c r="K3019">
        <v>599</v>
      </c>
      <c r="L3019" s="5">
        <v>46283</v>
      </c>
      <c r="M3019" t="s">
        <v>6366</v>
      </c>
      <c r="N3019" t="s">
        <v>207</v>
      </c>
      <c r="O3019" t="s">
        <v>6641</v>
      </c>
      <c r="P3019" t="s">
        <v>208</v>
      </c>
      <c r="Q3019" t="s">
        <v>209</v>
      </c>
    </row>
    <row r="3020" spans="1:17" x14ac:dyDescent="0.3">
      <c r="A3020" t="s">
        <v>6642</v>
      </c>
      <c r="C3020" t="s">
        <v>6643</v>
      </c>
      <c r="D3020" t="s">
        <v>6644</v>
      </c>
      <c r="E3020" s="5">
        <v>46281</v>
      </c>
      <c r="F3020" t="s">
        <v>204</v>
      </c>
      <c r="G3020" t="s">
        <v>213</v>
      </c>
      <c r="H3020">
        <v>1498</v>
      </c>
      <c r="I3020">
        <v>26.96</v>
      </c>
      <c r="J3020">
        <v>4.8499999999999996</v>
      </c>
      <c r="K3020">
        <v>1466.19</v>
      </c>
      <c r="L3020" s="5">
        <v>46283</v>
      </c>
      <c r="M3020" t="s">
        <v>6366</v>
      </c>
      <c r="N3020" t="s">
        <v>207</v>
      </c>
      <c r="O3020" t="s">
        <v>6644</v>
      </c>
      <c r="P3020" t="s">
        <v>208</v>
      </c>
      <c r="Q3020" t="s">
        <v>209</v>
      </c>
    </row>
    <row r="3021" spans="1:17" x14ac:dyDescent="0.3">
      <c r="A3021" t="s">
        <v>6645</v>
      </c>
      <c r="C3021" t="s">
        <v>6646</v>
      </c>
      <c r="D3021" t="s">
        <v>6646</v>
      </c>
      <c r="E3021" s="5">
        <v>46281</v>
      </c>
      <c r="F3021" t="s">
        <v>204</v>
      </c>
      <c r="G3021" t="s">
        <v>213</v>
      </c>
      <c r="H3021">
        <v>1499</v>
      </c>
      <c r="I3021">
        <v>26.98</v>
      </c>
      <c r="J3021">
        <v>4.8600000000000003</v>
      </c>
      <c r="K3021">
        <v>1467.16</v>
      </c>
      <c r="L3021" s="5">
        <v>46283</v>
      </c>
      <c r="M3021" t="s">
        <v>6366</v>
      </c>
      <c r="N3021" t="s">
        <v>207</v>
      </c>
      <c r="O3021" t="s">
        <v>6646</v>
      </c>
      <c r="P3021" t="s">
        <v>208</v>
      </c>
      <c r="Q3021" t="s">
        <v>209</v>
      </c>
    </row>
    <row r="3022" spans="1:17" x14ac:dyDescent="0.3">
      <c r="A3022" t="s">
        <v>6647</v>
      </c>
      <c r="C3022" t="s">
        <v>6648</v>
      </c>
      <c r="D3022" t="s">
        <v>6648</v>
      </c>
      <c r="E3022" s="5">
        <v>46281</v>
      </c>
      <c r="F3022" t="s">
        <v>204</v>
      </c>
      <c r="G3022" t="s">
        <v>220</v>
      </c>
      <c r="H3022">
        <v>2397</v>
      </c>
      <c r="I3022">
        <v>7.19</v>
      </c>
      <c r="J3022">
        <v>1.29</v>
      </c>
      <c r="K3022">
        <v>2388.52</v>
      </c>
      <c r="L3022" s="5">
        <v>46283</v>
      </c>
      <c r="M3022" t="s">
        <v>6366</v>
      </c>
      <c r="N3022" t="s">
        <v>207</v>
      </c>
      <c r="O3022" t="s">
        <v>6648</v>
      </c>
      <c r="P3022" t="s">
        <v>208</v>
      </c>
      <c r="Q3022" t="s">
        <v>209</v>
      </c>
    </row>
    <row r="3023" spans="1:17" x14ac:dyDescent="0.3">
      <c r="A3023" t="s">
        <v>6649</v>
      </c>
      <c r="C3023" t="s">
        <v>6650</v>
      </c>
      <c r="D3023" t="s">
        <v>6650</v>
      </c>
      <c r="E3023" s="5">
        <v>46281</v>
      </c>
      <c r="F3023" t="s">
        <v>204</v>
      </c>
      <c r="G3023" t="s">
        <v>205</v>
      </c>
      <c r="H3023">
        <v>3499</v>
      </c>
      <c r="I3023">
        <v>59.48</v>
      </c>
      <c r="J3023">
        <v>10.71</v>
      </c>
      <c r="K3023">
        <v>3428.81</v>
      </c>
      <c r="L3023" s="5">
        <v>46283</v>
      </c>
      <c r="M3023" t="s">
        <v>6366</v>
      </c>
      <c r="N3023" t="s">
        <v>207</v>
      </c>
      <c r="O3023" t="s">
        <v>6650</v>
      </c>
      <c r="P3023" t="s">
        <v>208</v>
      </c>
      <c r="Q3023" t="s">
        <v>209</v>
      </c>
    </row>
    <row r="3024" spans="1:17" x14ac:dyDescent="0.3">
      <c r="A3024" t="s">
        <v>6651</v>
      </c>
      <c r="C3024" t="s">
        <v>6652</v>
      </c>
      <c r="D3024" t="s">
        <v>6653</v>
      </c>
      <c r="E3024" s="5">
        <v>46281</v>
      </c>
      <c r="F3024" t="s">
        <v>204</v>
      </c>
      <c r="G3024" t="s">
        <v>220</v>
      </c>
      <c r="H3024">
        <v>1799</v>
      </c>
      <c r="I3024">
        <v>0</v>
      </c>
      <c r="J3024">
        <v>0</v>
      </c>
      <c r="K3024">
        <v>1799</v>
      </c>
      <c r="L3024" s="5">
        <v>46283</v>
      </c>
      <c r="M3024" t="s">
        <v>6366</v>
      </c>
      <c r="N3024" t="s">
        <v>207</v>
      </c>
      <c r="O3024" t="s">
        <v>6653</v>
      </c>
      <c r="P3024" t="s">
        <v>208</v>
      </c>
      <c r="Q3024" t="s">
        <v>209</v>
      </c>
    </row>
    <row r="3025" spans="1:17" x14ac:dyDescent="0.3">
      <c r="A3025" t="s">
        <v>6654</v>
      </c>
      <c r="C3025" t="s">
        <v>6655</v>
      </c>
      <c r="D3025" t="s">
        <v>6655</v>
      </c>
      <c r="E3025" s="5">
        <v>46281</v>
      </c>
      <c r="F3025" t="s">
        <v>204</v>
      </c>
      <c r="G3025" t="s">
        <v>220</v>
      </c>
      <c r="H3025">
        <v>7999</v>
      </c>
      <c r="I3025">
        <v>24</v>
      </c>
      <c r="J3025">
        <v>4.32</v>
      </c>
      <c r="K3025">
        <v>7970.68</v>
      </c>
      <c r="L3025" s="5">
        <v>46283</v>
      </c>
      <c r="M3025" t="s">
        <v>6366</v>
      </c>
      <c r="N3025" t="s">
        <v>207</v>
      </c>
      <c r="O3025" t="s">
        <v>6655</v>
      </c>
      <c r="P3025" t="s">
        <v>208</v>
      </c>
      <c r="Q3025" t="s">
        <v>209</v>
      </c>
    </row>
    <row r="3026" spans="1:17" x14ac:dyDescent="0.3">
      <c r="A3026" t="s">
        <v>6656</v>
      </c>
      <c r="C3026" t="s">
        <v>6657</v>
      </c>
      <c r="D3026" t="s">
        <v>6657</v>
      </c>
      <c r="E3026" s="5">
        <v>46281</v>
      </c>
      <c r="F3026" t="s">
        <v>204</v>
      </c>
      <c r="G3026" t="s">
        <v>213</v>
      </c>
      <c r="H3026">
        <v>5298</v>
      </c>
      <c r="I3026">
        <v>84.77</v>
      </c>
      <c r="J3026">
        <v>15.26</v>
      </c>
      <c r="K3026">
        <v>5197.97</v>
      </c>
      <c r="L3026" s="5">
        <v>46283</v>
      </c>
      <c r="M3026" t="s">
        <v>6366</v>
      </c>
      <c r="N3026" t="s">
        <v>207</v>
      </c>
      <c r="O3026" t="s">
        <v>6657</v>
      </c>
      <c r="P3026" t="s">
        <v>208</v>
      </c>
      <c r="Q3026" t="s">
        <v>209</v>
      </c>
    </row>
    <row r="3027" spans="1:17" x14ac:dyDescent="0.3">
      <c r="A3027" t="s">
        <v>6658</v>
      </c>
      <c r="C3027" t="s">
        <v>6659</v>
      </c>
      <c r="D3027" t="s">
        <v>6660</v>
      </c>
      <c r="E3027" s="5">
        <v>46281</v>
      </c>
      <c r="F3027" t="s">
        <v>204</v>
      </c>
      <c r="G3027" t="s">
        <v>220</v>
      </c>
      <c r="H3027">
        <v>1799</v>
      </c>
      <c r="I3027">
        <v>0</v>
      </c>
      <c r="J3027">
        <v>0</v>
      </c>
      <c r="K3027">
        <v>1799</v>
      </c>
      <c r="L3027" s="5">
        <v>46283</v>
      </c>
      <c r="M3027" t="s">
        <v>6366</v>
      </c>
      <c r="N3027" t="s">
        <v>207</v>
      </c>
      <c r="O3027" t="s">
        <v>6660</v>
      </c>
      <c r="P3027" t="s">
        <v>208</v>
      </c>
      <c r="Q3027" t="s">
        <v>209</v>
      </c>
    </row>
    <row r="3028" spans="1:17" x14ac:dyDescent="0.3">
      <c r="A3028" t="s">
        <v>6661</v>
      </c>
      <c r="C3028" t="s">
        <v>6662</v>
      </c>
      <c r="D3028" t="s">
        <v>6662</v>
      </c>
      <c r="E3028" s="5">
        <v>46281</v>
      </c>
      <c r="F3028" t="s">
        <v>204</v>
      </c>
      <c r="G3028" t="s">
        <v>255</v>
      </c>
      <c r="H3028">
        <v>6298</v>
      </c>
      <c r="I3028">
        <v>75.58</v>
      </c>
      <c r="J3028">
        <v>13.6</v>
      </c>
      <c r="K3028">
        <v>6208.82</v>
      </c>
      <c r="L3028" s="5">
        <v>46283</v>
      </c>
      <c r="M3028" t="s">
        <v>6366</v>
      </c>
      <c r="N3028" t="s">
        <v>207</v>
      </c>
      <c r="O3028" t="s">
        <v>6662</v>
      </c>
      <c r="P3028" t="s">
        <v>208</v>
      </c>
      <c r="Q3028" t="s">
        <v>209</v>
      </c>
    </row>
    <row r="3029" spans="1:17" x14ac:dyDescent="0.3">
      <c r="A3029" t="s">
        <v>6663</v>
      </c>
      <c r="C3029" t="s">
        <v>6664</v>
      </c>
      <c r="D3029" t="s">
        <v>6665</v>
      </c>
      <c r="E3029" s="5">
        <v>46281</v>
      </c>
      <c r="F3029" t="s">
        <v>204</v>
      </c>
      <c r="G3029" t="s">
        <v>220</v>
      </c>
      <c r="H3029">
        <v>1947</v>
      </c>
      <c r="I3029">
        <v>0</v>
      </c>
      <c r="J3029">
        <v>0</v>
      </c>
      <c r="K3029">
        <v>1947</v>
      </c>
      <c r="L3029" s="5">
        <v>46283</v>
      </c>
      <c r="M3029" t="s">
        <v>6366</v>
      </c>
      <c r="N3029" t="s">
        <v>207</v>
      </c>
      <c r="O3029" t="s">
        <v>6665</v>
      </c>
      <c r="P3029" t="s">
        <v>208</v>
      </c>
      <c r="Q3029" t="s">
        <v>209</v>
      </c>
    </row>
    <row r="3030" spans="1:17" x14ac:dyDescent="0.3">
      <c r="A3030" t="s">
        <v>6666</v>
      </c>
      <c r="C3030" t="s">
        <v>6667</v>
      </c>
      <c r="D3030" t="s">
        <v>6667</v>
      </c>
      <c r="E3030" s="5">
        <v>46281</v>
      </c>
      <c r="F3030" t="s">
        <v>204</v>
      </c>
      <c r="G3030" t="s">
        <v>220</v>
      </c>
      <c r="H3030">
        <v>2999</v>
      </c>
      <c r="I3030">
        <v>9</v>
      </c>
      <c r="J3030">
        <v>1.62</v>
      </c>
      <c r="K3030">
        <v>2988.38</v>
      </c>
      <c r="L3030" s="5">
        <v>46283</v>
      </c>
      <c r="M3030" t="s">
        <v>6366</v>
      </c>
      <c r="N3030" t="s">
        <v>207</v>
      </c>
      <c r="O3030" t="s">
        <v>6667</v>
      </c>
      <c r="P3030" t="s">
        <v>208</v>
      </c>
      <c r="Q3030" t="s">
        <v>209</v>
      </c>
    </row>
    <row r="3031" spans="1:17" x14ac:dyDescent="0.3">
      <c r="A3031" t="s">
        <v>6668</v>
      </c>
      <c r="C3031" t="s">
        <v>6669</v>
      </c>
      <c r="D3031" t="s">
        <v>6669</v>
      </c>
      <c r="E3031" s="5">
        <v>46281</v>
      </c>
      <c r="F3031" t="s">
        <v>204</v>
      </c>
      <c r="G3031" t="s">
        <v>220</v>
      </c>
      <c r="H3031">
        <v>3798</v>
      </c>
      <c r="I3031">
        <v>11.39</v>
      </c>
      <c r="J3031">
        <v>2.0499999999999998</v>
      </c>
      <c r="K3031">
        <v>3784.56</v>
      </c>
      <c r="L3031" s="5">
        <v>46283</v>
      </c>
      <c r="M3031" t="s">
        <v>6366</v>
      </c>
      <c r="N3031" t="s">
        <v>207</v>
      </c>
      <c r="O3031" t="s">
        <v>6669</v>
      </c>
      <c r="P3031" t="s">
        <v>208</v>
      </c>
      <c r="Q3031" t="s">
        <v>209</v>
      </c>
    </row>
    <row r="3032" spans="1:17" x14ac:dyDescent="0.3">
      <c r="A3032" t="s">
        <v>6670</v>
      </c>
      <c r="C3032" t="s">
        <v>6671</v>
      </c>
      <c r="D3032" t="s">
        <v>6671</v>
      </c>
      <c r="E3032" s="5">
        <v>46281</v>
      </c>
      <c r="F3032" t="s">
        <v>204</v>
      </c>
      <c r="G3032" t="s">
        <v>205</v>
      </c>
      <c r="H3032">
        <v>999</v>
      </c>
      <c r="I3032">
        <v>18.98</v>
      </c>
      <c r="J3032">
        <v>3.42</v>
      </c>
      <c r="K3032">
        <v>976.6</v>
      </c>
      <c r="L3032" s="5">
        <v>46283</v>
      </c>
      <c r="M3032" t="s">
        <v>6366</v>
      </c>
      <c r="N3032" t="s">
        <v>207</v>
      </c>
      <c r="O3032" t="s">
        <v>6671</v>
      </c>
      <c r="P3032" t="s">
        <v>208</v>
      </c>
      <c r="Q3032" t="s">
        <v>209</v>
      </c>
    </row>
    <row r="3033" spans="1:17" x14ac:dyDescent="0.3">
      <c r="A3033" t="s">
        <v>6672</v>
      </c>
      <c r="C3033" t="s">
        <v>6673</v>
      </c>
      <c r="D3033" t="s">
        <v>6673</v>
      </c>
      <c r="E3033" s="5">
        <v>46281</v>
      </c>
      <c r="F3033" t="s">
        <v>204</v>
      </c>
      <c r="G3033" t="s">
        <v>220</v>
      </c>
      <c r="H3033">
        <v>4498</v>
      </c>
      <c r="I3033">
        <v>13.49</v>
      </c>
      <c r="J3033">
        <v>2.4300000000000002</v>
      </c>
      <c r="K3033">
        <v>4482.08</v>
      </c>
      <c r="L3033" s="5">
        <v>46283</v>
      </c>
      <c r="M3033" t="s">
        <v>6366</v>
      </c>
      <c r="N3033" t="s">
        <v>207</v>
      </c>
      <c r="O3033" t="s">
        <v>6673</v>
      </c>
      <c r="P3033" t="s">
        <v>208</v>
      </c>
      <c r="Q3033" t="s">
        <v>209</v>
      </c>
    </row>
    <row r="3034" spans="1:17" x14ac:dyDescent="0.3">
      <c r="A3034" t="s">
        <v>6674</v>
      </c>
      <c r="C3034" t="s">
        <v>6675</v>
      </c>
      <c r="D3034" t="s">
        <v>6675</v>
      </c>
      <c r="E3034" s="5">
        <v>46281</v>
      </c>
      <c r="F3034" t="s">
        <v>204</v>
      </c>
      <c r="G3034" t="s">
        <v>220</v>
      </c>
      <c r="H3034">
        <v>1299</v>
      </c>
      <c r="I3034">
        <v>0</v>
      </c>
      <c r="J3034">
        <v>0</v>
      </c>
      <c r="K3034">
        <v>1299</v>
      </c>
      <c r="L3034" s="5">
        <v>46283</v>
      </c>
      <c r="M3034" t="s">
        <v>6366</v>
      </c>
      <c r="N3034" t="s">
        <v>207</v>
      </c>
      <c r="O3034" t="s">
        <v>6675</v>
      </c>
      <c r="P3034" t="s">
        <v>208</v>
      </c>
      <c r="Q3034" t="s">
        <v>209</v>
      </c>
    </row>
    <row r="3035" spans="1:17" x14ac:dyDescent="0.3">
      <c r="A3035" t="s">
        <v>6676</v>
      </c>
      <c r="C3035" t="s">
        <v>6677</v>
      </c>
      <c r="D3035" t="s">
        <v>6677</v>
      </c>
      <c r="E3035" s="5">
        <v>46281</v>
      </c>
      <c r="F3035" t="s">
        <v>204</v>
      </c>
      <c r="G3035" t="s">
        <v>255</v>
      </c>
      <c r="H3035">
        <v>2597</v>
      </c>
      <c r="I3035">
        <v>31.16</v>
      </c>
      <c r="J3035">
        <v>5.61</v>
      </c>
      <c r="K3035">
        <v>2560.23</v>
      </c>
      <c r="L3035" s="5">
        <v>46283</v>
      </c>
      <c r="M3035" t="s">
        <v>6366</v>
      </c>
      <c r="N3035" t="s">
        <v>207</v>
      </c>
      <c r="O3035" t="s">
        <v>6677</v>
      </c>
      <c r="P3035" t="s">
        <v>208</v>
      </c>
      <c r="Q3035" t="s">
        <v>209</v>
      </c>
    </row>
    <row r="3036" spans="1:17" x14ac:dyDescent="0.3">
      <c r="A3036" t="s">
        <v>6678</v>
      </c>
      <c r="C3036" t="s">
        <v>6679</v>
      </c>
      <c r="D3036" t="s">
        <v>6680</v>
      </c>
      <c r="E3036" s="5">
        <v>46281</v>
      </c>
      <c r="F3036" t="s">
        <v>204</v>
      </c>
      <c r="G3036" t="s">
        <v>220</v>
      </c>
      <c r="H3036">
        <v>7998</v>
      </c>
      <c r="I3036">
        <v>23.99</v>
      </c>
      <c r="J3036">
        <v>4.32</v>
      </c>
      <c r="K3036">
        <v>7969.69</v>
      </c>
      <c r="L3036" s="5">
        <v>46283</v>
      </c>
      <c r="M3036" t="s">
        <v>6366</v>
      </c>
      <c r="N3036" t="s">
        <v>207</v>
      </c>
      <c r="O3036" t="s">
        <v>6680</v>
      </c>
      <c r="P3036" t="s">
        <v>208</v>
      </c>
      <c r="Q3036" t="s">
        <v>209</v>
      </c>
    </row>
    <row r="3037" spans="1:17" x14ac:dyDescent="0.3">
      <c r="A3037" t="s">
        <v>6681</v>
      </c>
      <c r="C3037" t="s">
        <v>6682</v>
      </c>
      <c r="D3037" t="s">
        <v>6682</v>
      </c>
      <c r="E3037" s="5">
        <v>46281</v>
      </c>
      <c r="F3037" t="s">
        <v>204</v>
      </c>
      <c r="G3037" t="s">
        <v>220</v>
      </c>
      <c r="H3037">
        <v>7997</v>
      </c>
      <c r="I3037">
        <v>23.99</v>
      </c>
      <c r="J3037">
        <v>4.32</v>
      </c>
      <c r="K3037">
        <v>7968.69</v>
      </c>
      <c r="L3037" s="5">
        <v>46283</v>
      </c>
      <c r="M3037" t="s">
        <v>6366</v>
      </c>
      <c r="N3037" t="s">
        <v>207</v>
      </c>
      <c r="O3037" t="s">
        <v>6682</v>
      </c>
      <c r="P3037" t="s">
        <v>208</v>
      </c>
      <c r="Q3037" t="s">
        <v>209</v>
      </c>
    </row>
    <row r="3038" spans="1:17" x14ac:dyDescent="0.3">
      <c r="A3038" t="s">
        <v>6683</v>
      </c>
      <c r="C3038" t="s">
        <v>6684</v>
      </c>
      <c r="D3038" t="s">
        <v>6684</v>
      </c>
      <c r="E3038" s="5">
        <v>46281</v>
      </c>
      <c r="F3038" t="s">
        <v>204</v>
      </c>
      <c r="G3038" t="s">
        <v>220</v>
      </c>
      <c r="H3038">
        <v>1299</v>
      </c>
      <c r="I3038">
        <v>0</v>
      </c>
      <c r="J3038">
        <v>0</v>
      </c>
      <c r="K3038">
        <v>1299</v>
      </c>
      <c r="L3038" s="5">
        <v>46283</v>
      </c>
      <c r="M3038" t="s">
        <v>6366</v>
      </c>
      <c r="N3038" t="s">
        <v>207</v>
      </c>
      <c r="O3038" t="s">
        <v>6684</v>
      </c>
      <c r="P3038" t="s">
        <v>208</v>
      </c>
      <c r="Q3038" t="s">
        <v>209</v>
      </c>
    </row>
    <row r="3039" spans="1:17" x14ac:dyDescent="0.3">
      <c r="A3039" t="s">
        <v>6685</v>
      </c>
      <c r="C3039" t="s">
        <v>6686</v>
      </c>
      <c r="D3039" t="s">
        <v>6686</v>
      </c>
      <c r="E3039" s="5">
        <v>46281</v>
      </c>
      <c r="F3039" t="s">
        <v>204</v>
      </c>
      <c r="G3039" t="s">
        <v>220</v>
      </c>
      <c r="H3039">
        <v>1898</v>
      </c>
      <c r="I3039">
        <v>0</v>
      </c>
      <c r="J3039">
        <v>0</v>
      </c>
      <c r="K3039">
        <v>1898</v>
      </c>
      <c r="L3039" s="5">
        <v>46283</v>
      </c>
      <c r="M3039" t="s">
        <v>6366</v>
      </c>
      <c r="N3039" t="s">
        <v>207</v>
      </c>
      <c r="O3039" t="s">
        <v>6686</v>
      </c>
      <c r="P3039" t="s">
        <v>208</v>
      </c>
      <c r="Q3039" t="s">
        <v>209</v>
      </c>
    </row>
    <row r="3040" spans="1:17" x14ac:dyDescent="0.3">
      <c r="A3040" t="s">
        <v>6687</v>
      </c>
      <c r="C3040" t="s">
        <v>6688</v>
      </c>
      <c r="D3040" t="s">
        <v>6689</v>
      </c>
      <c r="E3040" s="5">
        <v>46281</v>
      </c>
      <c r="F3040" t="s">
        <v>204</v>
      </c>
      <c r="G3040" t="s">
        <v>220</v>
      </c>
      <c r="H3040">
        <v>1299</v>
      </c>
      <c r="I3040">
        <v>0</v>
      </c>
      <c r="J3040">
        <v>0</v>
      </c>
      <c r="K3040">
        <v>1299</v>
      </c>
      <c r="L3040" s="5">
        <v>46283</v>
      </c>
      <c r="M3040" t="s">
        <v>6366</v>
      </c>
      <c r="N3040" t="s">
        <v>207</v>
      </c>
      <c r="O3040" t="s">
        <v>6689</v>
      </c>
      <c r="P3040" t="s">
        <v>208</v>
      </c>
      <c r="Q3040" t="s">
        <v>209</v>
      </c>
    </row>
    <row r="3041" spans="1:17" x14ac:dyDescent="0.3">
      <c r="A3041" t="s">
        <v>6690</v>
      </c>
      <c r="C3041" t="s">
        <v>6691</v>
      </c>
      <c r="D3041" t="s">
        <v>6691</v>
      </c>
      <c r="E3041" s="5">
        <v>46281</v>
      </c>
      <c r="F3041" t="s">
        <v>204</v>
      </c>
      <c r="G3041" t="s">
        <v>213</v>
      </c>
      <c r="H3041">
        <v>1298</v>
      </c>
      <c r="I3041">
        <v>23.36</v>
      </c>
      <c r="J3041">
        <v>4.2</v>
      </c>
      <c r="K3041">
        <v>1270.44</v>
      </c>
      <c r="L3041" s="5">
        <v>46283</v>
      </c>
      <c r="M3041" t="s">
        <v>6366</v>
      </c>
      <c r="N3041" t="s">
        <v>207</v>
      </c>
      <c r="O3041" t="s">
        <v>6691</v>
      </c>
      <c r="P3041" t="s">
        <v>208</v>
      </c>
      <c r="Q3041" t="s">
        <v>209</v>
      </c>
    </row>
    <row r="3042" spans="1:17" x14ac:dyDescent="0.3">
      <c r="A3042" t="s">
        <v>6692</v>
      </c>
      <c r="C3042" t="s">
        <v>6693</v>
      </c>
      <c r="D3042" t="s">
        <v>6693</v>
      </c>
      <c r="E3042" s="5">
        <v>46281</v>
      </c>
      <c r="F3042" t="s">
        <v>204</v>
      </c>
      <c r="G3042" t="s">
        <v>220</v>
      </c>
      <c r="H3042">
        <v>3348</v>
      </c>
      <c r="I3042">
        <v>10.039999999999999</v>
      </c>
      <c r="J3042">
        <v>1.81</v>
      </c>
      <c r="K3042">
        <v>3336.15</v>
      </c>
      <c r="L3042" s="5">
        <v>46283</v>
      </c>
      <c r="M3042" t="s">
        <v>6366</v>
      </c>
      <c r="N3042" t="s">
        <v>207</v>
      </c>
      <c r="O3042" t="s">
        <v>6693</v>
      </c>
      <c r="P3042" t="s">
        <v>208</v>
      </c>
      <c r="Q3042" t="s">
        <v>209</v>
      </c>
    </row>
    <row r="3043" spans="1:17" x14ac:dyDescent="0.3">
      <c r="A3043" t="s">
        <v>6694</v>
      </c>
      <c r="C3043" t="s">
        <v>6695</v>
      </c>
      <c r="D3043" t="s">
        <v>6695</v>
      </c>
      <c r="E3043" s="5">
        <v>46281</v>
      </c>
      <c r="F3043" t="s">
        <v>204</v>
      </c>
      <c r="G3043" t="s">
        <v>213</v>
      </c>
      <c r="H3043">
        <v>5998</v>
      </c>
      <c r="I3043">
        <v>95.97</v>
      </c>
      <c r="J3043">
        <v>17.27</v>
      </c>
      <c r="K3043">
        <v>5884.76</v>
      </c>
      <c r="L3043" s="5">
        <v>46283</v>
      </c>
      <c r="M3043" t="s">
        <v>6366</v>
      </c>
      <c r="N3043" t="s">
        <v>207</v>
      </c>
      <c r="O3043" t="s">
        <v>6695</v>
      </c>
      <c r="P3043" t="s">
        <v>208</v>
      </c>
      <c r="Q3043" t="s">
        <v>209</v>
      </c>
    </row>
    <row r="3044" spans="1:17" x14ac:dyDescent="0.3">
      <c r="A3044" t="s">
        <v>6696</v>
      </c>
      <c r="C3044" t="s">
        <v>6697</v>
      </c>
      <c r="D3044" t="s">
        <v>6697</v>
      </c>
      <c r="E3044" s="5">
        <v>46281</v>
      </c>
      <c r="F3044" t="s">
        <v>204</v>
      </c>
      <c r="G3044" t="s">
        <v>255</v>
      </c>
      <c r="H3044">
        <v>3098</v>
      </c>
      <c r="I3044">
        <v>37.18</v>
      </c>
      <c r="J3044">
        <v>6.69</v>
      </c>
      <c r="K3044">
        <v>3054.13</v>
      </c>
      <c r="L3044" s="5">
        <v>46283</v>
      </c>
      <c r="M3044" t="s">
        <v>6366</v>
      </c>
      <c r="N3044" t="s">
        <v>207</v>
      </c>
      <c r="O3044" t="s">
        <v>6697</v>
      </c>
      <c r="P3044" t="s">
        <v>208</v>
      </c>
      <c r="Q3044" t="s">
        <v>209</v>
      </c>
    </row>
    <row r="3045" spans="1:17" x14ac:dyDescent="0.3">
      <c r="A3045" t="s">
        <v>6698</v>
      </c>
      <c r="C3045" t="s">
        <v>6699</v>
      </c>
      <c r="D3045" t="s">
        <v>6699</v>
      </c>
      <c r="E3045" s="5">
        <v>46281</v>
      </c>
      <c r="F3045" t="s">
        <v>204</v>
      </c>
      <c r="G3045" t="s">
        <v>213</v>
      </c>
      <c r="H3045">
        <v>11797</v>
      </c>
      <c r="I3045">
        <v>188.75</v>
      </c>
      <c r="J3045">
        <v>33.979999999999997</v>
      </c>
      <c r="K3045">
        <v>11574.27</v>
      </c>
      <c r="L3045" s="5">
        <v>46283</v>
      </c>
      <c r="M3045" t="s">
        <v>6366</v>
      </c>
      <c r="N3045" t="s">
        <v>207</v>
      </c>
      <c r="O3045" t="s">
        <v>6699</v>
      </c>
      <c r="P3045" t="s">
        <v>208</v>
      </c>
      <c r="Q3045" t="s">
        <v>209</v>
      </c>
    </row>
    <row r="3046" spans="1:17" x14ac:dyDescent="0.3">
      <c r="A3046" t="s">
        <v>6700</v>
      </c>
      <c r="C3046" t="s">
        <v>6701</v>
      </c>
      <c r="D3046" t="s">
        <v>6701</v>
      </c>
      <c r="E3046" s="5">
        <v>46281</v>
      </c>
      <c r="F3046" t="s">
        <v>204</v>
      </c>
      <c r="G3046" t="s">
        <v>255</v>
      </c>
      <c r="H3046">
        <v>1848</v>
      </c>
      <c r="I3046">
        <v>27.72</v>
      </c>
      <c r="J3046">
        <v>4.99</v>
      </c>
      <c r="K3046">
        <v>1815.29</v>
      </c>
      <c r="L3046" s="5">
        <v>46283</v>
      </c>
      <c r="M3046" t="s">
        <v>6366</v>
      </c>
      <c r="N3046" t="s">
        <v>207</v>
      </c>
      <c r="O3046" t="s">
        <v>6701</v>
      </c>
      <c r="P3046" t="s">
        <v>208</v>
      </c>
      <c r="Q3046" t="s">
        <v>209</v>
      </c>
    </row>
    <row r="3047" spans="1:17" x14ac:dyDescent="0.3">
      <c r="A3047" t="s">
        <v>6702</v>
      </c>
      <c r="C3047" t="s">
        <v>6703</v>
      </c>
      <c r="D3047" t="s">
        <v>6703</v>
      </c>
      <c r="E3047" s="5">
        <v>46281</v>
      </c>
      <c r="F3047" t="s">
        <v>204</v>
      </c>
      <c r="G3047" t="s">
        <v>220</v>
      </c>
      <c r="H3047">
        <v>648</v>
      </c>
      <c r="I3047">
        <v>0</v>
      </c>
      <c r="J3047">
        <v>0</v>
      </c>
      <c r="K3047">
        <v>648</v>
      </c>
      <c r="L3047" s="5">
        <v>46283</v>
      </c>
      <c r="M3047" t="s">
        <v>6366</v>
      </c>
      <c r="N3047" t="s">
        <v>207</v>
      </c>
      <c r="O3047" t="s">
        <v>6703</v>
      </c>
      <c r="P3047" t="s">
        <v>208</v>
      </c>
      <c r="Q3047" t="s">
        <v>209</v>
      </c>
    </row>
    <row r="3048" spans="1:17" x14ac:dyDescent="0.3">
      <c r="A3048" t="s">
        <v>6704</v>
      </c>
      <c r="C3048" t="s">
        <v>6705</v>
      </c>
      <c r="D3048" t="s">
        <v>6706</v>
      </c>
      <c r="E3048" s="5">
        <v>46281</v>
      </c>
      <c r="F3048" t="s">
        <v>204</v>
      </c>
      <c r="G3048" t="s">
        <v>205</v>
      </c>
      <c r="H3048">
        <v>999</v>
      </c>
      <c r="I3048">
        <v>18.98</v>
      </c>
      <c r="J3048">
        <v>3.42</v>
      </c>
      <c r="K3048">
        <v>976.6</v>
      </c>
      <c r="L3048" s="5">
        <v>46283</v>
      </c>
      <c r="M3048" t="s">
        <v>6366</v>
      </c>
      <c r="N3048" t="s">
        <v>207</v>
      </c>
      <c r="O3048" t="s">
        <v>6706</v>
      </c>
      <c r="P3048" t="s">
        <v>208</v>
      </c>
      <c r="Q3048" t="s">
        <v>209</v>
      </c>
    </row>
    <row r="3049" spans="1:17" x14ac:dyDescent="0.3">
      <c r="A3049" t="s">
        <v>6707</v>
      </c>
      <c r="C3049" t="s">
        <v>6708</v>
      </c>
      <c r="D3049" t="s">
        <v>6708</v>
      </c>
      <c r="E3049" s="5">
        <v>46281</v>
      </c>
      <c r="F3049" t="s">
        <v>204</v>
      </c>
      <c r="G3049" t="s">
        <v>220</v>
      </c>
      <c r="H3049">
        <v>5097</v>
      </c>
      <c r="I3049">
        <v>15.29</v>
      </c>
      <c r="J3049">
        <v>2.75</v>
      </c>
      <c r="K3049">
        <v>5078.96</v>
      </c>
      <c r="L3049" s="5">
        <v>46283</v>
      </c>
      <c r="M3049" t="s">
        <v>6366</v>
      </c>
      <c r="N3049" t="s">
        <v>207</v>
      </c>
      <c r="O3049" t="s">
        <v>6708</v>
      </c>
      <c r="P3049" t="s">
        <v>208</v>
      </c>
      <c r="Q3049" t="s">
        <v>209</v>
      </c>
    </row>
    <row r="3050" spans="1:17" x14ac:dyDescent="0.3">
      <c r="A3050" t="s">
        <v>6709</v>
      </c>
      <c r="C3050" t="s">
        <v>6710</v>
      </c>
      <c r="D3050" t="s">
        <v>6710</v>
      </c>
      <c r="E3050" s="5">
        <v>46281</v>
      </c>
      <c r="F3050" t="s">
        <v>204</v>
      </c>
      <c r="G3050" t="s">
        <v>220</v>
      </c>
      <c r="H3050">
        <v>1997</v>
      </c>
      <c r="I3050">
        <v>0</v>
      </c>
      <c r="J3050">
        <v>0</v>
      </c>
      <c r="K3050">
        <v>1997</v>
      </c>
      <c r="L3050" s="5">
        <v>46283</v>
      </c>
      <c r="M3050" t="s">
        <v>6366</v>
      </c>
      <c r="N3050" t="s">
        <v>207</v>
      </c>
      <c r="O3050" t="s">
        <v>6710</v>
      </c>
      <c r="P3050" t="s">
        <v>208</v>
      </c>
      <c r="Q3050" t="s">
        <v>209</v>
      </c>
    </row>
    <row r="3051" spans="1:17" x14ac:dyDescent="0.3">
      <c r="A3051" t="s">
        <v>6711</v>
      </c>
      <c r="C3051" t="s">
        <v>6712</v>
      </c>
      <c r="D3051" t="s">
        <v>6713</v>
      </c>
      <c r="E3051" s="5">
        <v>46281</v>
      </c>
      <c r="F3051" t="s">
        <v>204</v>
      </c>
      <c r="G3051" t="s">
        <v>220</v>
      </c>
      <c r="H3051">
        <v>2597</v>
      </c>
      <c r="I3051">
        <v>7.79</v>
      </c>
      <c r="J3051">
        <v>1.4</v>
      </c>
      <c r="K3051">
        <v>2587.81</v>
      </c>
      <c r="L3051" s="5">
        <v>46283</v>
      </c>
      <c r="M3051" t="s">
        <v>6366</v>
      </c>
      <c r="N3051" t="s">
        <v>207</v>
      </c>
      <c r="O3051" t="s">
        <v>6713</v>
      </c>
      <c r="P3051" t="s">
        <v>208</v>
      </c>
      <c r="Q3051" t="s">
        <v>209</v>
      </c>
    </row>
    <row r="3052" spans="1:17" x14ac:dyDescent="0.3">
      <c r="A3052" t="s">
        <v>6714</v>
      </c>
      <c r="C3052" t="s">
        <v>6715</v>
      </c>
      <c r="D3052" t="s">
        <v>6715</v>
      </c>
      <c r="E3052" s="5">
        <v>46281</v>
      </c>
      <c r="F3052" t="s">
        <v>204</v>
      </c>
      <c r="G3052" t="s">
        <v>220</v>
      </c>
      <c r="H3052">
        <v>5797</v>
      </c>
      <c r="I3052">
        <v>17.39</v>
      </c>
      <c r="J3052">
        <v>3.13</v>
      </c>
      <c r="K3052">
        <v>5776.48</v>
      </c>
      <c r="L3052" s="5">
        <v>46283</v>
      </c>
      <c r="M3052" t="s">
        <v>6366</v>
      </c>
      <c r="N3052" t="s">
        <v>207</v>
      </c>
      <c r="O3052" t="s">
        <v>6715</v>
      </c>
      <c r="P3052" t="s">
        <v>208</v>
      </c>
      <c r="Q3052" t="s">
        <v>209</v>
      </c>
    </row>
    <row r="3053" spans="1:17" x14ac:dyDescent="0.3">
      <c r="A3053" t="s">
        <v>6716</v>
      </c>
      <c r="B3053" t="s">
        <v>4374</v>
      </c>
      <c r="E3053" s="5">
        <v>46281</v>
      </c>
      <c r="F3053" t="s">
        <v>921</v>
      </c>
      <c r="G3053" t="s">
        <v>220</v>
      </c>
      <c r="H3053">
        <v>2848</v>
      </c>
      <c r="I3053">
        <v>0</v>
      </c>
      <c r="J3053">
        <v>0</v>
      </c>
      <c r="K3053">
        <v>-2848</v>
      </c>
      <c r="L3053" s="5">
        <v>46283</v>
      </c>
      <c r="M3053" t="s">
        <v>6366</v>
      </c>
      <c r="N3053" t="s">
        <v>207</v>
      </c>
      <c r="O3053" t="s">
        <v>4375</v>
      </c>
      <c r="P3053" t="s">
        <v>208</v>
      </c>
    </row>
    <row r="3054" spans="1:17" x14ac:dyDescent="0.3">
      <c r="A3054" t="s">
        <v>6717</v>
      </c>
      <c r="B3054" t="s">
        <v>5973</v>
      </c>
      <c r="E3054" s="5">
        <v>46281</v>
      </c>
      <c r="F3054" t="s">
        <v>921</v>
      </c>
      <c r="G3054" t="s">
        <v>220</v>
      </c>
      <c r="H3054">
        <v>299</v>
      </c>
      <c r="I3054">
        <v>0</v>
      </c>
      <c r="J3054">
        <v>0</v>
      </c>
      <c r="K3054">
        <v>-299</v>
      </c>
      <c r="L3054" s="5">
        <v>46283</v>
      </c>
      <c r="M3054" t="s">
        <v>6366</v>
      </c>
      <c r="N3054" t="s">
        <v>207</v>
      </c>
      <c r="O3054" t="s">
        <v>5975</v>
      </c>
      <c r="P3054" t="s">
        <v>208</v>
      </c>
    </row>
    <row r="3055" spans="1:17" x14ac:dyDescent="0.3">
      <c r="A3055" t="s">
        <v>6718</v>
      </c>
      <c r="B3055" t="s">
        <v>4999</v>
      </c>
      <c r="E3055" s="5">
        <v>46281</v>
      </c>
      <c r="F3055" t="s">
        <v>921</v>
      </c>
      <c r="G3055" t="s">
        <v>205</v>
      </c>
      <c r="H3055">
        <v>2499</v>
      </c>
      <c r="I3055">
        <v>0</v>
      </c>
      <c r="J3055">
        <v>0</v>
      </c>
      <c r="K3055">
        <v>-2499</v>
      </c>
      <c r="L3055" s="5">
        <v>46283</v>
      </c>
      <c r="M3055" t="s">
        <v>6366</v>
      </c>
      <c r="N3055" t="s">
        <v>207</v>
      </c>
      <c r="O3055" t="s">
        <v>5000</v>
      </c>
      <c r="P3055" t="s">
        <v>208</v>
      </c>
    </row>
    <row r="3056" spans="1:17" x14ac:dyDescent="0.3">
      <c r="A3056" t="s">
        <v>6719</v>
      </c>
      <c r="B3056" t="s">
        <v>3960</v>
      </c>
      <c r="E3056" s="5">
        <v>46281</v>
      </c>
      <c r="F3056" t="s">
        <v>921</v>
      </c>
      <c r="G3056" t="s">
        <v>220</v>
      </c>
      <c r="H3056">
        <v>2798</v>
      </c>
      <c r="I3056">
        <v>0</v>
      </c>
      <c r="J3056">
        <v>0</v>
      </c>
      <c r="K3056">
        <v>-2798</v>
      </c>
      <c r="L3056" s="5">
        <v>46283</v>
      </c>
      <c r="M3056" t="s">
        <v>6366</v>
      </c>
      <c r="N3056" t="s">
        <v>207</v>
      </c>
      <c r="O3056" t="s">
        <v>3961</v>
      </c>
      <c r="P3056" t="s">
        <v>208</v>
      </c>
    </row>
    <row r="3057" spans="1:17" x14ac:dyDescent="0.3">
      <c r="A3057" t="s">
        <v>6720</v>
      </c>
      <c r="C3057" t="s">
        <v>6721</v>
      </c>
      <c r="D3057" t="s">
        <v>6721</v>
      </c>
      <c r="E3057" s="5">
        <v>46282</v>
      </c>
      <c r="F3057" t="s">
        <v>204</v>
      </c>
      <c r="G3057" t="s">
        <v>255</v>
      </c>
      <c r="H3057">
        <v>7999</v>
      </c>
      <c r="I3057">
        <v>95.99</v>
      </c>
      <c r="J3057">
        <v>17.28</v>
      </c>
      <c r="K3057">
        <v>7885.73</v>
      </c>
      <c r="L3057" s="5">
        <v>46284</v>
      </c>
      <c r="M3057" t="s">
        <v>6722</v>
      </c>
      <c r="N3057" t="s">
        <v>207</v>
      </c>
      <c r="O3057" t="s">
        <v>6721</v>
      </c>
      <c r="P3057" t="s">
        <v>208</v>
      </c>
      <c r="Q3057" t="s">
        <v>209</v>
      </c>
    </row>
    <row r="3058" spans="1:17" x14ac:dyDescent="0.3">
      <c r="A3058" t="s">
        <v>6723</v>
      </c>
      <c r="C3058" t="s">
        <v>6724</v>
      </c>
      <c r="D3058" t="s">
        <v>6725</v>
      </c>
      <c r="E3058" s="5">
        <v>46282</v>
      </c>
      <c r="F3058" t="s">
        <v>204</v>
      </c>
      <c r="G3058" t="s">
        <v>213</v>
      </c>
      <c r="H3058">
        <v>9998</v>
      </c>
      <c r="I3058">
        <v>159.97</v>
      </c>
      <c r="J3058">
        <v>28.79</v>
      </c>
      <c r="K3058">
        <v>9809.24</v>
      </c>
      <c r="L3058" s="5">
        <v>46284</v>
      </c>
      <c r="M3058" t="s">
        <v>6722</v>
      </c>
      <c r="N3058" t="s">
        <v>207</v>
      </c>
      <c r="O3058" t="s">
        <v>6725</v>
      </c>
      <c r="P3058" t="s">
        <v>208</v>
      </c>
      <c r="Q3058" t="s">
        <v>209</v>
      </c>
    </row>
    <row r="3059" spans="1:17" x14ac:dyDescent="0.3">
      <c r="A3059" t="s">
        <v>6726</v>
      </c>
      <c r="C3059" t="s">
        <v>6727</v>
      </c>
      <c r="D3059" t="s">
        <v>6727</v>
      </c>
      <c r="E3059" s="5">
        <v>46282</v>
      </c>
      <c r="F3059" t="s">
        <v>204</v>
      </c>
      <c r="G3059" t="s">
        <v>213</v>
      </c>
      <c r="H3059">
        <v>1299</v>
      </c>
      <c r="I3059">
        <v>23.38</v>
      </c>
      <c r="J3059">
        <v>4.21</v>
      </c>
      <c r="K3059">
        <v>1271.4100000000001</v>
      </c>
      <c r="L3059" s="5">
        <v>46284</v>
      </c>
      <c r="M3059" t="s">
        <v>6722</v>
      </c>
      <c r="N3059" t="s">
        <v>207</v>
      </c>
      <c r="O3059" t="s">
        <v>6727</v>
      </c>
      <c r="P3059" t="s">
        <v>208</v>
      </c>
      <c r="Q3059" t="s">
        <v>209</v>
      </c>
    </row>
    <row r="3060" spans="1:17" x14ac:dyDescent="0.3">
      <c r="A3060" t="s">
        <v>6728</v>
      </c>
      <c r="C3060" t="s">
        <v>6729</v>
      </c>
      <c r="D3060" t="s">
        <v>6729</v>
      </c>
      <c r="E3060" s="5">
        <v>46282</v>
      </c>
      <c r="F3060" t="s">
        <v>204</v>
      </c>
      <c r="G3060" t="s">
        <v>213</v>
      </c>
      <c r="H3060">
        <v>1299</v>
      </c>
      <c r="I3060">
        <v>23.38</v>
      </c>
      <c r="J3060">
        <v>4.21</v>
      </c>
      <c r="K3060">
        <v>1271.4100000000001</v>
      </c>
      <c r="L3060" s="5">
        <v>46284</v>
      </c>
      <c r="M3060" t="s">
        <v>6722</v>
      </c>
      <c r="N3060" t="s">
        <v>207</v>
      </c>
      <c r="O3060" t="s">
        <v>6729</v>
      </c>
      <c r="P3060" t="s">
        <v>208</v>
      </c>
      <c r="Q3060" t="s">
        <v>209</v>
      </c>
    </row>
    <row r="3061" spans="1:17" x14ac:dyDescent="0.3">
      <c r="A3061" t="s">
        <v>6730</v>
      </c>
      <c r="C3061" t="s">
        <v>6731</v>
      </c>
      <c r="D3061" t="s">
        <v>6731</v>
      </c>
      <c r="E3061" s="5">
        <v>46282</v>
      </c>
      <c r="F3061" t="s">
        <v>204</v>
      </c>
      <c r="G3061" t="s">
        <v>213</v>
      </c>
      <c r="H3061">
        <v>8847</v>
      </c>
      <c r="I3061">
        <v>141.55000000000001</v>
      </c>
      <c r="J3061">
        <v>25.48</v>
      </c>
      <c r="K3061">
        <v>8679.9699999999993</v>
      </c>
      <c r="L3061" s="5">
        <v>46284</v>
      </c>
      <c r="M3061" t="s">
        <v>6722</v>
      </c>
      <c r="N3061" t="s">
        <v>207</v>
      </c>
      <c r="O3061" t="s">
        <v>6731</v>
      </c>
      <c r="P3061" t="s">
        <v>208</v>
      </c>
      <c r="Q3061" t="s">
        <v>209</v>
      </c>
    </row>
    <row r="3062" spans="1:17" x14ac:dyDescent="0.3">
      <c r="A3062" t="s">
        <v>6732</v>
      </c>
      <c r="C3062" t="s">
        <v>6733</v>
      </c>
      <c r="D3062" t="s">
        <v>6733</v>
      </c>
      <c r="E3062" s="5">
        <v>46282</v>
      </c>
      <c r="F3062" t="s">
        <v>204</v>
      </c>
      <c r="G3062" t="s">
        <v>220</v>
      </c>
      <c r="H3062">
        <v>999</v>
      </c>
      <c r="I3062">
        <v>0</v>
      </c>
      <c r="J3062">
        <v>0</v>
      </c>
      <c r="K3062">
        <v>999</v>
      </c>
      <c r="L3062" s="5">
        <v>46284</v>
      </c>
      <c r="M3062" t="s">
        <v>6722</v>
      </c>
      <c r="N3062" t="s">
        <v>207</v>
      </c>
      <c r="O3062" t="s">
        <v>6733</v>
      </c>
      <c r="P3062" t="s">
        <v>208</v>
      </c>
      <c r="Q3062" t="s">
        <v>209</v>
      </c>
    </row>
    <row r="3063" spans="1:17" x14ac:dyDescent="0.3">
      <c r="A3063" t="s">
        <v>6734</v>
      </c>
      <c r="C3063" t="s">
        <v>6735</v>
      </c>
      <c r="D3063" t="s">
        <v>6736</v>
      </c>
      <c r="E3063" s="5">
        <v>46282</v>
      </c>
      <c r="F3063" t="s">
        <v>204</v>
      </c>
      <c r="G3063" t="s">
        <v>205</v>
      </c>
      <c r="H3063">
        <v>7999</v>
      </c>
      <c r="I3063">
        <v>135.97999999999999</v>
      </c>
      <c r="J3063">
        <v>24.48</v>
      </c>
      <c r="K3063">
        <v>7838.54</v>
      </c>
      <c r="L3063" s="5">
        <v>46284</v>
      </c>
      <c r="M3063" t="s">
        <v>6722</v>
      </c>
      <c r="N3063" t="s">
        <v>207</v>
      </c>
      <c r="O3063" t="s">
        <v>6736</v>
      </c>
      <c r="P3063" t="s">
        <v>208</v>
      </c>
      <c r="Q3063" t="s">
        <v>209</v>
      </c>
    </row>
    <row r="3064" spans="1:17" x14ac:dyDescent="0.3">
      <c r="A3064" t="s">
        <v>6737</v>
      </c>
      <c r="C3064" t="s">
        <v>6738</v>
      </c>
      <c r="D3064" t="s">
        <v>6738</v>
      </c>
      <c r="E3064" s="5">
        <v>46282</v>
      </c>
      <c r="F3064" t="s">
        <v>204</v>
      </c>
      <c r="G3064" t="s">
        <v>220</v>
      </c>
      <c r="H3064">
        <v>3798</v>
      </c>
      <c r="I3064">
        <v>11.39</v>
      </c>
      <c r="J3064">
        <v>2.0499999999999998</v>
      </c>
      <c r="K3064">
        <v>3784.56</v>
      </c>
      <c r="L3064" s="5">
        <v>46284</v>
      </c>
      <c r="M3064" t="s">
        <v>6722</v>
      </c>
      <c r="N3064" t="s">
        <v>207</v>
      </c>
      <c r="O3064" t="s">
        <v>6738</v>
      </c>
      <c r="P3064" t="s">
        <v>208</v>
      </c>
      <c r="Q3064" t="s">
        <v>209</v>
      </c>
    </row>
    <row r="3065" spans="1:17" x14ac:dyDescent="0.3">
      <c r="A3065" t="s">
        <v>6739</v>
      </c>
      <c r="C3065" t="s">
        <v>6740</v>
      </c>
      <c r="D3065" t="s">
        <v>6740</v>
      </c>
      <c r="E3065" s="5">
        <v>46282</v>
      </c>
      <c r="F3065" t="s">
        <v>204</v>
      </c>
      <c r="G3065" t="s">
        <v>213</v>
      </c>
      <c r="H3065">
        <v>3798</v>
      </c>
      <c r="I3065">
        <v>60.77</v>
      </c>
      <c r="J3065">
        <v>10.94</v>
      </c>
      <c r="K3065">
        <v>3726.29</v>
      </c>
      <c r="L3065" s="5">
        <v>46284</v>
      </c>
      <c r="M3065" t="s">
        <v>6722</v>
      </c>
      <c r="N3065" t="s">
        <v>207</v>
      </c>
      <c r="O3065" t="s">
        <v>6740</v>
      </c>
      <c r="P3065" t="s">
        <v>208</v>
      </c>
      <c r="Q3065" t="s">
        <v>209</v>
      </c>
    </row>
    <row r="3066" spans="1:17" x14ac:dyDescent="0.3">
      <c r="A3066" t="s">
        <v>6741</v>
      </c>
      <c r="C3066" t="s">
        <v>6742</v>
      </c>
      <c r="D3066" t="s">
        <v>6742</v>
      </c>
      <c r="E3066" s="5">
        <v>46282</v>
      </c>
      <c r="F3066" t="s">
        <v>204</v>
      </c>
      <c r="G3066" t="s">
        <v>205</v>
      </c>
      <c r="H3066">
        <v>1397</v>
      </c>
      <c r="I3066">
        <v>26.54</v>
      </c>
      <c r="J3066">
        <v>4.78</v>
      </c>
      <c r="K3066">
        <v>1365.68</v>
      </c>
      <c r="L3066" s="5">
        <v>46284</v>
      </c>
      <c r="M3066" t="s">
        <v>6722</v>
      </c>
      <c r="N3066" t="s">
        <v>207</v>
      </c>
      <c r="O3066" t="s">
        <v>6742</v>
      </c>
      <c r="P3066" t="s">
        <v>208</v>
      </c>
      <c r="Q3066" t="s">
        <v>209</v>
      </c>
    </row>
    <row r="3067" spans="1:17" x14ac:dyDescent="0.3">
      <c r="A3067" t="s">
        <v>6743</v>
      </c>
      <c r="C3067" t="s">
        <v>6744</v>
      </c>
      <c r="D3067" t="s">
        <v>6744</v>
      </c>
      <c r="E3067" s="5">
        <v>46282</v>
      </c>
      <c r="F3067" t="s">
        <v>204</v>
      </c>
      <c r="G3067" t="s">
        <v>220</v>
      </c>
      <c r="H3067">
        <v>299</v>
      </c>
      <c r="I3067">
        <v>0</v>
      </c>
      <c r="J3067">
        <v>0</v>
      </c>
      <c r="K3067">
        <v>299</v>
      </c>
      <c r="L3067" s="5">
        <v>46284</v>
      </c>
      <c r="M3067" t="s">
        <v>6722</v>
      </c>
      <c r="N3067" t="s">
        <v>207</v>
      </c>
      <c r="O3067" t="s">
        <v>6744</v>
      </c>
      <c r="P3067" t="s">
        <v>208</v>
      </c>
      <c r="Q3067" t="s">
        <v>209</v>
      </c>
    </row>
    <row r="3068" spans="1:17" x14ac:dyDescent="0.3">
      <c r="A3068" t="s">
        <v>6745</v>
      </c>
      <c r="C3068" t="s">
        <v>6746</v>
      </c>
      <c r="D3068" t="s">
        <v>6746</v>
      </c>
      <c r="E3068" s="5">
        <v>46282</v>
      </c>
      <c r="F3068" t="s">
        <v>204</v>
      </c>
      <c r="G3068" t="s">
        <v>220</v>
      </c>
      <c r="H3068">
        <v>7999</v>
      </c>
      <c r="I3068">
        <v>24</v>
      </c>
      <c r="J3068">
        <v>4.32</v>
      </c>
      <c r="K3068">
        <v>7970.68</v>
      </c>
      <c r="L3068" s="5">
        <v>46284</v>
      </c>
      <c r="M3068" t="s">
        <v>6722</v>
      </c>
      <c r="N3068" t="s">
        <v>207</v>
      </c>
      <c r="O3068" t="s">
        <v>6746</v>
      </c>
      <c r="P3068" t="s">
        <v>208</v>
      </c>
      <c r="Q3068" t="s">
        <v>209</v>
      </c>
    </row>
    <row r="3069" spans="1:17" x14ac:dyDescent="0.3">
      <c r="A3069" t="s">
        <v>6747</v>
      </c>
      <c r="C3069" t="s">
        <v>6748</v>
      </c>
      <c r="D3069" t="s">
        <v>6748</v>
      </c>
      <c r="E3069" s="5">
        <v>46282</v>
      </c>
      <c r="F3069" t="s">
        <v>204</v>
      </c>
      <c r="G3069" t="s">
        <v>213</v>
      </c>
      <c r="H3069">
        <v>599</v>
      </c>
      <c r="I3069">
        <v>10.78</v>
      </c>
      <c r="J3069">
        <v>1.94</v>
      </c>
      <c r="K3069">
        <v>586.28</v>
      </c>
      <c r="L3069" s="5">
        <v>46284</v>
      </c>
      <c r="M3069" t="s">
        <v>6722</v>
      </c>
      <c r="N3069" t="s">
        <v>207</v>
      </c>
      <c r="O3069" t="s">
        <v>6748</v>
      </c>
      <c r="P3069" t="s">
        <v>208</v>
      </c>
      <c r="Q3069" t="s">
        <v>209</v>
      </c>
    </row>
    <row r="3070" spans="1:17" x14ac:dyDescent="0.3">
      <c r="A3070" t="s">
        <v>6749</v>
      </c>
      <c r="C3070" t="s">
        <v>6750</v>
      </c>
      <c r="D3070" t="s">
        <v>6750</v>
      </c>
      <c r="E3070" s="5">
        <v>46282</v>
      </c>
      <c r="F3070" t="s">
        <v>204</v>
      </c>
      <c r="G3070" t="s">
        <v>205</v>
      </c>
      <c r="H3070">
        <v>7999</v>
      </c>
      <c r="I3070">
        <v>135.97999999999999</v>
      </c>
      <c r="J3070">
        <v>24.48</v>
      </c>
      <c r="K3070">
        <v>7838.54</v>
      </c>
      <c r="L3070" s="5">
        <v>46284</v>
      </c>
      <c r="M3070" t="s">
        <v>6722</v>
      </c>
      <c r="N3070" t="s">
        <v>207</v>
      </c>
      <c r="O3070" t="s">
        <v>6750</v>
      </c>
      <c r="P3070" t="s">
        <v>208</v>
      </c>
      <c r="Q3070" t="s">
        <v>209</v>
      </c>
    </row>
    <row r="3071" spans="1:17" x14ac:dyDescent="0.3">
      <c r="A3071" t="s">
        <v>6751</v>
      </c>
      <c r="C3071" t="s">
        <v>6752</v>
      </c>
      <c r="D3071" t="s">
        <v>6753</v>
      </c>
      <c r="E3071" s="5">
        <v>46282</v>
      </c>
      <c r="F3071" t="s">
        <v>204</v>
      </c>
      <c r="G3071" t="s">
        <v>213</v>
      </c>
      <c r="H3071">
        <v>5797</v>
      </c>
      <c r="I3071">
        <v>92.75</v>
      </c>
      <c r="J3071">
        <v>16.7</v>
      </c>
      <c r="K3071">
        <v>5687.55</v>
      </c>
      <c r="L3071" s="5">
        <v>46284</v>
      </c>
      <c r="M3071" t="s">
        <v>6722</v>
      </c>
      <c r="N3071" t="s">
        <v>207</v>
      </c>
      <c r="O3071" t="s">
        <v>6753</v>
      </c>
      <c r="P3071" t="s">
        <v>208</v>
      </c>
      <c r="Q3071" t="s">
        <v>209</v>
      </c>
    </row>
    <row r="3072" spans="1:17" x14ac:dyDescent="0.3">
      <c r="A3072" t="s">
        <v>6754</v>
      </c>
      <c r="C3072" t="s">
        <v>6755</v>
      </c>
      <c r="D3072" t="s">
        <v>6755</v>
      </c>
      <c r="E3072" s="5">
        <v>46282</v>
      </c>
      <c r="F3072" t="s">
        <v>204</v>
      </c>
      <c r="G3072" t="s">
        <v>220</v>
      </c>
      <c r="H3072">
        <v>5297</v>
      </c>
      <c r="I3072">
        <v>15.89</v>
      </c>
      <c r="J3072">
        <v>2.86</v>
      </c>
      <c r="K3072">
        <v>5278.25</v>
      </c>
      <c r="L3072" s="5">
        <v>46284</v>
      </c>
      <c r="M3072" t="s">
        <v>6722</v>
      </c>
      <c r="N3072" t="s">
        <v>207</v>
      </c>
      <c r="O3072" t="s">
        <v>6755</v>
      </c>
      <c r="P3072" t="s">
        <v>208</v>
      </c>
      <c r="Q3072" t="s">
        <v>209</v>
      </c>
    </row>
    <row r="3073" spans="1:17" x14ac:dyDescent="0.3">
      <c r="A3073" t="s">
        <v>6756</v>
      </c>
      <c r="C3073" t="s">
        <v>6757</v>
      </c>
      <c r="D3073" t="s">
        <v>6757</v>
      </c>
      <c r="E3073" s="5">
        <v>46282</v>
      </c>
      <c r="F3073" t="s">
        <v>204</v>
      </c>
      <c r="G3073" t="s">
        <v>220</v>
      </c>
      <c r="H3073">
        <v>3298</v>
      </c>
      <c r="I3073">
        <v>9.89</v>
      </c>
      <c r="J3073">
        <v>1.78</v>
      </c>
      <c r="K3073">
        <v>3286.33</v>
      </c>
      <c r="L3073" s="5">
        <v>46284</v>
      </c>
      <c r="M3073" t="s">
        <v>6722</v>
      </c>
      <c r="N3073" t="s">
        <v>207</v>
      </c>
      <c r="O3073" t="s">
        <v>6757</v>
      </c>
      <c r="P3073" t="s">
        <v>208</v>
      </c>
      <c r="Q3073" t="s">
        <v>209</v>
      </c>
    </row>
    <row r="3074" spans="1:17" x14ac:dyDescent="0.3">
      <c r="A3074" t="s">
        <v>6758</v>
      </c>
      <c r="C3074" t="s">
        <v>6759</v>
      </c>
      <c r="D3074" t="s">
        <v>6759</v>
      </c>
      <c r="E3074" s="5">
        <v>46282</v>
      </c>
      <c r="F3074" t="s">
        <v>204</v>
      </c>
      <c r="G3074" t="s">
        <v>213</v>
      </c>
      <c r="H3074">
        <v>8298</v>
      </c>
      <c r="I3074">
        <v>132.77000000000001</v>
      </c>
      <c r="J3074">
        <v>23.9</v>
      </c>
      <c r="K3074">
        <v>8141.33</v>
      </c>
      <c r="L3074" s="5">
        <v>46284</v>
      </c>
      <c r="M3074" t="s">
        <v>6722</v>
      </c>
      <c r="N3074" t="s">
        <v>207</v>
      </c>
      <c r="O3074" t="s">
        <v>6759</v>
      </c>
      <c r="P3074" t="s">
        <v>208</v>
      </c>
      <c r="Q3074" t="s">
        <v>209</v>
      </c>
    </row>
    <row r="3075" spans="1:17" x14ac:dyDescent="0.3">
      <c r="A3075" t="s">
        <v>6760</v>
      </c>
      <c r="C3075" t="s">
        <v>6761</v>
      </c>
      <c r="D3075" t="s">
        <v>6761</v>
      </c>
      <c r="E3075" s="5">
        <v>46282</v>
      </c>
      <c r="F3075" t="s">
        <v>204</v>
      </c>
      <c r="G3075" t="s">
        <v>213</v>
      </c>
      <c r="H3075">
        <v>7999</v>
      </c>
      <c r="I3075">
        <v>127.98</v>
      </c>
      <c r="J3075">
        <v>23.04</v>
      </c>
      <c r="K3075">
        <v>7847.98</v>
      </c>
      <c r="L3075" s="5">
        <v>46284</v>
      </c>
      <c r="M3075" t="s">
        <v>6722</v>
      </c>
      <c r="N3075" t="s">
        <v>207</v>
      </c>
      <c r="O3075" t="s">
        <v>6761</v>
      </c>
      <c r="P3075" t="s">
        <v>208</v>
      </c>
      <c r="Q3075" t="s">
        <v>209</v>
      </c>
    </row>
    <row r="3076" spans="1:17" x14ac:dyDescent="0.3">
      <c r="A3076" t="s">
        <v>6762</v>
      </c>
      <c r="C3076" t="s">
        <v>6763</v>
      </c>
      <c r="D3076" t="s">
        <v>6763</v>
      </c>
      <c r="E3076" s="5">
        <v>46282</v>
      </c>
      <c r="F3076" t="s">
        <v>204</v>
      </c>
      <c r="G3076" t="s">
        <v>220</v>
      </c>
      <c r="H3076">
        <v>1298</v>
      </c>
      <c r="I3076">
        <v>0</v>
      </c>
      <c r="J3076">
        <v>0</v>
      </c>
      <c r="K3076">
        <v>1298</v>
      </c>
      <c r="L3076" s="5">
        <v>46284</v>
      </c>
      <c r="M3076" t="s">
        <v>6722</v>
      </c>
      <c r="N3076" t="s">
        <v>207</v>
      </c>
      <c r="O3076" t="s">
        <v>6763</v>
      </c>
      <c r="P3076" t="s">
        <v>208</v>
      </c>
      <c r="Q3076" t="s">
        <v>209</v>
      </c>
    </row>
    <row r="3077" spans="1:17" x14ac:dyDescent="0.3">
      <c r="A3077" t="s">
        <v>6764</v>
      </c>
      <c r="C3077" t="s">
        <v>6765</v>
      </c>
      <c r="D3077" t="s">
        <v>6765</v>
      </c>
      <c r="E3077" s="5">
        <v>46282</v>
      </c>
      <c r="F3077" t="s">
        <v>204</v>
      </c>
      <c r="G3077" t="s">
        <v>213</v>
      </c>
      <c r="H3077">
        <v>349</v>
      </c>
      <c r="I3077">
        <v>6.28</v>
      </c>
      <c r="J3077">
        <v>1.1299999999999999</v>
      </c>
      <c r="K3077">
        <v>341.59</v>
      </c>
      <c r="L3077" s="5">
        <v>46284</v>
      </c>
      <c r="M3077" t="s">
        <v>6722</v>
      </c>
      <c r="N3077" t="s">
        <v>207</v>
      </c>
      <c r="O3077" t="s">
        <v>6765</v>
      </c>
      <c r="P3077" t="s">
        <v>208</v>
      </c>
      <c r="Q3077" t="s">
        <v>209</v>
      </c>
    </row>
    <row r="3078" spans="1:17" x14ac:dyDescent="0.3">
      <c r="A3078" t="s">
        <v>6766</v>
      </c>
      <c r="C3078" t="s">
        <v>6767</v>
      </c>
      <c r="D3078" t="s">
        <v>6767</v>
      </c>
      <c r="E3078" s="5">
        <v>46282</v>
      </c>
      <c r="F3078" t="s">
        <v>204</v>
      </c>
      <c r="G3078" t="s">
        <v>213</v>
      </c>
      <c r="H3078">
        <v>6347</v>
      </c>
      <c r="I3078">
        <v>101.55</v>
      </c>
      <c r="J3078">
        <v>18.28</v>
      </c>
      <c r="K3078">
        <v>6227.17</v>
      </c>
      <c r="L3078" s="5">
        <v>46284</v>
      </c>
      <c r="M3078" t="s">
        <v>6722</v>
      </c>
      <c r="N3078" t="s">
        <v>207</v>
      </c>
      <c r="O3078" t="s">
        <v>6767</v>
      </c>
      <c r="P3078" t="s">
        <v>208</v>
      </c>
      <c r="Q3078" t="s">
        <v>209</v>
      </c>
    </row>
    <row r="3079" spans="1:17" x14ac:dyDescent="0.3">
      <c r="A3079" t="s">
        <v>6768</v>
      </c>
      <c r="C3079" t="s">
        <v>6769</v>
      </c>
      <c r="D3079" t="s">
        <v>6769</v>
      </c>
      <c r="E3079" s="5">
        <v>46282</v>
      </c>
      <c r="F3079" t="s">
        <v>204</v>
      </c>
      <c r="G3079" t="s">
        <v>205</v>
      </c>
      <c r="H3079">
        <v>3499</v>
      </c>
      <c r="I3079">
        <v>59.48</v>
      </c>
      <c r="J3079">
        <v>10.71</v>
      </c>
      <c r="K3079">
        <v>3428.81</v>
      </c>
      <c r="L3079" s="5">
        <v>46284</v>
      </c>
      <c r="M3079" t="s">
        <v>6722</v>
      </c>
      <c r="N3079" t="s">
        <v>207</v>
      </c>
      <c r="O3079" t="s">
        <v>6769</v>
      </c>
      <c r="P3079" t="s">
        <v>208</v>
      </c>
      <c r="Q3079" t="s">
        <v>209</v>
      </c>
    </row>
    <row r="3080" spans="1:17" x14ac:dyDescent="0.3">
      <c r="A3080" t="s">
        <v>6770</v>
      </c>
      <c r="C3080" t="s">
        <v>6771</v>
      </c>
      <c r="D3080" t="s">
        <v>6771</v>
      </c>
      <c r="E3080" s="5">
        <v>46282</v>
      </c>
      <c r="F3080" t="s">
        <v>204</v>
      </c>
      <c r="G3080" t="s">
        <v>213</v>
      </c>
      <c r="H3080">
        <v>2649</v>
      </c>
      <c r="I3080">
        <v>42.38</v>
      </c>
      <c r="J3080">
        <v>7.63</v>
      </c>
      <c r="K3080">
        <v>2598.9899999999998</v>
      </c>
      <c r="L3080" s="5">
        <v>46284</v>
      </c>
      <c r="M3080" t="s">
        <v>6722</v>
      </c>
      <c r="N3080" t="s">
        <v>207</v>
      </c>
      <c r="O3080" t="s">
        <v>6771</v>
      </c>
      <c r="P3080" t="s">
        <v>208</v>
      </c>
      <c r="Q3080" t="s">
        <v>209</v>
      </c>
    </row>
    <row r="3081" spans="1:17" x14ac:dyDescent="0.3">
      <c r="A3081" t="s">
        <v>6772</v>
      </c>
      <c r="C3081" t="s">
        <v>6773</v>
      </c>
      <c r="D3081" t="s">
        <v>6773</v>
      </c>
      <c r="E3081" s="5">
        <v>46282</v>
      </c>
      <c r="F3081" t="s">
        <v>204</v>
      </c>
      <c r="G3081" t="s">
        <v>213</v>
      </c>
      <c r="H3081">
        <v>5998</v>
      </c>
      <c r="I3081">
        <v>95.97</v>
      </c>
      <c r="J3081">
        <v>17.27</v>
      </c>
      <c r="K3081">
        <v>5884.76</v>
      </c>
      <c r="L3081" s="5">
        <v>46284</v>
      </c>
      <c r="M3081" t="s">
        <v>6722</v>
      </c>
      <c r="N3081" t="s">
        <v>207</v>
      </c>
      <c r="O3081" t="s">
        <v>6773</v>
      </c>
      <c r="P3081" t="s">
        <v>208</v>
      </c>
      <c r="Q3081" t="s">
        <v>209</v>
      </c>
    </row>
    <row r="3082" spans="1:17" x14ac:dyDescent="0.3">
      <c r="A3082" t="s">
        <v>6774</v>
      </c>
      <c r="C3082" t="s">
        <v>6775</v>
      </c>
      <c r="D3082" t="s">
        <v>6775</v>
      </c>
      <c r="E3082" s="5">
        <v>46282</v>
      </c>
      <c r="F3082" t="s">
        <v>204</v>
      </c>
      <c r="G3082" t="s">
        <v>213</v>
      </c>
      <c r="H3082">
        <v>1299</v>
      </c>
      <c r="I3082">
        <v>23.38</v>
      </c>
      <c r="J3082">
        <v>4.21</v>
      </c>
      <c r="K3082">
        <v>1271.4100000000001</v>
      </c>
      <c r="L3082" s="5">
        <v>46284</v>
      </c>
      <c r="M3082" t="s">
        <v>6722</v>
      </c>
      <c r="N3082" t="s">
        <v>207</v>
      </c>
      <c r="O3082" t="s">
        <v>6775</v>
      </c>
      <c r="P3082" t="s">
        <v>208</v>
      </c>
      <c r="Q3082" t="s">
        <v>209</v>
      </c>
    </row>
    <row r="3083" spans="1:17" x14ac:dyDescent="0.3">
      <c r="A3083" t="s">
        <v>6776</v>
      </c>
      <c r="C3083" t="s">
        <v>6777</v>
      </c>
      <c r="D3083" t="s">
        <v>6777</v>
      </c>
      <c r="E3083" s="5">
        <v>46282</v>
      </c>
      <c r="F3083" t="s">
        <v>204</v>
      </c>
      <c r="G3083" t="s">
        <v>213</v>
      </c>
      <c r="H3083">
        <v>1499</v>
      </c>
      <c r="I3083">
        <v>26.98</v>
      </c>
      <c r="J3083">
        <v>4.8600000000000003</v>
      </c>
      <c r="K3083">
        <v>1467.16</v>
      </c>
      <c r="L3083" s="5">
        <v>46284</v>
      </c>
      <c r="M3083" t="s">
        <v>6722</v>
      </c>
      <c r="N3083" t="s">
        <v>207</v>
      </c>
      <c r="O3083" t="s">
        <v>6777</v>
      </c>
      <c r="P3083" t="s">
        <v>208</v>
      </c>
      <c r="Q3083" t="s">
        <v>209</v>
      </c>
    </row>
    <row r="3084" spans="1:17" x14ac:dyDescent="0.3">
      <c r="A3084" t="s">
        <v>6778</v>
      </c>
      <c r="C3084" t="s">
        <v>6779</v>
      </c>
      <c r="D3084" t="s">
        <v>6779</v>
      </c>
      <c r="E3084" s="5">
        <v>46282</v>
      </c>
      <c r="F3084" t="s">
        <v>204</v>
      </c>
      <c r="G3084" t="s">
        <v>220</v>
      </c>
      <c r="H3084">
        <v>1647</v>
      </c>
      <c r="I3084">
        <v>0</v>
      </c>
      <c r="J3084">
        <v>0</v>
      </c>
      <c r="K3084">
        <v>1647</v>
      </c>
      <c r="L3084" s="5">
        <v>46284</v>
      </c>
      <c r="M3084" t="s">
        <v>6722</v>
      </c>
      <c r="N3084" t="s">
        <v>207</v>
      </c>
      <c r="O3084" t="s">
        <v>6779</v>
      </c>
      <c r="P3084" t="s">
        <v>208</v>
      </c>
      <c r="Q3084" t="s">
        <v>209</v>
      </c>
    </row>
    <row r="3085" spans="1:17" x14ac:dyDescent="0.3">
      <c r="A3085" t="s">
        <v>6780</v>
      </c>
      <c r="C3085" t="s">
        <v>6781</v>
      </c>
      <c r="D3085" t="s">
        <v>6781</v>
      </c>
      <c r="E3085" s="5">
        <v>46282</v>
      </c>
      <c r="F3085" t="s">
        <v>204</v>
      </c>
      <c r="G3085" t="s">
        <v>213</v>
      </c>
      <c r="H3085">
        <v>10797</v>
      </c>
      <c r="I3085">
        <v>172.75</v>
      </c>
      <c r="J3085">
        <v>31.1</v>
      </c>
      <c r="K3085">
        <v>10593.15</v>
      </c>
      <c r="L3085" s="5">
        <v>46284</v>
      </c>
      <c r="M3085" t="s">
        <v>6722</v>
      </c>
      <c r="N3085" t="s">
        <v>207</v>
      </c>
      <c r="O3085" t="s">
        <v>6781</v>
      </c>
      <c r="P3085" t="s">
        <v>208</v>
      </c>
      <c r="Q3085" t="s">
        <v>209</v>
      </c>
    </row>
    <row r="3086" spans="1:17" x14ac:dyDescent="0.3">
      <c r="A3086" t="s">
        <v>6782</v>
      </c>
      <c r="C3086" t="s">
        <v>6783</v>
      </c>
      <c r="D3086" t="s">
        <v>6783</v>
      </c>
      <c r="E3086" s="5">
        <v>46282</v>
      </c>
      <c r="F3086" t="s">
        <v>204</v>
      </c>
      <c r="G3086" t="s">
        <v>205</v>
      </c>
      <c r="H3086">
        <v>7999</v>
      </c>
      <c r="I3086">
        <v>135.97999999999999</v>
      </c>
      <c r="J3086">
        <v>24.48</v>
      </c>
      <c r="K3086">
        <v>7838.54</v>
      </c>
      <c r="L3086" s="5">
        <v>46284</v>
      </c>
      <c r="M3086" t="s">
        <v>6722</v>
      </c>
      <c r="N3086" t="s">
        <v>207</v>
      </c>
      <c r="O3086" t="s">
        <v>6783</v>
      </c>
      <c r="P3086" t="s">
        <v>208</v>
      </c>
      <c r="Q3086" t="s">
        <v>209</v>
      </c>
    </row>
    <row r="3087" spans="1:17" x14ac:dyDescent="0.3">
      <c r="A3087" t="s">
        <v>6784</v>
      </c>
      <c r="C3087" t="s">
        <v>6785</v>
      </c>
      <c r="D3087" t="s">
        <v>6785</v>
      </c>
      <c r="E3087" s="5">
        <v>46282</v>
      </c>
      <c r="F3087" t="s">
        <v>204</v>
      </c>
      <c r="G3087" t="s">
        <v>220</v>
      </c>
      <c r="H3087">
        <v>648</v>
      </c>
      <c r="I3087">
        <v>0</v>
      </c>
      <c r="J3087">
        <v>0</v>
      </c>
      <c r="K3087">
        <v>648</v>
      </c>
      <c r="L3087" s="5">
        <v>46284</v>
      </c>
      <c r="M3087" t="s">
        <v>6722</v>
      </c>
      <c r="N3087" t="s">
        <v>207</v>
      </c>
      <c r="O3087" t="s">
        <v>6785</v>
      </c>
      <c r="P3087" t="s">
        <v>208</v>
      </c>
      <c r="Q3087" t="s">
        <v>209</v>
      </c>
    </row>
    <row r="3088" spans="1:17" x14ac:dyDescent="0.3">
      <c r="A3088" t="s">
        <v>6786</v>
      </c>
      <c r="C3088" t="s">
        <v>6787</v>
      </c>
      <c r="D3088" t="s">
        <v>6787</v>
      </c>
      <c r="E3088" s="5">
        <v>46282</v>
      </c>
      <c r="F3088" t="s">
        <v>204</v>
      </c>
      <c r="G3088" t="s">
        <v>213</v>
      </c>
      <c r="H3088">
        <v>2298</v>
      </c>
      <c r="I3088">
        <v>36.770000000000003</v>
      </c>
      <c r="J3088">
        <v>6.62</v>
      </c>
      <c r="K3088">
        <v>2254.61</v>
      </c>
      <c r="L3088" s="5">
        <v>46284</v>
      </c>
      <c r="M3088" t="s">
        <v>6722</v>
      </c>
      <c r="N3088" t="s">
        <v>207</v>
      </c>
      <c r="O3088" t="s">
        <v>6787</v>
      </c>
      <c r="P3088" t="s">
        <v>208</v>
      </c>
      <c r="Q3088" t="s">
        <v>209</v>
      </c>
    </row>
    <row r="3089" spans="1:17" x14ac:dyDescent="0.3">
      <c r="A3089" t="s">
        <v>6788</v>
      </c>
      <c r="C3089" t="s">
        <v>6789</v>
      </c>
      <c r="D3089" t="s">
        <v>6789</v>
      </c>
      <c r="E3089" s="5">
        <v>46282</v>
      </c>
      <c r="F3089" t="s">
        <v>204</v>
      </c>
      <c r="G3089" t="s">
        <v>220</v>
      </c>
      <c r="H3089">
        <v>2499</v>
      </c>
      <c r="I3089">
        <v>7.5</v>
      </c>
      <c r="J3089">
        <v>1.35</v>
      </c>
      <c r="K3089">
        <v>2490.15</v>
      </c>
      <c r="L3089" s="5">
        <v>46284</v>
      </c>
      <c r="M3089" t="s">
        <v>6722</v>
      </c>
      <c r="N3089" t="s">
        <v>207</v>
      </c>
      <c r="O3089" t="s">
        <v>6789</v>
      </c>
      <c r="P3089" t="s">
        <v>208</v>
      </c>
      <c r="Q3089" t="s">
        <v>209</v>
      </c>
    </row>
    <row r="3090" spans="1:17" x14ac:dyDescent="0.3">
      <c r="A3090" t="s">
        <v>6790</v>
      </c>
      <c r="C3090" t="s">
        <v>6791</v>
      </c>
      <c r="D3090" t="s">
        <v>6791</v>
      </c>
      <c r="E3090" s="5">
        <v>46282</v>
      </c>
      <c r="F3090" t="s">
        <v>204</v>
      </c>
      <c r="G3090" t="s">
        <v>220</v>
      </c>
      <c r="H3090">
        <v>8298</v>
      </c>
      <c r="I3090">
        <v>24.89</v>
      </c>
      <c r="J3090">
        <v>4.4800000000000004</v>
      </c>
      <c r="K3090">
        <v>8268.6299999999992</v>
      </c>
      <c r="L3090" s="5">
        <v>46284</v>
      </c>
      <c r="M3090" t="s">
        <v>6722</v>
      </c>
      <c r="N3090" t="s">
        <v>207</v>
      </c>
      <c r="O3090" t="s">
        <v>6791</v>
      </c>
      <c r="P3090" t="s">
        <v>208</v>
      </c>
      <c r="Q3090" t="s">
        <v>209</v>
      </c>
    </row>
    <row r="3091" spans="1:17" x14ac:dyDescent="0.3">
      <c r="A3091" t="s">
        <v>6792</v>
      </c>
      <c r="C3091" t="s">
        <v>6793</v>
      </c>
      <c r="D3091" t="s">
        <v>6793</v>
      </c>
      <c r="E3091" s="5">
        <v>46282</v>
      </c>
      <c r="F3091" t="s">
        <v>204</v>
      </c>
      <c r="G3091" t="s">
        <v>220</v>
      </c>
      <c r="H3091">
        <v>1998</v>
      </c>
      <c r="I3091">
        <v>0</v>
      </c>
      <c r="J3091">
        <v>0</v>
      </c>
      <c r="K3091">
        <v>1998</v>
      </c>
      <c r="L3091" s="5">
        <v>46284</v>
      </c>
      <c r="M3091" t="s">
        <v>6722</v>
      </c>
      <c r="N3091" t="s">
        <v>207</v>
      </c>
      <c r="O3091" t="s">
        <v>6793</v>
      </c>
      <c r="P3091" t="s">
        <v>208</v>
      </c>
      <c r="Q3091" t="s">
        <v>209</v>
      </c>
    </row>
    <row r="3092" spans="1:17" x14ac:dyDescent="0.3">
      <c r="A3092" t="s">
        <v>6794</v>
      </c>
      <c r="C3092" t="s">
        <v>6795</v>
      </c>
      <c r="D3092" t="s">
        <v>6795</v>
      </c>
      <c r="E3092" s="5">
        <v>46282</v>
      </c>
      <c r="F3092" t="s">
        <v>204</v>
      </c>
      <c r="G3092" t="s">
        <v>205</v>
      </c>
      <c r="H3092">
        <v>499</v>
      </c>
      <c r="I3092">
        <v>9.48</v>
      </c>
      <c r="J3092">
        <v>1.71</v>
      </c>
      <c r="K3092">
        <v>487.81</v>
      </c>
      <c r="L3092" s="5">
        <v>46284</v>
      </c>
      <c r="M3092" t="s">
        <v>6722</v>
      </c>
      <c r="N3092" t="s">
        <v>207</v>
      </c>
      <c r="O3092" t="s">
        <v>6795</v>
      </c>
      <c r="P3092" t="s">
        <v>208</v>
      </c>
      <c r="Q3092" t="s">
        <v>209</v>
      </c>
    </row>
    <row r="3093" spans="1:17" x14ac:dyDescent="0.3">
      <c r="A3093" t="s">
        <v>6796</v>
      </c>
      <c r="C3093" t="s">
        <v>6797</v>
      </c>
      <c r="D3093" t="s">
        <v>6797</v>
      </c>
      <c r="E3093" s="5">
        <v>46282</v>
      </c>
      <c r="F3093" t="s">
        <v>204</v>
      </c>
      <c r="G3093" t="s">
        <v>205</v>
      </c>
      <c r="H3093">
        <v>499</v>
      </c>
      <c r="I3093">
        <v>9.48</v>
      </c>
      <c r="J3093">
        <v>1.71</v>
      </c>
      <c r="K3093">
        <v>487.81</v>
      </c>
      <c r="L3093" s="5">
        <v>46284</v>
      </c>
      <c r="M3093" t="s">
        <v>6722</v>
      </c>
      <c r="N3093" t="s">
        <v>207</v>
      </c>
      <c r="O3093" t="s">
        <v>6797</v>
      </c>
      <c r="P3093" t="s">
        <v>208</v>
      </c>
      <c r="Q3093" t="s">
        <v>209</v>
      </c>
    </row>
    <row r="3094" spans="1:17" x14ac:dyDescent="0.3">
      <c r="A3094" t="s">
        <v>6798</v>
      </c>
      <c r="C3094" t="s">
        <v>6799</v>
      </c>
      <c r="D3094" t="s">
        <v>6799</v>
      </c>
      <c r="E3094" s="5">
        <v>46282</v>
      </c>
      <c r="F3094" t="s">
        <v>204</v>
      </c>
      <c r="G3094" t="s">
        <v>220</v>
      </c>
      <c r="H3094">
        <v>698</v>
      </c>
      <c r="I3094">
        <v>0</v>
      </c>
      <c r="J3094">
        <v>0</v>
      </c>
      <c r="K3094">
        <v>698</v>
      </c>
      <c r="L3094" s="5">
        <v>46284</v>
      </c>
      <c r="M3094" t="s">
        <v>6722</v>
      </c>
      <c r="N3094" t="s">
        <v>207</v>
      </c>
      <c r="O3094" t="s">
        <v>6799</v>
      </c>
      <c r="P3094" t="s">
        <v>208</v>
      </c>
      <c r="Q3094" t="s">
        <v>209</v>
      </c>
    </row>
    <row r="3095" spans="1:17" x14ac:dyDescent="0.3">
      <c r="A3095" t="s">
        <v>6800</v>
      </c>
      <c r="C3095" t="s">
        <v>6801</v>
      </c>
      <c r="D3095" t="s">
        <v>6801</v>
      </c>
      <c r="E3095" s="5">
        <v>46282</v>
      </c>
      <c r="F3095" t="s">
        <v>204</v>
      </c>
      <c r="G3095" t="s">
        <v>255</v>
      </c>
      <c r="H3095">
        <v>7999</v>
      </c>
      <c r="I3095">
        <v>95.99</v>
      </c>
      <c r="J3095">
        <v>17.28</v>
      </c>
      <c r="K3095">
        <v>7885.73</v>
      </c>
      <c r="L3095" s="5">
        <v>46284</v>
      </c>
      <c r="M3095" t="s">
        <v>6722</v>
      </c>
      <c r="N3095" t="s">
        <v>207</v>
      </c>
      <c r="O3095" t="s">
        <v>6801</v>
      </c>
      <c r="P3095" t="s">
        <v>208</v>
      </c>
      <c r="Q3095" t="s">
        <v>209</v>
      </c>
    </row>
    <row r="3096" spans="1:17" x14ac:dyDescent="0.3">
      <c r="A3096" t="s">
        <v>6802</v>
      </c>
      <c r="C3096" t="s">
        <v>6803</v>
      </c>
      <c r="D3096" t="s">
        <v>6803</v>
      </c>
      <c r="E3096" s="5">
        <v>46282</v>
      </c>
      <c r="F3096" t="s">
        <v>204</v>
      </c>
      <c r="G3096" t="s">
        <v>255</v>
      </c>
      <c r="H3096">
        <v>4798</v>
      </c>
      <c r="I3096">
        <v>57.58</v>
      </c>
      <c r="J3096">
        <v>10.36</v>
      </c>
      <c r="K3096">
        <v>4730.0600000000004</v>
      </c>
      <c r="L3096" s="5">
        <v>46284</v>
      </c>
      <c r="M3096" t="s">
        <v>6722</v>
      </c>
      <c r="N3096" t="s">
        <v>207</v>
      </c>
      <c r="O3096" t="s">
        <v>6803</v>
      </c>
      <c r="P3096" t="s">
        <v>208</v>
      </c>
      <c r="Q3096" t="s">
        <v>209</v>
      </c>
    </row>
    <row r="3097" spans="1:17" x14ac:dyDescent="0.3">
      <c r="A3097" t="s">
        <v>6804</v>
      </c>
      <c r="C3097" t="s">
        <v>6805</v>
      </c>
      <c r="D3097" t="s">
        <v>6805</v>
      </c>
      <c r="E3097" s="5">
        <v>46282</v>
      </c>
      <c r="F3097" t="s">
        <v>204</v>
      </c>
      <c r="G3097" t="s">
        <v>213</v>
      </c>
      <c r="H3097">
        <v>4497</v>
      </c>
      <c r="I3097">
        <v>71.95</v>
      </c>
      <c r="J3097">
        <v>12.95</v>
      </c>
      <c r="K3097">
        <v>4412.1000000000004</v>
      </c>
      <c r="L3097" s="5">
        <v>46284</v>
      </c>
      <c r="M3097" t="s">
        <v>6722</v>
      </c>
      <c r="N3097" t="s">
        <v>207</v>
      </c>
      <c r="O3097" t="s">
        <v>6805</v>
      </c>
      <c r="P3097" t="s">
        <v>208</v>
      </c>
      <c r="Q3097" t="s">
        <v>209</v>
      </c>
    </row>
    <row r="3098" spans="1:17" x14ac:dyDescent="0.3">
      <c r="A3098" t="s">
        <v>6806</v>
      </c>
      <c r="C3098" t="s">
        <v>6807</v>
      </c>
      <c r="D3098" t="s">
        <v>6807</v>
      </c>
      <c r="E3098" s="5">
        <v>46282</v>
      </c>
      <c r="F3098" t="s">
        <v>204</v>
      </c>
      <c r="G3098" t="s">
        <v>220</v>
      </c>
      <c r="H3098">
        <v>1498</v>
      </c>
      <c r="I3098">
        <v>0</v>
      </c>
      <c r="J3098">
        <v>0</v>
      </c>
      <c r="K3098">
        <v>1498</v>
      </c>
      <c r="L3098" s="5">
        <v>46284</v>
      </c>
      <c r="M3098" t="s">
        <v>6722</v>
      </c>
      <c r="N3098" t="s">
        <v>207</v>
      </c>
      <c r="O3098" t="s">
        <v>6807</v>
      </c>
      <c r="P3098" t="s">
        <v>208</v>
      </c>
      <c r="Q3098" t="s">
        <v>209</v>
      </c>
    </row>
    <row r="3099" spans="1:17" x14ac:dyDescent="0.3">
      <c r="A3099" t="s">
        <v>6808</v>
      </c>
      <c r="C3099" t="s">
        <v>6809</v>
      </c>
      <c r="D3099" t="s">
        <v>6809</v>
      </c>
      <c r="E3099" s="5">
        <v>46282</v>
      </c>
      <c r="F3099" t="s">
        <v>204</v>
      </c>
      <c r="G3099" t="s">
        <v>220</v>
      </c>
      <c r="H3099">
        <v>1798</v>
      </c>
      <c r="I3099">
        <v>0</v>
      </c>
      <c r="J3099">
        <v>0</v>
      </c>
      <c r="K3099">
        <v>1798</v>
      </c>
      <c r="L3099" s="5">
        <v>46284</v>
      </c>
      <c r="M3099" t="s">
        <v>6722</v>
      </c>
      <c r="N3099" t="s">
        <v>207</v>
      </c>
      <c r="O3099" t="s">
        <v>6809</v>
      </c>
      <c r="P3099" t="s">
        <v>208</v>
      </c>
      <c r="Q3099" t="s">
        <v>209</v>
      </c>
    </row>
    <row r="3100" spans="1:17" x14ac:dyDescent="0.3">
      <c r="A3100" t="s">
        <v>6810</v>
      </c>
      <c r="C3100" t="s">
        <v>6811</v>
      </c>
      <c r="D3100" t="s">
        <v>6811</v>
      </c>
      <c r="E3100" s="5">
        <v>46282</v>
      </c>
      <c r="F3100" t="s">
        <v>204</v>
      </c>
      <c r="G3100" t="s">
        <v>213</v>
      </c>
      <c r="H3100">
        <v>4997</v>
      </c>
      <c r="I3100">
        <v>79.95</v>
      </c>
      <c r="J3100">
        <v>14.39</v>
      </c>
      <c r="K3100">
        <v>4902.66</v>
      </c>
      <c r="L3100" s="5">
        <v>46284</v>
      </c>
      <c r="M3100" t="s">
        <v>6722</v>
      </c>
      <c r="N3100" t="s">
        <v>207</v>
      </c>
      <c r="O3100" t="s">
        <v>6811</v>
      </c>
      <c r="P3100" t="s">
        <v>208</v>
      </c>
      <c r="Q3100" t="s">
        <v>209</v>
      </c>
    </row>
    <row r="3101" spans="1:17" x14ac:dyDescent="0.3">
      <c r="A3101" t="s">
        <v>6812</v>
      </c>
      <c r="C3101" t="s">
        <v>6813</v>
      </c>
      <c r="D3101" t="s">
        <v>6813</v>
      </c>
      <c r="E3101" s="5">
        <v>46282</v>
      </c>
      <c r="F3101" t="s">
        <v>204</v>
      </c>
      <c r="G3101" t="s">
        <v>255</v>
      </c>
      <c r="H3101">
        <v>1499</v>
      </c>
      <c r="I3101">
        <v>22.49</v>
      </c>
      <c r="J3101">
        <v>4.05</v>
      </c>
      <c r="K3101">
        <v>1472.46</v>
      </c>
      <c r="L3101" s="5">
        <v>46284</v>
      </c>
      <c r="M3101" t="s">
        <v>6722</v>
      </c>
      <c r="N3101" t="s">
        <v>207</v>
      </c>
      <c r="O3101" t="s">
        <v>6813</v>
      </c>
      <c r="P3101" t="s">
        <v>208</v>
      </c>
      <c r="Q3101" t="s">
        <v>209</v>
      </c>
    </row>
    <row r="3102" spans="1:17" x14ac:dyDescent="0.3">
      <c r="A3102" t="s">
        <v>6814</v>
      </c>
      <c r="C3102" t="s">
        <v>6815</v>
      </c>
      <c r="D3102" t="s">
        <v>6815</v>
      </c>
      <c r="E3102" s="5">
        <v>46282</v>
      </c>
      <c r="F3102" t="s">
        <v>204</v>
      </c>
      <c r="G3102" t="s">
        <v>220</v>
      </c>
      <c r="H3102">
        <v>4297</v>
      </c>
      <c r="I3102">
        <v>12.89</v>
      </c>
      <c r="J3102">
        <v>2.3199999999999998</v>
      </c>
      <c r="K3102">
        <v>4281.79</v>
      </c>
      <c r="L3102" s="5">
        <v>46284</v>
      </c>
      <c r="M3102" t="s">
        <v>6722</v>
      </c>
      <c r="N3102" t="s">
        <v>207</v>
      </c>
      <c r="O3102" t="s">
        <v>6815</v>
      </c>
      <c r="P3102" t="s">
        <v>208</v>
      </c>
      <c r="Q3102" t="s">
        <v>209</v>
      </c>
    </row>
    <row r="3103" spans="1:17" x14ac:dyDescent="0.3">
      <c r="A3103" t="s">
        <v>6816</v>
      </c>
      <c r="C3103" t="s">
        <v>6817</v>
      </c>
      <c r="D3103" t="s">
        <v>6817</v>
      </c>
      <c r="E3103" s="5">
        <v>46282</v>
      </c>
      <c r="F3103" t="s">
        <v>204</v>
      </c>
      <c r="G3103" t="s">
        <v>220</v>
      </c>
      <c r="H3103">
        <v>349</v>
      </c>
      <c r="I3103">
        <v>0</v>
      </c>
      <c r="J3103">
        <v>0</v>
      </c>
      <c r="K3103">
        <v>349</v>
      </c>
      <c r="L3103" s="5">
        <v>46284</v>
      </c>
      <c r="M3103" t="s">
        <v>6722</v>
      </c>
      <c r="N3103" t="s">
        <v>207</v>
      </c>
      <c r="O3103" t="s">
        <v>6817</v>
      </c>
      <c r="P3103" t="s">
        <v>208</v>
      </c>
      <c r="Q3103" t="s">
        <v>209</v>
      </c>
    </row>
    <row r="3104" spans="1:17" x14ac:dyDescent="0.3">
      <c r="A3104" t="s">
        <v>6818</v>
      </c>
      <c r="C3104" t="s">
        <v>6819</v>
      </c>
      <c r="D3104" t="s">
        <v>6819</v>
      </c>
      <c r="E3104" s="5">
        <v>46282</v>
      </c>
      <c r="F3104" t="s">
        <v>204</v>
      </c>
      <c r="G3104" t="s">
        <v>205</v>
      </c>
      <c r="H3104">
        <v>3947</v>
      </c>
      <c r="I3104">
        <v>67.099999999999994</v>
      </c>
      <c r="J3104">
        <v>12.08</v>
      </c>
      <c r="K3104">
        <v>3867.82</v>
      </c>
      <c r="L3104" s="5">
        <v>46284</v>
      </c>
      <c r="M3104" t="s">
        <v>6722</v>
      </c>
      <c r="N3104" t="s">
        <v>207</v>
      </c>
      <c r="O3104" t="s">
        <v>6819</v>
      </c>
      <c r="P3104" t="s">
        <v>208</v>
      </c>
      <c r="Q3104" t="s">
        <v>209</v>
      </c>
    </row>
    <row r="3105" spans="1:17" x14ac:dyDescent="0.3">
      <c r="A3105" t="s">
        <v>6820</v>
      </c>
      <c r="C3105" t="s">
        <v>6821</v>
      </c>
      <c r="D3105" t="s">
        <v>6821</v>
      </c>
      <c r="E3105" s="5">
        <v>46282</v>
      </c>
      <c r="F3105" t="s">
        <v>204</v>
      </c>
      <c r="G3105" t="s">
        <v>220</v>
      </c>
      <c r="H3105">
        <v>4999</v>
      </c>
      <c r="I3105">
        <v>15</v>
      </c>
      <c r="J3105">
        <v>2.7</v>
      </c>
      <c r="K3105">
        <v>4981.3</v>
      </c>
      <c r="L3105" s="5">
        <v>46284</v>
      </c>
      <c r="M3105" t="s">
        <v>6722</v>
      </c>
      <c r="N3105" t="s">
        <v>207</v>
      </c>
      <c r="O3105" t="s">
        <v>6821</v>
      </c>
      <c r="P3105" t="s">
        <v>208</v>
      </c>
      <c r="Q3105" t="s">
        <v>209</v>
      </c>
    </row>
    <row r="3106" spans="1:17" x14ac:dyDescent="0.3">
      <c r="A3106" t="s">
        <v>6822</v>
      </c>
      <c r="C3106" t="s">
        <v>6823</v>
      </c>
      <c r="D3106" t="s">
        <v>6823</v>
      </c>
      <c r="E3106" s="5">
        <v>46282</v>
      </c>
      <c r="F3106" t="s">
        <v>204</v>
      </c>
      <c r="G3106" t="s">
        <v>220</v>
      </c>
      <c r="H3106">
        <v>3348</v>
      </c>
      <c r="I3106">
        <v>10.039999999999999</v>
      </c>
      <c r="J3106">
        <v>1.81</v>
      </c>
      <c r="K3106">
        <v>3336.15</v>
      </c>
      <c r="L3106" s="5">
        <v>46284</v>
      </c>
      <c r="M3106" t="s">
        <v>6722</v>
      </c>
      <c r="N3106" t="s">
        <v>207</v>
      </c>
      <c r="O3106" t="s">
        <v>6823</v>
      </c>
      <c r="P3106" t="s">
        <v>208</v>
      </c>
      <c r="Q3106" t="s">
        <v>209</v>
      </c>
    </row>
    <row r="3107" spans="1:17" x14ac:dyDescent="0.3">
      <c r="A3107" t="s">
        <v>6824</v>
      </c>
      <c r="C3107" t="s">
        <v>6825</v>
      </c>
      <c r="D3107" t="s">
        <v>6825</v>
      </c>
      <c r="E3107" s="5">
        <v>46282</v>
      </c>
      <c r="F3107" t="s">
        <v>204</v>
      </c>
      <c r="G3107" t="s">
        <v>205</v>
      </c>
      <c r="H3107">
        <v>7497</v>
      </c>
      <c r="I3107">
        <v>179.93</v>
      </c>
      <c r="J3107">
        <v>32.39</v>
      </c>
      <c r="K3107">
        <v>7284.68</v>
      </c>
      <c r="L3107" s="5">
        <v>46284</v>
      </c>
      <c r="M3107" t="s">
        <v>6722</v>
      </c>
      <c r="N3107" t="s">
        <v>207</v>
      </c>
      <c r="O3107" t="s">
        <v>6825</v>
      </c>
      <c r="P3107" t="s">
        <v>208</v>
      </c>
      <c r="Q3107" t="s">
        <v>209</v>
      </c>
    </row>
    <row r="3108" spans="1:17" x14ac:dyDescent="0.3">
      <c r="A3108" t="s">
        <v>6826</v>
      </c>
      <c r="C3108" t="s">
        <v>6827</v>
      </c>
      <c r="D3108" t="s">
        <v>6827</v>
      </c>
      <c r="E3108" s="5">
        <v>46282</v>
      </c>
      <c r="F3108" t="s">
        <v>204</v>
      </c>
      <c r="G3108" t="s">
        <v>213</v>
      </c>
      <c r="H3108">
        <v>599</v>
      </c>
      <c r="I3108">
        <v>10.78</v>
      </c>
      <c r="J3108">
        <v>1.94</v>
      </c>
      <c r="K3108">
        <v>586.28</v>
      </c>
      <c r="L3108" s="5">
        <v>46284</v>
      </c>
      <c r="M3108" t="s">
        <v>6722</v>
      </c>
      <c r="N3108" t="s">
        <v>207</v>
      </c>
      <c r="O3108" t="s">
        <v>6827</v>
      </c>
      <c r="P3108" t="s">
        <v>208</v>
      </c>
      <c r="Q3108" t="s">
        <v>209</v>
      </c>
    </row>
    <row r="3109" spans="1:17" x14ac:dyDescent="0.3">
      <c r="A3109" t="s">
        <v>6828</v>
      </c>
      <c r="C3109" t="s">
        <v>6829</v>
      </c>
      <c r="D3109" t="s">
        <v>6830</v>
      </c>
      <c r="E3109" s="5">
        <v>46282</v>
      </c>
      <c r="F3109" t="s">
        <v>204</v>
      </c>
      <c r="G3109" t="s">
        <v>220</v>
      </c>
      <c r="H3109">
        <v>2499</v>
      </c>
      <c r="I3109">
        <v>7.5</v>
      </c>
      <c r="J3109">
        <v>1.35</v>
      </c>
      <c r="K3109">
        <v>2490.15</v>
      </c>
      <c r="L3109" s="5">
        <v>46284</v>
      </c>
      <c r="M3109" t="s">
        <v>6722</v>
      </c>
      <c r="N3109" t="s">
        <v>207</v>
      </c>
      <c r="O3109" t="s">
        <v>6830</v>
      </c>
      <c r="P3109" t="s">
        <v>208</v>
      </c>
      <c r="Q3109" t="s">
        <v>209</v>
      </c>
    </row>
    <row r="3110" spans="1:17" x14ac:dyDescent="0.3">
      <c r="A3110" t="s">
        <v>6831</v>
      </c>
      <c r="C3110" t="s">
        <v>6832</v>
      </c>
      <c r="D3110" t="s">
        <v>6833</v>
      </c>
      <c r="E3110" s="5">
        <v>46282</v>
      </c>
      <c r="F3110" t="s">
        <v>204</v>
      </c>
      <c r="G3110" t="s">
        <v>220</v>
      </c>
      <c r="H3110">
        <v>5897</v>
      </c>
      <c r="I3110">
        <v>17.690000000000001</v>
      </c>
      <c r="J3110">
        <v>3.18</v>
      </c>
      <c r="K3110">
        <v>5876.13</v>
      </c>
      <c r="L3110" s="5">
        <v>46284</v>
      </c>
      <c r="M3110" t="s">
        <v>6722</v>
      </c>
      <c r="N3110" t="s">
        <v>207</v>
      </c>
      <c r="O3110" t="s">
        <v>6833</v>
      </c>
      <c r="P3110" t="s">
        <v>208</v>
      </c>
      <c r="Q3110" t="s">
        <v>209</v>
      </c>
    </row>
    <row r="3111" spans="1:17" x14ac:dyDescent="0.3">
      <c r="A3111" t="s">
        <v>6834</v>
      </c>
      <c r="C3111" t="s">
        <v>6835</v>
      </c>
      <c r="D3111" t="s">
        <v>6835</v>
      </c>
      <c r="E3111" s="5">
        <v>46282</v>
      </c>
      <c r="F3111" t="s">
        <v>204</v>
      </c>
      <c r="G3111" t="s">
        <v>220</v>
      </c>
      <c r="H3111">
        <v>6097</v>
      </c>
      <c r="I3111">
        <v>18.29</v>
      </c>
      <c r="J3111">
        <v>3.29</v>
      </c>
      <c r="K3111">
        <v>6075.42</v>
      </c>
      <c r="L3111" s="5">
        <v>46284</v>
      </c>
      <c r="M3111" t="s">
        <v>6722</v>
      </c>
      <c r="N3111" t="s">
        <v>207</v>
      </c>
      <c r="O3111" t="s">
        <v>6835</v>
      </c>
      <c r="P3111" t="s">
        <v>208</v>
      </c>
      <c r="Q3111" t="s">
        <v>209</v>
      </c>
    </row>
    <row r="3112" spans="1:17" x14ac:dyDescent="0.3">
      <c r="A3112" t="s">
        <v>6836</v>
      </c>
      <c r="C3112" t="s">
        <v>6837</v>
      </c>
      <c r="D3112" t="s">
        <v>6837</v>
      </c>
      <c r="E3112" s="5">
        <v>46282</v>
      </c>
      <c r="F3112" t="s">
        <v>204</v>
      </c>
      <c r="G3112" t="s">
        <v>213</v>
      </c>
      <c r="H3112">
        <v>1798</v>
      </c>
      <c r="I3112">
        <v>32.36</v>
      </c>
      <c r="J3112">
        <v>5.82</v>
      </c>
      <c r="K3112">
        <v>1759.82</v>
      </c>
      <c r="L3112" s="5">
        <v>46284</v>
      </c>
      <c r="M3112" t="s">
        <v>6722</v>
      </c>
      <c r="N3112" t="s">
        <v>207</v>
      </c>
      <c r="O3112" t="s">
        <v>6837</v>
      </c>
      <c r="P3112" t="s">
        <v>208</v>
      </c>
      <c r="Q3112" t="s">
        <v>209</v>
      </c>
    </row>
    <row r="3113" spans="1:17" x14ac:dyDescent="0.3">
      <c r="A3113" t="s">
        <v>6838</v>
      </c>
      <c r="C3113" t="s">
        <v>6839</v>
      </c>
      <c r="D3113" t="s">
        <v>6839</v>
      </c>
      <c r="E3113" s="5">
        <v>46282</v>
      </c>
      <c r="F3113" t="s">
        <v>204</v>
      </c>
      <c r="G3113" t="s">
        <v>213</v>
      </c>
      <c r="H3113">
        <v>799</v>
      </c>
      <c r="I3113">
        <v>14.38</v>
      </c>
      <c r="J3113">
        <v>2.59</v>
      </c>
      <c r="K3113">
        <v>782.03</v>
      </c>
      <c r="L3113" s="5">
        <v>46284</v>
      </c>
      <c r="M3113" t="s">
        <v>6722</v>
      </c>
      <c r="N3113" t="s">
        <v>207</v>
      </c>
      <c r="O3113" t="s">
        <v>6839</v>
      </c>
      <c r="P3113" t="s">
        <v>208</v>
      </c>
      <c r="Q3113" t="s">
        <v>209</v>
      </c>
    </row>
    <row r="3114" spans="1:17" x14ac:dyDescent="0.3">
      <c r="A3114" t="s">
        <v>6840</v>
      </c>
      <c r="C3114" t="s">
        <v>6841</v>
      </c>
      <c r="D3114" t="s">
        <v>6842</v>
      </c>
      <c r="E3114" s="5">
        <v>46282</v>
      </c>
      <c r="F3114" t="s">
        <v>204</v>
      </c>
      <c r="G3114" t="s">
        <v>220</v>
      </c>
      <c r="H3114">
        <v>3098</v>
      </c>
      <c r="I3114">
        <v>9.2899999999999991</v>
      </c>
      <c r="J3114">
        <v>1.67</v>
      </c>
      <c r="K3114">
        <v>3087.04</v>
      </c>
      <c r="L3114" s="5">
        <v>46284</v>
      </c>
      <c r="M3114" t="s">
        <v>6722</v>
      </c>
      <c r="N3114" t="s">
        <v>207</v>
      </c>
      <c r="O3114" t="s">
        <v>6842</v>
      </c>
      <c r="P3114" t="s">
        <v>208</v>
      </c>
      <c r="Q3114" t="s">
        <v>209</v>
      </c>
    </row>
    <row r="3115" spans="1:17" x14ac:dyDescent="0.3">
      <c r="A3115" t="s">
        <v>6843</v>
      </c>
      <c r="C3115" t="s">
        <v>6844</v>
      </c>
      <c r="D3115" t="s">
        <v>6845</v>
      </c>
      <c r="E3115" s="5">
        <v>46282</v>
      </c>
      <c r="F3115" t="s">
        <v>204</v>
      </c>
      <c r="G3115" t="s">
        <v>220</v>
      </c>
      <c r="H3115">
        <v>6498</v>
      </c>
      <c r="I3115">
        <v>19.489999999999998</v>
      </c>
      <c r="J3115">
        <v>3.51</v>
      </c>
      <c r="K3115">
        <v>6475</v>
      </c>
      <c r="L3115" s="5">
        <v>46284</v>
      </c>
      <c r="M3115" t="s">
        <v>6722</v>
      </c>
      <c r="N3115" t="s">
        <v>207</v>
      </c>
      <c r="O3115" t="s">
        <v>6845</v>
      </c>
      <c r="P3115" t="s">
        <v>208</v>
      </c>
      <c r="Q3115" t="s">
        <v>209</v>
      </c>
    </row>
    <row r="3116" spans="1:17" x14ac:dyDescent="0.3">
      <c r="A3116" t="s">
        <v>6846</v>
      </c>
      <c r="C3116" t="s">
        <v>6847</v>
      </c>
      <c r="D3116" t="s">
        <v>6847</v>
      </c>
      <c r="E3116" s="5">
        <v>46282</v>
      </c>
      <c r="F3116" t="s">
        <v>204</v>
      </c>
      <c r="G3116" t="s">
        <v>220</v>
      </c>
      <c r="H3116">
        <v>9797</v>
      </c>
      <c r="I3116">
        <v>29.39</v>
      </c>
      <c r="J3116">
        <v>5.29</v>
      </c>
      <c r="K3116">
        <v>9762.32</v>
      </c>
      <c r="L3116" s="5">
        <v>46284</v>
      </c>
      <c r="M3116" t="s">
        <v>6722</v>
      </c>
      <c r="N3116" t="s">
        <v>207</v>
      </c>
      <c r="O3116" t="s">
        <v>6847</v>
      </c>
      <c r="P3116" t="s">
        <v>208</v>
      </c>
      <c r="Q3116" t="s">
        <v>209</v>
      </c>
    </row>
    <row r="3117" spans="1:17" x14ac:dyDescent="0.3">
      <c r="A3117" t="s">
        <v>6848</v>
      </c>
      <c r="C3117" t="s">
        <v>6849</v>
      </c>
      <c r="D3117" t="s">
        <v>6849</v>
      </c>
      <c r="E3117" s="5">
        <v>46282</v>
      </c>
      <c r="F3117" t="s">
        <v>204</v>
      </c>
      <c r="G3117" t="s">
        <v>213</v>
      </c>
      <c r="H3117">
        <v>2499</v>
      </c>
      <c r="I3117">
        <v>39.979999999999997</v>
      </c>
      <c r="J3117">
        <v>7.2</v>
      </c>
      <c r="K3117">
        <v>2451.8200000000002</v>
      </c>
      <c r="L3117" s="5">
        <v>46284</v>
      </c>
      <c r="M3117" t="s">
        <v>6722</v>
      </c>
      <c r="N3117" t="s">
        <v>207</v>
      </c>
      <c r="O3117" t="s">
        <v>6849</v>
      </c>
      <c r="P3117" t="s">
        <v>208</v>
      </c>
      <c r="Q3117" t="s">
        <v>209</v>
      </c>
    </row>
    <row r="3118" spans="1:17" x14ac:dyDescent="0.3">
      <c r="A3118" t="s">
        <v>6850</v>
      </c>
      <c r="C3118" t="s">
        <v>6851</v>
      </c>
      <c r="D3118" t="s">
        <v>6851</v>
      </c>
      <c r="E3118" s="5">
        <v>46282</v>
      </c>
      <c r="F3118" t="s">
        <v>204</v>
      </c>
      <c r="G3118" t="s">
        <v>213</v>
      </c>
      <c r="H3118">
        <v>4997</v>
      </c>
      <c r="I3118">
        <v>79.95</v>
      </c>
      <c r="J3118">
        <v>14.39</v>
      </c>
      <c r="K3118">
        <v>4902.66</v>
      </c>
      <c r="L3118" s="5">
        <v>46284</v>
      </c>
      <c r="M3118" t="s">
        <v>6722</v>
      </c>
      <c r="N3118" t="s">
        <v>207</v>
      </c>
      <c r="O3118" t="s">
        <v>6851</v>
      </c>
      <c r="P3118" t="s">
        <v>208</v>
      </c>
      <c r="Q3118" t="s">
        <v>209</v>
      </c>
    </row>
    <row r="3119" spans="1:17" x14ac:dyDescent="0.3">
      <c r="A3119" t="s">
        <v>6852</v>
      </c>
      <c r="C3119" t="s">
        <v>6853</v>
      </c>
      <c r="D3119" t="s">
        <v>6853</v>
      </c>
      <c r="E3119" s="5">
        <v>46282</v>
      </c>
      <c r="F3119" t="s">
        <v>204</v>
      </c>
      <c r="G3119" t="s">
        <v>220</v>
      </c>
      <c r="H3119">
        <v>11498</v>
      </c>
      <c r="I3119">
        <v>34.49</v>
      </c>
      <c r="J3119">
        <v>6.21</v>
      </c>
      <c r="K3119">
        <v>11457.3</v>
      </c>
      <c r="L3119" s="5">
        <v>46284</v>
      </c>
      <c r="M3119" t="s">
        <v>6722</v>
      </c>
      <c r="N3119" t="s">
        <v>207</v>
      </c>
      <c r="O3119" t="s">
        <v>6853</v>
      </c>
      <c r="P3119" t="s">
        <v>208</v>
      </c>
      <c r="Q3119" t="s">
        <v>209</v>
      </c>
    </row>
    <row r="3120" spans="1:17" x14ac:dyDescent="0.3">
      <c r="A3120" t="s">
        <v>6854</v>
      </c>
      <c r="C3120" t="s">
        <v>6855</v>
      </c>
      <c r="D3120" t="s">
        <v>6855</v>
      </c>
      <c r="E3120" s="5">
        <v>46282</v>
      </c>
      <c r="F3120" t="s">
        <v>204</v>
      </c>
      <c r="G3120" t="s">
        <v>213</v>
      </c>
      <c r="H3120">
        <v>12998</v>
      </c>
      <c r="I3120">
        <v>207.97</v>
      </c>
      <c r="J3120">
        <v>37.43</v>
      </c>
      <c r="K3120">
        <v>12752.6</v>
      </c>
      <c r="L3120" s="5">
        <v>46284</v>
      </c>
      <c r="M3120" t="s">
        <v>6722</v>
      </c>
      <c r="N3120" t="s">
        <v>207</v>
      </c>
      <c r="O3120" t="s">
        <v>6855</v>
      </c>
      <c r="P3120" t="s">
        <v>208</v>
      </c>
      <c r="Q3120" t="s">
        <v>209</v>
      </c>
    </row>
    <row r="3121" spans="1:17" x14ac:dyDescent="0.3">
      <c r="A3121" t="s">
        <v>6856</v>
      </c>
      <c r="C3121" t="s">
        <v>6857</v>
      </c>
      <c r="D3121" t="s">
        <v>6857</v>
      </c>
      <c r="E3121" s="5">
        <v>46282</v>
      </c>
      <c r="F3121" t="s">
        <v>204</v>
      </c>
      <c r="G3121" t="s">
        <v>220</v>
      </c>
      <c r="H3121">
        <v>1299</v>
      </c>
      <c r="I3121">
        <v>0</v>
      </c>
      <c r="J3121">
        <v>0</v>
      </c>
      <c r="K3121">
        <v>1299</v>
      </c>
      <c r="L3121" s="5">
        <v>46284</v>
      </c>
      <c r="M3121" t="s">
        <v>6722</v>
      </c>
      <c r="N3121" t="s">
        <v>207</v>
      </c>
      <c r="O3121" t="s">
        <v>6857</v>
      </c>
      <c r="P3121" t="s">
        <v>208</v>
      </c>
      <c r="Q3121" t="s">
        <v>209</v>
      </c>
    </row>
    <row r="3122" spans="1:17" x14ac:dyDescent="0.3">
      <c r="A3122" t="s">
        <v>6858</v>
      </c>
      <c r="C3122" t="s">
        <v>6859</v>
      </c>
      <c r="D3122" t="s">
        <v>6859</v>
      </c>
      <c r="E3122" s="5">
        <v>46282</v>
      </c>
      <c r="F3122" t="s">
        <v>204</v>
      </c>
      <c r="G3122" t="s">
        <v>220</v>
      </c>
      <c r="H3122">
        <v>799</v>
      </c>
      <c r="I3122">
        <v>0</v>
      </c>
      <c r="J3122">
        <v>0</v>
      </c>
      <c r="K3122">
        <v>799</v>
      </c>
      <c r="L3122" s="5">
        <v>46284</v>
      </c>
      <c r="M3122" t="s">
        <v>6722</v>
      </c>
      <c r="N3122" t="s">
        <v>207</v>
      </c>
      <c r="O3122" t="s">
        <v>6859</v>
      </c>
      <c r="P3122" t="s">
        <v>208</v>
      </c>
      <c r="Q3122" t="s">
        <v>209</v>
      </c>
    </row>
    <row r="3123" spans="1:17" x14ac:dyDescent="0.3">
      <c r="A3123" t="s">
        <v>6860</v>
      </c>
      <c r="C3123" t="s">
        <v>6861</v>
      </c>
      <c r="D3123" t="s">
        <v>6861</v>
      </c>
      <c r="E3123" s="5">
        <v>46282</v>
      </c>
      <c r="F3123" t="s">
        <v>204</v>
      </c>
      <c r="G3123" t="s">
        <v>220</v>
      </c>
      <c r="H3123">
        <v>299</v>
      </c>
      <c r="I3123">
        <v>0</v>
      </c>
      <c r="J3123">
        <v>0</v>
      </c>
      <c r="K3123">
        <v>299</v>
      </c>
      <c r="L3123" s="5">
        <v>46284</v>
      </c>
      <c r="M3123" t="s">
        <v>6722</v>
      </c>
      <c r="N3123" t="s">
        <v>207</v>
      </c>
      <c r="O3123" t="s">
        <v>6861</v>
      </c>
      <c r="P3123" t="s">
        <v>208</v>
      </c>
      <c r="Q3123" t="s">
        <v>209</v>
      </c>
    </row>
    <row r="3124" spans="1:17" x14ac:dyDescent="0.3">
      <c r="A3124" t="s">
        <v>6862</v>
      </c>
      <c r="C3124" t="s">
        <v>6863</v>
      </c>
      <c r="D3124" t="s">
        <v>6863</v>
      </c>
      <c r="E3124" s="5">
        <v>46282</v>
      </c>
      <c r="F3124" t="s">
        <v>204</v>
      </c>
      <c r="G3124" t="s">
        <v>255</v>
      </c>
      <c r="H3124">
        <v>2999</v>
      </c>
      <c r="I3124">
        <v>35.99</v>
      </c>
      <c r="J3124">
        <v>6.48</v>
      </c>
      <c r="K3124">
        <v>2956.53</v>
      </c>
      <c r="L3124" s="5">
        <v>46284</v>
      </c>
      <c r="M3124" t="s">
        <v>6722</v>
      </c>
      <c r="N3124" t="s">
        <v>207</v>
      </c>
      <c r="O3124" t="s">
        <v>6863</v>
      </c>
      <c r="P3124" t="s">
        <v>208</v>
      </c>
      <c r="Q3124" t="s">
        <v>209</v>
      </c>
    </row>
    <row r="3125" spans="1:17" x14ac:dyDescent="0.3">
      <c r="A3125" t="s">
        <v>6864</v>
      </c>
      <c r="C3125" t="s">
        <v>6865</v>
      </c>
      <c r="D3125" t="s">
        <v>6865</v>
      </c>
      <c r="E3125" s="5">
        <v>46282</v>
      </c>
      <c r="F3125" t="s">
        <v>204</v>
      </c>
      <c r="G3125" t="s">
        <v>220</v>
      </c>
      <c r="H3125">
        <v>999</v>
      </c>
      <c r="I3125">
        <v>0</v>
      </c>
      <c r="J3125">
        <v>0</v>
      </c>
      <c r="K3125">
        <v>999</v>
      </c>
      <c r="L3125" s="5">
        <v>46284</v>
      </c>
      <c r="M3125" t="s">
        <v>6722</v>
      </c>
      <c r="N3125" t="s">
        <v>207</v>
      </c>
      <c r="O3125" t="s">
        <v>6865</v>
      </c>
      <c r="P3125" t="s">
        <v>208</v>
      </c>
      <c r="Q3125" t="s">
        <v>209</v>
      </c>
    </row>
    <row r="3126" spans="1:17" x14ac:dyDescent="0.3">
      <c r="A3126" t="s">
        <v>6866</v>
      </c>
      <c r="C3126" t="s">
        <v>6867</v>
      </c>
      <c r="D3126" t="s">
        <v>6867</v>
      </c>
      <c r="E3126" s="5">
        <v>46282</v>
      </c>
      <c r="F3126" t="s">
        <v>204</v>
      </c>
      <c r="G3126" t="s">
        <v>220</v>
      </c>
      <c r="H3126">
        <v>8797</v>
      </c>
      <c r="I3126">
        <v>26.39</v>
      </c>
      <c r="J3126">
        <v>4.75</v>
      </c>
      <c r="K3126">
        <v>8765.86</v>
      </c>
      <c r="L3126" s="5">
        <v>46284</v>
      </c>
      <c r="M3126" t="s">
        <v>6722</v>
      </c>
      <c r="N3126" t="s">
        <v>207</v>
      </c>
      <c r="O3126" t="s">
        <v>6867</v>
      </c>
      <c r="P3126" t="s">
        <v>208</v>
      </c>
      <c r="Q3126" t="s">
        <v>209</v>
      </c>
    </row>
    <row r="3127" spans="1:17" x14ac:dyDescent="0.3">
      <c r="A3127" t="s">
        <v>6868</v>
      </c>
      <c r="C3127" t="s">
        <v>6869</v>
      </c>
      <c r="D3127" t="s">
        <v>6869</v>
      </c>
      <c r="E3127" s="5">
        <v>46282</v>
      </c>
      <c r="F3127" t="s">
        <v>204</v>
      </c>
      <c r="G3127" t="s">
        <v>213</v>
      </c>
      <c r="H3127">
        <v>1799</v>
      </c>
      <c r="I3127">
        <v>32.380000000000003</v>
      </c>
      <c r="J3127">
        <v>5.83</v>
      </c>
      <c r="K3127">
        <v>1760.79</v>
      </c>
      <c r="L3127" s="5">
        <v>46284</v>
      </c>
      <c r="M3127" t="s">
        <v>6722</v>
      </c>
      <c r="N3127" t="s">
        <v>207</v>
      </c>
      <c r="O3127" t="s">
        <v>6869</v>
      </c>
      <c r="P3127" t="s">
        <v>208</v>
      </c>
      <c r="Q3127" t="s">
        <v>209</v>
      </c>
    </row>
    <row r="3128" spans="1:17" x14ac:dyDescent="0.3">
      <c r="A3128" t="s">
        <v>6870</v>
      </c>
      <c r="C3128" t="s">
        <v>6871</v>
      </c>
      <c r="D3128" t="s">
        <v>6871</v>
      </c>
      <c r="E3128" s="5">
        <v>46282</v>
      </c>
      <c r="F3128" t="s">
        <v>204</v>
      </c>
      <c r="G3128" t="s">
        <v>213</v>
      </c>
      <c r="H3128">
        <v>349</v>
      </c>
      <c r="I3128">
        <v>6.28</v>
      </c>
      <c r="J3128">
        <v>1.1299999999999999</v>
      </c>
      <c r="K3128">
        <v>341.59</v>
      </c>
      <c r="L3128" s="5">
        <v>46284</v>
      </c>
      <c r="M3128" t="s">
        <v>6722</v>
      </c>
      <c r="N3128" t="s">
        <v>207</v>
      </c>
      <c r="O3128" t="s">
        <v>6871</v>
      </c>
      <c r="P3128" t="s">
        <v>208</v>
      </c>
      <c r="Q3128" t="s">
        <v>209</v>
      </c>
    </row>
    <row r="3129" spans="1:17" x14ac:dyDescent="0.3">
      <c r="A3129" t="s">
        <v>6872</v>
      </c>
      <c r="C3129" t="s">
        <v>6873</v>
      </c>
      <c r="D3129" t="s">
        <v>6873</v>
      </c>
      <c r="E3129" s="5">
        <v>46282</v>
      </c>
      <c r="F3129" t="s">
        <v>204</v>
      </c>
      <c r="G3129" t="s">
        <v>220</v>
      </c>
      <c r="H3129">
        <v>1799</v>
      </c>
      <c r="I3129">
        <v>0</v>
      </c>
      <c r="J3129">
        <v>0</v>
      </c>
      <c r="K3129">
        <v>1799</v>
      </c>
      <c r="L3129" s="5">
        <v>46284</v>
      </c>
      <c r="M3129" t="s">
        <v>6722</v>
      </c>
      <c r="N3129" t="s">
        <v>207</v>
      </c>
      <c r="O3129" t="s">
        <v>6873</v>
      </c>
      <c r="P3129" t="s">
        <v>208</v>
      </c>
      <c r="Q3129" t="s">
        <v>209</v>
      </c>
    </row>
    <row r="3130" spans="1:17" x14ac:dyDescent="0.3">
      <c r="A3130" t="s">
        <v>6874</v>
      </c>
      <c r="C3130" t="s">
        <v>6875</v>
      </c>
      <c r="D3130" t="s">
        <v>6875</v>
      </c>
      <c r="E3130" s="5">
        <v>46282</v>
      </c>
      <c r="F3130" t="s">
        <v>204</v>
      </c>
      <c r="G3130" t="s">
        <v>220</v>
      </c>
      <c r="H3130">
        <v>1647</v>
      </c>
      <c r="I3130">
        <v>0</v>
      </c>
      <c r="J3130">
        <v>0</v>
      </c>
      <c r="K3130">
        <v>1647</v>
      </c>
      <c r="L3130" s="5">
        <v>46284</v>
      </c>
      <c r="M3130" t="s">
        <v>6722</v>
      </c>
      <c r="N3130" t="s">
        <v>207</v>
      </c>
      <c r="O3130" t="s">
        <v>6875</v>
      </c>
      <c r="P3130" t="s">
        <v>208</v>
      </c>
      <c r="Q3130" t="s">
        <v>209</v>
      </c>
    </row>
    <row r="3131" spans="1:17" x14ac:dyDescent="0.3">
      <c r="A3131" t="s">
        <v>6876</v>
      </c>
      <c r="C3131" t="s">
        <v>6877</v>
      </c>
      <c r="D3131" t="s">
        <v>6877</v>
      </c>
      <c r="E3131" s="5">
        <v>46282</v>
      </c>
      <c r="F3131" t="s">
        <v>204</v>
      </c>
      <c r="G3131" t="s">
        <v>213</v>
      </c>
      <c r="H3131">
        <v>999</v>
      </c>
      <c r="I3131">
        <v>17.98</v>
      </c>
      <c r="J3131">
        <v>3.24</v>
      </c>
      <c r="K3131">
        <v>977.78</v>
      </c>
      <c r="L3131" s="5">
        <v>46284</v>
      </c>
      <c r="M3131" t="s">
        <v>6722</v>
      </c>
      <c r="N3131" t="s">
        <v>207</v>
      </c>
      <c r="O3131" t="s">
        <v>6877</v>
      </c>
      <c r="P3131" t="s">
        <v>208</v>
      </c>
      <c r="Q3131" t="s">
        <v>209</v>
      </c>
    </row>
    <row r="3132" spans="1:17" x14ac:dyDescent="0.3">
      <c r="A3132" t="s">
        <v>6878</v>
      </c>
      <c r="C3132" t="s">
        <v>6879</v>
      </c>
      <c r="D3132" t="s">
        <v>6880</v>
      </c>
      <c r="E3132" s="5">
        <v>46282</v>
      </c>
      <c r="F3132" t="s">
        <v>204</v>
      </c>
      <c r="G3132" t="s">
        <v>213</v>
      </c>
      <c r="H3132">
        <v>1499</v>
      </c>
      <c r="I3132">
        <v>26.98</v>
      </c>
      <c r="J3132">
        <v>4.8600000000000003</v>
      </c>
      <c r="K3132">
        <v>1467.16</v>
      </c>
      <c r="L3132" s="5">
        <v>46284</v>
      </c>
      <c r="M3132" t="s">
        <v>6722</v>
      </c>
      <c r="N3132" t="s">
        <v>207</v>
      </c>
      <c r="O3132" t="s">
        <v>6880</v>
      </c>
      <c r="P3132" t="s">
        <v>208</v>
      </c>
      <c r="Q3132" t="s">
        <v>209</v>
      </c>
    </row>
    <row r="3133" spans="1:17" x14ac:dyDescent="0.3">
      <c r="A3133" t="s">
        <v>6881</v>
      </c>
      <c r="C3133" t="s">
        <v>6882</v>
      </c>
      <c r="D3133" t="s">
        <v>6882</v>
      </c>
      <c r="E3133" s="5">
        <v>46282</v>
      </c>
      <c r="F3133" t="s">
        <v>204</v>
      </c>
      <c r="G3133" t="s">
        <v>220</v>
      </c>
      <c r="H3133">
        <v>2098</v>
      </c>
      <c r="I3133">
        <v>6.29</v>
      </c>
      <c r="J3133">
        <v>1.1299999999999999</v>
      </c>
      <c r="K3133">
        <v>2090.58</v>
      </c>
      <c r="L3133" s="5">
        <v>46284</v>
      </c>
      <c r="M3133" t="s">
        <v>6722</v>
      </c>
      <c r="N3133" t="s">
        <v>207</v>
      </c>
      <c r="O3133" t="s">
        <v>6882</v>
      </c>
      <c r="P3133" t="s">
        <v>208</v>
      </c>
      <c r="Q3133" t="s">
        <v>209</v>
      </c>
    </row>
    <row r="3134" spans="1:17" x14ac:dyDescent="0.3">
      <c r="A3134" t="s">
        <v>6883</v>
      </c>
      <c r="C3134" t="s">
        <v>6884</v>
      </c>
      <c r="D3134" t="s">
        <v>6885</v>
      </c>
      <c r="E3134" s="5">
        <v>46282</v>
      </c>
      <c r="F3134" t="s">
        <v>204</v>
      </c>
      <c r="G3134" t="s">
        <v>213</v>
      </c>
      <c r="H3134">
        <v>2499</v>
      </c>
      <c r="I3134">
        <v>39.979999999999997</v>
      </c>
      <c r="J3134">
        <v>7.2</v>
      </c>
      <c r="K3134">
        <v>2451.8200000000002</v>
      </c>
      <c r="L3134" s="5">
        <v>46284</v>
      </c>
      <c r="M3134" t="s">
        <v>6722</v>
      </c>
      <c r="N3134" t="s">
        <v>207</v>
      </c>
      <c r="O3134" t="s">
        <v>6885</v>
      </c>
      <c r="P3134" t="s">
        <v>208</v>
      </c>
      <c r="Q3134" t="s">
        <v>209</v>
      </c>
    </row>
    <row r="3135" spans="1:17" x14ac:dyDescent="0.3">
      <c r="A3135" t="s">
        <v>6886</v>
      </c>
      <c r="C3135" t="s">
        <v>6887</v>
      </c>
      <c r="D3135" t="s">
        <v>6887</v>
      </c>
      <c r="E3135" s="5">
        <v>46282</v>
      </c>
      <c r="F3135" t="s">
        <v>204</v>
      </c>
      <c r="G3135" t="s">
        <v>220</v>
      </c>
      <c r="H3135">
        <v>9298</v>
      </c>
      <c r="I3135">
        <v>27.89</v>
      </c>
      <c r="J3135">
        <v>5.0199999999999996</v>
      </c>
      <c r="K3135">
        <v>9265.09</v>
      </c>
      <c r="L3135" s="5">
        <v>46284</v>
      </c>
      <c r="M3135" t="s">
        <v>6722</v>
      </c>
      <c r="N3135" t="s">
        <v>207</v>
      </c>
      <c r="O3135" t="s">
        <v>6887</v>
      </c>
      <c r="P3135" t="s">
        <v>208</v>
      </c>
      <c r="Q3135" t="s">
        <v>209</v>
      </c>
    </row>
    <row r="3136" spans="1:17" x14ac:dyDescent="0.3">
      <c r="A3136" t="s">
        <v>6888</v>
      </c>
      <c r="C3136" t="s">
        <v>6889</v>
      </c>
      <c r="D3136" t="s">
        <v>6889</v>
      </c>
      <c r="E3136" s="5">
        <v>46282</v>
      </c>
      <c r="F3136" t="s">
        <v>204</v>
      </c>
      <c r="G3136" t="s">
        <v>220</v>
      </c>
      <c r="H3136">
        <v>1598</v>
      </c>
      <c r="I3136">
        <v>0</v>
      </c>
      <c r="J3136">
        <v>0</v>
      </c>
      <c r="K3136">
        <v>1598</v>
      </c>
      <c r="L3136" s="5">
        <v>46284</v>
      </c>
      <c r="M3136" t="s">
        <v>6722</v>
      </c>
      <c r="N3136" t="s">
        <v>207</v>
      </c>
      <c r="O3136" t="s">
        <v>6889</v>
      </c>
      <c r="P3136" t="s">
        <v>208</v>
      </c>
      <c r="Q3136" t="s">
        <v>209</v>
      </c>
    </row>
    <row r="3137" spans="1:17" x14ac:dyDescent="0.3">
      <c r="A3137" t="s">
        <v>6890</v>
      </c>
      <c r="C3137" t="s">
        <v>6891</v>
      </c>
      <c r="D3137" t="s">
        <v>6891</v>
      </c>
      <c r="E3137" s="5">
        <v>46282</v>
      </c>
      <c r="F3137" t="s">
        <v>204</v>
      </c>
      <c r="G3137" t="s">
        <v>255</v>
      </c>
      <c r="H3137">
        <v>799</v>
      </c>
      <c r="I3137">
        <v>11.99</v>
      </c>
      <c r="J3137">
        <v>2.16</v>
      </c>
      <c r="K3137">
        <v>784.85</v>
      </c>
      <c r="L3137" s="5">
        <v>46284</v>
      </c>
      <c r="M3137" t="s">
        <v>6722</v>
      </c>
      <c r="N3137" t="s">
        <v>207</v>
      </c>
      <c r="O3137" t="s">
        <v>6891</v>
      </c>
      <c r="P3137" t="s">
        <v>208</v>
      </c>
      <c r="Q3137" t="s">
        <v>209</v>
      </c>
    </row>
    <row r="3138" spans="1:17" x14ac:dyDescent="0.3">
      <c r="A3138" t="s">
        <v>6892</v>
      </c>
      <c r="C3138" t="s">
        <v>6893</v>
      </c>
      <c r="D3138" t="s">
        <v>6893</v>
      </c>
      <c r="E3138" s="5">
        <v>46282</v>
      </c>
      <c r="F3138" t="s">
        <v>204</v>
      </c>
      <c r="G3138" t="s">
        <v>220</v>
      </c>
      <c r="H3138">
        <v>599</v>
      </c>
      <c r="I3138">
        <v>0</v>
      </c>
      <c r="J3138">
        <v>0</v>
      </c>
      <c r="K3138">
        <v>599</v>
      </c>
      <c r="L3138" s="5">
        <v>46284</v>
      </c>
      <c r="M3138" t="s">
        <v>6722</v>
      </c>
      <c r="N3138" t="s">
        <v>207</v>
      </c>
      <c r="O3138" t="s">
        <v>6893</v>
      </c>
      <c r="P3138" t="s">
        <v>208</v>
      </c>
      <c r="Q3138" t="s">
        <v>209</v>
      </c>
    </row>
    <row r="3139" spans="1:17" x14ac:dyDescent="0.3">
      <c r="A3139" t="s">
        <v>6894</v>
      </c>
      <c r="C3139" t="s">
        <v>6895</v>
      </c>
      <c r="D3139" t="s">
        <v>6895</v>
      </c>
      <c r="E3139" s="5">
        <v>46282</v>
      </c>
      <c r="F3139" t="s">
        <v>204</v>
      </c>
      <c r="G3139" t="s">
        <v>213</v>
      </c>
      <c r="H3139">
        <v>4298</v>
      </c>
      <c r="I3139">
        <v>68.77</v>
      </c>
      <c r="J3139">
        <v>12.38</v>
      </c>
      <c r="K3139">
        <v>4216.8500000000004</v>
      </c>
      <c r="L3139" s="5">
        <v>46284</v>
      </c>
      <c r="M3139" t="s">
        <v>6722</v>
      </c>
      <c r="N3139" t="s">
        <v>207</v>
      </c>
      <c r="O3139" t="s">
        <v>6895</v>
      </c>
      <c r="P3139" t="s">
        <v>208</v>
      </c>
      <c r="Q3139" t="s">
        <v>209</v>
      </c>
    </row>
    <row r="3140" spans="1:17" x14ac:dyDescent="0.3">
      <c r="A3140" t="s">
        <v>6896</v>
      </c>
      <c r="C3140" t="s">
        <v>6897</v>
      </c>
      <c r="D3140" t="s">
        <v>6897</v>
      </c>
      <c r="E3140" s="5">
        <v>46282</v>
      </c>
      <c r="F3140" t="s">
        <v>204</v>
      </c>
      <c r="G3140" t="s">
        <v>220</v>
      </c>
      <c r="H3140">
        <v>1499</v>
      </c>
      <c r="I3140">
        <v>0</v>
      </c>
      <c r="J3140">
        <v>0</v>
      </c>
      <c r="K3140">
        <v>1499</v>
      </c>
      <c r="L3140" s="5">
        <v>46284</v>
      </c>
      <c r="M3140" t="s">
        <v>6722</v>
      </c>
      <c r="N3140" t="s">
        <v>207</v>
      </c>
      <c r="O3140" t="s">
        <v>6897</v>
      </c>
      <c r="P3140" t="s">
        <v>208</v>
      </c>
      <c r="Q3140" t="s">
        <v>209</v>
      </c>
    </row>
    <row r="3141" spans="1:17" x14ac:dyDescent="0.3">
      <c r="A3141" t="s">
        <v>6898</v>
      </c>
      <c r="C3141" t="s">
        <v>6899</v>
      </c>
      <c r="D3141" t="s">
        <v>6900</v>
      </c>
      <c r="E3141" s="5">
        <v>46282</v>
      </c>
      <c r="F3141" t="s">
        <v>204</v>
      </c>
      <c r="G3141" t="s">
        <v>255</v>
      </c>
      <c r="H3141">
        <v>5498</v>
      </c>
      <c r="I3141">
        <v>65.98</v>
      </c>
      <c r="J3141">
        <v>11.88</v>
      </c>
      <c r="K3141">
        <v>5420.14</v>
      </c>
      <c r="L3141" s="5">
        <v>46284</v>
      </c>
      <c r="M3141" t="s">
        <v>6722</v>
      </c>
      <c r="N3141" t="s">
        <v>207</v>
      </c>
      <c r="O3141" t="s">
        <v>6900</v>
      </c>
      <c r="P3141" t="s">
        <v>208</v>
      </c>
      <c r="Q3141" t="s">
        <v>209</v>
      </c>
    </row>
    <row r="3142" spans="1:17" x14ac:dyDescent="0.3">
      <c r="A3142" t="s">
        <v>6901</v>
      </c>
      <c r="C3142" t="s">
        <v>6902</v>
      </c>
      <c r="D3142" t="s">
        <v>6902</v>
      </c>
      <c r="E3142" s="5">
        <v>46282</v>
      </c>
      <c r="F3142" t="s">
        <v>204</v>
      </c>
      <c r="G3142" t="s">
        <v>220</v>
      </c>
      <c r="H3142">
        <v>8498</v>
      </c>
      <c r="I3142">
        <v>25.49</v>
      </c>
      <c r="J3142">
        <v>4.59</v>
      </c>
      <c r="K3142">
        <v>8467.92</v>
      </c>
      <c r="L3142" s="5">
        <v>46284</v>
      </c>
      <c r="M3142" t="s">
        <v>6722</v>
      </c>
      <c r="N3142" t="s">
        <v>207</v>
      </c>
      <c r="O3142" t="s">
        <v>6902</v>
      </c>
      <c r="P3142" t="s">
        <v>208</v>
      </c>
      <c r="Q3142" t="s">
        <v>209</v>
      </c>
    </row>
    <row r="3143" spans="1:17" x14ac:dyDescent="0.3">
      <c r="A3143" t="s">
        <v>6903</v>
      </c>
      <c r="C3143" t="s">
        <v>6904</v>
      </c>
      <c r="D3143" t="s">
        <v>6904</v>
      </c>
      <c r="E3143" s="5">
        <v>46282</v>
      </c>
      <c r="F3143" t="s">
        <v>204</v>
      </c>
      <c r="G3143" t="s">
        <v>213</v>
      </c>
      <c r="H3143">
        <v>4197</v>
      </c>
      <c r="I3143">
        <v>67.150000000000006</v>
      </c>
      <c r="J3143">
        <v>12.09</v>
      </c>
      <c r="K3143">
        <v>4117.76</v>
      </c>
      <c r="L3143" s="5">
        <v>46284</v>
      </c>
      <c r="M3143" t="s">
        <v>6722</v>
      </c>
      <c r="N3143" t="s">
        <v>207</v>
      </c>
      <c r="O3143" t="s">
        <v>6904</v>
      </c>
      <c r="P3143" t="s">
        <v>208</v>
      </c>
      <c r="Q3143" t="s">
        <v>209</v>
      </c>
    </row>
    <row r="3144" spans="1:17" x14ac:dyDescent="0.3">
      <c r="A3144" t="s">
        <v>6905</v>
      </c>
      <c r="C3144" t="s">
        <v>6906</v>
      </c>
      <c r="D3144" t="s">
        <v>6906</v>
      </c>
      <c r="E3144" s="5">
        <v>46282</v>
      </c>
      <c r="F3144" t="s">
        <v>204</v>
      </c>
      <c r="G3144" t="s">
        <v>255</v>
      </c>
      <c r="H3144">
        <v>299</v>
      </c>
      <c r="I3144">
        <v>4.49</v>
      </c>
      <c r="J3144">
        <v>0.81</v>
      </c>
      <c r="K3144">
        <v>293.7</v>
      </c>
      <c r="L3144" s="5">
        <v>46284</v>
      </c>
      <c r="M3144" t="s">
        <v>6722</v>
      </c>
      <c r="N3144" t="s">
        <v>207</v>
      </c>
      <c r="O3144" t="s">
        <v>6906</v>
      </c>
      <c r="P3144" t="s">
        <v>208</v>
      </c>
      <c r="Q3144" t="s">
        <v>209</v>
      </c>
    </row>
    <row r="3145" spans="1:17" x14ac:dyDescent="0.3">
      <c r="A3145" t="s">
        <v>6907</v>
      </c>
      <c r="C3145" t="s">
        <v>6908</v>
      </c>
      <c r="D3145" t="s">
        <v>6908</v>
      </c>
      <c r="E3145" s="5">
        <v>46282</v>
      </c>
      <c r="F3145" t="s">
        <v>204</v>
      </c>
      <c r="G3145" t="s">
        <v>220</v>
      </c>
      <c r="H3145">
        <v>3499</v>
      </c>
      <c r="I3145">
        <v>10.5</v>
      </c>
      <c r="J3145">
        <v>1.89</v>
      </c>
      <c r="K3145">
        <v>3486.61</v>
      </c>
      <c r="L3145" s="5">
        <v>46284</v>
      </c>
      <c r="M3145" t="s">
        <v>6722</v>
      </c>
      <c r="N3145" t="s">
        <v>207</v>
      </c>
      <c r="O3145" t="s">
        <v>6908</v>
      </c>
      <c r="P3145" t="s">
        <v>208</v>
      </c>
      <c r="Q3145" t="s">
        <v>209</v>
      </c>
    </row>
    <row r="3146" spans="1:17" x14ac:dyDescent="0.3">
      <c r="A3146" t="s">
        <v>6909</v>
      </c>
      <c r="C3146" t="s">
        <v>6910</v>
      </c>
      <c r="D3146" t="s">
        <v>6911</v>
      </c>
      <c r="E3146" s="5">
        <v>46282</v>
      </c>
      <c r="F3146" t="s">
        <v>204</v>
      </c>
      <c r="G3146" t="s">
        <v>213</v>
      </c>
      <c r="H3146">
        <v>9497</v>
      </c>
      <c r="I3146">
        <v>151.94999999999999</v>
      </c>
      <c r="J3146">
        <v>27.35</v>
      </c>
      <c r="K3146">
        <v>9317.7000000000007</v>
      </c>
      <c r="L3146" s="5">
        <v>46284</v>
      </c>
      <c r="M3146" t="s">
        <v>6722</v>
      </c>
      <c r="N3146" t="s">
        <v>207</v>
      </c>
      <c r="O3146" t="s">
        <v>6911</v>
      </c>
      <c r="P3146" t="s">
        <v>208</v>
      </c>
      <c r="Q3146" t="s">
        <v>209</v>
      </c>
    </row>
    <row r="3147" spans="1:17" x14ac:dyDescent="0.3">
      <c r="A3147" t="s">
        <v>6912</v>
      </c>
      <c r="C3147" t="s">
        <v>6913</v>
      </c>
      <c r="D3147" t="s">
        <v>6914</v>
      </c>
      <c r="E3147" s="5">
        <v>46282</v>
      </c>
      <c r="F3147" t="s">
        <v>204</v>
      </c>
      <c r="G3147" t="s">
        <v>213</v>
      </c>
      <c r="H3147">
        <v>3947</v>
      </c>
      <c r="I3147">
        <v>63.15</v>
      </c>
      <c r="J3147">
        <v>11.37</v>
      </c>
      <c r="K3147">
        <v>3872.48</v>
      </c>
      <c r="L3147" s="5">
        <v>46284</v>
      </c>
      <c r="M3147" t="s">
        <v>6722</v>
      </c>
      <c r="N3147" t="s">
        <v>207</v>
      </c>
      <c r="O3147" t="s">
        <v>6914</v>
      </c>
      <c r="P3147" t="s">
        <v>208</v>
      </c>
      <c r="Q3147" t="s">
        <v>209</v>
      </c>
    </row>
    <row r="3148" spans="1:17" x14ac:dyDescent="0.3">
      <c r="A3148" t="s">
        <v>6915</v>
      </c>
      <c r="C3148" t="s">
        <v>6916</v>
      </c>
      <c r="D3148" t="s">
        <v>6917</v>
      </c>
      <c r="E3148" s="5">
        <v>46282</v>
      </c>
      <c r="F3148" t="s">
        <v>204</v>
      </c>
      <c r="G3148" t="s">
        <v>205</v>
      </c>
      <c r="H3148">
        <v>1298</v>
      </c>
      <c r="I3148">
        <v>24.66</v>
      </c>
      <c r="J3148">
        <v>4.4400000000000004</v>
      </c>
      <c r="K3148">
        <v>1268.9000000000001</v>
      </c>
      <c r="L3148" s="5">
        <v>46284</v>
      </c>
      <c r="M3148" t="s">
        <v>6722</v>
      </c>
      <c r="N3148" t="s">
        <v>207</v>
      </c>
      <c r="O3148" t="s">
        <v>6917</v>
      </c>
      <c r="P3148" t="s">
        <v>208</v>
      </c>
      <c r="Q3148" t="s">
        <v>209</v>
      </c>
    </row>
    <row r="3149" spans="1:17" x14ac:dyDescent="0.3">
      <c r="A3149" t="s">
        <v>6918</v>
      </c>
      <c r="C3149" t="s">
        <v>6919</v>
      </c>
      <c r="D3149" t="s">
        <v>6920</v>
      </c>
      <c r="E3149" s="5">
        <v>46282</v>
      </c>
      <c r="F3149" t="s">
        <v>204</v>
      </c>
      <c r="G3149" t="s">
        <v>205</v>
      </c>
      <c r="H3149">
        <v>7999</v>
      </c>
      <c r="I3149">
        <v>135.97999999999999</v>
      </c>
      <c r="J3149">
        <v>24.48</v>
      </c>
      <c r="K3149">
        <v>7838.54</v>
      </c>
      <c r="L3149" s="5">
        <v>46284</v>
      </c>
      <c r="M3149" t="s">
        <v>6722</v>
      </c>
      <c r="N3149" t="s">
        <v>207</v>
      </c>
      <c r="O3149" t="s">
        <v>6920</v>
      </c>
      <c r="P3149" t="s">
        <v>208</v>
      </c>
      <c r="Q3149" t="s">
        <v>209</v>
      </c>
    </row>
    <row r="3150" spans="1:17" x14ac:dyDescent="0.3">
      <c r="A3150" t="s">
        <v>6921</v>
      </c>
      <c r="C3150" t="s">
        <v>6922</v>
      </c>
      <c r="D3150" t="s">
        <v>6923</v>
      </c>
      <c r="E3150" s="5">
        <v>46282</v>
      </c>
      <c r="F3150" t="s">
        <v>204</v>
      </c>
      <c r="G3150" t="s">
        <v>220</v>
      </c>
      <c r="H3150">
        <v>4998</v>
      </c>
      <c r="I3150">
        <v>14.99</v>
      </c>
      <c r="J3150">
        <v>2.7</v>
      </c>
      <c r="K3150">
        <v>4980.3100000000004</v>
      </c>
      <c r="L3150" s="5">
        <v>46284</v>
      </c>
      <c r="M3150" t="s">
        <v>6722</v>
      </c>
      <c r="N3150" t="s">
        <v>207</v>
      </c>
      <c r="O3150" t="s">
        <v>6923</v>
      </c>
      <c r="P3150" t="s">
        <v>208</v>
      </c>
      <c r="Q3150" t="s">
        <v>209</v>
      </c>
    </row>
    <row r="3151" spans="1:17" x14ac:dyDescent="0.3">
      <c r="A3151" t="s">
        <v>6924</v>
      </c>
      <c r="C3151" t="s">
        <v>6925</v>
      </c>
      <c r="D3151" t="s">
        <v>6925</v>
      </c>
      <c r="E3151" s="5">
        <v>46282</v>
      </c>
      <c r="F3151" t="s">
        <v>204</v>
      </c>
      <c r="G3151" t="s">
        <v>220</v>
      </c>
      <c r="H3151">
        <v>1299</v>
      </c>
      <c r="I3151">
        <v>0</v>
      </c>
      <c r="J3151">
        <v>0</v>
      </c>
      <c r="K3151">
        <v>1299</v>
      </c>
      <c r="L3151" s="5">
        <v>46284</v>
      </c>
      <c r="M3151" t="s">
        <v>6722</v>
      </c>
      <c r="N3151" t="s">
        <v>207</v>
      </c>
      <c r="O3151" t="s">
        <v>6925</v>
      </c>
      <c r="P3151" t="s">
        <v>208</v>
      </c>
      <c r="Q3151" t="s">
        <v>209</v>
      </c>
    </row>
    <row r="3152" spans="1:17" x14ac:dyDescent="0.3">
      <c r="A3152" t="s">
        <v>6926</v>
      </c>
      <c r="C3152" t="s">
        <v>6927</v>
      </c>
      <c r="D3152" t="s">
        <v>6927</v>
      </c>
      <c r="E3152" s="5">
        <v>46282</v>
      </c>
      <c r="F3152" t="s">
        <v>204</v>
      </c>
      <c r="G3152" t="s">
        <v>220</v>
      </c>
      <c r="H3152">
        <v>648</v>
      </c>
      <c r="I3152">
        <v>0</v>
      </c>
      <c r="J3152">
        <v>0</v>
      </c>
      <c r="K3152">
        <v>648</v>
      </c>
      <c r="L3152" s="5">
        <v>46284</v>
      </c>
      <c r="M3152" t="s">
        <v>6722</v>
      </c>
      <c r="N3152" t="s">
        <v>207</v>
      </c>
      <c r="O3152" t="s">
        <v>6927</v>
      </c>
      <c r="P3152" t="s">
        <v>208</v>
      </c>
      <c r="Q3152" t="s">
        <v>209</v>
      </c>
    </row>
    <row r="3153" spans="1:17" x14ac:dyDescent="0.3">
      <c r="A3153" t="s">
        <v>6928</v>
      </c>
      <c r="C3153" t="s">
        <v>6929</v>
      </c>
      <c r="D3153" t="s">
        <v>6929</v>
      </c>
      <c r="E3153" s="5">
        <v>46282</v>
      </c>
      <c r="F3153" t="s">
        <v>204</v>
      </c>
      <c r="G3153" t="s">
        <v>220</v>
      </c>
      <c r="H3153">
        <v>299</v>
      </c>
      <c r="I3153">
        <v>0</v>
      </c>
      <c r="J3153">
        <v>0</v>
      </c>
      <c r="K3153">
        <v>299</v>
      </c>
      <c r="L3153" s="5">
        <v>46284</v>
      </c>
      <c r="M3153" t="s">
        <v>6722</v>
      </c>
      <c r="N3153" t="s">
        <v>207</v>
      </c>
      <c r="O3153" t="s">
        <v>6929</v>
      </c>
      <c r="P3153" t="s">
        <v>208</v>
      </c>
      <c r="Q3153" t="s">
        <v>209</v>
      </c>
    </row>
    <row r="3154" spans="1:17" x14ac:dyDescent="0.3">
      <c r="A3154" t="s">
        <v>6930</v>
      </c>
      <c r="C3154" t="s">
        <v>6931</v>
      </c>
      <c r="D3154" t="s">
        <v>6932</v>
      </c>
      <c r="E3154" s="5">
        <v>46282</v>
      </c>
      <c r="F3154" t="s">
        <v>204</v>
      </c>
      <c r="G3154" t="s">
        <v>205</v>
      </c>
      <c r="H3154">
        <v>599</v>
      </c>
      <c r="I3154">
        <v>11.38</v>
      </c>
      <c r="J3154">
        <v>2.0499999999999998</v>
      </c>
      <c r="K3154">
        <v>585.57000000000005</v>
      </c>
      <c r="L3154" s="5">
        <v>46284</v>
      </c>
      <c r="M3154" t="s">
        <v>6722</v>
      </c>
      <c r="N3154" t="s">
        <v>207</v>
      </c>
      <c r="O3154" t="s">
        <v>6932</v>
      </c>
      <c r="P3154" t="s">
        <v>208</v>
      </c>
      <c r="Q3154" t="s">
        <v>209</v>
      </c>
    </row>
    <row r="3155" spans="1:17" x14ac:dyDescent="0.3">
      <c r="A3155" t="s">
        <v>6933</v>
      </c>
      <c r="C3155" t="s">
        <v>6934</v>
      </c>
      <c r="D3155" t="s">
        <v>6934</v>
      </c>
      <c r="E3155" s="5">
        <v>46282</v>
      </c>
      <c r="F3155" t="s">
        <v>204</v>
      </c>
      <c r="G3155" t="s">
        <v>255</v>
      </c>
      <c r="H3155">
        <v>1798</v>
      </c>
      <c r="I3155">
        <v>26.97</v>
      </c>
      <c r="J3155">
        <v>4.8499999999999996</v>
      </c>
      <c r="K3155">
        <v>1766.18</v>
      </c>
      <c r="L3155" s="5">
        <v>46284</v>
      </c>
      <c r="M3155" t="s">
        <v>6722</v>
      </c>
      <c r="N3155" t="s">
        <v>207</v>
      </c>
      <c r="O3155" t="s">
        <v>6934</v>
      </c>
      <c r="P3155" t="s">
        <v>208</v>
      </c>
      <c r="Q3155" t="s">
        <v>209</v>
      </c>
    </row>
    <row r="3156" spans="1:17" x14ac:dyDescent="0.3">
      <c r="A3156" t="s">
        <v>6935</v>
      </c>
      <c r="C3156" t="s">
        <v>6936</v>
      </c>
      <c r="D3156" t="s">
        <v>6936</v>
      </c>
      <c r="E3156" s="5">
        <v>46282</v>
      </c>
      <c r="F3156" t="s">
        <v>204</v>
      </c>
      <c r="G3156" t="s">
        <v>220</v>
      </c>
      <c r="H3156">
        <v>6297</v>
      </c>
      <c r="I3156">
        <v>18.89</v>
      </c>
      <c r="J3156">
        <v>3.4</v>
      </c>
      <c r="K3156">
        <v>6274.71</v>
      </c>
      <c r="L3156" s="5">
        <v>46284</v>
      </c>
      <c r="M3156" t="s">
        <v>6722</v>
      </c>
      <c r="N3156" t="s">
        <v>207</v>
      </c>
      <c r="O3156" t="s">
        <v>6936</v>
      </c>
      <c r="P3156" t="s">
        <v>208</v>
      </c>
      <c r="Q3156" t="s">
        <v>209</v>
      </c>
    </row>
    <row r="3157" spans="1:17" x14ac:dyDescent="0.3">
      <c r="A3157" t="s">
        <v>6937</v>
      </c>
      <c r="C3157" t="s">
        <v>6938</v>
      </c>
      <c r="D3157" t="s">
        <v>6938</v>
      </c>
      <c r="E3157" s="5">
        <v>46282</v>
      </c>
      <c r="F3157" t="s">
        <v>204</v>
      </c>
      <c r="G3157" t="s">
        <v>213</v>
      </c>
      <c r="H3157">
        <v>5798</v>
      </c>
      <c r="I3157">
        <v>92.77</v>
      </c>
      <c r="J3157">
        <v>16.7</v>
      </c>
      <c r="K3157">
        <v>5688.53</v>
      </c>
      <c r="L3157" s="5">
        <v>46284</v>
      </c>
      <c r="M3157" t="s">
        <v>6722</v>
      </c>
      <c r="N3157" t="s">
        <v>207</v>
      </c>
      <c r="O3157" t="s">
        <v>6938</v>
      </c>
      <c r="P3157" t="s">
        <v>208</v>
      </c>
      <c r="Q3157" t="s">
        <v>209</v>
      </c>
    </row>
    <row r="3158" spans="1:17" x14ac:dyDescent="0.3">
      <c r="A3158" t="s">
        <v>6939</v>
      </c>
      <c r="C3158" t="s">
        <v>6940</v>
      </c>
      <c r="D3158" t="s">
        <v>6940</v>
      </c>
      <c r="E3158" s="5">
        <v>46282</v>
      </c>
      <c r="F3158" t="s">
        <v>204</v>
      </c>
      <c r="G3158" t="s">
        <v>205</v>
      </c>
      <c r="H3158">
        <v>10097</v>
      </c>
      <c r="I3158">
        <v>171.65</v>
      </c>
      <c r="J3158">
        <v>30.9</v>
      </c>
      <c r="K3158">
        <v>9894.4500000000007</v>
      </c>
      <c r="L3158" s="5">
        <v>46284</v>
      </c>
      <c r="M3158" t="s">
        <v>6722</v>
      </c>
      <c r="N3158" t="s">
        <v>207</v>
      </c>
      <c r="O3158" t="s">
        <v>6940</v>
      </c>
      <c r="P3158" t="s">
        <v>208</v>
      </c>
      <c r="Q3158" t="s">
        <v>209</v>
      </c>
    </row>
    <row r="3159" spans="1:17" x14ac:dyDescent="0.3">
      <c r="A3159" t="s">
        <v>6941</v>
      </c>
      <c r="C3159" t="s">
        <v>6942</v>
      </c>
      <c r="D3159" t="s">
        <v>6942</v>
      </c>
      <c r="E3159" s="5">
        <v>46282</v>
      </c>
      <c r="F3159" t="s">
        <v>204</v>
      </c>
      <c r="G3159" t="s">
        <v>220</v>
      </c>
      <c r="H3159">
        <v>2999</v>
      </c>
      <c r="I3159">
        <v>9</v>
      </c>
      <c r="J3159">
        <v>1.62</v>
      </c>
      <c r="K3159">
        <v>2988.38</v>
      </c>
      <c r="L3159" s="5">
        <v>46284</v>
      </c>
      <c r="M3159" t="s">
        <v>6722</v>
      </c>
      <c r="N3159" t="s">
        <v>207</v>
      </c>
      <c r="O3159" t="s">
        <v>6942</v>
      </c>
      <c r="P3159" t="s">
        <v>208</v>
      </c>
      <c r="Q3159" t="s">
        <v>209</v>
      </c>
    </row>
    <row r="3160" spans="1:17" x14ac:dyDescent="0.3">
      <c r="A3160" t="s">
        <v>6943</v>
      </c>
      <c r="C3160" t="s">
        <v>6944</v>
      </c>
      <c r="D3160" t="s">
        <v>6944</v>
      </c>
      <c r="E3160" s="5">
        <v>46282</v>
      </c>
      <c r="F3160" t="s">
        <v>204</v>
      </c>
      <c r="G3160" t="s">
        <v>220</v>
      </c>
      <c r="H3160">
        <v>7498</v>
      </c>
      <c r="I3160">
        <v>22.49</v>
      </c>
      <c r="J3160">
        <v>4.05</v>
      </c>
      <c r="K3160">
        <v>7471.46</v>
      </c>
      <c r="L3160" s="5">
        <v>46284</v>
      </c>
      <c r="M3160" t="s">
        <v>6722</v>
      </c>
      <c r="N3160" t="s">
        <v>207</v>
      </c>
      <c r="O3160" t="s">
        <v>6944</v>
      </c>
      <c r="P3160" t="s">
        <v>208</v>
      </c>
      <c r="Q3160" t="s">
        <v>209</v>
      </c>
    </row>
    <row r="3161" spans="1:17" x14ac:dyDescent="0.3">
      <c r="A3161" t="s">
        <v>6945</v>
      </c>
      <c r="C3161" t="s">
        <v>6946</v>
      </c>
      <c r="D3161" t="s">
        <v>6946</v>
      </c>
      <c r="E3161" s="5">
        <v>46282</v>
      </c>
      <c r="F3161" t="s">
        <v>204</v>
      </c>
      <c r="G3161" t="s">
        <v>220</v>
      </c>
      <c r="H3161">
        <v>2298</v>
      </c>
      <c r="I3161">
        <v>6.89</v>
      </c>
      <c r="J3161">
        <v>1.24</v>
      </c>
      <c r="K3161">
        <v>2289.87</v>
      </c>
      <c r="L3161" s="5">
        <v>46284</v>
      </c>
      <c r="M3161" t="s">
        <v>6722</v>
      </c>
      <c r="N3161" t="s">
        <v>207</v>
      </c>
      <c r="O3161" t="s">
        <v>6946</v>
      </c>
      <c r="P3161" t="s">
        <v>208</v>
      </c>
      <c r="Q3161" t="s">
        <v>209</v>
      </c>
    </row>
    <row r="3162" spans="1:17" x14ac:dyDescent="0.3">
      <c r="A3162" t="s">
        <v>6947</v>
      </c>
      <c r="C3162" t="s">
        <v>6948</v>
      </c>
      <c r="D3162" t="s">
        <v>6948</v>
      </c>
      <c r="E3162" s="5">
        <v>46282</v>
      </c>
      <c r="F3162" t="s">
        <v>204</v>
      </c>
      <c r="G3162" t="s">
        <v>220</v>
      </c>
      <c r="H3162">
        <v>3298</v>
      </c>
      <c r="I3162">
        <v>9.89</v>
      </c>
      <c r="J3162">
        <v>1.78</v>
      </c>
      <c r="K3162">
        <v>3286.33</v>
      </c>
      <c r="L3162" s="5">
        <v>46284</v>
      </c>
      <c r="M3162" t="s">
        <v>6722</v>
      </c>
      <c r="N3162" t="s">
        <v>207</v>
      </c>
      <c r="O3162" t="s">
        <v>6948</v>
      </c>
      <c r="P3162" t="s">
        <v>208</v>
      </c>
      <c r="Q3162" t="s">
        <v>209</v>
      </c>
    </row>
    <row r="3163" spans="1:17" x14ac:dyDescent="0.3">
      <c r="A3163" t="s">
        <v>6949</v>
      </c>
      <c r="C3163" t="s">
        <v>6950</v>
      </c>
      <c r="D3163" t="s">
        <v>6950</v>
      </c>
      <c r="E3163" s="5">
        <v>46282</v>
      </c>
      <c r="F3163" t="s">
        <v>204</v>
      </c>
      <c r="G3163" t="s">
        <v>220</v>
      </c>
      <c r="H3163">
        <v>12998</v>
      </c>
      <c r="I3163">
        <v>38.99</v>
      </c>
      <c r="J3163">
        <v>7.02</v>
      </c>
      <c r="K3163">
        <v>12951.99</v>
      </c>
      <c r="L3163" s="5">
        <v>46284</v>
      </c>
      <c r="M3163" t="s">
        <v>6722</v>
      </c>
      <c r="N3163" t="s">
        <v>207</v>
      </c>
      <c r="O3163" t="s">
        <v>6950</v>
      </c>
      <c r="P3163" t="s">
        <v>208</v>
      </c>
      <c r="Q3163" t="s">
        <v>209</v>
      </c>
    </row>
    <row r="3164" spans="1:17" x14ac:dyDescent="0.3">
      <c r="A3164" t="s">
        <v>6951</v>
      </c>
      <c r="C3164" t="s">
        <v>6952</v>
      </c>
      <c r="D3164" t="s">
        <v>6952</v>
      </c>
      <c r="E3164" s="5">
        <v>46282</v>
      </c>
      <c r="F3164" t="s">
        <v>204</v>
      </c>
      <c r="G3164" t="s">
        <v>220</v>
      </c>
      <c r="H3164">
        <v>1299</v>
      </c>
      <c r="I3164">
        <v>0</v>
      </c>
      <c r="J3164">
        <v>0</v>
      </c>
      <c r="K3164">
        <v>1299</v>
      </c>
      <c r="L3164" s="5">
        <v>46284</v>
      </c>
      <c r="M3164" t="s">
        <v>6722</v>
      </c>
      <c r="N3164" t="s">
        <v>207</v>
      </c>
      <c r="O3164" t="s">
        <v>6952</v>
      </c>
      <c r="P3164" t="s">
        <v>208</v>
      </c>
      <c r="Q3164" t="s">
        <v>209</v>
      </c>
    </row>
    <row r="3165" spans="1:17" x14ac:dyDescent="0.3">
      <c r="A3165" t="s">
        <v>6953</v>
      </c>
      <c r="C3165" t="s">
        <v>6954</v>
      </c>
      <c r="D3165" t="s">
        <v>6954</v>
      </c>
      <c r="E3165" s="5">
        <v>46282</v>
      </c>
      <c r="F3165" t="s">
        <v>204</v>
      </c>
      <c r="G3165" t="s">
        <v>213</v>
      </c>
      <c r="H3165">
        <v>10997</v>
      </c>
      <c r="I3165">
        <v>175.95</v>
      </c>
      <c r="J3165">
        <v>31.67</v>
      </c>
      <c r="K3165">
        <v>10789.38</v>
      </c>
      <c r="L3165" s="5">
        <v>46284</v>
      </c>
      <c r="M3165" t="s">
        <v>6722</v>
      </c>
      <c r="N3165" t="s">
        <v>207</v>
      </c>
      <c r="O3165" t="s">
        <v>6954</v>
      </c>
      <c r="P3165" t="s">
        <v>208</v>
      </c>
      <c r="Q3165" t="s">
        <v>209</v>
      </c>
    </row>
    <row r="3166" spans="1:17" x14ac:dyDescent="0.3">
      <c r="A3166" t="s">
        <v>6955</v>
      </c>
      <c r="C3166" t="s">
        <v>6956</v>
      </c>
      <c r="D3166" t="s">
        <v>6956</v>
      </c>
      <c r="E3166" s="5">
        <v>46282</v>
      </c>
      <c r="F3166" t="s">
        <v>204</v>
      </c>
      <c r="G3166" t="s">
        <v>213</v>
      </c>
      <c r="H3166">
        <v>4097</v>
      </c>
      <c r="I3166">
        <v>65.55</v>
      </c>
      <c r="J3166">
        <v>11.8</v>
      </c>
      <c r="K3166">
        <v>4019.65</v>
      </c>
      <c r="L3166" s="5">
        <v>46284</v>
      </c>
      <c r="M3166" t="s">
        <v>6722</v>
      </c>
      <c r="N3166" t="s">
        <v>207</v>
      </c>
      <c r="O3166" t="s">
        <v>6956</v>
      </c>
      <c r="P3166" t="s">
        <v>208</v>
      </c>
      <c r="Q3166" t="s">
        <v>209</v>
      </c>
    </row>
    <row r="3167" spans="1:17" x14ac:dyDescent="0.3">
      <c r="A3167" t="s">
        <v>6957</v>
      </c>
      <c r="C3167" t="s">
        <v>6958</v>
      </c>
      <c r="D3167" t="s">
        <v>6958</v>
      </c>
      <c r="E3167" s="5">
        <v>46282</v>
      </c>
      <c r="F3167" t="s">
        <v>204</v>
      </c>
      <c r="G3167" t="s">
        <v>220</v>
      </c>
      <c r="H3167">
        <v>2499</v>
      </c>
      <c r="I3167">
        <v>7.5</v>
      </c>
      <c r="J3167">
        <v>1.35</v>
      </c>
      <c r="K3167">
        <v>2490.15</v>
      </c>
      <c r="L3167" s="5">
        <v>46284</v>
      </c>
      <c r="M3167" t="s">
        <v>6722</v>
      </c>
      <c r="N3167" t="s">
        <v>207</v>
      </c>
      <c r="O3167" t="s">
        <v>6958</v>
      </c>
      <c r="P3167" t="s">
        <v>208</v>
      </c>
      <c r="Q3167" t="s">
        <v>209</v>
      </c>
    </row>
    <row r="3168" spans="1:17" x14ac:dyDescent="0.3">
      <c r="A3168" t="s">
        <v>6959</v>
      </c>
      <c r="C3168" t="s">
        <v>6960</v>
      </c>
      <c r="D3168" t="s">
        <v>6961</v>
      </c>
      <c r="E3168" s="5">
        <v>46282</v>
      </c>
      <c r="F3168" t="s">
        <v>204</v>
      </c>
      <c r="G3168" t="s">
        <v>220</v>
      </c>
      <c r="H3168">
        <v>4998</v>
      </c>
      <c r="I3168">
        <v>14.99</v>
      </c>
      <c r="J3168">
        <v>2.7</v>
      </c>
      <c r="K3168">
        <v>4980.3100000000004</v>
      </c>
      <c r="L3168" s="5">
        <v>46284</v>
      </c>
      <c r="M3168" t="s">
        <v>6722</v>
      </c>
      <c r="N3168" t="s">
        <v>207</v>
      </c>
      <c r="O3168" t="s">
        <v>6961</v>
      </c>
      <c r="P3168" t="s">
        <v>208</v>
      </c>
      <c r="Q3168" t="s">
        <v>209</v>
      </c>
    </row>
    <row r="3169" spans="1:17" x14ac:dyDescent="0.3">
      <c r="A3169" t="s">
        <v>6962</v>
      </c>
      <c r="C3169" t="s">
        <v>6963</v>
      </c>
      <c r="D3169" t="s">
        <v>6963</v>
      </c>
      <c r="E3169" s="5">
        <v>46282</v>
      </c>
      <c r="F3169" t="s">
        <v>204</v>
      </c>
      <c r="G3169" t="s">
        <v>213</v>
      </c>
      <c r="H3169">
        <v>999</v>
      </c>
      <c r="I3169">
        <v>17.98</v>
      </c>
      <c r="J3169">
        <v>3.24</v>
      </c>
      <c r="K3169">
        <v>977.78</v>
      </c>
      <c r="L3169" s="5">
        <v>46284</v>
      </c>
      <c r="M3169" t="s">
        <v>6722</v>
      </c>
      <c r="N3169" t="s">
        <v>207</v>
      </c>
      <c r="O3169" t="s">
        <v>6963</v>
      </c>
      <c r="P3169" t="s">
        <v>208</v>
      </c>
      <c r="Q3169" t="s">
        <v>209</v>
      </c>
    </row>
    <row r="3170" spans="1:17" x14ac:dyDescent="0.3">
      <c r="A3170" t="s">
        <v>6964</v>
      </c>
      <c r="C3170" t="s">
        <v>6965</v>
      </c>
      <c r="D3170" t="s">
        <v>6965</v>
      </c>
      <c r="E3170" s="5">
        <v>46282</v>
      </c>
      <c r="F3170" t="s">
        <v>204</v>
      </c>
      <c r="G3170" t="s">
        <v>220</v>
      </c>
      <c r="H3170">
        <v>7999</v>
      </c>
      <c r="I3170">
        <v>24</v>
      </c>
      <c r="J3170">
        <v>4.32</v>
      </c>
      <c r="K3170">
        <v>7970.68</v>
      </c>
      <c r="L3170" s="5">
        <v>46284</v>
      </c>
      <c r="M3170" t="s">
        <v>6722</v>
      </c>
      <c r="N3170" t="s">
        <v>207</v>
      </c>
      <c r="O3170" t="s">
        <v>6965</v>
      </c>
      <c r="P3170" t="s">
        <v>208</v>
      </c>
      <c r="Q3170" t="s">
        <v>209</v>
      </c>
    </row>
    <row r="3171" spans="1:17" x14ac:dyDescent="0.3">
      <c r="A3171" t="s">
        <v>6966</v>
      </c>
      <c r="C3171" t="s">
        <v>6967</v>
      </c>
      <c r="D3171" t="s">
        <v>6967</v>
      </c>
      <c r="E3171" s="5">
        <v>46282</v>
      </c>
      <c r="F3171" t="s">
        <v>204</v>
      </c>
      <c r="G3171" t="s">
        <v>220</v>
      </c>
      <c r="H3171">
        <v>1798</v>
      </c>
      <c r="I3171">
        <v>0</v>
      </c>
      <c r="J3171">
        <v>0</v>
      </c>
      <c r="K3171">
        <v>1798</v>
      </c>
      <c r="L3171" s="5">
        <v>46284</v>
      </c>
      <c r="M3171" t="s">
        <v>6722</v>
      </c>
      <c r="N3171" t="s">
        <v>207</v>
      </c>
      <c r="O3171" t="s">
        <v>6967</v>
      </c>
      <c r="P3171" t="s">
        <v>208</v>
      </c>
      <c r="Q3171" t="s">
        <v>209</v>
      </c>
    </row>
    <row r="3172" spans="1:17" x14ac:dyDescent="0.3">
      <c r="A3172" t="s">
        <v>6968</v>
      </c>
      <c r="C3172" t="s">
        <v>6969</v>
      </c>
      <c r="D3172" t="s">
        <v>6970</v>
      </c>
      <c r="E3172" s="5">
        <v>46282</v>
      </c>
      <c r="F3172" t="s">
        <v>204</v>
      </c>
      <c r="G3172" t="s">
        <v>220</v>
      </c>
      <c r="H3172">
        <v>1299</v>
      </c>
      <c r="I3172">
        <v>0</v>
      </c>
      <c r="J3172">
        <v>0</v>
      </c>
      <c r="K3172">
        <v>1299</v>
      </c>
      <c r="L3172" s="5">
        <v>46284</v>
      </c>
      <c r="M3172" t="s">
        <v>6722</v>
      </c>
      <c r="N3172" t="s">
        <v>207</v>
      </c>
      <c r="O3172" t="s">
        <v>6970</v>
      </c>
      <c r="P3172" t="s">
        <v>208</v>
      </c>
      <c r="Q3172" t="s">
        <v>209</v>
      </c>
    </row>
    <row r="3173" spans="1:17" x14ac:dyDescent="0.3">
      <c r="A3173" t="s">
        <v>6971</v>
      </c>
      <c r="C3173" t="s">
        <v>6972</v>
      </c>
      <c r="D3173" t="s">
        <v>6972</v>
      </c>
      <c r="E3173" s="5">
        <v>46282</v>
      </c>
      <c r="F3173" t="s">
        <v>204</v>
      </c>
      <c r="G3173" t="s">
        <v>213</v>
      </c>
      <c r="H3173">
        <v>3098</v>
      </c>
      <c r="I3173">
        <v>49.57</v>
      </c>
      <c r="J3173">
        <v>8.92</v>
      </c>
      <c r="K3173">
        <v>3039.51</v>
      </c>
      <c r="L3173" s="5">
        <v>46284</v>
      </c>
      <c r="M3173" t="s">
        <v>6722</v>
      </c>
      <c r="N3173" t="s">
        <v>207</v>
      </c>
      <c r="O3173" t="s">
        <v>6972</v>
      </c>
      <c r="P3173" t="s">
        <v>208</v>
      </c>
      <c r="Q3173" t="s">
        <v>209</v>
      </c>
    </row>
    <row r="3174" spans="1:17" x14ac:dyDescent="0.3">
      <c r="A3174" t="s">
        <v>6973</v>
      </c>
      <c r="C3174" t="s">
        <v>6974</v>
      </c>
      <c r="D3174" t="s">
        <v>6974</v>
      </c>
      <c r="E3174" s="5">
        <v>46282</v>
      </c>
      <c r="F3174" t="s">
        <v>204</v>
      </c>
      <c r="G3174" t="s">
        <v>220</v>
      </c>
      <c r="H3174">
        <v>2499</v>
      </c>
      <c r="I3174">
        <v>7.5</v>
      </c>
      <c r="J3174">
        <v>1.35</v>
      </c>
      <c r="K3174">
        <v>2490.15</v>
      </c>
      <c r="L3174" s="5">
        <v>46284</v>
      </c>
      <c r="M3174" t="s">
        <v>6722</v>
      </c>
      <c r="N3174" t="s">
        <v>207</v>
      </c>
      <c r="O3174" t="s">
        <v>6974</v>
      </c>
      <c r="P3174" t="s">
        <v>208</v>
      </c>
      <c r="Q3174" t="s">
        <v>209</v>
      </c>
    </row>
    <row r="3175" spans="1:17" x14ac:dyDescent="0.3">
      <c r="A3175" t="s">
        <v>6975</v>
      </c>
      <c r="C3175" t="s">
        <v>6976</v>
      </c>
      <c r="D3175" t="s">
        <v>6976</v>
      </c>
      <c r="E3175" s="5">
        <v>46282</v>
      </c>
      <c r="F3175" t="s">
        <v>204</v>
      </c>
      <c r="G3175" t="s">
        <v>220</v>
      </c>
      <c r="H3175">
        <v>1799</v>
      </c>
      <c r="I3175">
        <v>0</v>
      </c>
      <c r="J3175">
        <v>0</v>
      </c>
      <c r="K3175">
        <v>1799</v>
      </c>
      <c r="L3175" s="5">
        <v>46284</v>
      </c>
      <c r="M3175" t="s">
        <v>6722</v>
      </c>
      <c r="N3175" t="s">
        <v>207</v>
      </c>
      <c r="O3175" t="s">
        <v>6976</v>
      </c>
      <c r="P3175" t="s">
        <v>208</v>
      </c>
      <c r="Q3175" t="s">
        <v>209</v>
      </c>
    </row>
    <row r="3176" spans="1:17" x14ac:dyDescent="0.3">
      <c r="A3176" t="s">
        <v>6977</v>
      </c>
      <c r="C3176" t="s">
        <v>6978</v>
      </c>
      <c r="D3176" t="s">
        <v>6978</v>
      </c>
      <c r="E3176" s="5">
        <v>46282</v>
      </c>
      <c r="F3176" t="s">
        <v>204</v>
      </c>
      <c r="G3176" t="s">
        <v>220</v>
      </c>
      <c r="H3176">
        <v>999</v>
      </c>
      <c r="I3176">
        <v>0</v>
      </c>
      <c r="J3176">
        <v>0</v>
      </c>
      <c r="K3176">
        <v>999</v>
      </c>
      <c r="L3176" s="5">
        <v>46284</v>
      </c>
      <c r="M3176" t="s">
        <v>6722</v>
      </c>
      <c r="N3176" t="s">
        <v>207</v>
      </c>
      <c r="O3176" t="s">
        <v>6978</v>
      </c>
      <c r="P3176" t="s">
        <v>208</v>
      </c>
      <c r="Q3176" t="s">
        <v>209</v>
      </c>
    </row>
    <row r="3177" spans="1:17" x14ac:dyDescent="0.3">
      <c r="A3177" t="s">
        <v>6979</v>
      </c>
      <c r="C3177" t="s">
        <v>6980</v>
      </c>
      <c r="D3177" t="s">
        <v>6980</v>
      </c>
      <c r="E3177" s="5">
        <v>46282</v>
      </c>
      <c r="F3177" t="s">
        <v>204</v>
      </c>
      <c r="G3177" t="s">
        <v>213</v>
      </c>
      <c r="H3177">
        <v>4999</v>
      </c>
      <c r="I3177">
        <v>79.98</v>
      </c>
      <c r="J3177">
        <v>14.4</v>
      </c>
      <c r="K3177">
        <v>4904.62</v>
      </c>
      <c r="L3177" s="5">
        <v>46284</v>
      </c>
      <c r="M3177" t="s">
        <v>6722</v>
      </c>
      <c r="N3177" t="s">
        <v>207</v>
      </c>
      <c r="O3177" t="s">
        <v>6980</v>
      </c>
      <c r="P3177" t="s">
        <v>208</v>
      </c>
      <c r="Q3177" t="s">
        <v>209</v>
      </c>
    </row>
    <row r="3178" spans="1:17" x14ac:dyDescent="0.3">
      <c r="A3178" t="s">
        <v>6981</v>
      </c>
      <c r="C3178" t="s">
        <v>6982</v>
      </c>
      <c r="D3178" t="s">
        <v>6982</v>
      </c>
      <c r="E3178" s="5">
        <v>46282</v>
      </c>
      <c r="F3178" t="s">
        <v>204</v>
      </c>
      <c r="G3178" t="s">
        <v>213</v>
      </c>
      <c r="H3178">
        <v>2848</v>
      </c>
      <c r="I3178">
        <v>45.57</v>
      </c>
      <c r="J3178">
        <v>8.1999999999999993</v>
      </c>
      <c r="K3178">
        <v>2794.23</v>
      </c>
      <c r="L3178" s="5">
        <v>46284</v>
      </c>
      <c r="M3178" t="s">
        <v>6722</v>
      </c>
      <c r="N3178" t="s">
        <v>207</v>
      </c>
      <c r="O3178" t="s">
        <v>6982</v>
      </c>
      <c r="P3178" t="s">
        <v>208</v>
      </c>
      <c r="Q3178" t="s">
        <v>209</v>
      </c>
    </row>
    <row r="3179" spans="1:17" x14ac:dyDescent="0.3">
      <c r="A3179" t="s">
        <v>6983</v>
      </c>
      <c r="C3179" t="s">
        <v>6984</v>
      </c>
      <c r="D3179" t="s">
        <v>6984</v>
      </c>
      <c r="E3179" s="5">
        <v>46282</v>
      </c>
      <c r="F3179" t="s">
        <v>204</v>
      </c>
      <c r="G3179" t="s">
        <v>220</v>
      </c>
      <c r="H3179">
        <v>4999</v>
      </c>
      <c r="I3179">
        <v>15</v>
      </c>
      <c r="J3179">
        <v>2.7</v>
      </c>
      <c r="K3179">
        <v>4981.3</v>
      </c>
      <c r="L3179" s="5">
        <v>46284</v>
      </c>
      <c r="M3179" t="s">
        <v>6722</v>
      </c>
      <c r="N3179" t="s">
        <v>207</v>
      </c>
      <c r="O3179" t="s">
        <v>6984</v>
      </c>
      <c r="P3179" t="s">
        <v>208</v>
      </c>
      <c r="Q3179" t="s">
        <v>209</v>
      </c>
    </row>
    <row r="3180" spans="1:17" x14ac:dyDescent="0.3">
      <c r="A3180" t="s">
        <v>6985</v>
      </c>
      <c r="C3180" t="s">
        <v>6986</v>
      </c>
      <c r="D3180" t="s">
        <v>6986</v>
      </c>
      <c r="E3180" s="5">
        <v>46282</v>
      </c>
      <c r="F3180" t="s">
        <v>204</v>
      </c>
      <c r="G3180" t="s">
        <v>213</v>
      </c>
      <c r="H3180">
        <v>499</v>
      </c>
      <c r="I3180">
        <v>8.98</v>
      </c>
      <c r="J3180">
        <v>1.62</v>
      </c>
      <c r="K3180">
        <v>488.4</v>
      </c>
      <c r="L3180" s="5">
        <v>46284</v>
      </c>
      <c r="M3180" t="s">
        <v>6722</v>
      </c>
      <c r="N3180" t="s">
        <v>207</v>
      </c>
      <c r="O3180" t="s">
        <v>6986</v>
      </c>
      <c r="P3180" t="s">
        <v>208</v>
      </c>
      <c r="Q3180" t="s">
        <v>209</v>
      </c>
    </row>
    <row r="3181" spans="1:17" x14ac:dyDescent="0.3">
      <c r="A3181" t="s">
        <v>6987</v>
      </c>
      <c r="C3181" t="s">
        <v>6988</v>
      </c>
      <c r="D3181" t="s">
        <v>6988</v>
      </c>
      <c r="E3181" s="5">
        <v>46282</v>
      </c>
      <c r="F3181" t="s">
        <v>204</v>
      </c>
      <c r="G3181" t="s">
        <v>220</v>
      </c>
      <c r="H3181">
        <v>4597</v>
      </c>
      <c r="I3181">
        <v>13.79</v>
      </c>
      <c r="J3181">
        <v>2.48</v>
      </c>
      <c r="K3181">
        <v>4580.7299999999996</v>
      </c>
      <c r="L3181" s="5">
        <v>46284</v>
      </c>
      <c r="M3181" t="s">
        <v>6722</v>
      </c>
      <c r="N3181" t="s">
        <v>207</v>
      </c>
      <c r="O3181" t="s">
        <v>6988</v>
      </c>
      <c r="P3181" t="s">
        <v>208</v>
      </c>
      <c r="Q3181" t="s">
        <v>209</v>
      </c>
    </row>
    <row r="3182" spans="1:17" x14ac:dyDescent="0.3">
      <c r="A3182" t="s">
        <v>6989</v>
      </c>
      <c r="C3182" t="s">
        <v>6990</v>
      </c>
      <c r="D3182" t="s">
        <v>6990</v>
      </c>
      <c r="E3182" s="5">
        <v>46282</v>
      </c>
      <c r="F3182" t="s">
        <v>204</v>
      </c>
      <c r="G3182" t="s">
        <v>220</v>
      </c>
      <c r="H3182">
        <v>5498</v>
      </c>
      <c r="I3182">
        <v>16.489999999999998</v>
      </c>
      <c r="J3182">
        <v>2.97</v>
      </c>
      <c r="K3182">
        <v>5478.54</v>
      </c>
      <c r="L3182" s="5">
        <v>46284</v>
      </c>
      <c r="M3182" t="s">
        <v>6722</v>
      </c>
      <c r="N3182" t="s">
        <v>207</v>
      </c>
      <c r="O3182" t="s">
        <v>6990</v>
      </c>
      <c r="P3182" t="s">
        <v>208</v>
      </c>
      <c r="Q3182" t="s">
        <v>209</v>
      </c>
    </row>
    <row r="3183" spans="1:17" x14ac:dyDescent="0.3">
      <c r="A3183" t="s">
        <v>6991</v>
      </c>
      <c r="C3183" t="s">
        <v>6992</v>
      </c>
      <c r="D3183" t="s">
        <v>6992</v>
      </c>
      <c r="E3183" s="5">
        <v>46282</v>
      </c>
      <c r="F3183" t="s">
        <v>204</v>
      </c>
      <c r="G3183" t="s">
        <v>213</v>
      </c>
      <c r="H3183">
        <v>10597</v>
      </c>
      <c r="I3183">
        <v>169.55</v>
      </c>
      <c r="J3183">
        <v>30.52</v>
      </c>
      <c r="K3183">
        <v>10396.93</v>
      </c>
      <c r="L3183" s="5">
        <v>46284</v>
      </c>
      <c r="M3183" t="s">
        <v>6722</v>
      </c>
      <c r="N3183" t="s">
        <v>207</v>
      </c>
      <c r="O3183" t="s">
        <v>6992</v>
      </c>
      <c r="P3183" t="s">
        <v>208</v>
      </c>
      <c r="Q3183" t="s">
        <v>209</v>
      </c>
    </row>
    <row r="3184" spans="1:17" x14ac:dyDescent="0.3">
      <c r="A3184" t="s">
        <v>6993</v>
      </c>
      <c r="C3184" t="s">
        <v>6994</v>
      </c>
      <c r="D3184" t="s">
        <v>6994</v>
      </c>
      <c r="E3184" s="5">
        <v>46282</v>
      </c>
      <c r="F3184" t="s">
        <v>204</v>
      </c>
      <c r="G3184" t="s">
        <v>220</v>
      </c>
      <c r="H3184">
        <v>1397</v>
      </c>
      <c r="I3184">
        <v>0</v>
      </c>
      <c r="J3184">
        <v>0</v>
      </c>
      <c r="K3184">
        <v>1397</v>
      </c>
      <c r="L3184" s="5">
        <v>46284</v>
      </c>
      <c r="M3184" t="s">
        <v>6722</v>
      </c>
      <c r="N3184" t="s">
        <v>207</v>
      </c>
      <c r="O3184" t="s">
        <v>6994</v>
      </c>
      <c r="P3184" t="s">
        <v>208</v>
      </c>
      <c r="Q3184" t="s">
        <v>209</v>
      </c>
    </row>
    <row r="3185" spans="1:17" x14ac:dyDescent="0.3">
      <c r="A3185" t="s">
        <v>6995</v>
      </c>
      <c r="C3185" t="s">
        <v>6996</v>
      </c>
      <c r="D3185" t="s">
        <v>6996</v>
      </c>
      <c r="E3185" s="5">
        <v>46282</v>
      </c>
      <c r="F3185" t="s">
        <v>204</v>
      </c>
      <c r="G3185" t="s">
        <v>213</v>
      </c>
      <c r="H3185">
        <v>4999</v>
      </c>
      <c r="I3185">
        <v>79.98</v>
      </c>
      <c r="J3185">
        <v>14.4</v>
      </c>
      <c r="K3185">
        <v>4904.62</v>
      </c>
      <c r="L3185" s="5">
        <v>46284</v>
      </c>
      <c r="M3185" t="s">
        <v>6722</v>
      </c>
      <c r="N3185" t="s">
        <v>207</v>
      </c>
      <c r="O3185" t="s">
        <v>6996</v>
      </c>
      <c r="P3185" t="s">
        <v>208</v>
      </c>
      <c r="Q3185" t="s">
        <v>209</v>
      </c>
    </row>
    <row r="3186" spans="1:17" x14ac:dyDescent="0.3">
      <c r="A3186" t="s">
        <v>6997</v>
      </c>
      <c r="C3186" t="s">
        <v>6998</v>
      </c>
      <c r="D3186" t="s">
        <v>6999</v>
      </c>
      <c r="E3186" s="5">
        <v>46282</v>
      </c>
      <c r="F3186" t="s">
        <v>204</v>
      </c>
      <c r="G3186" t="s">
        <v>220</v>
      </c>
      <c r="H3186">
        <v>499</v>
      </c>
      <c r="I3186">
        <v>0</v>
      </c>
      <c r="J3186">
        <v>0</v>
      </c>
      <c r="K3186">
        <v>499</v>
      </c>
      <c r="L3186" s="5">
        <v>46284</v>
      </c>
      <c r="M3186" t="s">
        <v>6722</v>
      </c>
      <c r="N3186" t="s">
        <v>207</v>
      </c>
      <c r="O3186" t="s">
        <v>6999</v>
      </c>
      <c r="P3186" t="s">
        <v>208</v>
      </c>
      <c r="Q3186" t="s">
        <v>209</v>
      </c>
    </row>
    <row r="3187" spans="1:17" x14ac:dyDescent="0.3">
      <c r="A3187" t="s">
        <v>7000</v>
      </c>
      <c r="C3187" t="s">
        <v>7001</v>
      </c>
      <c r="D3187" t="s">
        <v>7001</v>
      </c>
      <c r="E3187" s="5">
        <v>46282</v>
      </c>
      <c r="F3187" t="s">
        <v>204</v>
      </c>
      <c r="G3187" t="s">
        <v>220</v>
      </c>
      <c r="H3187">
        <v>1299</v>
      </c>
      <c r="I3187">
        <v>0</v>
      </c>
      <c r="J3187">
        <v>0</v>
      </c>
      <c r="K3187">
        <v>1299</v>
      </c>
      <c r="L3187" s="5">
        <v>46284</v>
      </c>
      <c r="M3187" t="s">
        <v>6722</v>
      </c>
      <c r="N3187" t="s">
        <v>207</v>
      </c>
      <c r="O3187" t="s">
        <v>7001</v>
      </c>
      <c r="P3187" t="s">
        <v>208</v>
      </c>
      <c r="Q3187" t="s">
        <v>209</v>
      </c>
    </row>
    <row r="3188" spans="1:17" x14ac:dyDescent="0.3">
      <c r="A3188" t="s">
        <v>7002</v>
      </c>
      <c r="C3188" t="s">
        <v>7003</v>
      </c>
      <c r="D3188" t="s">
        <v>7003</v>
      </c>
      <c r="E3188" s="5">
        <v>46282</v>
      </c>
      <c r="F3188" t="s">
        <v>204</v>
      </c>
      <c r="G3188" t="s">
        <v>213</v>
      </c>
      <c r="H3188">
        <v>4999</v>
      </c>
      <c r="I3188">
        <v>79.98</v>
      </c>
      <c r="J3188">
        <v>14.4</v>
      </c>
      <c r="K3188">
        <v>4904.62</v>
      </c>
      <c r="L3188" s="5">
        <v>46284</v>
      </c>
      <c r="M3188" t="s">
        <v>6722</v>
      </c>
      <c r="N3188" t="s">
        <v>207</v>
      </c>
      <c r="O3188" t="s">
        <v>7003</v>
      </c>
      <c r="P3188" t="s">
        <v>208</v>
      </c>
      <c r="Q3188" t="s">
        <v>209</v>
      </c>
    </row>
    <row r="3189" spans="1:17" x14ac:dyDescent="0.3">
      <c r="A3189" t="s">
        <v>7004</v>
      </c>
      <c r="C3189" t="s">
        <v>7005</v>
      </c>
      <c r="D3189" t="s">
        <v>7005</v>
      </c>
      <c r="E3189" s="5">
        <v>46282</v>
      </c>
      <c r="F3189" t="s">
        <v>204</v>
      </c>
      <c r="G3189" t="s">
        <v>220</v>
      </c>
      <c r="H3189">
        <v>6497</v>
      </c>
      <c r="I3189">
        <v>19.489999999999998</v>
      </c>
      <c r="J3189">
        <v>3.51</v>
      </c>
      <c r="K3189">
        <v>6474</v>
      </c>
      <c r="L3189" s="5">
        <v>46284</v>
      </c>
      <c r="M3189" t="s">
        <v>6722</v>
      </c>
      <c r="N3189" t="s">
        <v>207</v>
      </c>
      <c r="O3189" t="s">
        <v>7005</v>
      </c>
      <c r="P3189" t="s">
        <v>208</v>
      </c>
      <c r="Q3189" t="s">
        <v>209</v>
      </c>
    </row>
    <row r="3190" spans="1:17" x14ac:dyDescent="0.3">
      <c r="A3190" t="s">
        <v>7006</v>
      </c>
      <c r="C3190" t="s">
        <v>7007</v>
      </c>
      <c r="D3190" t="s">
        <v>7007</v>
      </c>
      <c r="E3190" s="5">
        <v>46282</v>
      </c>
      <c r="F3190" t="s">
        <v>204</v>
      </c>
      <c r="G3190" t="s">
        <v>255</v>
      </c>
      <c r="H3190">
        <v>599</v>
      </c>
      <c r="I3190">
        <v>8.99</v>
      </c>
      <c r="J3190">
        <v>1.62</v>
      </c>
      <c r="K3190">
        <v>588.39</v>
      </c>
      <c r="L3190" s="5">
        <v>46284</v>
      </c>
      <c r="M3190" t="s">
        <v>6722</v>
      </c>
      <c r="N3190" t="s">
        <v>207</v>
      </c>
      <c r="O3190" t="s">
        <v>7007</v>
      </c>
      <c r="P3190" t="s">
        <v>208</v>
      </c>
      <c r="Q3190" t="s">
        <v>209</v>
      </c>
    </row>
    <row r="3191" spans="1:17" x14ac:dyDescent="0.3">
      <c r="A3191" t="s">
        <v>7008</v>
      </c>
      <c r="C3191" t="s">
        <v>7009</v>
      </c>
      <c r="D3191" t="s">
        <v>7009</v>
      </c>
      <c r="E3191" s="5">
        <v>46282</v>
      </c>
      <c r="F3191" t="s">
        <v>204</v>
      </c>
      <c r="G3191" t="s">
        <v>255</v>
      </c>
      <c r="H3191">
        <v>3499</v>
      </c>
      <c r="I3191">
        <v>41.99</v>
      </c>
      <c r="J3191">
        <v>7.56</v>
      </c>
      <c r="K3191">
        <v>3449.45</v>
      </c>
      <c r="L3191" s="5">
        <v>46284</v>
      </c>
      <c r="M3191" t="s">
        <v>6722</v>
      </c>
      <c r="N3191" t="s">
        <v>207</v>
      </c>
      <c r="O3191" t="s">
        <v>7009</v>
      </c>
      <c r="P3191" t="s">
        <v>208</v>
      </c>
      <c r="Q3191" t="s">
        <v>209</v>
      </c>
    </row>
    <row r="3192" spans="1:17" x14ac:dyDescent="0.3">
      <c r="A3192" t="s">
        <v>7010</v>
      </c>
      <c r="C3192" t="s">
        <v>7011</v>
      </c>
      <c r="D3192" t="s">
        <v>7012</v>
      </c>
      <c r="E3192" s="5">
        <v>46282</v>
      </c>
      <c r="F3192" t="s">
        <v>204</v>
      </c>
      <c r="G3192" t="s">
        <v>220</v>
      </c>
      <c r="H3192">
        <v>999</v>
      </c>
      <c r="I3192">
        <v>0</v>
      </c>
      <c r="J3192">
        <v>0</v>
      </c>
      <c r="K3192">
        <v>999</v>
      </c>
      <c r="L3192" s="5">
        <v>46284</v>
      </c>
      <c r="M3192" t="s">
        <v>6722</v>
      </c>
      <c r="N3192" t="s">
        <v>207</v>
      </c>
      <c r="O3192" t="s">
        <v>7012</v>
      </c>
      <c r="P3192" t="s">
        <v>208</v>
      </c>
      <c r="Q3192" t="s">
        <v>209</v>
      </c>
    </row>
    <row r="3193" spans="1:17" x14ac:dyDescent="0.3">
      <c r="A3193" t="s">
        <v>7013</v>
      </c>
      <c r="C3193" t="s">
        <v>7014</v>
      </c>
      <c r="D3193" t="s">
        <v>7014</v>
      </c>
      <c r="E3193" s="5">
        <v>46282</v>
      </c>
      <c r="F3193" t="s">
        <v>204</v>
      </c>
      <c r="G3193" t="s">
        <v>220</v>
      </c>
      <c r="H3193">
        <v>2998</v>
      </c>
      <c r="I3193">
        <v>8.99</v>
      </c>
      <c r="J3193">
        <v>1.62</v>
      </c>
      <c r="K3193">
        <v>2987.39</v>
      </c>
      <c r="L3193" s="5">
        <v>46284</v>
      </c>
      <c r="M3193" t="s">
        <v>6722</v>
      </c>
      <c r="N3193" t="s">
        <v>207</v>
      </c>
      <c r="O3193" t="s">
        <v>7014</v>
      </c>
      <c r="P3193" t="s">
        <v>208</v>
      </c>
      <c r="Q3193" t="s">
        <v>209</v>
      </c>
    </row>
    <row r="3194" spans="1:17" x14ac:dyDescent="0.3">
      <c r="A3194" t="s">
        <v>7015</v>
      </c>
      <c r="C3194" t="s">
        <v>7016</v>
      </c>
      <c r="D3194" t="s">
        <v>7016</v>
      </c>
      <c r="E3194" s="5">
        <v>46282</v>
      </c>
      <c r="F3194" t="s">
        <v>204</v>
      </c>
      <c r="G3194" t="s">
        <v>220</v>
      </c>
      <c r="H3194">
        <v>1299</v>
      </c>
      <c r="I3194">
        <v>0</v>
      </c>
      <c r="J3194">
        <v>0</v>
      </c>
      <c r="K3194">
        <v>1299</v>
      </c>
      <c r="L3194" s="5">
        <v>46284</v>
      </c>
      <c r="M3194" t="s">
        <v>6722</v>
      </c>
      <c r="N3194" t="s">
        <v>207</v>
      </c>
      <c r="O3194" t="s">
        <v>7016</v>
      </c>
      <c r="P3194" t="s">
        <v>208</v>
      </c>
      <c r="Q3194" t="s">
        <v>209</v>
      </c>
    </row>
    <row r="3195" spans="1:17" x14ac:dyDescent="0.3">
      <c r="A3195" t="s">
        <v>7017</v>
      </c>
      <c r="C3195" t="s">
        <v>7018</v>
      </c>
      <c r="D3195" t="s">
        <v>7019</v>
      </c>
      <c r="E3195" s="5">
        <v>46282</v>
      </c>
      <c r="F3195" t="s">
        <v>204</v>
      </c>
      <c r="G3195" t="s">
        <v>220</v>
      </c>
      <c r="H3195">
        <v>4999</v>
      </c>
      <c r="I3195">
        <v>15</v>
      </c>
      <c r="J3195">
        <v>2.7</v>
      </c>
      <c r="K3195">
        <v>4981.3</v>
      </c>
      <c r="L3195" s="5">
        <v>46284</v>
      </c>
      <c r="M3195" t="s">
        <v>6722</v>
      </c>
      <c r="N3195" t="s">
        <v>207</v>
      </c>
      <c r="O3195" t="s">
        <v>7019</v>
      </c>
      <c r="P3195" t="s">
        <v>208</v>
      </c>
      <c r="Q3195" t="s">
        <v>209</v>
      </c>
    </row>
    <row r="3196" spans="1:17" x14ac:dyDescent="0.3">
      <c r="A3196" t="s">
        <v>7020</v>
      </c>
      <c r="C3196" t="s">
        <v>7021</v>
      </c>
      <c r="D3196" t="s">
        <v>7022</v>
      </c>
      <c r="E3196" s="5">
        <v>46282</v>
      </c>
      <c r="F3196" t="s">
        <v>204</v>
      </c>
      <c r="G3196" t="s">
        <v>213</v>
      </c>
      <c r="H3196">
        <v>4647</v>
      </c>
      <c r="I3196">
        <v>74.349999999999994</v>
      </c>
      <c r="J3196">
        <v>13.38</v>
      </c>
      <c r="K3196">
        <v>4559.2700000000004</v>
      </c>
      <c r="L3196" s="5">
        <v>46284</v>
      </c>
      <c r="M3196" t="s">
        <v>6722</v>
      </c>
      <c r="N3196" t="s">
        <v>207</v>
      </c>
      <c r="O3196" t="s">
        <v>7022</v>
      </c>
      <c r="P3196" t="s">
        <v>208</v>
      </c>
      <c r="Q3196" t="s">
        <v>209</v>
      </c>
    </row>
    <row r="3197" spans="1:17" x14ac:dyDescent="0.3">
      <c r="A3197" t="s">
        <v>7023</v>
      </c>
      <c r="C3197" t="s">
        <v>7024</v>
      </c>
      <c r="D3197" t="s">
        <v>7024</v>
      </c>
      <c r="E3197" s="5">
        <v>46282</v>
      </c>
      <c r="F3197" t="s">
        <v>204</v>
      </c>
      <c r="G3197" t="s">
        <v>220</v>
      </c>
      <c r="H3197">
        <v>2499</v>
      </c>
      <c r="I3197">
        <v>7.5</v>
      </c>
      <c r="J3197">
        <v>1.35</v>
      </c>
      <c r="K3197">
        <v>2490.15</v>
      </c>
      <c r="L3197" s="5">
        <v>46284</v>
      </c>
      <c r="M3197" t="s">
        <v>6722</v>
      </c>
      <c r="N3197" t="s">
        <v>207</v>
      </c>
      <c r="O3197" t="s">
        <v>7024</v>
      </c>
      <c r="P3197" t="s">
        <v>208</v>
      </c>
      <c r="Q3197" t="s">
        <v>209</v>
      </c>
    </row>
    <row r="3198" spans="1:17" x14ac:dyDescent="0.3">
      <c r="A3198" t="s">
        <v>7025</v>
      </c>
      <c r="C3198" t="s">
        <v>7026</v>
      </c>
      <c r="D3198" t="s">
        <v>7026</v>
      </c>
      <c r="E3198" s="5">
        <v>46282</v>
      </c>
      <c r="F3198" t="s">
        <v>204</v>
      </c>
      <c r="G3198" t="s">
        <v>255</v>
      </c>
      <c r="H3198">
        <v>2999</v>
      </c>
      <c r="I3198">
        <v>35.99</v>
      </c>
      <c r="J3198">
        <v>6.48</v>
      </c>
      <c r="K3198">
        <v>2956.53</v>
      </c>
      <c r="L3198" s="5">
        <v>46284</v>
      </c>
      <c r="M3198" t="s">
        <v>6722</v>
      </c>
      <c r="N3198" t="s">
        <v>207</v>
      </c>
      <c r="O3198" t="s">
        <v>7026</v>
      </c>
      <c r="P3198" t="s">
        <v>208</v>
      </c>
      <c r="Q3198" t="s">
        <v>209</v>
      </c>
    </row>
    <row r="3199" spans="1:17" x14ac:dyDescent="0.3">
      <c r="A3199" t="s">
        <v>7027</v>
      </c>
      <c r="C3199" t="s">
        <v>7028</v>
      </c>
      <c r="D3199" t="s">
        <v>7028</v>
      </c>
      <c r="E3199" s="5">
        <v>46282</v>
      </c>
      <c r="F3199" t="s">
        <v>204</v>
      </c>
      <c r="G3199" t="s">
        <v>213</v>
      </c>
      <c r="H3199">
        <v>799</v>
      </c>
      <c r="I3199">
        <v>14.38</v>
      </c>
      <c r="J3199">
        <v>2.59</v>
      </c>
      <c r="K3199">
        <v>782.03</v>
      </c>
      <c r="L3199" s="5">
        <v>46284</v>
      </c>
      <c r="M3199" t="s">
        <v>6722</v>
      </c>
      <c r="N3199" t="s">
        <v>207</v>
      </c>
      <c r="O3199" t="s">
        <v>7028</v>
      </c>
      <c r="P3199" t="s">
        <v>208</v>
      </c>
      <c r="Q3199" t="s">
        <v>209</v>
      </c>
    </row>
    <row r="3200" spans="1:17" x14ac:dyDescent="0.3">
      <c r="A3200" t="s">
        <v>7029</v>
      </c>
      <c r="C3200" t="s">
        <v>7030</v>
      </c>
      <c r="D3200" t="s">
        <v>7030</v>
      </c>
      <c r="E3200" s="5">
        <v>46282</v>
      </c>
      <c r="F3200" t="s">
        <v>204</v>
      </c>
      <c r="G3200" t="s">
        <v>205</v>
      </c>
      <c r="H3200">
        <v>3499</v>
      </c>
      <c r="I3200">
        <v>59.48</v>
      </c>
      <c r="J3200">
        <v>10.71</v>
      </c>
      <c r="K3200">
        <v>3428.81</v>
      </c>
      <c r="L3200" s="5">
        <v>46284</v>
      </c>
      <c r="M3200" t="s">
        <v>6722</v>
      </c>
      <c r="N3200" t="s">
        <v>207</v>
      </c>
      <c r="O3200" t="s">
        <v>7030</v>
      </c>
      <c r="P3200" t="s">
        <v>208</v>
      </c>
      <c r="Q3200" t="s">
        <v>209</v>
      </c>
    </row>
    <row r="3201" spans="1:17" x14ac:dyDescent="0.3">
      <c r="A3201" t="s">
        <v>7031</v>
      </c>
      <c r="C3201" t="s">
        <v>7032</v>
      </c>
      <c r="D3201" t="s">
        <v>7033</v>
      </c>
      <c r="E3201" s="5">
        <v>46282</v>
      </c>
      <c r="F3201" t="s">
        <v>204</v>
      </c>
      <c r="G3201" t="s">
        <v>220</v>
      </c>
      <c r="H3201">
        <v>7999</v>
      </c>
      <c r="I3201">
        <v>24</v>
      </c>
      <c r="J3201">
        <v>4.32</v>
      </c>
      <c r="K3201">
        <v>7970.68</v>
      </c>
      <c r="L3201" s="5">
        <v>46284</v>
      </c>
      <c r="M3201" t="s">
        <v>6722</v>
      </c>
      <c r="N3201" t="s">
        <v>207</v>
      </c>
      <c r="O3201" t="s">
        <v>7033</v>
      </c>
      <c r="P3201" t="s">
        <v>208</v>
      </c>
      <c r="Q3201" t="s">
        <v>209</v>
      </c>
    </row>
    <row r="3202" spans="1:17" x14ac:dyDescent="0.3">
      <c r="A3202" t="s">
        <v>7034</v>
      </c>
      <c r="C3202" t="s">
        <v>7035</v>
      </c>
      <c r="D3202" t="s">
        <v>7035</v>
      </c>
      <c r="E3202" s="5">
        <v>46282</v>
      </c>
      <c r="F3202" t="s">
        <v>204</v>
      </c>
      <c r="G3202" t="s">
        <v>255</v>
      </c>
      <c r="H3202">
        <v>5297</v>
      </c>
      <c r="I3202">
        <v>63.56</v>
      </c>
      <c r="J3202">
        <v>11.44</v>
      </c>
      <c r="K3202">
        <v>5222</v>
      </c>
      <c r="L3202" s="5">
        <v>46284</v>
      </c>
      <c r="M3202" t="s">
        <v>6722</v>
      </c>
      <c r="N3202" t="s">
        <v>207</v>
      </c>
      <c r="O3202" t="s">
        <v>7035</v>
      </c>
      <c r="P3202" t="s">
        <v>208</v>
      </c>
      <c r="Q3202" t="s">
        <v>209</v>
      </c>
    </row>
    <row r="3203" spans="1:17" x14ac:dyDescent="0.3">
      <c r="A3203" t="s">
        <v>7036</v>
      </c>
      <c r="C3203" t="s">
        <v>7037</v>
      </c>
      <c r="D3203" t="s">
        <v>7037</v>
      </c>
      <c r="E3203" s="5">
        <v>46282</v>
      </c>
      <c r="F3203" t="s">
        <v>204</v>
      </c>
      <c r="G3203" t="s">
        <v>205</v>
      </c>
      <c r="H3203">
        <v>4097</v>
      </c>
      <c r="I3203">
        <v>69.650000000000006</v>
      </c>
      <c r="J3203">
        <v>12.54</v>
      </c>
      <c r="K3203">
        <v>4014.81</v>
      </c>
      <c r="L3203" s="5">
        <v>46284</v>
      </c>
      <c r="M3203" t="s">
        <v>6722</v>
      </c>
      <c r="N3203" t="s">
        <v>207</v>
      </c>
      <c r="O3203" t="s">
        <v>7037</v>
      </c>
      <c r="P3203" t="s">
        <v>208</v>
      </c>
      <c r="Q3203" t="s">
        <v>209</v>
      </c>
    </row>
    <row r="3204" spans="1:17" x14ac:dyDescent="0.3">
      <c r="A3204" t="s">
        <v>7038</v>
      </c>
      <c r="C3204" t="s">
        <v>7039</v>
      </c>
      <c r="D3204" t="s">
        <v>7039</v>
      </c>
      <c r="E3204" s="5">
        <v>46282</v>
      </c>
      <c r="F3204" t="s">
        <v>204</v>
      </c>
      <c r="G3204" t="s">
        <v>220</v>
      </c>
      <c r="H3204">
        <v>3598</v>
      </c>
      <c r="I3204">
        <v>10.79</v>
      </c>
      <c r="J3204">
        <v>1.94</v>
      </c>
      <c r="K3204">
        <v>3585.27</v>
      </c>
      <c r="L3204" s="5">
        <v>46284</v>
      </c>
      <c r="M3204" t="s">
        <v>6722</v>
      </c>
      <c r="N3204" t="s">
        <v>207</v>
      </c>
      <c r="O3204" t="s">
        <v>7039</v>
      </c>
      <c r="P3204" t="s">
        <v>208</v>
      </c>
      <c r="Q3204" t="s">
        <v>209</v>
      </c>
    </row>
    <row r="3205" spans="1:17" x14ac:dyDescent="0.3">
      <c r="A3205" t="s">
        <v>7040</v>
      </c>
      <c r="C3205" t="s">
        <v>7041</v>
      </c>
      <c r="D3205" t="s">
        <v>7041</v>
      </c>
      <c r="E3205" s="5">
        <v>46282</v>
      </c>
      <c r="F3205" t="s">
        <v>204</v>
      </c>
      <c r="G3205" t="s">
        <v>220</v>
      </c>
      <c r="H3205">
        <v>3298</v>
      </c>
      <c r="I3205">
        <v>9.89</v>
      </c>
      <c r="J3205">
        <v>1.78</v>
      </c>
      <c r="K3205">
        <v>3286.33</v>
      </c>
      <c r="L3205" s="5">
        <v>46284</v>
      </c>
      <c r="M3205" t="s">
        <v>6722</v>
      </c>
      <c r="N3205" t="s">
        <v>207</v>
      </c>
      <c r="O3205" t="s">
        <v>7041</v>
      </c>
      <c r="P3205" t="s">
        <v>208</v>
      </c>
      <c r="Q3205" t="s">
        <v>209</v>
      </c>
    </row>
    <row r="3206" spans="1:17" x14ac:dyDescent="0.3">
      <c r="A3206" t="s">
        <v>7042</v>
      </c>
      <c r="C3206" t="s">
        <v>7043</v>
      </c>
      <c r="D3206" t="s">
        <v>7043</v>
      </c>
      <c r="E3206" s="5">
        <v>46282</v>
      </c>
      <c r="F3206" t="s">
        <v>204</v>
      </c>
      <c r="G3206" t="s">
        <v>220</v>
      </c>
      <c r="H3206">
        <v>9998</v>
      </c>
      <c r="I3206">
        <v>29.99</v>
      </c>
      <c r="J3206">
        <v>5.4</v>
      </c>
      <c r="K3206">
        <v>9962.61</v>
      </c>
      <c r="L3206" s="5">
        <v>46284</v>
      </c>
      <c r="M3206" t="s">
        <v>6722</v>
      </c>
      <c r="N3206" t="s">
        <v>207</v>
      </c>
      <c r="O3206" t="s">
        <v>7043</v>
      </c>
      <c r="P3206" t="s">
        <v>208</v>
      </c>
      <c r="Q3206" t="s">
        <v>209</v>
      </c>
    </row>
    <row r="3207" spans="1:17" x14ac:dyDescent="0.3">
      <c r="A3207" t="s">
        <v>7044</v>
      </c>
      <c r="C3207" t="s">
        <v>7045</v>
      </c>
      <c r="D3207" t="s">
        <v>7045</v>
      </c>
      <c r="E3207" s="5">
        <v>46282</v>
      </c>
      <c r="F3207" t="s">
        <v>204</v>
      </c>
      <c r="G3207" t="s">
        <v>255</v>
      </c>
      <c r="H3207">
        <v>2298</v>
      </c>
      <c r="I3207">
        <v>27.58</v>
      </c>
      <c r="J3207">
        <v>4.96</v>
      </c>
      <c r="K3207">
        <v>2265.46</v>
      </c>
      <c r="L3207" s="5">
        <v>46284</v>
      </c>
      <c r="M3207" t="s">
        <v>6722</v>
      </c>
      <c r="N3207" t="s">
        <v>207</v>
      </c>
      <c r="O3207" t="s">
        <v>7045</v>
      </c>
      <c r="P3207" t="s">
        <v>208</v>
      </c>
      <c r="Q3207" t="s">
        <v>209</v>
      </c>
    </row>
    <row r="3208" spans="1:17" x14ac:dyDescent="0.3">
      <c r="A3208" t="s">
        <v>7046</v>
      </c>
      <c r="C3208" t="s">
        <v>7047</v>
      </c>
      <c r="D3208" t="s">
        <v>7048</v>
      </c>
      <c r="E3208" s="5">
        <v>46282</v>
      </c>
      <c r="F3208" t="s">
        <v>204</v>
      </c>
      <c r="G3208" t="s">
        <v>213</v>
      </c>
      <c r="H3208">
        <v>2499</v>
      </c>
      <c r="I3208">
        <v>39.979999999999997</v>
      </c>
      <c r="J3208">
        <v>7.2</v>
      </c>
      <c r="K3208">
        <v>2451.8200000000002</v>
      </c>
      <c r="L3208" s="5">
        <v>46284</v>
      </c>
      <c r="M3208" t="s">
        <v>6722</v>
      </c>
      <c r="N3208" t="s">
        <v>207</v>
      </c>
      <c r="O3208" t="s">
        <v>7048</v>
      </c>
      <c r="P3208" t="s">
        <v>208</v>
      </c>
      <c r="Q3208" t="s">
        <v>209</v>
      </c>
    </row>
    <row r="3209" spans="1:17" x14ac:dyDescent="0.3">
      <c r="A3209" t="s">
        <v>7049</v>
      </c>
      <c r="C3209" t="s">
        <v>7050</v>
      </c>
      <c r="D3209" t="s">
        <v>7050</v>
      </c>
      <c r="E3209" s="5">
        <v>46282</v>
      </c>
      <c r="F3209" t="s">
        <v>204</v>
      </c>
      <c r="G3209" t="s">
        <v>213</v>
      </c>
      <c r="H3209">
        <v>1299</v>
      </c>
      <c r="I3209">
        <v>23.38</v>
      </c>
      <c r="J3209">
        <v>4.21</v>
      </c>
      <c r="K3209">
        <v>1271.4100000000001</v>
      </c>
      <c r="L3209" s="5">
        <v>46284</v>
      </c>
      <c r="M3209" t="s">
        <v>6722</v>
      </c>
      <c r="N3209" t="s">
        <v>207</v>
      </c>
      <c r="O3209" t="s">
        <v>7050</v>
      </c>
      <c r="P3209" t="s">
        <v>208</v>
      </c>
      <c r="Q3209" t="s">
        <v>209</v>
      </c>
    </row>
    <row r="3210" spans="1:17" x14ac:dyDescent="0.3">
      <c r="A3210" t="s">
        <v>7051</v>
      </c>
      <c r="C3210" t="s">
        <v>7052</v>
      </c>
      <c r="D3210" t="s">
        <v>7052</v>
      </c>
      <c r="E3210" s="5">
        <v>46282</v>
      </c>
      <c r="F3210" t="s">
        <v>204</v>
      </c>
      <c r="G3210" t="s">
        <v>213</v>
      </c>
      <c r="H3210">
        <v>6498</v>
      </c>
      <c r="I3210">
        <v>103.97</v>
      </c>
      <c r="J3210">
        <v>18.71</v>
      </c>
      <c r="K3210">
        <v>6375.32</v>
      </c>
      <c r="L3210" s="5">
        <v>46284</v>
      </c>
      <c r="M3210" t="s">
        <v>6722</v>
      </c>
      <c r="N3210" t="s">
        <v>207</v>
      </c>
      <c r="O3210" t="s">
        <v>7052</v>
      </c>
      <c r="P3210" t="s">
        <v>208</v>
      </c>
      <c r="Q3210" t="s">
        <v>209</v>
      </c>
    </row>
    <row r="3211" spans="1:17" x14ac:dyDescent="0.3">
      <c r="A3211" t="s">
        <v>7053</v>
      </c>
      <c r="C3211" t="s">
        <v>7054</v>
      </c>
      <c r="D3211" t="s">
        <v>7054</v>
      </c>
      <c r="E3211" s="5">
        <v>46282</v>
      </c>
      <c r="F3211" t="s">
        <v>204</v>
      </c>
      <c r="G3211" t="s">
        <v>205</v>
      </c>
      <c r="H3211">
        <v>1499</v>
      </c>
      <c r="I3211">
        <v>28.48</v>
      </c>
      <c r="J3211">
        <v>5.13</v>
      </c>
      <c r="K3211">
        <v>1465.39</v>
      </c>
      <c r="L3211" s="5">
        <v>46284</v>
      </c>
      <c r="M3211" t="s">
        <v>6722</v>
      </c>
      <c r="N3211" t="s">
        <v>207</v>
      </c>
      <c r="O3211" t="s">
        <v>7054</v>
      </c>
      <c r="P3211" t="s">
        <v>208</v>
      </c>
      <c r="Q3211" t="s">
        <v>209</v>
      </c>
    </row>
    <row r="3212" spans="1:17" x14ac:dyDescent="0.3">
      <c r="A3212" t="s">
        <v>7055</v>
      </c>
      <c r="C3212" t="s">
        <v>7056</v>
      </c>
      <c r="D3212" t="s">
        <v>7056</v>
      </c>
      <c r="E3212" s="5">
        <v>46282</v>
      </c>
      <c r="F3212" t="s">
        <v>204</v>
      </c>
      <c r="G3212" t="s">
        <v>213</v>
      </c>
      <c r="H3212">
        <v>7999</v>
      </c>
      <c r="I3212">
        <v>127.98</v>
      </c>
      <c r="J3212">
        <v>23.04</v>
      </c>
      <c r="K3212">
        <v>7847.98</v>
      </c>
      <c r="L3212" s="5">
        <v>46284</v>
      </c>
      <c r="M3212" t="s">
        <v>6722</v>
      </c>
      <c r="N3212" t="s">
        <v>207</v>
      </c>
      <c r="O3212" t="s">
        <v>7056</v>
      </c>
      <c r="P3212" t="s">
        <v>208</v>
      </c>
      <c r="Q3212" t="s">
        <v>209</v>
      </c>
    </row>
    <row r="3213" spans="1:17" x14ac:dyDescent="0.3">
      <c r="A3213" t="s">
        <v>7057</v>
      </c>
      <c r="C3213" t="s">
        <v>7058</v>
      </c>
      <c r="D3213" t="s">
        <v>7058</v>
      </c>
      <c r="E3213" s="5">
        <v>46282</v>
      </c>
      <c r="F3213" t="s">
        <v>204</v>
      </c>
      <c r="G3213" t="s">
        <v>205</v>
      </c>
      <c r="H3213">
        <v>1499</v>
      </c>
      <c r="I3213">
        <v>28.48</v>
      </c>
      <c r="J3213">
        <v>5.13</v>
      </c>
      <c r="K3213">
        <v>1465.39</v>
      </c>
      <c r="L3213" s="5">
        <v>46284</v>
      </c>
      <c r="M3213" t="s">
        <v>6722</v>
      </c>
      <c r="N3213" t="s">
        <v>207</v>
      </c>
      <c r="O3213" t="s">
        <v>7058</v>
      </c>
      <c r="P3213" t="s">
        <v>208</v>
      </c>
      <c r="Q3213" t="s">
        <v>209</v>
      </c>
    </row>
    <row r="3214" spans="1:17" x14ac:dyDescent="0.3">
      <c r="A3214" t="s">
        <v>7059</v>
      </c>
      <c r="C3214" t="s">
        <v>7060</v>
      </c>
      <c r="D3214" t="s">
        <v>7060</v>
      </c>
      <c r="E3214" s="5">
        <v>46282</v>
      </c>
      <c r="F3214" t="s">
        <v>204</v>
      </c>
      <c r="G3214" t="s">
        <v>205</v>
      </c>
      <c r="H3214">
        <v>3298</v>
      </c>
      <c r="I3214">
        <v>56.07</v>
      </c>
      <c r="J3214">
        <v>10.09</v>
      </c>
      <c r="K3214">
        <v>3231.84</v>
      </c>
      <c r="L3214" s="5">
        <v>46284</v>
      </c>
      <c r="M3214" t="s">
        <v>6722</v>
      </c>
      <c r="N3214" t="s">
        <v>207</v>
      </c>
      <c r="O3214" t="s">
        <v>7060</v>
      </c>
      <c r="P3214" t="s">
        <v>208</v>
      </c>
      <c r="Q3214" t="s">
        <v>209</v>
      </c>
    </row>
    <row r="3215" spans="1:17" x14ac:dyDescent="0.3">
      <c r="A3215" t="s">
        <v>7061</v>
      </c>
      <c r="C3215" t="s">
        <v>7062</v>
      </c>
      <c r="D3215" t="s">
        <v>7062</v>
      </c>
      <c r="E3215" s="5">
        <v>46282</v>
      </c>
      <c r="F3215" t="s">
        <v>204</v>
      </c>
      <c r="G3215" t="s">
        <v>213</v>
      </c>
      <c r="H3215">
        <v>1799</v>
      </c>
      <c r="I3215">
        <v>32.380000000000003</v>
      </c>
      <c r="J3215">
        <v>5.83</v>
      </c>
      <c r="K3215">
        <v>1760.79</v>
      </c>
      <c r="L3215" s="5">
        <v>46284</v>
      </c>
      <c r="M3215" t="s">
        <v>6722</v>
      </c>
      <c r="N3215" t="s">
        <v>207</v>
      </c>
      <c r="O3215" t="s">
        <v>7062</v>
      </c>
      <c r="P3215" t="s">
        <v>208</v>
      </c>
      <c r="Q3215" t="s">
        <v>209</v>
      </c>
    </row>
    <row r="3216" spans="1:17" x14ac:dyDescent="0.3">
      <c r="A3216" t="s">
        <v>7063</v>
      </c>
      <c r="C3216" t="s">
        <v>7064</v>
      </c>
      <c r="D3216" t="s">
        <v>7064</v>
      </c>
      <c r="E3216" s="5">
        <v>46282</v>
      </c>
      <c r="F3216" t="s">
        <v>204</v>
      </c>
      <c r="G3216" t="s">
        <v>220</v>
      </c>
      <c r="H3216">
        <v>1499</v>
      </c>
      <c r="I3216">
        <v>0</v>
      </c>
      <c r="J3216">
        <v>0</v>
      </c>
      <c r="K3216">
        <v>1499</v>
      </c>
      <c r="L3216" s="5">
        <v>46284</v>
      </c>
      <c r="M3216" t="s">
        <v>6722</v>
      </c>
      <c r="N3216" t="s">
        <v>207</v>
      </c>
      <c r="O3216" t="s">
        <v>7064</v>
      </c>
      <c r="P3216" t="s">
        <v>208</v>
      </c>
      <c r="Q3216" t="s">
        <v>209</v>
      </c>
    </row>
    <row r="3217" spans="1:17" x14ac:dyDescent="0.3">
      <c r="A3217" t="s">
        <v>7065</v>
      </c>
      <c r="C3217" t="s">
        <v>7066</v>
      </c>
      <c r="D3217" t="s">
        <v>7066</v>
      </c>
      <c r="E3217" s="5">
        <v>46282</v>
      </c>
      <c r="F3217" t="s">
        <v>204</v>
      </c>
      <c r="G3217" t="s">
        <v>220</v>
      </c>
      <c r="H3217">
        <v>349</v>
      </c>
      <c r="I3217">
        <v>0</v>
      </c>
      <c r="J3217">
        <v>0</v>
      </c>
      <c r="K3217">
        <v>349</v>
      </c>
      <c r="L3217" s="5">
        <v>46284</v>
      </c>
      <c r="M3217" t="s">
        <v>6722</v>
      </c>
      <c r="N3217" t="s">
        <v>207</v>
      </c>
      <c r="O3217" t="s">
        <v>7066</v>
      </c>
      <c r="P3217" t="s">
        <v>208</v>
      </c>
      <c r="Q3217" t="s">
        <v>209</v>
      </c>
    </row>
    <row r="3218" spans="1:17" x14ac:dyDescent="0.3">
      <c r="A3218" t="s">
        <v>7067</v>
      </c>
      <c r="C3218" t="s">
        <v>7068</v>
      </c>
      <c r="D3218" t="s">
        <v>7068</v>
      </c>
      <c r="E3218" s="5">
        <v>46282</v>
      </c>
      <c r="F3218" t="s">
        <v>204</v>
      </c>
      <c r="G3218" t="s">
        <v>213</v>
      </c>
      <c r="H3218">
        <v>1298</v>
      </c>
      <c r="I3218">
        <v>23.36</v>
      </c>
      <c r="J3218">
        <v>4.2</v>
      </c>
      <c r="K3218">
        <v>1270.44</v>
      </c>
      <c r="L3218" s="5">
        <v>46284</v>
      </c>
      <c r="M3218" t="s">
        <v>6722</v>
      </c>
      <c r="N3218" t="s">
        <v>207</v>
      </c>
      <c r="O3218" t="s">
        <v>7068</v>
      </c>
      <c r="P3218" t="s">
        <v>208</v>
      </c>
      <c r="Q3218" t="s">
        <v>209</v>
      </c>
    </row>
    <row r="3219" spans="1:17" x14ac:dyDescent="0.3">
      <c r="A3219" t="s">
        <v>7069</v>
      </c>
      <c r="C3219" t="s">
        <v>7070</v>
      </c>
      <c r="D3219" t="s">
        <v>7070</v>
      </c>
      <c r="E3219" s="5">
        <v>46282</v>
      </c>
      <c r="F3219" t="s">
        <v>204</v>
      </c>
      <c r="G3219" t="s">
        <v>220</v>
      </c>
      <c r="H3219">
        <v>9998</v>
      </c>
      <c r="I3219">
        <v>29.99</v>
      </c>
      <c r="J3219">
        <v>5.4</v>
      </c>
      <c r="K3219">
        <v>9962.61</v>
      </c>
      <c r="L3219" s="5">
        <v>46284</v>
      </c>
      <c r="M3219" t="s">
        <v>6722</v>
      </c>
      <c r="N3219" t="s">
        <v>207</v>
      </c>
      <c r="O3219" t="s">
        <v>7070</v>
      </c>
      <c r="P3219" t="s">
        <v>208</v>
      </c>
      <c r="Q3219" t="s">
        <v>209</v>
      </c>
    </row>
    <row r="3220" spans="1:17" x14ac:dyDescent="0.3">
      <c r="A3220" t="s">
        <v>7071</v>
      </c>
      <c r="C3220" t="s">
        <v>7072</v>
      </c>
      <c r="D3220" t="s">
        <v>7072</v>
      </c>
      <c r="E3220" s="5">
        <v>46282</v>
      </c>
      <c r="F3220" t="s">
        <v>204</v>
      </c>
      <c r="G3220" t="s">
        <v>220</v>
      </c>
      <c r="H3220">
        <v>7999</v>
      </c>
      <c r="I3220">
        <v>24</v>
      </c>
      <c r="J3220">
        <v>4.32</v>
      </c>
      <c r="K3220">
        <v>7970.68</v>
      </c>
      <c r="L3220" s="5">
        <v>46284</v>
      </c>
      <c r="M3220" t="s">
        <v>6722</v>
      </c>
      <c r="N3220" t="s">
        <v>207</v>
      </c>
      <c r="O3220" t="s">
        <v>7072</v>
      </c>
      <c r="P3220" t="s">
        <v>208</v>
      </c>
      <c r="Q3220" t="s">
        <v>209</v>
      </c>
    </row>
    <row r="3221" spans="1:17" x14ac:dyDescent="0.3">
      <c r="A3221" t="s">
        <v>7073</v>
      </c>
      <c r="C3221" t="s">
        <v>7074</v>
      </c>
      <c r="D3221" t="s">
        <v>7074</v>
      </c>
      <c r="E3221" s="5">
        <v>46282</v>
      </c>
      <c r="F3221" t="s">
        <v>204</v>
      </c>
      <c r="G3221" t="s">
        <v>220</v>
      </c>
      <c r="H3221">
        <v>12998</v>
      </c>
      <c r="I3221">
        <v>38.99</v>
      </c>
      <c r="J3221">
        <v>7.02</v>
      </c>
      <c r="K3221">
        <v>12951.99</v>
      </c>
      <c r="L3221" s="5">
        <v>46284</v>
      </c>
      <c r="M3221" t="s">
        <v>6722</v>
      </c>
      <c r="N3221" t="s">
        <v>207</v>
      </c>
      <c r="O3221" t="s">
        <v>7074</v>
      </c>
      <c r="P3221" t="s">
        <v>208</v>
      </c>
      <c r="Q3221" t="s">
        <v>209</v>
      </c>
    </row>
    <row r="3222" spans="1:17" x14ac:dyDescent="0.3">
      <c r="A3222" t="s">
        <v>7075</v>
      </c>
      <c r="C3222" t="s">
        <v>7076</v>
      </c>
      <c r="D3222" t="s">
        <v>7076</v>
      </c>
      <c r="E3222" s="5">
        <v>46282</v>
      </c>
      <c r="F3222" t="s">
        <v>204</v>
      </c>
      <c r="G3222" t="s">
        <v>220</v>
      </c>
      <c r="H3222">
        <v>1998</v>
      </c>
      <c r="I3222">
        <v>0</v>
      </c>
      <c r="J3222">
        <v>0</v>
      </c>
      <c r="K3222">
        <v>1998</v>
      </c>
      <c r="L3222" s="5">
        <v>46284</v>
      </c>
      <c r="M3222" t="s">
        <v>6722</v>
      </c>
      <c r="N3222" t="s">
        <v>207</v>
      </c>
      <c r="O3222" t="s">
        <v>7076</v>
      </c>
      <c r="P3222" t="s">
        <v>208</v>
      </c>
      <c r="Q3222" t="s">
        <v>209</v>
      </c>
    </row>
    <row r="3223" spans="1:17" x14ac:dyDescent="0.3">
      <c r="A3223" t="s">
        <v>7077</v>
      </c>
      <c r="C3223" t="s">
        <v>7078</v>
      </c>
      <c r="D3223" t="s">
        <v>7079</v>
      </c>
      <c r="E3223" s="5">
        <v>46282</v>
      </c>
      <c r="F3223" t="s">
        <v>204</v>
      </c>
      <c r="G3223" t="s">
        <v>213</v>
      </c>
      <c r="H3223">
        <v>1298</v>
      </c>
      <c r="I3223">
        <v>23.36</v>
      </c>
      <c r="J3223">
        <v>4.2</v>
      </c>
      <c r="K3223">
        <v>1270.44</v>
      </c>
      <c r="L3223" s="5">
        <v>46284</v>
      </c>
      <c r="M3223" t="s">
        <v>6722</v>
      </c>
      <c r="N3223" t="s">
        <v>207</v>
      </c>
      <c r="O3223" t="s">
        <v>7079</v>
      </c>
      <c r="P3223" t="s">
        <v>208</v>
      </c>
      <c r="Q3223" t="s">
        <v>209</v>
      </c>
    </row>
    <row r="3224" spans="1:17" x14ac:dyDescent="0.3">
      <c r="A3224" t="s">
        <v>7080</v>
      </c>
      <c r="B3224" t="s">
        <v>5499</v>
      </c>
      <c r="E3224" s="5">
        <v>46282</v>
      </c>
      <c r="F3224" t="s">
        <v>921</v>
      </c>
      <c r="G3224" t="s">
        <v>220</v>
      </c>
      <c r="H3224">
        <v>4897</v>
      </c>
      <c r="I3224">
        <v>0</v>
      </c>
      <c r="J3224">
        <v>0</v>
      </c>
      <c r="K3224">
        <v>-4897</v>
      </c>
      <c r="L3224" s="5">
        <v>46284</v>
      </c>
      <c r="M3224" t="s">
        <v>6722</v>
      </c>
      <c r="N3224" t="s">
        <v>207</v>
      </c>
      <c r="O3224" t="s">
        <v>5500</v>
      </c>
      <c r="P3224" t="s">
        <v>208</v>
      </c>
    </row>
    <row r="3225" spans="1:17" x14ac:dyDescent="0.3">
      <c r="A3225" t="s">
        <v>7081</v>
      </c>
      <c r="B3225" t="s">
        <v>4447</v>
      </c>
      <c r="E3225" s="5">
        <v>46282</v>
      </c>
      <c r="F3225" t="s">
        <v>921</v>
      </c>
      <c r="G3225" t="s">
        <v>220</v>
      </c>
      <c r="H3225">
        <v>3348</v>
      </c>
      <c r="I3225">
        <v>0</v>
      </c>
      <c r="J3225">
        <v>0</v>
      </c>
      <c r="K3225">
        <v>-3348</v>
      </c>
      <c r="L3225" s="5">
        <v>46284</v>
      </c>
      <c r="M3225" t="s">
        <v>6722</v>
      </c>
      <c r="N3225" t="s">
        <v>207</v>
      </c>
      <c r="O3225" t="s">
        <v>4448</v>
      </c>
      <c r="P3225" t="s">
        <v>208</v>
      </c>
    </row>
    <row r="3226" spans="1:17" x14ac:dyDescent="0.3">
      <c r="A3226" t="s">
        <v>7082</v>
      </c>
      <c r="B3226" t="s">
        <v>6456</v>
      </c>
      <c r="E3226" s="5">
        <v>46282</v>
      </c>
      <c r="F3226" t="s">
        <v>921</v>
      </c>
      <c r="G3226" t="s">
        <v>220</v>
      </c>
      <c r="H3226">
        <v>11597</v>
      </c>
      <c r="I3226">
        <v>0</v>
      </c>
      <c r="J3226">
        <v>0</v>
      </c>
      <c r="K3226">
        <v>-11597</v>
      </c>
      <c r="L3226" s="5">
        <v>46284</v>
      </c>
      <c r="M3226" t="s">
        <v>6722</v>
      </c>
      <c r="N3226" t="s">
        <v>207</v>
      </c>
      <c r="O3226" t="s">
        <v>6457</v>
      </c>
      <c r="P3226" t="s">
        <v>208</v>
      </c>
    </row>
    <row r="3227" spans="1:17" x14ac:dyDescent="0.3">
      <c r="A3227" t="s">
        <v>7083</v>
      </c>
      <c r="B3227" t="s">
        <v>4381</v>
      </c>
      <c r="E3227" s="5">
        <v>46282</v>
      </c>
      <c r="F3227" t="s">
        <v>921</v>
      </c>
      <c r="G3227" t="s">
        <v>213</v>
      </c>
      <c r="H3227">
        <v>1299</v>
      </c>
      <c r="I3227">
        <v>0</v>
      </c>
      <c r="J3227">
        <v>0</v>
      </c>
      <c r="K3227">
        <v>-1299</v>
      </c>
      <c r="L3227" s="5">
        <v>46284</v>
      </c>
      <c r="M3227" t="s">
        <v>6722</v>
      </c>
      <c r="N3227" t="s">
        <v>207</v>
      </c>
      <c r="O3227" t="s">
        <v>4382</v>
      </c>
      <c r="P3227" t="s">
        <v>208</v>
      </c>
    </row>
    <row r="3228" spans="1:17" x14ac:dyDescent="0.3">
      <c r="A3228" t="s">
        <v>7084</v>
      </c>
      <c r="B3228" t="s">
        <v>6086</v>
      </c>
      <c r="E3228" s="5">
        <v>46282</v>
      </c>
      <c r="F3228" t="s">
        <v>921</v>
      </c>
      <c r="G3228" t="s">
        <v>213</v>
      </c>
      <c r="H3228">
        <v>599</v>
      </c>
      <c r="I3228">
        <v>0</v>
      </c>
      <c r="J3228">
        <v>0</v>
      </c>
      <c r="K3228">
        <v>-599</v>
      </c>
      <c r="L3228" s="5">
        <v>46284</v>
      </c>
      <c r="M3228" t="s">
        <v>6722</v>
      </c>
      <c r="N3228" t="s">
        <v>207</v>
      </c>
      <c r="O3228" t="s">
        <v>6087</v>
      </c>
      <c r="P3228" t="s">
        <v>208</v>
      </c>
    </row>
    <row r="3229" spans="1:17" x14ac:dyDescent="0.3">
      <c r="A3229" t="s">
        <v>7085</v>
      </c>
      <c r="B3229" t="s">
        <v>5093</v>
      </c>
      <c r="E3229" s="5">
        <v>46282</v>
      </c>
      <c r="F3229" t="s">
        <v>921</v>
      </c>
      <c r="G3229" t="s">
        <v>220</v>
      </c>
      <c r="H3229">
        <v>7998</v>
      </c>
      <c r="I3229">
        <v>0</v>
      </c>
      <c r="J3229">
        <v>0</v>
      </c>
      <c r="K3229">
        <v>-7998</v>
      </c>
      <c r="L3229" s="5">
        <v>46284</v>
      </c>
      <c r="M3229" t="s">
        <v>6722</v>
      </c>
      <c r="N3229" t="s">
        <v>207</v>
      </c>
      <c r="O3229" t="s">
        <v>5095</v>
      </c>
      <c r="P3229" t="s">
        <v>208</v>
      </c>
    </row>
    <row r="3230" spans="1:17" x14ac:dyDescent="0.3">
      <c r="A3230" t="s">
        <v>7086</v>
      </c>
      <c r="B3230" t="s">
        <v>5684</v>
      </c>
      <c r="E3230" s="5">
        <v>46282</v>
      </c>
      <c r="F3230" t="s">
        <v>921</v>
      </c>
      <c r="G3230" t="s">
        <v>220</v>
      </c>
      <c r="H3230">
        <v>4097</v>
      </c>
      <c r="I3230">
        <v>0</v>
      </c>
      <c r="J3230">
        <v>0</v>
      </c>
      <c r="K3230">
        <v>-4097</v>
      </c>
      <c r="L3230" s="5">
        <v>46284</v>
      </c>
      <c r="M3230" t="s">
        <v>6722</v>
      </c>
      <c r="N3230" t="s">
        <v>207</v>
      </c>
      <c r="O3230" t="s">
        <v>5685</v>
      </c>
      <c r="P3230" t="s">
        <v>208</v>
      </c>
    </row>
    <row r="3231" spans="1:17" x14ac:dyDescent="0.3">
      <c r="A3231" t="s">
        <v>7087</v>
      </c>
      <c r="B3231" t="s">
        <v>4991</v>
      </c>
      <c r="E3231" s="5">
        <v>46282</v>
      </c>
      <c r="F3231" t="s">
        <v>921</v>
      </c>
      <c r="G3231" t="s">
        <v>205</v>
      </c>
      <c r="H3231">
        <v>1798</v>
      </c>
      <c r="I3231">
        <v>0</v>
      </c>
      <c r="J3231">
        <v>0</v>
      </c>
      <c r="K3231">
        <v>-1798</v>
      </c>
      <c r="L3231" s="5">
        <v>46284</v>
      </c>
      <c r="M3231" t="s">
        <v>6722</v>
      </c>
      <c r="N3231" t="s">
        <v>207</v>
      </c>
      <c r="O3231" t="s">
        <v>4993</v>
      </c>
      <c r="P3231" t="s">
        <v>208</v>
      </c>
    </row>
    <row r="3232" spans="1:17" x14ac:dyDescent="0.3">
      <c r="A3232" t="s">
        <v>7088</v>
      </c>
      <c r="B3232" t="s">
        <v>4915</v>
      </c>
      <c r="E3232" s="5">
        <v>46282</v>
      </c>
      <c r="F3232" t="s">
        <v>921</v>
      </c>
      <c r="G3232" t="s">
        <v>220</v>
      </c>
      <c r="H3232">
        <v>1499</v>
      </c>
      <c r="I3232">
        <v>0</v>
      </c>
      <c r="J3232">
        <v>0</v>
      </c>
      <c r="K3232">
        <v>-1499</v>
      </c>
      <c r="L3232" s="5">
        <v>46284</v>
      </c>
      <c r="M3232" t="s">
        <v>6722</v>
      </c>
      <c r="N3232" t="s">
        <v>207</v>
      </c>
      <c r="O3232" t="s">
        <v>4916</v>
      </c>
      <c r="P3232" t="s">
        <v>208</v>
      </c>
    </row>
    <row r="3233" spans="1:17" x14ac:dyDescent="0.3">
      <c r="A3233" t="s">
        <v>7089</v>
      </c>
      <c r="C3233" t="s">
        <v>7090</v>
      </c>
      <c r="D3233" t="s">
        <v>7090</v>
      </c>
      <c r="E3233" s="5">
        <v>46283</v>
      </c>
      <c r="F3233" t="s">
        <v>204</v>
      </c>
      <c r="G3233" t="s">
        <v>213</v>
      </c>
      <c r="H3233">
        <v>2098</v>
      </c>
      <c r="I3233">
        <v>33.57</v>
      </c>
      <c r="J3233">
        <v>6.04</v>
      </c>
      <c r="K3233">
        <v>2058.39</v>
      </c>
      <c r="L3233" s="5">
        <v>46285</v>
      </c>
      <c r="M3233" t="s">
        <v>7091</v>
      </c>
      <c r="N3233" t="s">
        <v>207</v>
      </c>
      <c r="O3233" t="s">
        <v>7090</v>
      </c>
      <c r="P3233" t="s">
        <v>208</v>
      </c>
      <c r="Q3233" t="s">
        <v>209</v>
      </c>
    </row>
    <row r="3234" spans="1:17" x14ac:dyDescent="0.3">
      <c r="A3234" t="s">
        <v>7092</v>
      </c>
      <c r="C3234" t="s">
        <v>7093</v>
      </c>
      <c r="D3234" t="s">
        <v>7093</v>
      </c>
      <c r="E3234" s="5">
        <v>46283</v>
      </c>
      <c r="F3234" t="s">
        <v>204</v>
      </c>
      <c r="G3234" t="s">
        <v>220</v>
      </c>
      <c r="H3234">
        <v>1299</v>
      </c>
      <c r="I3234">
        <v>0</v>
      </c>
      <c r="J3234">
        <v>0</v>
      </c>
      <c r="K3234">
        <v>1299</v>
      </c>
      <c r="L3234" s="5">
        <v>46285</v>
      </c>
      <c r="M3234" t="s">
        <v>7091</v>
      </c>
      <c r="N3234" t="s">
        <v>207</v>
      </c>
      <c r="O3234" t="s">
        <v>7093</v>
      </c>
      <c r="P3234" t="s">
        <v>208</v>
      </c>
      <c r="Q3234" t="s">
        <v>209</v>
      </c>
    </row>
    <row r="3235" spans="1:17" x14ac:dyDescent="0.3">
      <c r="A3235" t="s">
        <v>7094</v>
      </c>
      <c r="C3235" t="s">
        <v>7095</v>
      </c>
      <c r="D3235" t="s">
        <v>7095</v>
      </c>
      <c r="E3235" s="5">
        <v>46283</v>
      </c>
      <c r="F3235" t="s">
        <v>204</v>
      </c>
      <c r="G3235" t="s">
        <v>205</v>
      </c>
      <c r="H3235">
        <v>3499</v>
      </c>
      <c r="I3235">
        <v>59.48</v>
      </c>
      <c r="J3235">
        <v>10.71</v>
      </c>
      <c r="K3235">
        <v>3428.81</v>
      </c>
      <c r="L3235" s="5">
        <v>46285</v>
      </c>
      <c r="M3235" t="s">
        <v>7091</v>
      </c>
      <c r="N3235" t="s">
        <v>207</v>
      </c>
      <c r="O3235" t="s">
        <v>7095</v>
      </c>
      <c r="P3235" t="s">
        <v>208</v>
      </c>
      <c r="Q3235" t="s">
        <v>209</v>
      </c>
    </row>
    <row r="3236" spans="1:17" x14ac:dyDescent="0.3">
      <c r="A3236" t="s">
        <v>7096</v>
      </c>
      <c r="C3236" t="s">
        <v>7097</v>
      </c>
      <c r="D3236" t="s">
        <v>7097</v>
      </c>
      <c r="E3236" s="5">
        <v>46283</v>
      </c>
      <c r="F3236" t="s">
        <v>204</v>
      </c>
      <c r="G3236" t="s">
        <v>213</v>
      </c>
      <c r="H3236">
        <v>3499</v>
      </c>
      <c r="I3236">
        <v>55.98</v>
      </c>
      <c r="J3236">
        <v>10.08</v>
      </c>
      <c r="K3236">
        <v>3432.94</v>
      </c>
      <c r="L3236" s="5">
        <v>46285</v>
      </c>
      <c r="M3236" t="s">
        <v>7091</v>
      </c>
      <c r="N3236" t="s">
        <v>207</v>
      </c>
      <c r="O3236" t="s">
        <v>7097</v>
      </c>
      <c r="P3236" t="s">
        <v>208</v>
      </c>
      <c r="Q3236" t="s">
        <v>209</v>
      </c>
    </row>
    <row r="3237" spans="1:17" x14ac:dyDescent="0.3">
      <c r="A3237" t="s">
        <v>7098</v>
      </c>
      <c r="C3237" t="s">
        <v>7099</v>
      </c>
      <c r="D3237" t="s">
        <v>7100</v>
      </c>
      <c r="E3237" s="5">
        <v>46283</v>
      </c>
      <c r="F3237" t="s">
        <v>204</v>
      </c>
      <c r="G3237" t="s">
        <v>205</v>
      </c>
      <c r="H3237">
        <v>1848</v>
      </c>
      <c r="I3237">
        <v>35.11</v>
      </c>
      <c r="J3237">
        <v>6.32</v>
      </c>
      <c r="K3237">
        <v>1806.57</v>
      </c>
      <c r="L3237" s="5">
        <v>46285</v>
      </c>
      <c r="M3237" t="s">
        <v>7091</v>
      </c>
      <c r="N3237" t="s">
        <v>207</v>
      </c>
      <c r="O3237" t="s">
        <v>7100</v>
      </c>
      <c r="P3237" t="s">
        <v>208</v>
      </c>
      <c r="Q3237" t="s">
        <v>209</v>
      </c>
    </row>
    <row r="3238" spans="1:17" x14ac:dyDescent="0.3">
      <c r="A3238" t="s">
        <v>7101</v>
      </c>
      <c r="C3238" t="s">
        <v>7102</v>
      </c>
      <c r="D3238" t="s">
        <v>7102</v>
      </c>
      <c r="E3238" s="5">
        <v>46283</v>
      </c>
      <c r="F3238" t="s">
        <v>204</v>
      </c>
      <c r="G3238" t="s">
        <v>213</v>
      </c>
      <c r="H3238">
        <v>2499</v>
      </c>
      <c r="I3238">
        <v>39.979999999999997</v>
      </c>
      <c r="J3238">
        <v>7.2</v>
      </c>
      <c r="K3238">
        <v>2451.8200000000002</v>
      </c>
      <c r="L3238" s="5">
        <v>46285</v>
      </c>
      <c r="M3238" t="s">
        <v>7091</v>
      </c>
      <c r="N3238" t="s">
        <v>207</v>
      </c>
      <c r="O3238" t="s">
        <v>7102</v>
      </c>
      <c r="P3238" t="s">
        <v>208</v>
      </c>
      <c r="Q3238" t="s">
        <v>209</v>
      </c>
    </row>
    <row r="3239" spans="1:17" x14ac:dyDescent="0.3">
      <c r="A3239" t="s">
        <v>7103</v>
      </c>
      <c r="C3239" t="s">
        <v>7104</v>
      </c>
      <c r="D3239" t="s">
        <v>7105</v>
      </c>
      <c r="E3239" s="5">
        <v>46283</v>
      </c>
      <c r="F3239" t="s">
        <v>204</v>
      </c>
      <c r="G3239" t="s">
        <v>255</v>
      </c>
      <c r="H3239">
        <v>8998</v>
      </c>
      <c r="I3239">
        <v>107.98</v>
      </c>
      <c r="J3239">
        <v>19.440000000000001</v>
      </c>
      <c r="K3239">
        <v>8870.58</v>
      </c>
      <c r="L3239" s="5">
        <v>46285</v>
      </c>
      <c r="M3239" t="s">
        <v>7091</v>
      </c>
      <c r="N3239" t="s">
        <v>207</v>
      </c>
      <c r="O3239" t="s">
        <v>7105</v>
      </c>
      <c r="P3239" t="s">
        <v>208</v>
      </c>
      <c r="Q3239" t="s">
        <v>209</v>
      </c>
    </row>
    <row r="3240" spans="1:17" x14ac:dyDescent="0.3">
      <c r="A3240" t="s">
        <v>7106</v>
      </c>
      <c r="C3240" t="s">
        <v>7107</v>
      </c>
      <c r="D3240" t="s">
        <v>7107</v>
      </c>
      <c r="E3240" s="5">
        <v>46283</v>
      </c>
      <c r="F3240" t="s">
        <v>204</v>
      </c>
      <c r="G3240" t="s">
        <v>213</v>
      </c>
      <c r="H3240">
        <v>4999</v>
      </c>
      <c r="I3240">
        <v>79.98</v>
      </c>
      <c r="J3240">
        <v>14.4</v>
      </c>
      <c r="K3240">
        <v>4904.62</v>
      </c>
      <c r="L3240" s="5">
        <v>46285</v>
      </c>
      <c r="M3240" t="s">
        <v>7091</v>
      </c>
      <c r="N3240" t="s">
        <v>207</v>
      </c>
      <c r="O3240" t="s">
        <v>7107</v>
      </c>
      <c r="P3240" t="s">
        <v>208</v>
      </c>
      <c r="Q3240" t="s">
        <v>209</v>
      </c>
    </row>
    <row r="3241" spans="1:17" x14ac:dyDescent="0.3">
      <c r="A3241" t="s">
        <v>7108</v>
      </c>
      <c r="C3241" t="s">
        <v>7109</v>
      </c>
      <c r="D3241" t="s">
        <v>7109</v>
      </c>
      <c r="E3241" s="5">
        <v>46283</v>
      </c>
      <c r="F3241" t="s">
        <v>204</v>
      </c>
      <c r="G3241" t="s">
        <v>255</v>
      </c>
      <c r="H3241">
        <v>4197</v>
      </c>
      <c r="I3241">
        <v>50.36</v>
      </c>
      <c r="J3241">
        <v>9.06</v>
      </c>
      <c r="K3241">
        <v>4137.58</v>
      </c>
      <c r="L3241" s="5">
        <v>46285</v>
      </c>
      <c r="M3241" t="s">
        <v>7091</v>
      </c>
      <c r="N3241" t="s">
        <v>207</v>
      </c>
      <c r="O3241" t="s">
        <v>7109</v>
      </c>
      <c r="P3241" t="s">
        <v>208</v>
      </c>
      <c r="Q3241" t="s">
        <v>209</v>
      </c>
    </row>
    <row r="3242" spans="1:17" x14ac:dyDescent="0.3">
      <c r="A3242" t="s">
        <v>7110</v>
      </c>
      <c r="C3242" t="s">
        <v>7111</v>
      </c>
      <c r="D3242" t="s">
        <v>7111</v>
      </c>
      <c r="E3242" s="5">
        <v>46283</v>
      </c>
      <c r="F3242" t="s">
        <v>204</v>
      </c>
      <c r="G3242" t="s">
        <v>213</v>
      </c>
      <c r="H3242">
        <v>3947</v>
      </c>
      <c r="I3242">
        <v>63.15</v>
      </c>
      <c r="J3242">
        <v>11.37</v>
      </c>
      <c r="K3242">
        <v>3872.48</v>
      </c>
      <c r="L3242" s="5">
        <v>46285</v>
      </c>
      <c r="M3242" t="s">
        <v>7091</v>
      </c>
      <c r="N3242" t="s">
        <v>207</v>
      </c>
      <c r="O3242" t="s">
        <v>7111</v>
      </c>
      <c r="P3242" t="s">
        <v>208</v>
      </c>
      <c r="Q3242" t="s">
        <v>209</v>
      </c>
    </row>
    <row r="3243" spans="1:17" x14ac:dyDescent="0.3">
      <c r="A3243" t="s">
        <v>7112</v>
      </c>
      <c r="C3243" t="s">
        <v>7113</v>
      </c>
      <c r="D3243" t="s">
        <v>7113</v>
      </c>
      <c r="E3243" s="5">
        <v>46283</v>
      </c>
      <c r="F3243" t="s">
        <v>204</v>
      </c>
      <c r="G3243" t="s">
        <v>255</v>
      </c>
      <c r="H3243">
        <v>299</v>
      </c>
      <c r="I3243">
        <v>4.49</v>
      </c>
      <c r="J3243">
        <v>0.81</v>
      </c>
      <c r="K3243">
        <v>293.7</v>
      </c>
      <c r="L3243" s="5">
        <v>46285</v>
      </c>
      <c r="M3243" t="s">
        <v>7091</v>
      </c>
      <c r="N3243" t="s">
        <v>207</v>
      </c>
      <c r="O3243" t="s">
        <v>7113</v>
      </c>
      <c r="P3243" t="s">
        <v>208</v>
      </c>
      <c r="Q3243" t="s">
        <v>209</v>
      </c>
    </row>
    <row r="3244" spans="1:17" x14ac:dyDescent="0.3">
      <c r="A3244" t="s">
        <v>7114</v>
      </c>
      <c r="C3244" t="s">
        <v>7115</v>
      </c>
      <c r="D3244" t="s">
        <v>7115</v>
      </c>
      <c r="E3244" s="5">
        <v>46283</v>
      </c>
      <c r="F3244" t="s">
        <v>204</v>
      </c>
      <c r="G3244" t="s">
        <v>213</v>
      </c>
      <c r="H3244">
        <v>2897</v>
      </c>
      <c r="I3244">
        <v>46.35</v>
      </c>
      <c r="J3244">
        <v>8.34</v>
      </c>
      <c r="K3244">
        <v>2842.31</v>
      </c>
      <c r="L3244" s="5">
        <v>46285</v>
      </c>
      <c r="M3244" t="s">
        <v>7091</v>
      </c>
      <c r="N3244" t="s">
        <v>207</v>
      </c>
      <c r="O3244" t="s">
        <v>7115</v>
      </c>
      <c r="P3244" t="s">
        <v>208</v>
      </c>
      <c r="Q3244" t="s">
        <v>209</v>
      </c>
    </row>
    <row r="3245" spans="1:17" x14ac:dyDescent="0.3">
      <c r="A3245" t="s">
        <v>7116</v>
      </c>
      <c r="C3245" t="s">
        <v>7117</v>
      </c>
      <c r="D3245" t="s">
        <v>7117</v>
      </c>
      <c r="E3245" s="5">
        <v>46283</v>
      </c>
      <c r="F3245" t="s">
        <v>204</v>
      </c>
      <c r="G3245" t="s">
        <v>220</v>
      </c>
      <c r="H3245">
        <v>1648</v>
      </c>
      <c r="I3245">
        <v>0</v>
      </c>
      <c r="J3245">
        <v>0</v>
      </c>
      <c r="K3245">
        <v>1648</v>
      </c>
      <c r="L3245" s="5">
        <v>46285</v>
      </c>
      <c r="M3245" t="s">
        <v>7091</v>
      </c>
      <c r="N3245" t="s">
        <v>207</v>
      </c>
      <c r="O3245" t="s">
        <v>7117</v>
      </c>
      <c r="P3245" t="s">
        <v>208</v>
      </c>
      <c r="Q3245" t="s">
        <v>209</v>
      </c>
    </row>
    <row r="3246" spans="1:17" x14ac:dyDescent="0.3">
      <c r="A3246" t="s">
        <v>7118</v>
      </c>
      <c r="C3246" t="s">
        <v>7119</v>
      </c>
      <c r="D3246" t="s">
        <v>7119</v>
      </c>
      <c r="E3246" s="5">
        <v>46283</v>
      </c>
      <c r="F3246" t="s">
        <v>204</v>
      </c>
      <c r="G3246" t="s">
        <v>220</v>
      </c>
      <c r="H3246">
        <v>1499</v>
      </c>
      <c r="I3246">
        <v>0</v>
      </c>
      <c r="J3246">
        <v>0</v>
      </c>
      <c r="K3246">
        <v>1499</v>
      </c>
      <c r="L3246" s="5">
        <v>46285</v>
      </c>
      <c r="M3246" t="s">
        <v>7091</v>
      </c>
      <c r="N3246" t="s">
        <v>207</v>
      </c>
      <c r="O3246" t="s">
        <v>7119</v>
      </c>
      <c r="P3246" t="s">
        <v>208</v>
      </c>
      <c r="Q3246" t="s">
        <v>209</v>
      </c>
    </row>
    <row r="3247" spans="1:17" x14ac:dyDescent="0.3">
      <c r="A3247" t="s">
        <v>7120</v>
      </c>
      <c r="C3247" t="s">
        <v>7121</v>
      </c>
      <c r="D3247" t="s">
        <v>7121</v>
      </c>
      <c r="E3247" s="5">
        <v>46283</v>
      </c>
      <c r="F3247" t="s">
        <v>204</v>
      </c>
      <c r="G3247" t="s">
        <v>213</v>
      </c>
      <c r="H3247">
        <v>2848</v>
      </c>
      <c r="I3247">
        <v>45.57</v>
      </c>
      <c r="J3247">
        <v>8.1999999999999993</v>
      </c>
      <c r="K3247">
        <v>2794.23</v>
      </c>
      <c r="L3247" s="5">
        <v>46285</v>
      </c>
      <c r="M3247" t="s">
        <v>7091</v>
      </c>
      <c r="N3247" t="s">
        <v>207</v>
      </c>
      <c r="O3247" t="s">
        <v>7121</v>
      </c>
      <c r="P3247" t="s">
        <v>208</v>
      </c>
      <c r="Q3247" t="s">
        <v>209</v>
      </c>
    </row>
    <row r="3248" spans="1:17" x14ac:dyDescent="0.3">
      <c r="A3248" t="s">
        <v>7122</v>
      </c>
      <c r="C3248" t="s">
        <v>7123</v>
      </c>
      <c r="D3248" t="s">
        <v>7123</v>
      </c>
      <c r="E3248" s="5">
        <v>46283</v>
      </c>
      <c r="F3248" t="s">
        <v>204</v>
      </c>
      <c r="G3248" t="s">
        <v>255</v>
      </c>
      <c r="H3248">
        <v>2097</v>
      </c>
      <c r="I3248">
        <v>25.16</v>
      </c>
      <c r="J3248">
        <v>4.53</v>
      </c>
      <c r="K3248">
        <v>2067.31</v>
      </c>
      <c r="L3248" s="5">
        <v>46285</v>
      </c>
      <c r="M3248" t="s">
        <v>7091</v>
      </c>
      <c r="N3248" t="s">
        <v>207</v>
      </c>
      <c r="O3248" t="s">
        <v>7123</v>
      </c>
      <c r="P3248" t="s">
        <v>208</v>
      </c>
      <c r="Q3248" t="s">
        <v>209</v>
      </c>
    </row>
    <row r="3249" spans="1:17" x14ac:dyDescent="0.3">
      <c r="A3249" t="s">
        <v>7124</v>
      </c>
      <c r="C3249" t="s">
        <v>7125</v>
      </c>
      <c r="D3249" t="s">
        <v>7125</v>
      </c>
      <c r="E3249" s="5">
        <v>46283</v>
      </c>
      <c r="F3249" t="s">
        <v>204</v>
      </c>
      <c r="G3249" t="s">
        <v>213</v>
      </c>
      <c r="H3249">
        <v>2999</v>
      </c>
      <c r="I3249">
        <v>47.98</v>
      </c>
      <c r="J3249">
        <v>8.64</v>
      </c>
      <c r="K3249">
        <v>2942.38</v>
      </c>
      <c r="L3249" s="5">
        <v>46285</v>
      </c>
      <c r="M3249" t="s">
        <v>7091</v>
      </c>
      <c r="N3249" t="s">
        <v>207</v>
      </c>
      <c r="O3249" t="s">
        <v>7125</v>
      </c>
      <c r="P3249" t="s">
        <v>208</v>
      </c>
      <c r="Q3249" t="s">
        <v>209</v>
      </c>
    </row>
    <row r="3250" spans="1:17" x14ac:dyDescent="0.3">
      <c r="A3250" t="s">
        <v>7126</v>
      </c>
      <c r="C3250" t="s">
        <v>7127</v>
      </c>
      <c r="D3250" t="s">
        <v>7127</v>
      </c>
      <c r="E3250" s="5">
        <v>46283</v>
      </c>
      <c r="F3250" t="s">
        <v>204</v>
      </c>
      <c r="G3250" t="s">
        <v>220</v>
      </c>
      <c r="H3250">
        <v>5797</v>
      </c>
      <c r="I3250">
        <v>17.39</v>
      </c>
      <c r="J3250">
        <v>3.13</v>
      </c>
      <c r="K3250">
        <v>5776.48</v>
      </c>
      <c r="L3250" s="5">
        <v>46285</v>
      </c>
      <c r="M3250" t="s">
        <v>7091</v>
      </c>
      <c r="N3250" t="s">
        <v>207</v>
      </c>
      <c r="O3250" t="s">
        <v>7127</v>
      </c>
      <c r="P3250" t="s">
        <v>208</v>
      </c>
      <c r="Q3250" t="s">
        <v>209</v>
      </c>
    </row>
    <row r="3251" spans="1:17" x14ac:dyDescent="0.3">
      <c r="A3251" t="s">
        <v>7128</v>
      </c>
      <c r="C3251" t="s">
        <v>7129</v>
      </c>
      <c r="D3251" t="s">
        <v>7129</v>
      </c>
      <c r="E3251" s="5">
        <v>46283</v>
      </c>
      <c r="F3251" t="s">
        <v>204</v>
      </c>
      <c r="G3251" t="s">
        <v>220</v>
      </c>
      <c r="H3251">
        <v>1499</v>
      </c>
      <c r="I3251">
        <v>0</v>
      </c>
      <c r="J3251">
        <v>0</v>
      </c>
      <c r="K3251">
        <v>1499</v>
      </c>
      <c r="L3251" s="5">
        <v>46285</v>
      </c>
      <c r="M3251" t="s">
        <v>7091</v>
      </c>
      <c r="N3251" t="s">
        <v>207</v>
      </c>
      <c r="O3251" t="s">
        <v>7129</v>
      </c>
      <c r="P3251" t="s">
        <v>208</v>
      </c>
      <c r="Q3251" t="s">
        <v>209</v>
      </c>
    </row>
    <row r="3252" spans="1:17" x14ac:dyDescent="0.3">
      <c r="A3252" t="s">
        <v>7130</v>
      </c>
      <c r="C3252" t="s">
        <v>7131</v>
      </c>
      <c r="D3252" t="s">
        <v>7131</v>
      </c>
      <c r="E3252" s="5">
        <v>46283</v>
      </c>
      <c r="F3252" t="s">
        <v>204</v>
      </c>
      <c r="G3252" t="s">
        <v>220</v>
      </c>
      <c r="H3252">
        <v>10597</v>
      </c>
      <c r="I3252">
        <v>31.79</v>
      </c>
      <c r="J3252">
        <v>5.72</v>
      </c>
      <c r="K3252">
        <v>10559.49</v>
      </c>
      <c r="L3252" s="5">
        <v>46285</v>
      </c>
      <c r="M3252" t="s">
        <v>7091</v>
      </c>
      <c r="N3252" t="s">
        <v>207</v>
      </c>
      <c r="O3252" t="s">
        <v>7131</v>
      </c>
      <c r="P3252" t="s">
        <v>208</v>
      </c>
      <c r="Q3252" t="s">
        <v>209</v>
      </c>
    </row>
    <row r="3253" spans="1:17" x14ac:dyDescent="0.3">
      <c r="A3253" t="s">
        <v>7132</v>
      </c>
      <c r="C3253" t="s">
        <v>7133</v>
      </c>
      <c r="D3253" t="s">
        <v>7133</v>
      </c>
      <c r="E3253" s="5">
        <v>46283</v>
      </c>
      <c r="F3253" t="s">
        <v>204</v>
      </c>
      <c r="G3253" t="s">
        <v>220</v>
      </c>
      <c r="H3253">
        <v>2999</v>
      </c>
      <c r="I3253">
        <v>9</v>
      </c>
      <c r="J3253">
        <v>1.62</v>
      </c>
      <c r="K3253">
        <v>2988.38</v>
      </c>
      <c r="L3253" s="5">
        <v>46285</v>
      </c>
      <c r="M3253" t="s">
        <v>7091</v>
      </c>
      <c r="N3253" t="s">
        <v>207</v>
      </c>
      <c r="O3253" t="s">
        <v>7133</v>
      </c>
      <c r="P3253" t="s">
        <v>208</v>
      </c>
      <c r="Q3253" t="s">
        <v>209</v>
      </c>
    </row>
    <row r="3254" spans="1:17" x14ac:dyDescent="0.3">
      <c r="A3254" t="s">
        <v>7134</v>
      </c>
      <c r="C3254" t="s">
        <v>7135</v>
      </c>
      <c r="D3254" t="s">
        <v>7135</v>
      </c>
      <c r="E3254" s="5">
        <v>46283</v>
      </c>
      <c r="F3254" t="s">
        <v>204</v>
      </c>
      <c r="G3254" t="s">
        <v>220</v>
      </c>
      <c r="H3254">
        <v>4999</v>
      </c>
      <c r="I3254">
        <v>15</v>
      </c>
      <c r="J3254">
        <v>2.7</v>
      </c>
      <c r="K3254">
        <v>4981.3</v>
      </c>
      <c r="L3254" s="5">
        <v>46285</v>
      </c>
      <c r="M3254" t="s">
        <v>7091</v>
      </c>
      <c r="N3254" t="s">
        <v>207</v>
      </c>
      <c r="O3254" t="s">
        <v>7135</v>
      </c>
      <c r="P3254" t="s">
        <v>208</v>
      </c>
      <c r="Q3254" t="s">
        <v>209</v>
      </c>
    </row>
    <row r="3255" spans="1:17" x14ac:dyDescent="0.3">
      <c r="A3255" t="s">
        <v>7136</v>
      </c>
      <c r="C3255" t="s">
        <v>7137</v>
      </c>
      <c r="D3255" t="s">
        <v>7138</v>
      </c>
      <c r="E3255" s="5">
        <v>46283</v>
      </c>
      <c r="F3255" t="s">
        <v>204</v>
      </c>
      <c r="G3255" t="s">
        <v>213</v>
      </c>
      <c r="H3255">
        <v>1799</v>
      </c>
      <c r="I3255">
        <v>32.380000000000003</v>
      </c>
      <c r="J3255">
        <v>5.83</v>
      </c>
      <c r="K3255">
        <v>1760.79</v>
      </c>
      <c r="L3255" s="5">
        <v>46285</v>
      </c>
      <c r="M3255" t="s">
        <v>7091</v>
      </c>
      <c r="N3255" t="s">
        <v>207</v>
      </c>
      <c r="O3255" t="s">
        <v>7138</v>
      </c>
      <c r="P3255" t="s">
        <v>208</v>
      </c>
      <c r="Q3255" t="s">
        <v>209</v>
      </c>
    </row>
    <row r="3256" spans="1:17" x14ac:dyDescent="0.3">
      <c r="A3256" t="s">
        <v>7139</v>
      </c>
      <c r="C3256" t="s">
        <v>7140</v>
      </c>
      <c r="D3256" t="s">
        <v>7140</v>
      </c>
      <c r="E3256" s="5">
        <v>46283</v>
      </c>
      <c r="F3256" t="s">
        <v>204</v>
      </c>
      <c r="G3256" t="s">
        <v>220</v>
      </c>
      <c r="H3256">
        <v>3798</v>
      </c>
      <c r="I3256">
        <v>11.39</v>
      </c>
      <c r="J3256">
        <v>2.0499999999999998</v>
      </c>
      <c r="K3256">
        <v>3784.56</v>
      </c>
      <c r="L3256" s="5">
        <v>46285</v>
      </c>
      <c r="M3256" t="s">
        <v>7091</v>
      </c>
      <c r="N3256" t="s">
        <v>207</v>
      </c>
      <c r="O3256" t="s">
        <v>7140</v>
      </c>
      <c r="P3256" t="s">
        <v>208</v>
      </c>
      <c r="Q3256" t="s">
        <v>209</v>
      </c>
    </row>
    <row r="3257" spans="1:17" x14ac:dyDescent="0.3">
      <c r="A3257" t="s">
        <v>7141</v>
      </c>
      <c r="C3257" t="s">
        <v>7142</v>
      </c>
      <c r="D3257" t="s">
        <v>7142</v>
      </c>
      <c r="E3257" s="5">
        <v>46283</v>
      </c>
      <c r="F3257" t="s">
        <v>204</v>
      </c>
      <c r="G3257" t="s">
        <v>220</v>
      </c>
      <c r="H3257">
        <v>299</v>
      </c>
      <c r="I3257">
        <v>0</v>
      </c>
      <c r="J3257">
        <v>0</v>
      </c>
      <c r="K3257">
        <v>299</v>
      </c>
      <c r="L3257" s="5">
        <v>46285</v>
      </c>
      <c r="M3257" t="s">
        <v>7091</v>
      </c>
      <c r="N3257" t="s">
        <v>207</v>
      </c>
      <c r="O3257" t="s">
        <v>7142</v>
      </c>
      <c r="P3257" t="s">
        <v>208</v>
      </c>
      <c r="Q3257" t="s">
        <v>209</v>
      </c>
    </row>
    <row r="3258" spans="1:17" x14ac:dyDescent="0.3">
      <c r="A3258" t="s">
        <v>7143</v>
      </c>
      <c r="C3258" t="s">
        <v>7144</v>
      </c>
      <c r="D3258" t="s">
        <v>7144</v>
      </c>
      <c r="E3258" s="5">
        <v>46283</v>
      </c>
      <c r="F3258" t="s">
        <v>204</v>
      </c>
      <c r="G3258" t="s">
        <v>213</v>
      </c>
      <c r="H3258">
        <v>5798</v>
      </c>
      <c r="I3258">
        <v>92.77</v>
      </c>
      <c r="J3258">
        <v>16.7</v>
      </c>
      <c r="K3258">
        <v>5688.53</v>
      </c>
      <c r="L3258" s="5">
        <v>46285</v>
      </c>
      <c r="M3258" t="s">
        <v>7091</v>
      </c>
      <c r="N3258" t="s">
        <v>207</v>
      </c>
      <c r="O3258" t="s">
        <v>7144</v>
      </c>
      <c r="P3258" t="s">
        <v>208</v>
      </c>
      <c r="Q3258" t="s">
        <v>209</v>
      </c>
    </row>
    <row r="3259" spans="1:17" x14ac:dyDescent="0.3">
      <c r="A3259" t="s">
        <v>7145</v>
      </c>
      <c r="C3259" t="s">
        <v>7146</v>
      </c>
      <c r="D3259" t="s">
        <v>7146</v>
      </c>
      <c r="E3259" s="5">
        <v>46283</v>
      </c>
      <c r="F3259" t="s">
        <v>204</v>
      </c>
      <c r="G3259" t="s">
        <v>205</v>
      </c>
      <c r="H3259">
        <v>599</v>
      </c>
      <c r="I3259">
        <v>11.38</v>
      </c>
      <c r="J3259">
        <v>2.0499999999999998</v>
      </c>
      <c r="K3259">
        <v>585.57000000000005</v>
      </c>
      <c r="L3259" s="5">
        <v>46285</v>
      </c>
      <c r="M3259" t="s">
        <v>7091</v>
      </c>
      <c r="N3259" t="s">
        <v>207</v>
      </c>
      <c r="O3259" t="s">
        <v>7146</v>
      </c>
      <c r="P3259" t="s">
        <v>208</v>
      </c>
      <c r="Q3259" t="s">
        <v>209</v>
      </c>
    </row>
    <row r="3260" spans="1:17" x14ac:dyDescent="0.3">
      <c r="A3260" t="s">
        <v>7147</v>
      </c>
      <c r="C3260" t="s">
        <v>7148</v>
      </c>
      <c r="D3260" t="s">
        <v>7148</v>
      </c>
      <c r="E3260" s="5">
        <v>46283</v>
      </c>
      <c r="F3260" t="s">
        <v>204</v>
      </c>
      <c r="G3260" t="s">
        <v>213</v>
      </c>
      <c r="H3260">
        <v>599</v>
      </c>
      <c r="I3260">
        <v>10.78</v>
      </c>
      <c r="J3260">
        <v>1.94</v>
      </c>
      <c r="K3260">
        <v>586.28</v>
      </c>
      <c r="L3260" s="5">
        <v>46285</v>
      </c>
      <c r="M3260" t="s">
        <v>7091</v>
      </c>
      <c r="N3260" t="s">
        <v>207</v>
      </c>
      <c r="O3260" t="s">
        <v>7148</v>
      </c>
      <c r="P3260" t="s">
        <v>208</v>
      </c>
      <c r="Q3260" t="s">
        <v>209</v>
      </c>
    </row>
    <row r="3261" spans="1:17" x14ac:dyDescent="0.3">
      <c r="A3261" t="s">
        <v>7149</v>
      </c>
      <c r="C3261" t="s">
        <v>7150</v>
      </c>
      <c r="D3261" t="s">
        <v>7150</v>
      </c>
      <c r="E3261" s="5">
        <v>46283</v>
      </c>
      <c r="F3261" t="s">
        <v>204</v>
      </c>
      <c r="G3261" t="s">
        <v>255</v>
      </c>
      <c r="H3261">
        <v>3848</v>
      </c>
      <c r="I3261">
        <v>46.18</v>
      </c>
      <c r="J3261">
        <v>8.31</v>
      </c>
      <c r="K3261">
        <v>3793.51</v>
      </c>
      <c r="L3261" s="5">
        <v>46285</v>
      </c>
      <c r="M3261" t="s">
        <v>7091</v>
      </c>
      <c r="N3261" t="s">
        <v>207</v>
      </c>
      <c r="O3261" t="s">
        <v>7150</v>
      </c>
      <c r="P3261" t="s">
        <v>208</v>
      </c>
      <c r="Q3261" t="s">
        <v>209</v>
      </c>
    </row>
    <row r="3262" spans="1:17" x14ac:dyDescent="0.3">
      <c r="A3262" t="s">
        <v>7151</v>
      </c>
      <c r="C3262" t="s">
        <v>7152</v>
      </c>
      <c r="D3262" t="s">
        <v>7152</v>
      </c>
      <c r="E3262" s="5">
        <v>46283</v>
      </c>
      <c r="F3262" t="s">
        <v>204</v>
      </c>
      <c r="G3262" t="s">
        <v>220</v>
      </c>
      <c r="H3262">
        <v>6498</v>
      </c>
      <c r="I3262">
        <v>19.489999999999998</v>
      </c>
      <c r="J3262">
        <v>3.51</v>
      </c>
      <c r="K3262">
        <v>6475</v>
      </c>
      <c r="L3262" s="5">
        <v>46285</v>
      </c>
      <c r="M3262" t="s">
        <v>7091</v>
      </c>
      <c r="N3262" t="s">
        <v>207</v>
      </c>
      <c r="O3262" t="s">
        <v>7152</v>
      </c>
      <c r="P3262" t="s">
        <v>208</v>
      </c>
      <c r="Q3262" t="s">
        <v>209</v>
      </c>
    </row>
    <row r="3263" spans="1:17" x14ac:dyDescent="0.3">
      <c r="A3263" t="s">
        <v>7153</v>
      </c>
      <c r="C3263" t="s">
        <v>7154</v>
      </c>
      <c r="D3263" t="s">
        <v>7154</v>
      </c>
      <c r="E3263" s="5">
        <v>46283</v>
      </c>
      <c r="F3263" t="s">
        <v>204</v>
      </c>
      <c r="G3263" t="s">
        <v>213</v>
      </c>
      <c r="H3263">
        <v>4999</v>
      </c>
      <c r="I3263">
        <v>79.98</v>
      </c>
      <c r="J3263">
        <v>14.4</v>
      </c>
      <c r="K3263">
        <v>4904.62</v>
      </c>
      <c r="L3263" s="5">
        <v>46285</v>
      </c>
      <c r="M3263" t="s">
        <v>7091</v>
      </c>
      <c r="N3263" t="s">
        <v>207</v>
      </c>
      <c r="O3263" t="s">
        <v>7154</v>
      </c>
      <c r="P3263" t="s">
        <v>208</v>
      </c>
      <c r="Q3263" t="s">
        <v>209</v>
      </c>
    </row>
    <row r="3264" spans="1:17" x14ac:dyDescent="0.3">
      <c r="A3264" t="s">
        <v>7155</v>
      </c>
      <c r="C3264" t="s">
        <v>7156</v>
      </c>
      <c r="D3264" t="s">
        <v>7156</v>
      </c>
      <c r="E3264" s="5">
        <v>46283</v>
      </c>
      <c r="F3264" t="s">
        <v>204</v>
      </c>
      <c r="G3264" t="s">
        <v>220</v>
      </c>
      <c r="H3264">
        <v>1799</v>
      </c>
      <c r="I3264">
        <v>0</v>
      </c>
      <c r="J3264">
        <v>0</v>
      </c>
      <c r="K3264">
        <v>1799</v>
      </c>
      <c r="L3264" s="5">
        <v>46285</v>
      </c>
      <c r="M3264" t="s">
        <v>7091</v>
      </c>
      <c r="N3264" t="s">
        <v>207</v>
      </c>
      <c r="O3264" t="s">
        <v>7156</v>
      </c>
      <c r="P3264" t="s">
        <v>208</v>
      </c>
      <c r="Q3264" t="s">
        <v>209</v>
      </c>
    </row>
    <row r="3265" spans="1:17" x14ac:dyDescent="0.3">
      <c r="A3265" t="s">
        <v>7157</v>
      </c>
      <c r="C3265" t="s">
        <v>7158</v>
      </c>
      <c r="D3265" t="s">
        <v>7158</v>
      </c>
      <c r="E3265" s="5">
        <v>46283</v>
      </c>
      <c r="F3265" t="s">
        <v>204</v>
      </c>
      <c r="G3265" t="s">
        <v>220</v>
      </c>
      <c r="H3265">
        <v>6147</v>
      </c>
      <c r="I3265">
        <v>18.440000000000001</v>
      </c>
      <c r="J3265">
        <v>3.32</v>
      </c>
      <c r="K3265">
        <v>6125.24</v>
      </c>
      <c r="L3265" s="5">
        <v>46285</v>
      </c>
      <c r="M3265" t="s">
        <v>7091</v>
      </c>
      <c r="N3265" t="s">
        <v>207</v>
      </c>
      <c r="O3265" t="s">
        <v>7158</v>
      </c>
      <c r="P3265" t="s">
        <v>208</v>
      </c>
      <c r="Q3265" t="s">
        <v>209</v>
      </c>
    </row>
    <row r="3266" spans="1:17" x14ac:dyDescent="0.3">
      <c r="A3266" t="s">
        <v>7159</v>
      </c>
      <c r="C3266" t="s">
        <v>7160</v>
      </c>
      <c r="D3266" t="s">
        <v>7160</v>
      </c>
      <c r="E3266" s="5">
        <v>46283</v>
      </c>
      <c r="F3266" t="s">
        <v>204</v>
      </c>
      <c r="G3266" t="s">
        <v>220</v>
      </c>
      <c r="H3266">
        <v>2999</v>
      </c>
      <c r="I3266">
        <v>9</v>
      </c>
      <c r="J3266">
        <v>1.62</v>
      </c>
      <c r="K3266">
        <v>2988.38</v>
      </c>
      <c r="L3266" s="5">
        <v>46285</v>
      </c>
      <c r="M3266" t="s">
        <v>7091</v>
      </c>
      <c r="N3266" t="s">
        <v>207</v>
      </c>
      <c r="O3266" t="s">
        <v>7160</v>
      </c>
      <c r="P3266" t="s">
        <v>208</v>
      </c>
      <c r="Q3266" t="s">
        <v>209</v>
      </c>
    </row>
    <row r="3267" spans="1:17" x14ac:dyDescent="0.3">
      <c r="A3267" t="s">
        <v>7161</v>
      </c>
      <c r="C3267" t="s">
        <v>7162</v>
      </c>
      <c r="D3267" t="s">
        <v>7162</v>
      </c>
      <c r="E3267" s="5">
        <v>46283</v>
      </c>
      <c r="F3267" t="s">
        <v>204</v>
      </c>
      <c r="G3267" t="s">
        <v>213</v>
      </c>
      <c r="H3267">
        <v>2098</v>
      </c>
      <c r="I3267">
        <v>33.57</v>
      </c>
      <c r="J3267">
        <v>6.04</v>
      </c>
      <c r="K3267">
        <v>2058.39</v>
      </c>
      <c r="L3267" s="5">
        <v>46285</v>
      </c>
      <c r="M3267" t="s">
        <v>7091</v>
      </c>
      <c r="N3267" t="s">
        <v>207</v>
      </c>
      <c r="O3267" t="s">
        <v>7162</v>
      </c>
      <c r="P3267" t="s">
        <v>208</v>
      </c>
      <c r="Q3267" t="s">
        <v>209</v>
      </c>
    </row>
    <row r="3268" spans="1:17" x14ac:dyDescent="0.3">
      <c r="A3268" t="s">
        <v>7163</v>
      </c>
      <c r="C3268" t="s">
        <v>7164</v>
      </c>
      <c r="D3268" t="s">
        <v>7165</v>
      </c>
      <c r="E3268" s="5">
        <v>46283</v>
      </c>
      <c r="F3268" t="s">
        <v>204</v>
      </c>
      <c r="G3268" t="s">
        <v>213</v>
      </c>
      <c r="H3268">
        <v>698</v>
      </c>
      <c r="I3268">
        <v>12.56</v>
      </c>
      <c r="J3268">
        <v>2.2599999999999998</v>
      </c>
      <c r="K3268">
        <v>683.18</v>
      </c>
      <c r="L3268" s="5">
        <v>46285</v>
      </c>
      <c r="M3268" t="s">
        <v>7091</v>
      </c>
      <c r="N3268" t="s">
        <v>207</v>
      </c>
      <c r="O3268" t="s">
        <v>7165</v>
      </c>
      <c r="P3268" t="s">
        <v>208</v>
      </c>
      <c r="Q3268" t="s">
        <v>209</v>
      </c>
    </row>
    <row r="3269" spans="1:17" x14ac:dyDescent="0.3">
      <c r="A3269" t="s">
        <v>7166</v>
      </c>
      <c r="C3269" t="s">
        <v>7167</v>
      </c>
      <c r="D3269" t="s">
        <v>7167</v>
      </c>
      <c r="E3269" s="5">
        <v>46283</v>
      </c>
      <c r="F3269" t="s">
        <v>204</v>
      </c>
      <c r="G3269" t="s">
        <v>220</v>
      </c>
      <c r="H3269">
        <v>999</v>
      </c>
      <c r="I3269">
        <v>0</v>
      </c>
      <c r="J3269">
        <v>0</v>
      </c>
      <c r="K3269">
        <v>999</v>
      </c>
      <c r="L3269" s="5">
        <v>46285</v>
      </c>
      <c r="M3269" t="s">
        <v>7091</v>
      </c>
      <c r="N3269" t="s">
        <v>207</v>
      </c>
      <c r="O3269" t="s">
        <v>7167</v>
      </c>
      <c r="P3269" t="s">
        <v>208</v>
      </c>
      <c r="Q3269" t="s">
        <v>209</v>
      </c>
    </row>
    <row r="3270" spans="1:17" x14ac:dyDescent="0.3">
      <c r="A3270" t="s">
        <v>7168</v>
      </c>
      <c r="C3270" t="s">
        <v>7169</v>
      </c>
      <c r="D3270" t="s">
        <v>7169</v>
      </c>
      <c r="E3270" s="5">
        <v>46283</v>
      </c>
      <c r="F3270" t="s">
        <v>204</v>
      </c>
      <c r="G3270" t="s">
        <v>220</v>
      </c>
      <c r="H3270">
        <v>7999</v>
      </c>
      <c r="I3270">
        <v>24</v>
      </c>
      <c r="J3270">
        <v>4.32</v>
      </c>
      <c r="K3270">
        <v>7970.68</v>
      </c>
      <c r="L3270" s="5">
        <v>46285</v>
      </c>
      <c r="M3270" t="s">
        <v>7091</v>
      </c>
      <c r="N3270" t="s">
        <v>207</v>
      </c>
      <c r="O3270" t="s">
        <v>7169</v>
      </c>
      <c r="P3270" t="s">
        <v>208</v>
      </c>
      <c r="Q3270" t="s">
        <v>209</v>
      </c>
    </row>
    <row r="3271" spans="1:17" x14ac:dyDescent="0.3">
      <c r="A3271" t="s">
        <v>7170</v>
      </c>
      <c r="C3271" t="s">
        <v>7171</v>
      </c>
      <c r="D3271" t="s">
        <v>7171</v>
      </c>
      <c r="E3271" s="5">
        <v>46283</v>
      </c>
      <c r="F3271" t="s">
        <v>204</v>
      </c>
      <c r="G3271" t="s">
        <v>220</v>
      </c>
      <c r="H3271">
        <v>1648</v>
      </c>
      <c r="I3271">
        <v>0</v>
      </c>
      <c r="J3271">
        <v>0</v>
      </c>
      <c r="K3271">
        <v>1648</v>
      </c>
      <c r="L3271" s="5">
        <v>46285</v>
      </c>
      <c r="M3271" t="s">
        <v>7091</v>
      </c>
      <c r="N3271" t="s">
        <v>207</v>
      </c>
      <c r="O3271" t="s">
        <v>7171</v>
      </c>
      <c r="P3271" t="s">
        <v>208</v>
      </c>
      <c r="Q3271" t="s">
        <v>209</v>
      </c>
    </row>
    <row r="3272" spans="1:17" x14ac:dyDescent="0.3">
      <c r="A3272" t="s">
        <v>7172</v>
      </c>
      <c r="C3272" t="s">
        <v>7173</v>
      </c>
      <c r="D3272" t="s">
        <v>7173</v>
      </c>
      <c r="E3272" s="5">
        <v>46283</v>
      </c>
      <c r="F3272" t="s">
        <v>204</v>
      </c>
      <c r="G3272" t="s">
        <v>205</v>
      </c>
      <c r="H3272">
        <v>4999</v>
      </c>
      <c r="I3272">
        <v>84.98</v>
      </c>
      <c r="J3272">
        <v>15.3</v>
      </c>
      <c r="K3272">
        <v>4898.72</v>
      </c>
      <c r="L3272" s="5">
        <v>46285</v>
      </c>
      <c r="M3272" t="s">
        <v>7091</v>
      </c>
      <c r="N3272" t="s">
        <v>207</v>
      </c>
      <c r="O3272" t="s">
        <v>7173</v>
      </c>
      <c r="P3272" t="s">
        <v>208</v>
      </c>
      <c r="Q3272" t="s">
        <v>209</v>
      </c>
    </row>
    <row r="3273" spans="1:17" x14ac:dyDescent="0.3">
      <c r="A3273" t="s">
        <v>7174</v>
      </c>
      <c r="C3273" t="s">
        <v>7175</v>
      </c>
      <c r="D3273" t="s">
        <v>7175</v>
      </c>
      <c r="E3273" s="5">
        <v>46283</v>
      </c>
      <c r="F3273" t="s">
        <v>204</v>
      </c>
      <c r="G3273" t="s">
        <v>213</v>
      </c>
      <c r="H3273">
        <v>4999</v>
      </c>
      <c r="I3273">
        <v>79.98</v>
      </c>
      <c r="J3273">
        <v>14.4</v>
      </c>
      <c r="K3273">
        <v>4904.62</v>
      </c>
      <c r="L3273" s="5">
        <v>46285</v>
      </c>
      <c r="M3273" t="s">
        <v>7091</v>
      </c>
      <c r="N3273" t="s">
        <v>207</v>
      </c>
      <c r="O3273" t="s">
        <v>7175</v>
      </c>
      <c r="P3273" t="s">
        <v>208</v>
      </c>
      <c r="Q3273" t="s">
        <v>209</v>
      </c>
    </row>
    <row r="3274" spans="1:17" x14ac:dyDescent="0.3">
      <c r="A3274" t="s">
        <v>7176</v>
      </c>
      <c r="C3274" t="s">
        <v>7177</v>
      </c>
      <c r="D3274" t="s">
        <v>7177</v>
      </c>
      <c r="E3274" s="5">
        <v>46283</v>
      </c>
      <c r="F3274" t="s">
        <v>204</v>
      </c>
      <c r="G3274" t="s">
        <v>220</v>
      </c>
      <c r="H3274">
        <v>799</v>
      </c>
      <c r="I3274">
        <v>0</v>
      </c>
      <c r="J3274">
        <v>0</v>
      </c>
      <c r="K3274">
        <v>799</v>
      </c>
      <c r="L3274" s="5">
        <v>46285</v>
      </c>
      <c r="M3274" t="s">
        <v>7091</v>
      </c>
      <c r="N3274" t="s">
        <v>207</v>
      </c>
      <c r="O3274" t="s">
        <v>7177</v>
      </c>
      <c r="P3274" t="s">
        <v>208</v>
      </c>
      <c r="Q3274" t="s">
        <v>209</v>
      </c>
    </row>
    <row r="3275" spans="1:17" x14ac:dyDescent="0.3">
      <c r="A3275" t="s">
        <v>7178</v>
      </c>
      <c r="C3275" t="s">
        <v>7179</v>
      </c>
      <c r="D3275" t="s">
        <v>7179</v>
      </c>
      <c r="E3275" s="5">
        <v>46283</v>
      </c>
      <c r="F3275" t="s">
        <v>204</v>
      </c>
      <c r="G3275" t="s">
        <v>220</v>
      </c>
      <c r="H3275">
        <v>2499</v>
      </c>
      <c r="I3275">
        <v>7.5</v>
      </c>
      <c r="J3275">
        <v>1.35</v>
      </c>
      <c r="K3275">
        <v>2490.15</v>
      </c>
      <c r="L3275" s="5">
        <v>46285</v>
      </c>
      <c r="M3275" t="s">
        <v>7091</v>
      </c>
      <c r="N3275" t="s">
        <v>207</v>
      </c>
      <c r="O3275" t="s">
        <v>7179</v>
      </c>
      <c r="P3275" t="s">
        <v>208</v>
      </c>
      <c r="Q3275" t="s">
        <v>209</v>
      </c>
    </row>
    <row r="3276" spans="1:17" x14ac:dyDescent="0.3">
      <c r="A3276" t="s">
        <v>7180</v>
      </c>
      <c r="C3276" t="s">
        <v>7181</v>
      </c>
      <c r="D3276" t="s">
        <v>7181</v>
      </c>
      <c r="E3276" s="5">
        <v>46283</v>
      </c>
      <c r="F3276" t="s">
        <v>204</v>
      </c>
      <c r="G3276" t="s">
        <v>255</v>
      </c>
      <c r="H3276">
        <v>2999</v>
      </c>
      <c r="I3276">
        <v>35.99</v>
      </c>
      <c r="J3276">
        <v>6.48</v>
      </c>
      <c r="K3276">
        <v>2956.53</v>
      </c>
      <c r="L3276" s="5">
        <v>46285</v>
      </c>
      <c r="M3276" t="s">
        <v>7091</v>
      </c>
      <c r="N3276" t="s">
        <v>207</v>
      </c>
      <c r="O3276" t="s">
        <v>7181</v>
      </c>
      <c r="P3276" t="s">
        <v>208</v>
      </c>
      <c r="Q3276" t="s">
        <v>209</v>
      </c>
    </row>
    <row r="3277" spans="1:17" x14ac:dyDescent="0.3">
      <c r="A3277" t="s">
        <v>7182</v>
      </c>
      <c r="C3277" t="s">
        <v>7183</v>
      </c>
      <c r="D3277" t="s">
        <v>7183</v>
      </c>
      <c r="E3277" s="5">
        <v>46283</v>
      </c>
      <c r="F3277" t="s">
        <v>204</v>
      </c>
      <c r="G3277" t="s">
        <v>220</v>
      </c>
      <c r="H3277">
        <v>1299</v>
      </c>
      <c r="I3277">
        <v>0</v>
      </c>
      <c r="J3277">
        <v>0</v>
      </c>
      <c r="K3277">
        <v>1299</v>
      </c>
      <c r="L3277" s="5">
        <v>46285</v>
      </c>
      <c r="M3277" t="s">
        <v>7091</v>
      </c>
      <c r="N3277" t="s">
        <v>207</v>
      </c>
      <c r="O3277" t="s">
        <v>7183</v>
      </c>
      <c r="P3277" t="s">
        <v>208</v>
      </c>
      <c r="Q3277" t="s">
        <v>209</v>
      </c>
    </row>
    <row r="3278" spans="1:17" x14ac:dyDescent="0.3">
      <c r="A3278" t="s">
        <v>7184</v>
      </c>
      <c r="C3278" t="s">
        <v>7185</v>
      </c>
      <c r="D3278" t="s">
        <v>7185</v>
      </c>
      <c r="E3278" s="5">
        <v>46283</v>
      </c>
      <c r="F3278" t="s">
        <v>204</v>
      </c>
      <c r="G3278" t="s">
        <v>220</v>
      </c>
      <c r="H3278">
        <v>1799</v>
      </c>
      <c r="I3278">
        <v>0</v>
      </c>
      <c r="J3278">
        <v>0</v>
      </c>
      <c r="K3278">
        <v>1799</v>
      </c>
      <c r="L3278" s="5">
        <v>46285</v>
      </c>
      <c r="M3278" t="s">
        <v>7091</v>
      </c>
      <c r="N3278" t="s">
        <v>207</v>
      </c>
      <c r="O3278" t="s">
        <v>7185</v>
      </c>
      <c r="P3278" t="s">
        <v>208</v>
      </c>
      <c r="Q3278" t="s">
        <v>209</v>
      </c>
    </row>
    <row r="3279" spans="1:17" x14ac:dyDescent="0.3">
      <c r="A3279" t="s">
        <v>7186</v>
      </c>
      <c r="C3279" t="s">
        <v>7187</v>
      </c>
      <c r="D3279" t="s">
        <v>7187</v>
      </c>
      <c r="E3279" s="5">
        <v>46283</v>
      </c>
      <c r="F3279" t="s">
        <v>204</v>
      </c>
      <c r="G3279" t="s">
        <v>220</v>
      </c>
      <c r="H3279">
        <v>1499</v>
      </c>
      <c r="I3279">
        <v>0</v>
      </c>
      <c r="J3279">
        <v>0</v>
      </c>
      <c r="K3279">
        <v>1499</v>
      </c>
      <c r="L3279" s="5">
        <v>46285</v>
      </c>
      <c r="M3279" t="s">
        <v>7091</v>
      </c>
      <c r="N3279" t="s">
        <v>207</v>
      </c>
      <c r="O3279" t="s">
        <v>7187</v>
      </c>
      <c r="P3279" t="s">
        <v>208</v>
      </c>
      <c r="Q3279" t="s">
        <v>209</v>
      </c>
    </row>
    <row r="3280" spans="1:17" x14ac:dyDescent="0.3">
      <c r="A3280" t="s">
        <v>7188</v>
      </c>
      <c r="C3280" t="s">
        <v>7189</v>
      </c>
      <c r="D3280" t="s">
        <v>7190</v>
      </c>
      <c r="E3280" s="5">
        <v>46283</v>
      </c>
      <c r="F3280" t="s">
        <v>204</v>
      </c>
      <c r="G3280" t="s">
        <v>205</v>
      </c>
      <c r="H3280">
        <v>2298</v>
      </c>
      <c r="I3280">
        <v>39.07</v>
      </c>
      <c r="J3280">
        <v>7.03</v>
      </c>
      <c r="K3280">
        <v>2251.9</v>
      </c>
      <c r="L3280" s="5">
        <v>46285</v>
      </c>
      <c r="M3280" t="s">
        <v>7091</v>
      </c>
      <c r="N3280" t="s">
        <v>207</v>
      </c>
      <c r="O3280" t="s">
        <v>7190</v>
      </c>
      <c r="P3280" t="s">
        <v>208</v>
      </c>
      <c r="Q3280" t="s">
        <v>209</v>
      </c>
    </row>
    <row r="3281" spans="1:17" x14ac:dyDescent="0.3">
      <c r="A3281" t="s">
        <v>7191</v>
      </c>
      <c r="C3281" t="s">
        <v>7192</v>
      </c>
      <c r="D3281" t="s">
        <v>7193</v>
      </c>
      <c r="E3281" s="5">
        <v>46283</v>
      </c>
      <c r="F3281" t="s">
        <v>204</v>
      </c>
      <c r="G3281" t="s">
        <v>255</v>
      </c>
      <c r="H3281">
        <v>4098</v>
      </c>
      <c r="I3281">
        <v>49.18</v>
      </c>
      <c r="J3281">
        <v>8.85</v>
      </c>
      <c r="K3281">
        <v>4039.97</v>
      </c>
      <c r="L3281" s="5">
        <v>46285</v>
      </c>
      <c r="M3281" t="s">
        <v>7091</v>
      </c>
      <c r="N3281" t="s">
        <v>207</v>
      </c>
      <c r="O3281" t="s">
        <v>7193</v>
      </c>
      <c r="P3281" t="s">
        <v>208</v>
      </c>
      <c r="Q3281" t="s">
        <v>209</v>
      </c>
    </row>
    <row r="3282" spans="1:17" x14ac:dyDescent="0.3">
      <c r="A3282" t="s">
        <v>7194</v>
      </c>
      <c r="C3282" t="s">
        <v>7195</v>
      </c>
      <c r="D3282" t="s">
        <v>7195</v>
      </c>
      <c r="E3282" s="5">
        <v>46283</v>
      </c>
      <c r="F3282" t="s">
        <v>204</v>
      </c>
      <c r="G3282" t="s">
        <v>220</v>
      </c>
      <c r="H3282">
        <v>2499</v>
      </c>
      <c r="I3282">
        <v>7.5</v>
      </c>
      <c r="J3282">
        <v>1.35</v>
      </c>
      <c r="K3282">
        <v>2490.15</v>
      </c>
      <c r="L3282" s="5">
        <v>46285</v>
      </c>
      <c r="M3282" t="s">
        <v>7091</v>
      </c>
      <c r="N3282" t="s">
        <v>207</v>
      </c>
      <c r="O3282" t="s">
        <v>7195</v>
      </c>
      <c r="P3282" t="s">
        <v>208</v>
      </c>
      <c r="Q3282" t="s">
        <v>209</v>
      </c>
    </row>
    <row r="3283" spans="1:17" x14ac:dyDescent="0.3">
      <c r="A3283" t="s">
        <v>7196</v>
      </c>
      <c r="C3283" t="s">
        <v>7197</v>
      </c>
      <c r="D3283" t="s">
        <v>7197</v>
      </c>
      <c r="E3283" s="5">
        <v>46283</v>
      </c>
      <c r="F3283" t="s">
        <v>204</v>
      </c>
      <c r="G3283" t="s">
        <v>220</v>
      </c>
      <c r="H3283">
        <v>3798</v>
      </c>
      <c r="I3283">
        <v>11.39</v>
      </c>
      <c r="J3283">
        <v>2.0499999999999998</v>
      </c>
      <c r="K3283">
        <v>3784.56</v>
      </c>
      <c r="L3283" s="5">
        <v>46285</v>
      </c>
      <c r="M3283" t="s">
        <v>7091</v>
      </c>
      <c r="N3283" t="s">
        <v>207</v>
      </c>
      <c r="O3283" t="s">
        <v>7197</v>
      </c>
      <c r="P3283" t="s">
        <v>208</v>
      </c>
      <c r="Q3283" t="s">
        <v>209</v>
      </c>
    </row>
    <row r="3284" spans="1:17" x14ac:dyDescent="0.3">
      <c r="A3284" t="s">
        <v>7198</v>
      </c>
      <c r="C3284" t="s">
        <v>7199</v>
      </c>
      <c r="D3284" t="s">
        <v>7199</v>
      </c>
      <c r="E3284" s="5">
        <v>46283</v>
      </c>
      <c r="F3284" t="s">
        <v>204</v>
      </c>
      <c r="G3284" t="s">
        <v>213</v>
      </c>
      <c r="H3284">
        <v>2098</v>
      </c>
      <c r="I3284">
        <v>33.57</v>
      </c>
      <c r="J3284">
        <v>6.04</v>
      </c>
      <c r="K3284">
        <v>2058.39</v>
      </c>
      <c r="L3284" s="5">
        <v>46285</v>
      </c>
      <c r="M3284" t="s">
        <v>7091</v>
      </c>
      <c r="N3284" t="s">
        <v>207</v>
      </c>
      <c r="O3284" t="s">
        <v>7199</v>
      </c>
      <c r="P3284" t="s">
        <v>208</v>
      </c>
      <c r="Q3284" t="s">
        <v>209</v>
      </c>
    </row>
    <row r="3285" spans="1:17" x14ac:dyDescent="0.3">
      <c r="A3285" t="s">
        <v>7200</v>
      </c>
      <c r="C3285" t="s">
        <v>7201</v>
      </c>
      <c r="D3285" t="s">
        <v>7201</v>
      </c>
      <c r="E3285" s="5">
        <v>46283</v>
      </c>
      <c r="F3285" t="s">
        <v>204</v>
      </c>
      <c r="G3285" t="s">
        <v>213</v>
      </c>
      <c r="H3285">
        <v>8598</v>
      </c>
      <c r="I3285">
        <v>137.57</v>
      </c>
      <c r="J3285">
        <v>24.76</v>
      </c>
      <c r="K3285">
        <v>8435.67</v>
      </c>
      <c r="L3285" s="5">
        <v>46285</v>
      </c>
      <c r="M3285" t="s">
        <v>7091</v>
      </c>
      <c r="N3285" t="s">
        <v>207</v>
      </c>
      <c r="O3285" t="s">
        <v>7201</v>
      </c>
      <c r="P3285" t="s">
        <v>208</v>
      </c>
      <c r="Q3285" t="s">
        <v>209</v>
      </c>
    </row>
    <row r="3286" spans="1:17" x14ac:dyDescent="0.3">
      <c r="A3286" t="s">
        <v>7202</v>
      </c>
      <c r="C3286" t="s">
        <v>7203</v>
      </c>
      <c r="D3286" t="s">
        <v>7203</v>
      </c>
      <c r="E3286" s="5">
        <v>46283</v>
      </c>
      <c r="F3286" t="s">
        <v>204</v>
      </c>
      <c r="G3286" t="s">
        <v>213</v>
      </c>
      <c r="H3286">
        <v>1197</v>
      </c>
      <c r="I3286">
        <v>21.55</v>
      </c>
      <c r="J3286">
        <v>3.88</v>
      </c>
      <c r="K3286">
        <v>1171.57</v>
      </c>
      <c r="L3286" s="5">
        <v>46285</v>
      </c>
      <c r="M3286" t="s">
        <v>7091</v>
      </c>
      <c r="N3286" t="s">
        <v>207</v>
      </c>
      <c r="O3286" t="s">
        <v>7203</v>
      </c>
      <c r="P3286" t="s">
        <v>208</v>
      </c>
      <c r="Q3286" t="s">
        <v>209</v>
      </c>
    </row>
    <row r="3287" spans="1:17" x14ac:dyDescent="0.3">
      <c r="A3287" t="s">
        <v>7204</v>
      </c>
      <c r="C3287" t="s">
        <v>7205</v>
      </c>
      <c r="D3287" t="s">
        <v>7206</v>
      </c>
      <c r="E3287" s="5">
        <v>46283</v>
      </c>
      <c r="F3287" t="s">
        <v>204</v>
      </c>
      <c r="G3287" t="s">
        <v>220</v>
      </c>
      <c r="H3287">
        <v>4197</v>
      </c>
      <c r="I3287">
        <v>12.59</v>
      </c>
      <c r="J3287">
        <v>2.27</v>
      </c>
      <c r="K3287">
        <v>4182.1400000000003</v>
      </c>
      <c r="L3287" s="5">
        <v>46285</v>
      </c>
      <c r="M3287" t="s">
        <v>7091</v>
      </c>
      <c r="N3287" t="s">
        <v>207</v>
      </c>
      <c r="O3287" t="s">
        <v>7206</v>
      </c>
      <c r="P3287" t="s">
        <v>208</v>
      </c>
      <c r="Q3287" t="s">
        <v>209</v>
      </c>
    </row>
    <row r="3288" spans="1:17" x14ac:dyDescent="0.3">
      <c r="A3288" t="s">
        <v>7207</v>
      </c>
      <c r="C3288" t="s">
        <v>7208</v>
      </c>
      <c r="D3288" t="s">
        <v>7209</v>
      </c>
      <c r="E3288" s="5">
        <v>46283</v>
      </c>
      <c r="F3288" t="s">
        <v>204</v>
      </c>
      <c r="G3288" t="s">
        <v>255</v>
      </c>
      <c r="H3288">
        <v>3998</v>
      </c>
      <c r="I3288">
        <v>47.98</v>
      </c>
      <c r="J3288">
        <v>8.64</v>
      </c>
      <c r="K3288">
        <v>3941.38</v>
      </c>
      <c r="L3288" s="5">
        <v>46285</v>
      </c>
      <c r="M3288" t="s">
        <v>7091</v>
      </c>
      <c r="N3288" t="s">
        <v>207</v>
      </c>
      <c r="O3288" t="s">
        <v>7209</v>
      </c>
      <c r="P3288" t="s">
        <v>208</v>
      </c>
      <c r="Q3288" t="s">
        <v>209</v>
      </c>
    </row>
    <row r="3289" spans="1:17" x14ac:dyDescent="0.3">
      <c r="A3289" t="s">
        <v>7210</v>
      </c>
      <c r="C3289" t="s">
        <v>7211</v>
      </c>
      <c r="D3289" t="s">
        <v>7211</v>
      </c>
      <c r="E3289" s="5">
        <v>46283</v>
      </c>
      <c r="F3289" t="s">
        <v>204</v>
      </c>
      <c r="G3289" t="s">
        <v>220</v>
      </c>
      <c r="H3289">
        <v>4797</v>
      </c>
      <c r="I3289">
        <v>14.39</v>
      </c>
      <c r="J3289">
        <v>2.59</v>
      </c>
      <c r="K3289">
        <v>4780.0200000000004</v>
      </c>
      <c r="L3289" s="5">
        <v>46285</v>
      </c>
      <c r="M3289" t="s">
        <v>7091</v>
      </c>
      <c r="N3289" t="s">
        <v>207</v>
      </c>
      <c r="O3289" t="s">
        <v>7211</v>
      </c>
      <c r="P3289" t="s">
        <v>208</v>
      </c>
      <c r="Q3289" t="s">
        <v>209</v>
      </c>
    </row>
    <row r="3290" spans="1:17" x14ac:dyDescent="0.3">
      <c r="A3290" t="s">
        <v>7212</v>
      </c>
      <c r="C3290" t="s">
        <v>7213</v>
      </c>
      <c r="D3290" t="s">
        <v>7213</v>
      </c>
      <c r="E3290" s="5">
        <v>46283</v>
      </c>
      <c r="F3290" t="s">
        <v>204</v>
      </c>
      <c r="G3290" t="s">
        <v>220</v>
      </c>
      <c r="H3290">
        <v>3098</v>
      </c>
      <c r="I3290">
        <v>9.2899999999999991</v>
      </c>
      <c r="J3290">
        <v>1.67</v>
      </c>
      <c r="K3290">
        <v>3087.04</v>
      </c>
      <c r="L3290" s="5">
        <v>46285</v>
      </c>
      <c r="M3290" t="s">
        <v>7091</v>
      </c>
      <c r="N3290" t="s">
        <v>207</v>
      </c>
      <c r="O3290" t="s">
        <v>7213</v>
      </c>
      <c r="P3290" t="s">
        <v>208</v>
      </c>
      <c r="Q3290" t="s">
        <v>209</v>
      </c>
    </row>
    <row r="3291" spans="1:17" x14ac:dyDescent="0.3">
      <c r="A3291" t="s">
        <v>7214</v>
      </c>
      <c r="C3291" t="s">
        <v>7215</v>
      </c>
      <c r="D3291" t="s">
        <v>7216</v>
      </c>
      <c r="E3291" s="5">
        <v>46283</v>
      </c>
      <c r="F3291" t="s">
        <v>204</v>
      </c>
      <c r="G3291" t="s">
        <v>220</v>
      </c>
      <c r="H3291">
        <v>2499</v>
      </c>
      <c r="I3291">
        <v>7.5</v>
      </c>
      <c r="J3291">
        <v>1.35</v>
      </c>
      <c r="K3291">
        <v>2490.15</v>
      </c>
      <c r="L3291" s="5">
        <v>46285</v>
      </c>
      <c r="M3291" t="s">
        <v>7091</v>
      </c>
      <c r="N3291" t="s">
        <v>207</v>
      </c>
      <c r="O3291" t="s">
        <v>7216</v>
      </c>
      <c r="P3291" t="s">
        <v>208</v>
      </c>
      <c r="Q3291" t="s">
        <v>209</v>
      </c>
    </row>
    <row r="3292" spans="1:17" x14ac:dyDescent="0.3">
      <c r="A3292" t="s">
        <v>7217</v>
      </c>
      <c r="C3292" t="s">
        <v>7218</v>
      </c>
      <c r="D3292" t="s">
        <v>7218</v>
      </c>
      <c r="E3292" s="5">
        <v>46283</v>
      </c>
      <c r="F3292" t="s">
        <v>204</v>
      </c>
      <c r="G3292" t="s">
        <v>220</v>
      </c>
      <c r="H3292">
        <v>299</v>
      </c>
      <c r="I3292">
        <v>0</v>
      </c>
      <c r="J3292">
        <v>0</v>
      </c>
      <c r="K3292">
        <v>299</v>
      </c>
      <c r="L3292" s="5">
        <v>46285</v>
      </c>
      <c r="M3292" t="s">
        <v>7091</v>
      </c>
      <c r="N3292" t="s">
        <v>207</v>
      </c>
      <c r="O3292" t="s">
        <v>7218</v>
      </c>
      <c r="P3292" t="s">
        <v>208</v>
      </c>
      <c r="Q3292" t="s">
        <v>209</v>
      </c>
    </row>
    <row r="3293" spans="1:17" x14ac:dyDescent="0.3">
      <c r="A3293" t="s">
        <v>7219</v>
      </c>
      <c r="C3293" t="s">
        <v>7220</v>
      </c>
      <c r="D3293" t="s">
        <v>7221</v>
      </c>
      <c r="E3293" s="5">
        <v>46283</v>
      </c>
      <c r="F3293" t="s">
        <v>204</v>
      </c>
      <c r="G3293" t="s">
        <v>213</v>
      </c>
      <c r="H3293">
        <v>349</v>
      </c>
      <c r="I3293">
        <v>6.28</v>
      </c>
      <c r="J3293">
        <v>1.1299999999999999</v>
      </c>
      <c r="K3293">
        <v>341.59</v>
      </c>
      <c r="L3293" s="5">
        <v>46285</v>
      </c>
      <c r="M3293" t="s">
        <v>7091</v>
      </c>
      <c r="N3293" t="s">
        <v>207</v>
      </c>
      <c r="O3293" t="s">
        <v>7221</v>
      </c>
      <c r="P3293" t="s">
        <v>208</v>
      </c>
      <c r="Q3293" t="s">
        <v>209</v>
      </c>
    </row>
    <row r="3294" spans="1:17" x14ac:dyDescent="0.3">
      <c r="A3294" t="s">
        <v>7222</v>
      </c>
      <c r="C3294" t="s">
        <v>7223</v>
      </c>
      <c r="D3294" t="s">
        <v>7223</v>
      </c>
      <c r="E3294" s="5">
        <v>46283</v>
      </c>
      <c r="F3294" t="s">
        <v>204</v>
      </c>
      <c r="G3294" t="s">
        <v>220</v>
      </c>
      <c r="H3294">
        <v>2999</v>
      </c>
      <c r="I3294">
        <v>9</v>
      </c>
      <c r="J3294">
        <v>1.62</v>
      </c>
      <c r="K3294">
        <v>2988.38</v>
      </c>
      <c r="L3294" s="5">
        <v>46285</v>
      </c>
      <c r="M3294" t="s">
        <v>7091</v>
      </c>
      <c r="N3294" t="s">
        <v>207</v>
      </c>
      <c r="O3294" t="s">
        <v>7223</v>
      </c>
      <c r="P3294" t="s">
        <v>208</v>
      </c>
      <c r="Q3294" t="s">
        <v>209</v>
      </c>
    </row>
    <row r="3295" spans="1:17" x14ac:dyDescent="0.3">
      <c r="A3295" t="s">
        <v>7224</v>
      </c>
      <c r="C3295" t="s">
        <v>7225</v>
      </c>
      <c r="D3295" t="s">
        <v>7225</v>
      </c>
      <c r="E3295" s="5">
        <v>46283</v>
      </c>
      <c r="F3295" t="s">
        <v>204</v>
      </c>
      <c r="G3295" t="s">
        <v>220</v>
      </c>
      <c r="H3295">
        <v>2999</v>
      </c>
      <c r="I3295">
        <v>9</v>
      </c>
      <c r="J3295">
        <v>1.62</v>
      </c>
      <c r="K3295">
        <v>2988.38</v>
      </c>
      <c r="L3295" s="5">
        <v>46285</v>
      </c>
      <c r="M3295" t="s">
        <v>7091</v>
      </c>
      <c r="N3295" t="s">
        <v>207</v>
      </c>
      <c r="O3295" t="s">
        <v>7225</v>
      </c>
      <c r="P3295" t="s">
        <v>208</v>
      </c>
      <c r="Q3295" t="s">
        <v>209</v>
      </c>
    </row>
    <row r="3296" spans="1:17" x14ac:dyDescent="0.3">
      <c r="A3296" t="s">
        <v>7226</v>
      </c>
      <c r="C3296" t="s">
        <v>7227</v>
      </c>
      <c r="D3296" t="s">
        <v>7227</v>
      </c>
      <c r="E3296" s="5">
        <v>46283</v>
      </c>
      <c r="F3296" t="s">
        <v>204</v>
      </c>
      <c r="G3296" t="s">
        <v>213</v>
      </c>
      <c r="H3296">
        <v>599</v>
      </c>
      <c r="I3296">
        <v>10.78</v>
      </c>
      <c r="J3296">
        <v>1.94</v>
      </c>
      <c r="K3296">
        <v>586.28</v>
      </c>
      <c r="L3296" s="5">
        <v>46285</v>
      </c>
      <c r="M3296" t="s">
        <v>7091</v>
      </c>
      <c r="N3296" t="s">
        <v>207</v>
      </c>
      <c r="O3296" t="s">
        <v>7227</v>
      </c>
      <c r="P3296" t="s">
        <v>208</v>
      </c>
      <c r="Q3296" t="s">
        <v>209</v>
      </c>
    </row>
    <row r="3297" spans="1:17" x14ac:dyDescent="0.3">
      <c r="A3297" t="s">
        <v>7228</v>
      </c>
      <c r="C3297" t="s">
        <v>7229</v>
      </c>
      <c r="D3297" t="s">
        <v>7229</v>
      </c>
      <c r="E3297" s="5">
        <v>46283</v>
      </c>
      <c r="F3297" t="s">
        <v>204</v>
      </c>
      <c r="G3297" t="s">
        <v>213</v>
      </c>
      <c r="H3297">
        <v>2499</v>
      </c>
      <c r="I3297">
        <v>39.979999999999997</v>
      </c>
      <c r="J3297">
        <v>7.2</v>
      </c>
      <c r="K3297">
        <v>2451.8200000000002</v>
      </c>
      <c r="L3297" s="5">
        <v>46285</v>
      </c>
      <c r="M3297" t="s">
        <v>7091</v>
      </c>
      <c r="N3297" t="s">
        <v>207</v>
      </c>
      <c r="O3297" t="s">
        <v>7229</v>
      </c>
      <c r="P3297" t="s">
        <v>208</v>
      </c>
      <c r="Q3297" t="s">
        <v>209</v>
      </c>
    </row>
    <row r="3298" spans="1:17" x14ac:dyDescent="0.3">
      <c r="A3298" t="s">
        <v>7230</v>
      </c>
      <c r="C3298" t="s">
        <v>7231</v>
      </c>
      <c r="D3298" t="s">
        <v>7231</v>
      </c>
      <c r="E3298" s="5">
        <v>46283</v>
      </c>
      <c r="F3298" t="s">
        <v>204</v>
      </c>
      <c r="G3298" t="s">
        <v>220</v>
      </c>
      <c r="H3298">
        <v>2499</v>
      </c>
      <c r="I3298">
        <v>7.5</v>
      </c>
      <c r="J3298">
        <v>1.35</v>
      </c>
      <c r="K3298">
        <v>2490.15</v>
      </c>
      <c r="L3298" s="5">
        <v>46285</v>
      </c>
      <c r="M3298" t="s">
        <v>7091</v>
      </c>
      <c r="N3298" t="s">
        <v>207</v>
      </c>
      <c r="O3298" t="s">
        <v>7231</v>
      </c>
      <c r="P3298" t="s">
        <v>208</v>
      </c>
      <c r="Q3298" t="s">
        <v>209</v>
      </c>
    </row>
    <row r="3299" spans="1:17" x14ac:dyDescent="0.3">
      <c r="A3299" t="s">
        <v>7232</v>
      </c>
      <c r="C3299" t="s">
        <v>7233</v>
      </c>
      <c r="D3299" t="s">
        <v>7233</v>
      </c>
      <c r="E3299" s="5">
        <v>46283</v>
      </c>
      <c r="F3299" t="s">
        <v>204</v>
      </c>
      <c r="G3299" t="s">
        <v>213</v>
      </c>
      <c r="H3299">
        <v>7097</v>
      </c>
      <c r="I3299">
        <v>113.55</v>
      </c>
      <c r="J3299">
        <v>20.440000000000001</v>
      </c>
      <c r="K3299">
        <v>6963.01</v>
      </c>
      <c r="L3299" s="5">
        <v>46285</v>
      </c>
      <c r="M3299" t="s">
        <v>7091</v>
      </c>
      <c r="N3299" t="s">
        <v>207</v>
      </c>
      <c r="O3299" t="s">
        <v>7233</v>
      </c>
      <c r="P3299" t="s">
        <v>208</v>
      </c>
      <c r="Q3299" t="s">
        <v>209</v>
      </c>
    </row>
    <row r="3300" spans="1:17" x14ac:dyDescent="0.3">
      <c r="A3300" t="s">
        <v>7234</v>
      </c>
      <c r="C3300" t="s">
        <v>7235</v>
      </c>
      <c r="D3300" t="s">
        <v>7235</v>
      </c>
      <c r="E3300" s="5">
        <v>46283</v>
      </c>
      <c r="F3300" t="s">
        <v>204</v>
      </c>
      <c r="G3300" t="s">
        <v>213</v>
      </c>
      <c r="H3300">
        <v>5498</v>
      </c>
      <c r="I3300">
        <v>87.97</v>
      </c>
      <c r="J3300">
        <v>15.83</v>
      </c>
      <c r="K3300">
        <v>5394.2</v>
      </c>
      <c r="L3300" s="5">
        <v>46285</v>
      </c>
      <c r="M3300" t="s">
        <v>7091</v>
      </c>
      <c r="N3300" t="s">
        <v>207</v>
      </c>
      <c r="O3300" t="s">
        <v>7235</v>
      </c>
      <c r="P3300" t="s">
        <v>208</v>
      </c>
      <c r="Q3300" t="s">
        <v>209</v>
      </c>
    </row>
    <row r="3301" spans="1:17" x14ac:dyDescent="0.3">
      <c r="A3301" t="s">
        <v>7236</v>
      </c>
      <c r="C3301" t="s">
        <v>7237</v>
      </c>
      <c r="D3301" t="s">
        <v>7237</v>
      </c>
      <c r="E3301" s="5">
        <v>46283</v>
      </c>
      <c r="F3301" t="s">
        <v>204</v>
      </c>
      <c r="G3301" t="s">
        <v>220</v>
      </c>
      <c r="H3301">
        <v>499</v>
      </c>
      <c r="I3301">
        <v>0</v>
      </c>
      <c r="J3301">
        <v>0</v>
      </c>
      <c r="K3301">
        <v>499</v>
      </c>
      <c r="L3301" s="5">
        <v>46285</v>
      </c>
      <c r="M3301" t="s">
        <v>7091</v>
      </c>
      <c r="N3301" t="s">
        <v>207</v>
      </c>
      <c r="O3301" t="s">
        <v>7237</v>
      </c>
      <c r="P3301" t="s">
        <v>208</v>
      </c>
      <c r="Q3301" t="s">
        <v>209</v>
      </c>
    </row>
    <row r="3302" spans="1:17" x14ac:dyDescent="0.3">
      <c r="A3302" t="s">
        <v>7238</v>
      </c>
      <c r="C3302" t="s">
        <v>7239</v>
      </c>
      <c r="D3302" t="s">
        <v>7239</v>
      </c>
      <c r="E3302" s="5">
        <v>46283</v>
      </c>
      <c r="F3302" t="s">
        <v>204</v>
      </c>
      <c r="G3302" t="s">
        <v>213</v>
      </c>
      <c r="H3302">
        <v>599</v>
      </c>
      <c r="I3302">
        <v>10.78</v>
      </c>
      <c r="J3302">
        <v>1.94</v>
      </c>
      <c r="K3302">
        <v>586.28</v>
      </c>
      <c r="L3302" s="5">
        <v>46285</v>
      </c>
      <c r="M3302" t="s">
        <v>7091</v>
      </c>
      <c r="N3302" t="s">
        <v>207</v>
      </c>
      <c r="O3302" t="s">
        <v>7239</v>
      </c>
      <c r="P3302" t="s">
        <v>208</v>
      </c>
      <c r="Q3302" t="s">
        <v>209</v>
      </c>
    </row>
    <row r="3303" spans="1:17" x14ac:dyDescent="0.3">
      <c r="A3303" t="s">
        <v>7240</v>
      </c>
      <c r="C3303" t="s">
        <v>7241</v>
      </c>
      <c r="D3303" t="s">
        <v>7241</v>
      </c>
      <c r="E3303" s="5">
        <v>46283</v>
      </c>
      <c r="F3303" t="s">
        <v>204</v>
      </c>
      <c r="G3303" t="s">
        <v>220</v>
      </c>
      <c r="H3303">
        <v>1398</v>
      </c>
      <c r="I3303">
        <v>0</v>
      </c>
      <c r="J3303">
        <v>0</v>
      </c>
      <c r="K3303">
        <v>1398</v>
      </c>
      <c r="L3303" s="5">
        <v>46285</v>
      </c>
      <c r="M3303" t="s">
        <v>7091</v>
      </c>
      <c r="N3303" t="s">
        <v>207</v>
      </c>
      <c r="O3303" t="s">
        <v>7241</v>
      </c>
      <c r="P3303" t="s">
        <v>208</v>
      </c>
      <c r="Q3303" t="s">
        <v>209</v>
      </c>
    </row>
    <row r="3304" spans="1:17" x14ac:dyDescent="0.3">
      <c r="A3304" t="s">
        <v>7242</v>
      </c>
      <c r="C3304" t="s">
        <v>7243</v>
      </c>
      <c r="D3304" t="s">
        <v>7243</v>
      </c>
      <c r="E3304" s="5">
        <v>46283</v>
      </c>
      <c r="F3304" t="s">
        <v>204</v>
      </c>
      <c r="G3304" t="s">
        <v>213</v>
      </c>
      <c r="H3304">
        <v>2999</v>
      </c>
      <c r="I3304">
        <v>47.98</v>
      </c>
      <c r="J3304">
        <v>8.64</v>
      </c>
      <c r="K3304">
        <v>2942.38</v>
      </c>
      <c r="L3304" s="5">
        <v>46285</v>
      </c>
      <c r="M3304" t="s">
        <v>7091</v>
      </c>
      <c r="N3304" t="s">
        <v>207</v>
      </c>
      <c r="O3304" t="s">
        <v>7243</v>
      </c>
      <c r="P3304" t="s">
        <v>208</v>
      </c>
      <c r="Q3304" t="s">
        <v>209</v>
      </c>
    </row>
    <row r="3305" spans="1:17" x14ac:dyDescent="0.3">
      <c r="A3305" t="s">
        <v>7244</v>
      </c>
      <c r="C3305" t="s">
        <v>7245</v>
      </c>
      <c r="D3305" t="s">
        <v>7246</v>
      </c>
      <c r="E3305" s="5">
        <v>46283</v>
      </c>
      <c r="F3305" t="s">
        <v>204</v>
      </c>
      <c r="G3305" t="s">
        <v>213</v>
      </c>
      <c r="H3305">
        <v>3498</v>
      </c>
      <c r="I3305">
        <v>55.97</v>
      </c>
      <c r="J3305">
        <v>10.07</v>
      </c>
      <c r="K3305">
        <v>3431.96</v>
      </c>
      <c r="L3305" s="5">
        <v>46285</v>
      </c>
      <c r="M3305" t="s">
        <v>7091</v>
      </c>
      <c r="N3305" t="s">
        <v>207</v>
      </c>
      <c r="O3305" t="s">
        <v>7246</v>
      </c>
      <c r="P3305" t="s">
        <v>208</v>
      </c>
      <c r="Q3305" t="s">
        <v>209</v>
      </c>
    </row>
    <row r="3306" spans="1:17" x14ac:dyDescent="0.3">
      <c r="A3306" t="s">
        <v>7247</v>
      </c>
      <c r="C3306" t="s">
        <v>7248</v>
      </c>
      <c r="D3306" t="s">
        <v>7248</v>
      </c>
      <c r="E3306" s="5">
        <v>46283</v>
      </c>
      <c r="F3306" t="s">
        <v>204</v>
      </c>
      <c r="G3306" t="s">
        <v>213</v>
      </c>
      <c r="H3306">
        <v>8597</v>
      </c>
      <c r="I3306">
        <v>137.55000000000001</v>
      </c>
      <c r="J3306">
        <v>24.76</v>
      </c>
      <c r="K3306">
        <v>8434.69</v>
      </c>
      <c r="L3306" s="5">
        <v>46285</v>
      </c>
      <c r="M3306" t="s">
        <v>7091</v>
      </c>
      <c r="N3306" t="s">
        <v>207</v>
      </c>
      <c r="O3306" t="s">
        <v>7248</v>
      </c>
      <c r="P3306" t="s">
        <v>208</v>
      </c>
      <c r="Q3306" t="s">
        <v>209</v>
      </c>
    </row>
    <row r="3307" spans="1:17" x14ac:dyDescent="0.3">
      <c r="A3307" t="s">
        <v>7249</v>
      </c>
      <c r="C3307" t="s">
        <v>7250</v>
      </c>
      <c r="D3307" t="s">
        <v>7250</v>
      </c>
      <c r="E3307" s="5">
        <v>46283</v>
      </c>
      <c r="F3307" t="s">
        <v>204</v>
      </c>
      <c r="G3307" t="s">
        <v>220</v>
      </c>
      <c r="H3307">
        <v>2499</v>
      </c>
      <c r="I3307">
        <v>7.5</v>
      </c>
      <c r="J3307">
        <v>1.35</v>
      </c>
      <c r="K3307">
        <v>2490.15</v>
      </c>
      <c r="L3307" s="5">
        <v>46285</v>
      </c>
      <c r="M3307" t="s">
        <v>7091</v>
      </c>
      <c r="N3307" t="s">
        <v>207</v>
      </c>
      <c r="O3307" t="s">
        <v>7250</v>
      </c>
      <c r="P3307" t="s">
        <v>208</v>
      </c>
      <c r="Q3307" t="s">
        <v>209</v>
      </c>
    </row>
    <row r="3308" spans="1:17" x14ac:dyDescent="0.3">
      <c r="A3308" t="s">
        <v>7251</v>
      </c>
      <c r="C3308" t="s">
        <v>7252</v>
      </c>
      <c r="D3308" t="s">
        <v>7253</v>
      </c>
      <c r="E3308" s="5">
        <v>46283</v>
      </c>
      <c r="F3308" t="s">
        <v>204</v>
      </c>
      <c r="G3308" t="s">
        <v>220</v>
      </c>
      <c r="H3308">
        <v>4097</v>
      </c>
      <c r="I3308">
        <v>12.29</v>
      </c>
      <c r="J3308">
        <v>2.21</v>
      </c>
      <c r="K3308">
        <v>4082.5</v>
      </c>
      <c r="L3308" s="5">
        <v>46285</v>
      </c>
      <c r="M3308" t="s">
        <v>7091</v>
      </c>
      <c r="N3308" t="s">
        <v>207</v>
      </c>
      <c r="O3308" t="s">
        <v>7253</v>
      </c>
      <c r="P3308" t="s">
        <v>208</v>
      </c>
      <c r="Q3308" t="s">
        <v>209</v>
      </c>
    </row>
    <row r="3309" spans="1:17" x14ac:dyDescent="0.3">
      <c r="A3309" t="s">
        <v>7254</v>
      </c>
      <c r="C3309" t="s">
        <v>7255</v>
      </c>
      <c r="D3309" t="s">
        <v>7255</v>
      </c>
      <c r="E3309" s="5">
        <v>46283</v>
      </c>
      <c r="F3309" t="s">
        <v>204</v>
      </c>
      <c r="G3309" t="s">
        <v>255</v>
      </c>
      <c r="H3309">
        <v>1499</v>
      </c>
      <c r="I3309">
        <v>22.49</v>
      </c>
      <c r="J3309">
        <v>4.05</v>
      </c>
      <c r="K3309">
        <v>1472.46</v>
      </c>
      <c r="L3309" s="5">
        <v>46285</v>
      </c>
      <c r="M3309" t="s">
        <v>7091</v>
      </c>
      <c r="N3309" t="s">
        <v>207</v>
      </c>
      <c r="O3309" t="s">
        <v>7255</v>
      </c>
      <c r="P3309" t="s">
        <v>208</v>
      </c>
      <c r="Q3309" t="s">
        <v>209</v>
      </c>
    </row>
    <row r="3310" spans="1:17" x14ac:dyDescent="0.3">
      <c r="A3310" t="s">
        <v>7256</v>
      </c>
      <c r="C3310" t="s">
        <v>7257</v>
      </c>
      <c r="D3310" t="s">
        <v>7257</v>
      </c>
      <c r="E3310" s="5">
        <v>46283</v>
      </c>
      <c r="F3310" t="s">
        <v>204</v>
      </c>
      <c r="G3310" t="s">
        <v>213</v>
      </c>
      <c r="H3310">
        <v>3499</v>
      </c>
      <c r="I3310">
        <v>55.98</v>
      </c>
      <c r="J3310">
        <v>10.08</v>
      </c>
      <c r="K3310">
        <v>3432.94</v>
      </c>
      <c r="L3310" s="5">
        <v>46285</v>
      </c>
      <c r="M3310" t="s">
        <v>7091</v>
      </c>
      <c r="N3310" t="s">
        <v>207</v>
      </c>
      <c r="O3310" t="s">
        <v>7257</v>
      </c>
      <c r="P3310" t="s">
        <v>208</v>
      </c>
      <c r="Q3310" t="s">
        <v>209</v>
      </c>
    </row>
    <row r="3311" spans="1:17" x14ac:dyDescent="0.3">
      <c r="A3311" t="s">
        <v>7258</v>
      </c>
      <c r="C3311" t="s">
        <v>7259</v>
      </c>
      <c r="D3311" t="s">
        <v>7259</v>
      </c>
      <c r="E3311" s="5">
        <v>46283</v>
      </c>
      <c r="F3311" t="s">
        <v>204</v>
      </c>
      <c r="G3311" t="s">
        <v>220</v>
      </c>
      <c r="H3311">
        <v>6798</v>
      </c>
      <c r="I3311">
        <v>20.39</v>
      </c>
      <c r="J3311">
        <v>3.67</v>
      </c>
      <c r="K3311">
        <v>6773.94</v>
      </c>
      <c r="L3311" s="5">
        <v>46285</v>
      </c>
      <c r="M3311" t="s">
        <v>7091</v>
      </c>
      <c r="N3311" t="s">
        <v>207</v>
      </c>
      <c r="O3311" t="s">
        <v>7259</v>
      </c>
      <c r="P3311" t="s">
        <v>208</v>
      </c>
      <c r="Q3311" t="s">
        <v>209</v>
      </c>
    </row>
    <row r="3312" spans="1:17" x14ac:dyDescent="0.3">
      <c r="A3312" t="s">
        <v>7260</v>
      </c>
      <c r="C3312" t="s">
        <v>7261</v>
      </c>
      <c r="D3312" t="s">
        <v>7261</v>
      </c>
      <c r="E3312" s="5">
        <v>46283</v>
      </c>
      <c r="F3312" t="s">
        <v>204</v>
      </c>
      <c r="G3312" t="s">
        <v>220</v>
      </c>
      <c r="H3312">
        <v>3697</v>
      </c>
      <c r="I3312">
        <v>11.09</v>
      </c>
      <c r="J3312">
        <v>2</v>
      </c>
      <c r="K3312">
        <v>3683.91</v>
      </c>
      <c r="L3312" s="5">
        <v>46285</v>
      </c>
      <c r="M3312" t="s">
        <v>7091</v>
      </c>
      <c r="N3312" t="s">
        <v>207</v>
      </c>
      <c r="O3312" t="s">
        <v>7261</v>
      </c>
      <c r="P3312" t="s">
        <v>208</v>
      </c>
      <c r="Q3312" t="s">
        <v>209</v>
      </c>
    </row>
    <row r="3313" spans="1:17" x14ac:dyDescent="0.3">
      <c r="A3313" t="s">
        <v>7262</v>
      </c>
      <c r="C3313" t="s">
        <v>7263</v>
      </c>
      <c r="D3313" t="s">
        <v>7264</v>
      </c>
      <c r="E3313" s="5">
        <v>46283</v>
      </c>
      <c r="F3313" t="s">
        <v>204</v>
      </c>
      <c r="G3313" t="s">
        <v>220</v>
      </c>
      <c r="H3313">
        <v>1348</v>
      </c>
      <c r="I3313">
        <v>0</v>
      </c>
      <c r="J3313">
        <v>0</v>
      </c>
      <c r="K3313">
        <v>1348</v>
      </c>
      <c r="L3313" s="5">
        <v>46285</v>
      </c>
      <c r="M3313" t="s">
        <v>7091</v>
      </c>
      <c r="N3313" t="s">
        <v>207</v>
      </c>
      <c r="O3313" t="s">
        <v>7264</v>
      </c>
      <c r="P3313" t="s">
        <v>208</v>
      </c>
      <c r="Q3313" t="s">
        <v>209</v>
      </c>
    </row>
    <row r="3314" spans="1:17" x14ac:dyDescent="0.3">
      <c r="A3314" t="s">
        <v>7265</v>
      </c>
      <c r="C3314" t="s">
        <v>7266</v>
      </c>
      <c r="D3314" t="s">
        <v>7266</v>
      </c>
      <c r="E3314" s="5">
        <v>46283</v>
      </c>
      <c r="F3314" t="s">
        <v>204</v>
      </c>
      <c r="G3314" t="s">
        <v>213</v>
      </c>
      <c r="H3314">
        <v>3297</v>
      </c>
      <c r="I3314">
        <v>52.75</v>
      </c>
      <c r="J3314">
        <v>9.5</v>
      </c>
      <c r="K3314">
        <v>3234.75</v>
      </c>
      <c r="L3314" s="5">
        <v>46285</v>
      </c>
      <c r="M3314" t="s">
        <v>7091</v>
      </c>
      <c r="N3314" t="s">
        <v>207</v>
      </c>
      <c r="O3314" t="s">
        <v>7266</v>
      </c>
      <c r="P3314" t="s">
        <v>208</v>
      </c>
      <c r="Q3314" t="s">
        <v>209</v>
      </c>
    </row>
    <row r="3315" spans="1:17" x14ac:dyDescent="0.3">
      <c r="A3315" t="s">
        <v>7267</v>
      </c>
      <c r="C3315" t="s">
        <v>7268</v>
      </c>
      <c r="D3315" t="s">
        <v>7268</v>
      </c>
      <c r="E3315" s="5">
        <v>46283</v>
      </c>
      <c r="F3315" t="s">
        <v>204</v>
      </c>
      <c r="G3315" t="s">
        <v>220</v>
      </c>
      <c r="H3315">
        <v>4597</v>
      </c>
      <c r="I3315">
        <v>13.79</v>
      </c>
      <c r="J3315">
        <v>2.48</v>
      </c>
      <c r="K3315">
        <v>4580.7299999999996</v>
      </c>
      <c r="L3315" s="5">
        <v>46285</v>
      </c>
      <c r="M3315" t="s">
        <v>7091</v>
      </c>
      <c r="N3315" t="s">
        <v>207</v>
      </c>
      <c r="O3315" t="s">
        <v>7268</v>
      </c>
      <c r="P3315" t="s">
        <v>208</v>
      </c>
      <c r="Q3315" t="s">
        <v>209</v>
      </c>
    </row>
    <row r="3316" spans="1:17" x14ac:dyDescent="0.3">
      <c r="A3316" t="s">
        <v>7269</v>
      </c>
      <c r="C3316" t="s">
        <v>7270</v>
      </c>
      <c r="D3316" t="s">
        <v>7271</v>
      </c>
      <c r="E3316" s="5">
        <v>46283</v>
      </c>
      <c r="F3316" t="s">
        <v>204</v>
      </c>
      <c r="G3316" t="s">
        <v>220</v>
      </c>
      <c r="H3316">
        <v>3798</v>
      </c>
      <c r="I3316">
        <v>11.39</v>
      </c>
      <c r="J3316">
        <v>2.0499999999999998</v>
      </c>
      <c r="K3316">
        <v>3784.56</v>
      </c>
      <c r="L3316" s="5">
        <v>46285</v>
      </c>
      <c r="M3316" t="s">
        <v>7091</v>
      </c>
      <c r="N3316" t="s">
        <v>207</v>
      </c>
      <c r="O3316" t="s">
        <v>7271</v>
      </c>
      <c r="P3316" t="s">
        <v>208</v>
      </c>
      <c r="Q3316" t="s">
        <v>209</v>
      </c>
    </row>
    <row r="3317" spans="1:17" x14ac:dyDescent="0.3">
      <c r="A3317" t="s">
        <v>7272</v>
      </c>
      <c r="C3317" t="s">
        <v>7273</v>
      </c>
      <c r="D3317" t="s">
        <v>7274</v>
      </c>
      <c r="E3317" s="5">
        <v>46283</v>
      </c>
      <c r="F3317" t="s">
        <v>204</v>
      </c>
      <c r="G3317" t="s">
        <v>255</v>
      </c>
      <c r="H3317">
        <v>5498</v>
      </c>
      <c r="I3317">
        <v>65.98</v>
      </c>
      <c r="J3317">
        <v>11.88</v>
      </c>
      <c r="K3317">
        <v>5420.14</v>
      </c>
      <c r="L3317" s="5">
        <v>46285</v>
      </c>
      <c r="M3317" t="s">
        <v>7091</v>
      </c>
      <c r="N3317" t="s">
        <v>207</v>
      </c>
      <c r="O3317" t="s">
        <v>7274</v>
      </c>
      <c r="P3317" t="s">
        <v>208</v>
      </c>
      <c r="Q3317" t="s">
        <v>209</v>
      </c>
    </row>
    <row r="3318" spans="1:17" x14ac:dyDescent="0.3">
      <c r="A3318" t="s">
        <v>7275</v>
      </c>
      <c r="C3318" t="s">
        <v>7276</v>
      </c>
      <c r="D3318" t="s">
        <v>7276</v>
      </c>
      <c r="E3318" s="5">
        <v>46283</v>
      </c>
      <c r="F3318" t="s">
        <v>204</v>
      </c>
      <c r="G3318" t="s">
        <v>220</v>
      </c>
      <c r="H3318">
        <v>3499</v>
      </c>
      <c r="I3318">
        <v>10.5</v>
      </c>
      <c r="J3318">
        <v>1.89</v>
      </c>
      <c r="K3318">
        <v>3486.61</v>
      </c>
      <c r="L3318" s="5">
        <v>46285</v>
      </c>
      <c r="M3318" t="s">
        <v>7091</v>
      </c>
      <c r="N3318" t="s">
        <v>207</v>
      </c>
      <c r="O3318" t="s">
        <v>7276</v>
      </c>
      <c r="P3318" t="s">
        <v>208</v>
      </c>
      <c r="Q3318" t="s">
        <v>209</v>
      </c>
    </row>
    <row r="3319" spans="1:17" x14ac:dyDescent="0.3">
      <c r="A3319" t="s">
        <v>7277</v>
      </c>
      <c r="C3319" t="s">
        <v>7278</v>
      </c>
      <c r="D3319" t="s">
        <v>7278</v>
      </c>
      <c r="E3319" s="5">
        <v>46283</v>
      </c>
      <c r="F3319" t="s">
        <v>204</v>
      </c>
      <c r="G3319" t="s">
        <v>220</v>
      </c>
      <c r="H3319">
        <v>5597</v>
      </c>
      <c r="I3319">
        <v>16.79</v>
      </c>
      <c r="J3319">
        <v>3.02</v>
      </c>
      <c r="K3319">
        <v>5577.19</v>
      </c>
      <c r="L3319" s="5">
        <v>46285</v>
      </c>
      <c r="M3319" t="s">
        <v>7091</v>
      </c>
      <c r="N3319" t="s">
        <v>207</v>
      </c>
      <c r="O3319" t="s">
        <v>7278</v>
      </c>
      <c r="P3319" t="s">
        <v>208</v>
      </c>
      <c r="Q3319" t="s">
        <v>209</v>
      </c>
    </row>
    <row r="3320" spans="1:17" x14ac:dyDescent="0.3">
      <c r="A3320" t="s">
        <v>7279</v>
      </c>
      <c r="C3320" t="s">
        <v>7280</v>
      </c>
      <c r="D3320" t="s">
        <v>7281</v>
      </c>
      <c r="E3320" s="5">
        <v>46283</v>
      </c>
      <c r="F3320" t="s">
        <v>204</v>
      </c>
      <c r="G3320" t="s">
        <v>220</v>
      </c>
      <c r="H3320">
        <v>2598</v>
      </c>
      <c r="I3320">
        <v>7.79</v>
      </c>
      <c r="J3320">
        <v>1.4</v>
      </c>
      <c r="K3320">
        <v>2588.81</v>
      </c>
      <c r="L3320" s="5">
        <v>46285</v>
      </c>
      <c r="M3320" t="s">
        <v>7091</v>
      </c>
      <c r="N3320" t="s">
        <v>207</v>
      </c>
      <c r="O3320" t="s">
        <v>7281</v>
      </c>
      <c r="P3320" t="s">
        <v>208</v>
      </c>
      <c r="Q3320" t="s">
        <v>209</v>
      </c>
    </row>
    <row r="3321" spans="1:17" x14ac:dyDescent="0.3">
      <c r="A3321" t="s">
        <v>7282</v>
      </c>
      <c r="C3321" t="s">
        <v>7283</v>
      </c>
      <c r="D3321" t="s">
        <v>7283</v>
      </c>
      <c r="E3321" s="5">
        <v>46283</v>
      </c>
      <c r="F3321" t="s">
        <v>204</v>
      </c>
      <c r="G3321" t="s">
        <v>220</v>
      </c>
      <c r="H3321">
        <v>3499</v>
      </c>
      <c r="I3321">
        <v>10.5</v>
      </c>
      <c r="J3321">
        <v>1.89</v>
      </c>
      <c r="K3321">
        <v>3486.61</v>
      </c>
      <c r="L3321" s="5">
        <v>46285</v>
      </c>
      <c r="M3321" t="s">
        <v>7091</v>
      </c>
      <c r="N3321" t="s">
        <v>207</v>
      </c>
      <c r="O3321" t="s">
        <v>7283</v>
      </c>
      <c r="P3321" t="s">
        <v>208</v>
      </c>
      <c r="Q3321" t="s">
        <v>209</v>
      </c>
    </row>
    <row r="3322" spans="1:17" x14ac:dyDescent="0.3">
      <c r="A3322" t="s">
        <v>7284</v>
      </c>
      <c r="C3322" t="s">
        <v>7285</v>
      </c>
      <c r="D3322" t="s">
        <v>7285</v>
      </c>
      <c r="E3322" s="5">
        <v>46283</v>
      </c>
      <c r="F3322" t="s">
        <v>204</v>
      </c>
      <c r="G3322" t="s">
        <v>220</v>
      </c>
      <c r="H3322">
        <v>599</v>
      </c>
      <c r="I3322">
        <v>0</v>
      </c>
      <c r="J3322">
        <v>0</v>
      </c>
      <c r="K3322">
        <v>599</v>
      </c>
      <c r="L3322" s="5">
        <v>46285</v>
      </c>
      <c r="M3322" t="s">
        <v>7091</v>
      </c>
      <c r="N3322" t="s">
        <v>207</v>
      </c>
      <c r="O3322" t="s">
        <v>7285</v>
      </c>
      <c r="P3322" t="s">
        <v>208</v>
      </c>
      <c r="Q3322" t="s">
        <v>209</v>
      </c>
    </row>
    <row r="3323" spans="1:17" x14ac:dyDescent="0.3">
      <c r="A3323" t="s">
        <v>7286</v>
      </c>
      <c r="C3323" t="s">
        <v>7287</v>
      </c>
      <c r="D3323" t="s">
        <v>7287</v>
      </c>
      <c r="E3323" s="5">
        <v>46283</v>
      </c>
      <c r="F3323" t="s">
        <v>204</v>
      </c>
      <c r="G3323" t="s">
        <v>213</v>
      </c>
      <c r="H3323">
        <v>11497</v>
      </c>
      <c r="I3323">
        <v>183.95</v>
      </c>
      <c r="J3323">
        <v>33.11</v>
      </c>
      <c r="K3323">
        <v>11279.94</v>
      </c>
      <c r="L3323" s="5">
        <v>46285</v>
      </c>
      <c r="M3323" t="s">
        <v>7091</v>
      </c>
      <c r="N3323" t="s">
        <v>207</v>
      </c>
      <c r="O3323" t="s">
        <v>7287</v>
      </c>
      <c r="P3323" t="s">
        <v>208</v>
      </c>
      <c r="Q3323" t="s">
        <v>209</v>
      </c>
    </row>
    <row r="3324" spans="1:17" x14ac:dyDescent="0.3">
      <c r="A3324" t="s">
        <v>7288</v>
      </c>
      <c r="C3324" t="s">
        <v>7289</v>
      </c>
      <c r="D3324" t="s">
        <v>7289</v>
      </c>
      <c r="E3324" s="5">
        <v>46283</v>
      </c>
      <c r="F3324" t="s">
        <v>204</v>
      </c>
      <c r="G3324" t="s">
        <v>220</v>
      </c>
      <c r="H3324">
        <v>7999</v>
      </c>
      <c r="I3324">
        <v>24</v>
      </c>
      <c r="J3324">
        <v>4.32</v>
      </c>
      <c r="K3324">
        <v>7970.68</v>
      </c>
      <c r="L3324" s="5">
        <v>46285</v>
      </c>
      <c r="M3324" t="s">
        <v>7091</v>
      </c>
      <c r="N3324" t="s">
        <v>207</v>
      </c>
      <c r="O3324" t="s">
        <v>7289</v>
      </c>
      <c r="P3324" t="s">
        <v>208</v>
      </c>
      <c r="Q3324" t="s">
        <v>209</v>
      </c>
    </row>
    <row r="3325" spans="1:17" x14ac:dyDescent="0.3">
      <c r="A3325" t="s">
        <v>7290</v>
      </c>
      <c r="C3325" t="s">
        <v>7291</v>
      </c>
      <c r="D3325" t="s">
        <v>7291</v>
      </c>
      <c r="E3325" s="5">
        <v>46283</v>
      </c>
      <c r="F3325" t="s">
        <v>204</v>
      </c>
      <c r="G3325" t="s">
        <v>220</v>
      </c>
      <c r="H3325">
        <v>2999</v>
      </c>
      <c r="I3325">
        <v>9</v>
      </c>
      <c r="J3325">
        <v>1.62</v>
      </c>
      <c r="K3325">
        <v>2988.38</v>
      </c>
      <c r="L3325" s="5">
        <v>46285</v>
      </c>
      <c r="M3325" t="s">
        <v>7091</v>
      </c>
      <c r="N3325" t="s">
        <v>207</v>
      </c>
      <c r="O3325" t="s">
        <v>7291</v>
      </c>
      <c r="P3325" t="s">
        <v>208</v>
      </c>
      <c r="Q3325" t="s">
        <v>209</v>
      </c>
    </row>
    <row r="3326" spans="1:17" x14ac:dyDescent="0.3">
      <c r="A3326" t="s">
        <v>7292</v>
      </c>
      <c r="C3326" t="s">
        <v>7293</v>
      </c>
      <c r="D3326" t="s">
        <v>7293</v>
      </c>
      <c r="E3326" s="5">
        <v>46283</v>
      </c>
      <c r="F3326" t="s">
        <v>204</v>
      </c>
      <c r="G3326" t="s">
        <v>213</v>
      </c>
      <c r="H3326">
        <v>499</v>
      </c>
      <c r="I3326">
        <v>8.98</v>
      </c>
      <c r="J3326">
        <v>1.62</v>
      </c>
      <c r="K3326">
        <v>488.4</v>
      </c>
      <c r="L3326" s="5">
        <v>46285</v>
      </c>
      <c r="M3326" t="s">
        <v>7091</v>
      </c>
      <c r="N3326" t="s">
        <v>207</v>
      </c>
      <c r="O3326" t="s">
        <v>7293</v>
      </c>
      <c r="P3326" t="s">
        <v>208</v>
      </c>
      <c r="Q3326" t="s">
        <v>209</v>
      </c>
    </row>
    <row r="3327" spans="1:17" x14ac:dyDescent="0.3">
      <c r="A3327" t="s">
        <v>7294</v>
      </c>
      <c r="C3327" t="s">
        <v>7295</v>
      </c>
      <c r="D3327" t="s">
        <v>7295</v>
      </c>
      <c r="E3327" s="5">
        <v>46283</v>
      </c>
      <c r="F3327" t="s">
        <v>204</v>
      </c>
      <c r="G3327" t="s">
        <v>213</v>
      </c>
      <c r="H3327">
        <v>898</v>
      </c>
      <c r="I3327">
        <v>16.16</v>
      </c>
      <c r="J3327">
        <v>2.91</v>
      </c>
      <c r="K3327">
        <v>878.93</v>
      </c>
      <c r="L3327" s="5">
        <v>46285</v>
      </c>
      <c r="M3327" t="s">
        <v>7091</v>
      </c>
      <c r="N3327" t="s">
        <v>207</v>
      </c>
      <c r="O3327" t="s">
        <v>7295</v>
      </c>
      <c r="P3327" t="s">
        <v>208</v>
      </c>
      <c r="Q3327" t="s">
        <v>209</v>
      </c>
    </row>
    <row r="3328" spans="1:17" x14ac:dyDescent="0.3">
      <c r="A3328" t="s">
        <v>7296</v>
      </c>
      <c r="C3328" t="s">
        <v>7297</v>
      </c>
      <c r="D3328" t="s">
        <v>7298</v>
      </c>
      <c r="E3328" s="5">
        <v>46283</v>
      </c>
      <c r="F3328" t="s">
        <v>204</v>
      </c>
      <c r="G3328" t="s">
        <v>213</v>
      </c>
      <c r="H3328">
        <v>2798</v>
      </c>
      <c r="I3328">
        <v>44.77</v>
      </c>
      <c r="J3328">
        <v>8.06</v>
      </c>
      <c r="K3328">
        <v>2745.17</v>
      </c>
      <c r="L3328" s="5">
        <v>46285</v>
      </c>
      <c r="M3328" t="s">
        <v>7091</v>
      </c>
      <c r="N3328" t="s">
        <v>207</v>
      </c>
      <c r="O3328" t="s">
        <v>7298</v>
      </c>
      <c r="P3328" t="s">
        <v>208</v>
      </c>
      <c r="Q3328" t="s">
        <v>209</v>
      </c>
    </row>
    <row r="3329" spans="1:17" x14ac:dyDescent="0.3">
      <c r="A3329" t="s">
        <v>7299</v>
      </c>
      <c r="C3329" t="s">
        <v>7300</v>
      </c>
      <c r="D3329" t="s">
        <v>7300</v>
      </c>
      <c r="E3329" s="5">
        <v>46283</v>
      </c>
      <c r="F3329" t="s">
        <v>204</v>
      </c>
      <c r="G3329" t="s">
        <v>220</v>
      </c>
      <c r="H3329">
        <v>6798</v>
      </c>
      <c r="I3329">
        <v>20.39</v>
      </c>
      <c r="J3329">
        <v>3.67</v>
      </c>
      <c r="K3329">
        <v>6773.94</v>
      </c>
      <c r="L3329" s="5">
        <v>46285</v>
      </c>
      <c r="M3329" t="s">
        <v>7091</v>
      </c>
      <c r="N3329" t="s">
        <v>207</v>
      </c>
      <c r="O3329" t="s">
        <v>7300</v>
      </c>
      <c r="P3329" t="s">
        <v>208</v>
      </c>
      <c r="Q3329" t="s">
        <v>209</v>
      </c>
    </row>
    <row r="3330" spans="1:17" x14ac:dyDescent="0.3">
      <c r="A3330" t="s">
        <v>7301</v>
      </c>
      <c r="C3330" t="s">
        <v>7302</v>
      </c>
      <c r="D3330" t="s">
        <v>7302</v>
      </c>
      <c r="E3330" s="5">
        <v>46283</v>
      </c>
      <c r="F3330" t="s">
        <v>204</v>
      </c>
      <c r="G3330" t="s">
        <v>220</v>
      </c>
      <c r="H3330">
        <v>5297</v>
      </c>
      <c r="I3330">
        <v>15.89</v>
      </c>
      <c r="J3330">
        <v>2.86</v>
      </c>
      <c r="K3330">
        <v>5278.25</v>
      </c>
      <c r="L3330" s="5">
        <v>46285</v>
      </c>
      <c r="M3330" t="s">
        <v>7091</v>
      </c>
      <c r="N3330" t="s">
        <v>207</v>
      </c>
      <c r="O3330" t="s">
        <v>7302</v>
      </c>
      <c r="P3330" t="s">
        <v>208</v>
      </c>
      <c r="Q3330" t="s">
        <v>209</v>
      </c>
    </row>
    <row r="3331" spans="1:17" x14ac:dyDescent="0.3">
      <c r="A3331" t="s">
        <v>7303</v>
      </c>
      <c r="C3331" t="s">
        <v>7304</v>
      </c>
      <c r="D3331" t="s">
        <v>7304</v>
      </c>
      <c r="E3331" s="5">
        <v>46283</v>
      </c>
      <c r="F3331" t="s">
        <v>204</v>
      </c>
      <c r="G3331" t="s">
        <v>220</v>
      </c>
      <c r="H3331">
        <v>7097</v>
      </c>
      <c r="I3331">
        <v>21.29</v>
      </c>
      <c r="J3331">
        <v>3.83</v>
      </c>
      <c r="K3331">
        <v>7071.88</v>
      </c>
      <c r="L3331" s="5">
        <v>46285</v>
      </c>
      <c r="M3331" t="s">
        <v>7091</v>
      </c>
      <c r="N3331" t="s">
        <v>207</v>
      </c>
      <c r="O3331" t="s">
        <v>7304</v>
      </c>
      <c r="P3331" t="s">
        <v>208</v>
      </c>
      <c r="Q3331" t="s">
        <v>209</v>
      </c>
    </row>
    <row r="3332" spans="1:17" x14ac:dyDescent="0.3">
      <c r="A3332" t="s">
        <v>7305</v>
      </c>
      <c r="C3332" t="s">
        <v>7306</v>
      </c>
      <c r="D3332" t="s">
        <v>7307</v>
      </c>
      <c r="E3332" s="5">
        <v>46283</v>
      </c>
      <c r="F3332" t="s">
        <v>204</v>
      </c>
      <c r="G3332" t="s">
        <v>213</v>
      </c>
      <c r="H3332">
        <v>3298</v>
      </c>
      <c r="I3332">
        <v>52.77</v>
      </c>
      <c r="J3332">
        <v>9.5</v>
      </c>
      <c r="K3332">
        <v>3235.73</v>
      </c>
      <c r="L3332" s="5">
        <v>46285</v>
      </c>
      <c r="M3332" t="s">
        <v>7091</v>
      </c>
      <c r="N3332" t="s">
        <v>207</v>
      </c>
      <c r="O3332" t="s">
        <v>7307</v>
      </c>
      <c r="P3332" t="s">
        <v>208</v>
      </c>
      <c r="Q3332" t="s">
        <v>209</v>
      </c>
    </row>
    <row r="3333" spans="1:17" x14ac:dyDescent="0.3">
      <c r="A3333" t="s">
        <v>7308</v>
      </c>
      <c r="C3333" t="s">
        <v>7309</v>
      </c>
      <c r="D3333" t="s">
        <v>7309</v>
      </c>
      <c r="E3333" s="5">
        <v>46283</v>
      </c>
      <c r="F3333" t="s">
        <v>204</v>
      </c>
      <c r="G3333" t="s">
        <v>205</v>
      </c>
      <c r="H3333">
        <v>999</v>
      </c>
      <c r="I3333">
        <v>18.98</v>
      </c>
      <c r="J3333">
        <v>3.42</v>
      </c>
      <c r="K3333">
        <v>976.6</v>
      </c>
      <c r="L3333" s="5">
        <v>46285</v>
      </c>
      <c r="M3333" t="s">
        <v>7091</v>
      </c>
      <c r="N3333" t="s">
        <v>207</v>
      </c>
      <c r="O3333" t="s">
        <v>7309</v>
      </c>
      <c r="P3333" t="s">
        <v>208</v>
      </c>
      <c r="Q3333" t="s">
        <v>209</v>
      </c>
    </row>
    <row r="3334" spans="1:17" x14ac:dyDescent="0.3">
      <c r="A3334" t="s">
        <v>7310</v>
      </c>
      <c r="C3334" t="s">
        <v>7311</v>
      </c>
      <c r="D3334" t="s">
        <v>7311</v>
      </c>
      <c r="E3334" s="5">
        <v>46283</v>
      </c>
      <c r="F3334" t="s">
        <v>204</v>
      </c>
      <c r="G3334" t="s">
        <v>220</v>
      </c>
      <c r="H3334">
        <v>499</v>
      </c>
      <c r="I3334">
        <v>0</v>
      </c>
      <c r="J3334">
        <v>0</v>
      </c>
      <c r="K3334">
        <v>499</v>
      </c>
      <c r="L3334" s="5">
        <v>46285</v>
      </c>
      <c r="M3334" t="s">
        <v>7091</v>
      </c>
      <c r="N3334" t="s">
        <v>207</v>
      </c>
      <c r="O3334" t="s">
        <v>7311</v>
      </c>
      <c r="P3334" t="s">
        <v>208</v>
      </c>
      <c r="Q3334" t="s">
        <v>209</v>
      </c>
    </row>
    <row r="3335" spans="1:17" x14ac:dyDescent="0.3">
      <c r="A3335" t="s">
        <v>7312</v>
      </c>
      <c r="C3335" t="s">
        <v>7313</v>
      </c>
      <c r="D3335" t="s">
        <v>7313</v>
      </c>
      <c r="E3335" s="5">
        <v>46283</v>
      </c>
      <c r="F3335" t="s">
        <v>204</v>
      </c>
      <c r="G3335" t="s">
        <v>205</v>
      </c>
      <c r="H3335">
        <v>1299</v>
      </c>
      <c r="I3335">
        <v>24.68</v>
      </c>
      <c r="J3335">
        <v>4.4400000000000004</v>
      </c>
      <c r="K3335">
        <v>1269.8800000000001</v>
      </c>
      <c r="L3335" s="5">
        <v>46285</v>
      </c>
      <c r="M3335" t="s">
        <v>7091</v>
      </c>
      <c r="N3335" t="s">
        <v>207</v>
      </c>
      <c r="O3335" t="s">
        <v>7313</v>
      </c>
      <c r="P3335" t="s">
        <v>208</v>
      </c>
      <c r="Q3335" t="s">
        <v>209</v>
      </c>
    </row>
    <row r="3336" spans="1:17" x14ac:dyDescent="0.3">
      <c r="A3336" t="s">
        <v>7314</v>
      </c>
      <c r="C3336" t="s">
        <v>7315</v>
      </c>
      <c r="D3336" t="s">
        <v>7315</v>
      </c>
      <c r="E3336" s="5">
        <v>46283</v>
      </c>
      <c r="F3336" t="s">
        <v>204</v>
      </c>
      <c r="G3336" t="s">
        <v>213</v>
      </c>
      <c r="H3336">
        <v>2097</v>
      </c>
      <c r="I3336">
        <v>33.549999999999997</v>
      </c>
      <c r="J3336">
        <v>6.04</v>
      </c>
      <c r="K3336">
        <v>2057.41</v>
      </c>
      <c r="L3336" s="5">
        <v>46285</v>
      </c>
      <c r="M3336" t="s">
        <v>7091</v>
      </c>
      <c r="N3336" t="s">
        <v>207</v>
      </c>
      <c r="O3336" t="s">
        <v>7315</v>
      </c>
      <c r="P3336" t="s">
        <v>208</v>
      </c>
      <c r="Q3336" t="s">
        <v>209</v>
      </c>
    </row>
    <row r="3337" spans="1:17" x14ac:dyDescent="0.3">
      <c r="A3337" t="s">
        <v>7316</v>
      </c>
      <c r="C3337" t="s">
        <v>7317</v>
      </c>
      <c r="D3337" t="s">
        <v>7317</v>
      </c>
      <c r="E3337" s="5">
        <v>46283</v>
      </c>
      <c r="F3337" t="s">
        <v>204</v>
      </c>
      <c r="G3337" t="s">
        <v>213</v>
      </c>
      <c r="H3337">
        <v>2499</v>
      </c>
      <c r="I3337">
        <v>39.979999999999997</v>
      </c>
      <c r="J3337">
        <v>7.2</v>
      </c>
      <c r="K3337">
        <v>2451.8200000000002</v>
      </c>
      <c r="L3337" s="5">
        <v>46285</v>
      </c>
      <c r="M3337" t="s">
        <v>7091</v>
      </c>
      <c r="N3337" t="s">
        <v>207</v>
      </c>
      <c r="O3337" t="s">
        <v>7317</v>
      </c>
      <c r="P3337" t="s">
        <v>208</v>
      </c>
      <c r="Q3337" t="s">
        <v>209</v>
      </c>
    </row>
    <row r="3338" spans="1:17" x14ac:dyDescent="0.3">
      <c r="A3338" t="s">
        <v>7318</v>
      </c>
      <c r="C3338" t="s">
        <v>7319</v>
      </c>
      <c r="D3338" t="s">
        <v>7319</v>
      </c>
      <c r="E3338" s="5">
        <v>46283</v>
      </c>
      <c r="F3338" t="s">
        <v>204</v>
      </c>
      <c r="G3338" t="s">
        <v>255</v>
      </c>
      <c r="H3338">
        <v>3498</v>
      </c>
      <c r="I3338">
        <v>41.98</v>
      </c>
      <c r="J3338">
        <v>7.56</v>
      </c>
      <c r="K3338">
        <v>3448.46</v>
      </c>
      <c r="L3338" s="5">
        <v>46285</v>
      </c>
      <c r="M3338" t="s">
        <v>7091</v>
      </c>
      <c r="N3338" t="s">
        <v>207</v>
      </c>
      <c r="O3338" t="s">
        <v>7319</v>
      </c>
      <c r="P3338" t="s">
        <v>208</v>
      </c>
      <c r="Q3338" t="s">
        <v>209</v>
      </c>
    </row>
    <row r="3339" spans="1:17" x14ac:dyDescent="0.3">
      <c r="A3339" t="s">
        <v>7320</v>
      </c>
      <c r="C3339" t="s">
        <v>7321</v>
      </c>
      <c r="D3339" t="s">
        <v>7321</v>
      </c>
      <c r="E3339" s="5">
        <v>46283</v>
      </c>
      <c r="F3339" t="s">
        <v>204</v>
      </c>
      <c r="G3339" t="s">
        <v>220</v>
      </c>
      <c r="H3339">
        <v>599</v>
      </c>
      <c r="I3339">
        <v>0</v>
      </c>
      <c r="J3339">
        <v>0</v>
      </c>
      <c r="K3339">
        <v>599</v>
      </c>
      <c r="L3339" s="5">
        <v>46285</v>
      </c>
      <c r="M3339" t="s">
        <v>7091</v>
      </c>
      <c r="N3339" t="s">
        <v>207</v>
      </c>
      <c r="O3339" t="s">
        <v>7321</v>
      </c>
      <c r="P3339" t="s">
        <v>208</v>
      </c>
      <c r="Q3339" t="s">
        <v>209</v>
      </c>
    </row>
    <row r="3340" spans="1:17" x14ac:dyDescent="0.3">
      <c r="A3340" t="s">
        <v>7322</v>
      </c>
      <c r="C3340" t="s">
        <v>7323</v>
      </c>
      <c r="D3340" t="s">
        <v>7323</v>
      </c>
      <c r="E3340" s="5">
        <v>46283</v>
      </c>
      <c r="F3340" t="s">
        <v>204</v>
      </c>
      <c r="G3340" t="s">
        <v>220</v>
      </c>
      <c r="H3340">
        <v>3597</v>
      </c>
      <c r="I3340">
        <v>10.79</v>
      </c>
      <c r="J3340">
        <v>1.94</v>
      </c>
      <c r="K3340">
        <v>3584.27</v>
      </c>
      <c r="L3340" s="5">
        <v>46285</v>
      </c>
      <c r="M3340" t="s">
        <v>7091</v>
      </c>
      <c r="N3340" t="s">
        <v>207</v>
      </c>
      <c r="O3340" t="s">
        <v>7323</v>
      </c>
      <c r="P3340" t="s">
        <v>208</v>
      </c>
      <c r="Q3340" t="s">
        <v>209</v>
      </c>
    </row>
    <row r="3341" spans="1:17" x14ac:dyDescent="0.3">
      <c r="A3341" t="s">
        <v>7324</v>
      </c>
      <c r="C3341" t="s">
        <v>7325</v>
      </c>
      <c r="D3341" t="s">
        <v>7325</v>
      </c>
      <c r="E3341" s="5">
        <v>46283</v>
      </c>
      <c r="F3341" t="s">
        <v>204</v>
      </c>
      <c r="G3341" t="s">
        <v>205</v>
      </c>
      <c r="H3341">
        <v>3298</v>
      </c>
      <c r="I3341">
        <v>56.07</v>
      </c>
      <c r="J3341">
        <v>10.09</v>
      </c>
      <c r="K3341">
        <v>3231.84</v>
      </c>
      <c r="L3341" s="5">
        <v>46285</v>
      </c>
      <c r="M3341" t="s">
        <v>7091</v>
      </c>
      <c r="N3341" t="s">
        <v>207</v>
      </c>
      <c r="O3341" t="s">
        <v>7325</v>
      </c>
      <c r="P3341" t="s">
        <v>208</v>
      </c>
      <c r="Q3341" t="s">
        <v>209</v>
      </c>
    </row>
    <row r="3342" spans="1:17" x14ac:dyDescent="0.3">
      <c r="A3342" t="s">
        <v>7326</v>
      </c>
      <c r="C3342" t="s">
        <v>7327</v>
      </c>
      <c r="D3342" t="s">
        <v>7327</v>
      </c>
      <c r="E3342" s="5">
        <v>46283</v>
      </c>
      <c r="F3342" t="s">
        <v>204</v>
      </c>
      <c r="G3342" t="s">
        <v>220</v>
      </c>
      <c r="H3342">
        <v>2499</v>
      </c>
      <c r="I3342">
        <v>7.5</v>
      </c>
      <c r="J3342">
        <v>1.35</v>
      </c>
      <c r="K3342">
        <v>2490.15</v>
      </c>
      <c r="L3342" s="5">
        <v>46285</v>
      </c>
      <c r="M3342" t="s">
        <v>7091</v>
      </c>
      <c r="N3342" t="s">
        <v>207</v>
      </c>
      <c r="O3342" t="s">
        <v>7327</v>
      </c>
      <c r="P3342" t="s">
        <v>208</v>
      </c>
      <c r="Q3342" t="s">
        <v>209</v>
      </c>
    </row>
    <row r="3343" spans="1:17" x14ac:dyDescent="0.3">
      <c r="A3343" t="s">
        <v>7328</v>
      </c>
      <c r="C3343" t="s">
        <v>7329</v>
      </c>
      <c r="D3343" t="s">
        <v>7329</v>
      </c>
      <c r="E3343" s="5">
        <v>46283</v>
      </c>
      <c r="F3343" t="s">
        <v>204</v>
      </c>
      <c r="G3343" t="s">
        <v>220</v>
      </c>
      <c r="H3343">
        <v>299</v>
      </c>
      <c r="I3343">
        <v>0</v>
      </c>
      <c r="J3343">
        <v>0</v>
      </c>
      <c r="K3343">
        <v>299</v>
      </c>
      <c r="L3343" s="5">
        <v>46285</v>
      </c>
      <c r="M3343" t="s">
        <v>7091</v>
      </c>
      <c r="N3343" t="s">
        <v>207</v>
      </c>
      <c r="O3343" t="s">
        <v>7329</v>
      </c>
      <c r="P3343" t="s">
        <v>208</v>
      </c>
      <c r="Q3343" t="s">
        <v>209</v>
      </c>
    </row>
    <row r="3344" spans="1:17" x14ac:dyDescent="0.3">
      <c r="A3344" t="s">
        <v>7330</v>
      </c>
      <c r="C3344" t="s">
        <v>7331</v>
      </c>
      <c r="D3344" t="s">
        <v>7331</v>
      </c>
      <c r="E3344" s="5">
        <v>46283</v>
      </c>
      <c r="F3344" t="s">
        <v>204</v>
      </c>
      <c r="G3344" t="s">
        <v>220</v>
      </c>
      <c r="H3344">
        <v>599</v>
      </c>
      <c r="I3344">
        <v>0</v>
      </c>
      <c r="J3344">
        <v>0</v>
      </c>
      <c r="K3344">
        <v>599</v>
      </c>
      <c r="L3344" s="5">
        <v>46285</v>
      </c>
      <c r="M3344" t="s">
        <v>7091</v>
      </c>
      <c r="N3344" t="s">
        <v>207</v>
      </c>
      <c r="O3344" t="s">
        <v>7331</v>
      </c>
      <c r="P3344" t="s">
        <v>208</v>
      </c>
      <c r="Q3344" t="s">
        <v>209</v>
      </c>
    </row>
    <row r="3345" spans="1:17" x14ac:dyDescent="0.3">
      <c r="A3345" t="s">
        <v>7332</v>
      </c>
      <c r="C3345" t="s">
        <v>7333</v>
      </c>
      <c r="D3345" t="s">
        <v>7333</v>
      </c>
      <c r="E3345" s="5">
        <v>46283</v>
      </c>
      <c r="F3345" t="s">
        <v>204</v>
      </c>
      <c r="G3345" t="s">
        <v>205</v>
      </c>
      <c r="H3345">
        <v>4098</v>
      </c>
      <c r="I3345">
        <v>69.67</v>
      </c>
      <c r="J3345">
        <v>12.54</v>
      </c>
      <c r="K3345">
        <v>4015.79</v>
      </c>
      <c r="L3345" s="5">
        <v>46285</v>
      </c>
      <c r="M3345" t="s">
        <v>7091</v>
      </c>
      <c r="N3345" t="s">
        <v>207</v>
      </c>
      <c r="O3345" t="s">
        <v>7333</v>
      </c>
      <c r="P3345" t="s">
        <v>208</v>
      </c>
      <c r="Q3345" t="s">
        <v>209</v>
      </c>
    </row>
    <row r="3346" spans="1:17" x14ac:dyDescent="0.3">
      <c r="A3346" t="s">
        <v>7334</v>
      </c>
      <c r="C3346" t="s">
        <v>7335</v>
      </c>
      <c r="D3346" t="s">
        <v>7335</v>
      </c>
      <c r="E3346" s="5">
        <v>46283</v>
      </c>
      <c r="F3346" t="s">
        <v>204</v>
      </c>
      <c r="G3346" t="s">
        <v>220</v>
      </c>
      <c r="H3346">
        <v>3998</v>
      </c>
      <c r="I3346">
        <v>11.99</v>
      </c>
      <c r="J3346">
        <v>2.16</v>
      </c>
      <c r="K3346">
        <v>3983.85</v>
      </c>
      <c r="L3346" s="5">
        <v>46285</v>
      </c>
      <c r="M3346" t="s">
        <v>7091</v>
      </c>
      <c r="N3346" t="s">
        <v>207</v>
      </c>
      <c r="O3346" t="s">
        <v>7335</v>
      </c>
      <c r="P3346" t="s">
        <v>208</v>
      </c>
      <c r="Q3346" t="s">
        <v>209</v>
      </c>
    </row>
    <row r="3347" spans="1:17" x14ac:dyDescent="0.3">
      <c r="A3347" t="s">
        <v>7336</v>
      </c>
      <c r="C3347" t="s">
        <v>7337</v>
      </c>
      <c r="D3347" t="s">
        <v>7337</v>
      </c>
      <c r="E3347" s="5">
        <v>46283</v>
      </c>
      <c r="F3347" t="s">
        <v>204</v>
      </c>
      <c r="G3347" t="s">
        <v>220</v>
      </c>
      <c r="H3347">
        <v>10998</v>
      </c>
      <c r="I3347">
        <v>32.99</v>
      </c>
      <c r="J3347">
        <v>5.94</v>
      </c>
      <c r="K3347">
        <v>10959.07</v>
      </c>
      <c r="L3347" s="5">
        <v>46285</v>
      </c>
      <c r="M3347" t="s">
        <v>7091</v>
      </c>
      <c r="N3347" t="s">
        <v>207</v>
      </c>
      <c r="O3347" t="s">
        <v>7337</v>
      </c>
      <c r="P3347" t="s">
        <v>208</v>
      </c>
      <c r="Q3347" t="s">
        <v>209</v>
      </c>
    </row>
    <row r="3348" spans="1:17" x14ac:dyDescent="0.3">
      <c r="A3348" t="s">
        <v>7338</v>
      </c>
      <c r="C3348" t="s">
        <v>7339</v>
      </c>
      <c r="D3348" t="s">
        <v>7339</v>
      </c>
      <c r="E3348" s="5">
        <v>46283</v>
      </c>
      <c r="F3348" t="s">
        <v>204</v>
      </c>
      <c r="G3348" t="s">
        <v>213</v>
      </c>
      <c r="H3348">
        <v>7999</v>
      </c>
      <c r="I3348">
        <v>127.98</v>
      </c>
      <c r="J3348">
        <v>23.04</v>
      </c>
      <c r="K3348">
        <v>7847.98</v>
      </c>
      <c r="L3348" s="5">
        <v>46285</v>
      </c>
      <c r="M3348" t="s">
        <v>7091</v>
      </c>
      <c r="N3348" t="s">
        <v>207</v>
      </c>
      <c r="O3348" t="s">
        <v>7339</v>
      </c>
      <c r="P3348" t="s">
        <v>208</v>
      </c>
      <c r="Q3348" t="s">
        <v>209</v>
      </c>
    </row>
    <row r="3349" spans="1:17" x14ac:dyDescent="0.3">
      <c r="A3349" t="s">
        <v>7340</v>
      </c>
      <c r="C3349" t="s">
        <v>7341</v>
      </c>
      <c r="D3349" t="s">
        <v>7341</v>
      </c>
      <c r="E3349" s="5">
        <v>46283</v>
      </c>
      <c r="F3349" t="s">
        <v>204</v>
      </c>
      <c r="G3349" t="s">
        <v>220</v>
      </c>
      <c r="H3349">
        <v>4597</v>
      </c>
      <c r="I3349">
        <v>13.79</v>
      </c>
      <c r="J3349">
        <v>2.48</v>
      </c>
      <c r="K3349">
        <v>4580.7299999999996</v>
      </c>
      <c r="L3349" s="5">
        <v>46285</v>
      </c>
      <c r="M3349" t="s">
        <v>7091</v>
      </c>
      <c r="N3349" t="s">
        <v>207</v>
      </c>
      <c r="O3349" t="s">
        <v>7341</v>
      </c>
      <c r="P3349" t="s">
        <v>208</v>
      </c>
      <c r="Q3349" t="s">
        <v>209</v>
      </c>
    </row>
    <row r="3350" spans="1:17" x14ac:dyDescent="0.3">
      <c r="A3350" t="s">
        <v>7342</v>
      </c>
      <c r="C3350" t="s">
        <v>7343</v>
      </c>
      <c r="D3350" t="s">
        <v>7343</v>
      </c>
      <c r="E3350" s="5">
        <v>46283</v>
      </c>
      <c r="F3350" t="s">
        <v>204</v>
      </c>
      <c r="G3350" t="s">
        <v>220</v>
      </c>
      <c r="H3350">
        <v>499</v>
      </c>
      <c r="I3350">
        <v>0</v>
      </c>
      <c r="J3350">
        <v>0</v>
      </c>
      <c r="K3350">
        <v>499</v>
      </c>
      <c r="L3350" s="5">
        <v>46285</v>
      </c>
      <c r="M3350" t="s">
        <v>7091</v>
      </c>
      <c r="N3350" t="s">
        <v>207</v>
      </c>
      <c r="O3350" t="s">
        <v>7343</v>
      </c>
      <c r="P3350" t="s">
        <v>208</v>
      </c>
      <c r="Q3350" t="s">
        <v>209</v>
      </c>
    </row>
    <row r="3351" spans="1:17" x14ac:dyDescent="0.3">
      <c r="A3351" t="s">
        <v>7344</v>
      </c>
      <c r="C3351" t="s">
        <v>7345</v>
      </c>
      <c r="D3351" t="s">
        <v>7345</v>
      </c>
      <c r="E3351" s="5">
        <v>46283</v>
      </c>
      <c r="F3351" t="s">
        <v>204</v>
      </c>
      <c r="G3351" t="s">
        <v>205</v>
      </c>
      <c r="H3351">
        <v>4998</v>
      </c>
      <c r="I3351">
        <v>84.97</v>
      </c>
      <c r="J3351">
        <v>15.29</v>
      </c>
      <c r="K3351">
        <v>4897.74</v>
      </c>
      <c r="L3351" s="5">
        <v>46285</v>
      </c>
      <c r="M3351" t="s">
        <v>7091</v>
      </c>
      <c r="N3351" t="s">
        <v>207</v>
      </c>
      <c r="O3351" t="s">
        <v>7345</v>
      </c>
      <c r="P3351" t="s">
        <v>208</v>
      </c>
      <c r="Q3351" t="s">
        <v>209</v>
      </c>
    </row>
    <row r="3352" spans="1:17" x14ac:dyDescent="0.3">
      <c r="A3352" t="s">
        <v>7346</v>
      </c>
      <c r="C3352" t="s">
        <v>7347</v>
      </c>
      <c r="D3352" t="s">
        <v>7347</v>
      </c>
      <c r="E3352" s="5">
        <v>46283</v>
      </c>
      <c r="F3352" t="s">
        <v>204</v>
      </c>
      <c r="G3352" t="s">
        <v>220</v>
      </c>
      <c r="H3352">
        <v>5998</v>
      </c>
      <c r="I3352">
        <v>17.989999999999998</v>
      </c>
      <c r="J3352">
        <v>3.24</v>
      </c>
      <c r="K3352">
        <v>5976.77</v>
      </c>
      <c r="L3352" s="5">
        <v>46285</v>
      </c>
      <c r="M3352" t="s">
        <v>7091</v>
      </c>
      <c r="N3352" t="s">
        <v>207</v>
      </c>
      <c r="O3352" t="s">
        <v>7347</v>
      </c>
      <c r="P3352" t="s">
        <v>208</v>
      </c>
      <c r="Q3352" t="s">
        <v>209</v>
      </c>
    </row>
    <row r="3353" spans="1:17" x14ac:dyDescent="0.3">
      <c r="A3353" t="s">
        <v>7348</v>
      </c>
      <c r="C3353" t="s">
        <v>7349</v>
      </c>
      <c r="D3353" t="s">
        <v>7349</v>
      </c>
      <c r="E3353" s="5">
        <v>46283</v>
      </c>
      <c r="F3353" t="s">
        <v>204</v>
      </c>
      <c r="G3353" t="s">
        <v>205</v>
      </c>
      <c r="H3353">
        <v>2999</v>
      </c>
      <c r="I3353">
        <v>71.98</v>
      </c>
      <c r="J3353">
        <v>12.96</v>
      </c>
      <c r="K3353">
        <v>2914.06</v>
      </c>
      <c r="L3353" s="5">
        <v>46285</v>
      </c>
      <c r="M3353" t="s">
        <v>7091</v>
      </c>
      <c r="N3353" t="s">
        <v>207</v>
      </c>
      <c r="O3353" t="s">
        <v>7349</v>
      </c>
      <c r="P3353" t="s">
        <v>208</v>
      </c>
      <c r="Q3353" t="s">
        <v>209</v>
      </c>
    </row>
    <row r="3354" spans="1:17" x14ac:dyDescent="0.3">
      <c r="A3354" t="s">
        <v>7350</v>
      </c>
      <c r="C3354" t="s">
        <v>7351</v>
      </c>
      <c r="D3354" t="s">
        <v>7351</v>
      </c>
      <c r="E3354" s="5">
        <v>46283</v>
      </c>
      <c r="F3354" t="s">
        <v>204</v>
      </c>
      <c r="G3354" t="s">
        <v>205</v>
      </c>
      <c r="H3354">
        <v>3798</v>
      </c>
      <c r="I3354">
        <v>91.15</v>
      </c>
      <c r="J3354">
        <v>16.41</v>
      </c>
      <c r="K3354">
        <v>3690.44</v>
      </c>
      <c r="L3354" s="5">
        <v>46285</v>
      </c>
      <c r="M3354" t="s">
        <v>7091</v>
      </c>
      <c r="N3354" t="s">
        <v>207</v>
      </c>
      <c r="O3354" t="s">
        <v>7351</v>
      </c>
      <c r="P3354" t="s">
        <v>208</v>
      </c>
      <c r="Q3354" t="s">
        <v>209</v>
      </c>
    </row>
    <row r="3355" spans="1:17" x14ac:dyDescent="0.3">
      <c r="A3355" t="s">
        <v>7352</v>
      </c>
      <c r="C3355" t="s">
        <v>7353</v>
      </c>
      <c r="D3355" t="s">
        <v>7353</v>
      </c>
      <c r="E3355" s="5">
        <v>46283</v>
      </c>
      <c r="F3355" t="s">
        <v>204</v>
      </c>
      <c r="G3355" t="s">
        <v>220</v>
      </c>
      <c r="H3355">
        <v>2999</v>
      </c>
      <c r="I3355">
        <v>9</v>
      </c>
      <c r="J3355">
        <v>1.62</v>
      </c>
      <c r="K3355">
        <v>2988.38</v>
      </c>
      <c r="L3355" s="5">
        <v>46285</v>
      </c>
      <c r="M3355" t="s">
        <v>7091</v>
      </c>
      <c r="N3355" t="s">
        <v>207</v>
      </c>
      <c r="O3355" t="s">
        <v>7353</v>
      </c>
      <c r="P3355" t="s">
        <v>208</v>
      </c>
      <c r="Q3355" t="s">
        <v>209</v>
      </c>
    </row>
    <row r="3356" spans="1:17" x14ac:dyDescent="0.3">
      <c r="A3356" t="s">
        <v>7354</v>
      </c>
      <c r="C3356" t="s">
        <v>7355</v>
      </c>
      <c r="D3356" t="s">
        <v>7355</v>
      </c>
      <c r="E3356" s="5">
        <v>46283</v>
      </c>
      <c r="F3356" t="s">
        <v>204</v>
      </c>
      <c r="G3356" t="s">
        <v>213</v>
      </c>
      <c r="H3356">
        <v>9297</v>
      </c>
      <c r="I3356">
        <v>148.75</v>
      </c>
      <c r="J3356">
        <v>26.78</v>
      </c>
      <c r="K3356">
        <v>9121.4699999999993</v>
      </c>
      <c r="L3356" s="5">
        <v>46285</v>
      </c>
      <c r="M3356" t="s">
        <v>7091</v>
      </c>
      <c r="N3356" t="s">
        <v>207</v>
      </c>
      <c r="O3356" t="s">
        <v>7355</v>
      </c>
      <c r="P3356" t="s">
        <v>208</v>
      </c>
      <c r="Q3356" t="s">
        <v>209</v>
      </c>
    </row>
    <row r="3357" spans="1:17" x14ac:dyDescent="0.3">
      <c r="A3357" t="s">
        <v>7356</v>
      </c>
      <c r="C3357" t="s">
        <v>7357</v>
      </c>
      <c r="D3357" t="s">
        <v>7357</v>
      </c>
      <c r="E3357" s="5">
        <v>46283</v>
      </c>
      <c r="F3357" t="s">
        <v>204</v>
      </c>
      <c r="G3357" t="s">
        <v>213</v>
      </c>
      <c r="H3357">
        <v>8348</v>
      </c>
      <c r="I3357">
        <v>133.57</v>
      </c>
      <c r="J3357">
        <v>24.04</v>
      </c>
      <c r="K3357">
        <v>8190.39</v>
      </c>
      <c r="L3357" s="5">
        <v>46285</v>
      </c>
      <c r="M3357" t="s">
        <v>7091</v>
      </c>
      <c r="N3357" t="s">
        <v>207</v>
      </c>
      <c r="O3357" t="s">
        <v>7357</v>
      </c>
      <c r="P3357" t="s">
        <v>208</v>
      </c>
      <c r="Q3357" t="s">
        <v>209</v>
      </c>
    </row>
    <row r="3358" spans="1:17" x14ac:dyDescent="0.3">
      <c r="A3358" t="s">
        <v>7358</v>
      </c>
      <c r="C3358" t="s">
        <v>7359</v>
      </c>
      <c r="D3358" t="s">
        <v>7359</v>
      </c>
      <c r="E3358" s="5">
        <v>46283</v>
      </c>
      <c r="F3358" t="s">
        <v>204</v>
      </c>
      <c r="G3358" t="s">
        <v>220</v>
      </c>
      <c r="H3358">
        <v>11497</v>
      </c>
      <c r="I3358">
        <v>34.49</v>
      </c>
      <c r="J3358">
        <v>6.21</v>
      </c>
      <c r="K3358">
        <v>11456.3</v>
      </c>
      <c r="L3358" s="5">
        <v>46285</v>
      </c>
      <c r="M3358" t="s">
        <v>7091</v>
      </c>
      <c r="N3358" t="s">
        <v>207</v>
      </c>
      <c r="O3358" t="s">
        <v>7359</v>
      </c>
      <c r="P3358" t="s">
        <v>208</v>
      </c>
      <c r="Q3358" t="s">
        <v>209</v>
      </c>
    </row>
    <row r="3359" spans="1:17" x14ac:dyDescent="0.3">
      <c r="A3359" t="s">
        <v>7360</v>
      </c>
      <c r="C3359" t="s">
        <v>7361</v>
      </c>
      <c r="D3359" t="s">
        <v>7361</v>
      </c>
      <c r="E3359" s="5">
        <v>46283</v>
      </c>
      <c r="F3359" t="s">
        <v>204</v>
      </c>
      <c r="G3359" t="s">
        <v>220</v>
      </c>
      <c r="H3359">
        <v>2499</v>
      </c>
      <c r="I3359">
        <v>7.5</v>
      </c>
      <c r="J3359">
        <v>1.35</v>
      </c>
      <c r="K3359">
        <v>2490.15</v>
      </c>
      <c r="L3359" s="5">
        <v>46285</v>
      </c>
      <c r="M3359" t="s">
        <v>7091</v>
      </c>
      <c r="N3359" t="s">
        <v>207</v>
      </c>
      <c r="O3359" t="s">
        <v>7361</v>
      </c>
      <c r="P3359" t="s">
        <v>208</v>
      </c>
      <c r="Q3359" t="s">
        <v>209</v>
      </c>
    </row>
    <row r="3360" spans="1:17" x14ac:dyDescent="0.3">
      <c r="A3360" t="s">
        <v>7362</v>
      </c>
      <c r="C3360" t="s">
        <v>7363</v>
      </c>
      <c r="D3360" t="s">
        <v>7363</v>
      </c>
      <c r="E3360" s="5">
        <v>46283</v>
      </c>
      <c r="F3360" t="s">
        <v>204</v>
      </c>
      <c r="G3360" t="s">
        <v>220</v>
      </c>
      <c r="H3360">
        <v>3499</v>
      </c>
      <c r="I3360">
        <v>10.5</v>
      </c>
      <c r="J3360">
        <v>1.89</v>
      </c>
      <c r="K3360">
        <v>3486.61</v>
      </c>
      <c r="L3360" s="5">
        <v>46285</v>
      </c>
      <c r="M3360" t="s">
        <v>7091</v>
      </c>
      <c r="N3360" t="s">
        <v>207</v>
      </c>
      <c r="O3360" t="s">
        <v>7363</v>
      </c>
      <c r="P3360" t="s">
        <v>208</v>
      </c>
      <c r="Q3360" t="s">
        <v>209</v>
      </c>
    </row>
    <row r="3361" spans="1:17" x14ac:dyDescent="0.3">
      <c r="A3361" t="s">
        <v>7364</v>
      </c>
      <c r="C3361" t="s">
        <v>7365</v>
      </c>
      <c r="D3361" t="s">
        <v>7366</v>
      </c>
      <c r="E3361" s="5">
        <v>46283</v>
      </c>
      <c r="F3361" t="s">
        <v>204</v>
      </c>
      <c r="G3361" t="s">
        <v>213</v>
      </c>
      <c r="H3361">
        <v>4999</v>
      </c>
      <c r="I3361">
        <v>79.98</v>
      </c>
      <c r="J3361">
        <v>14.4</v>
      </c>
      <c r="K3361">
        <v>4904.62</v>
      </c>
      <c r="L3361" s="5">
        <v>46285</v>
      </c>
      <c r="M3361" t="s">
        <v>7091</v>
      </c>
      <c r="N3361" t="s">
        <v>207</v>
      </c>
      <c r="O3361" t="s">
        <v>7366</v>
      </c>
      <c r="P3361" t="s">
        <v>208</v>
      </c>
      <c r="Q3361" t="s">
        <v>209</v>
      </c>
    </row>
    <row r="3362" spans="1:17" x14ac:dyDescent="0.3">
      <c r="A3362" t="s">
        <v>7367</v>
      </c>
      <c r="C3362" t="s">
        <v>7368</v>
      </c>
      <c r="D3362" t="s">
        <v>7368</v>
      </c>
      <c r="E3362" s="5">
        <v>46283</v>
      </c>
      <c r="F3362" t="s">
        <v>204</v>
      </c>
      <c r="G3362" t="s">
        <v>220</v>
      </c>
      <c r="H3362">
        <v>4597</v>
      </c>
      <c r="I3362">
        <v>13.79</v>
      </c>
      <c r="J3362">
        <v>2.48</v>
      </c>
      <c r="K3362">
        <v>4580.7299999999996</v>
      </c>
      <c r="L3362" s="5">
        <v>46285</v>
      </c>
      <c r="M3362" t="s">
        <v>7091</v>
      </c>
      <c r="N3362" t="s">
        <v>207</v>
      </c>
      <c r="O3362" t="s">
        <v>7368</v>
      </c>
      <c r="P3362" t="s">
        <v>208</v>
      </c>
      <c r="Q3362" t="s">
        <v>209</v>
      </c>
    </row>
    <row r="3363" spans="1:17" x14ac:dyDescent="0.3">
      <c r="A3363" t="s">
        <v>7369</v>
      </c>
      <c r="C3363" t="s">
        <v>7370</v>
      </c>
      <c r="D3363" t="s">
        <v>7370</v>
      </c>
      <c r="E3363" s="5">
        <v>46283</v>
      </c>
      <c r="F3363" t="s">
        <v>204</v>
      </c>
      <c r="G3363" t="s">
        <v>220</v>
      </c>
      <c r="H3363">
        <v>1798</v>
      </c>
      <c r="I3363">
        <v>0</v>
      </c>
      <c r="J3363">
        <v>0</v>
      </c>
      <c r="K3363">
        <v>1798</v>
      </c>
      <c r="L3363" s="5">
        <v>46285</v>
      </c>
      <c r="M3363" t="s">
        <v>7091</v>
      </c>
      <c r="N3363" t="s">
        <v>207</v>
      </c>
      <c r="O3363" t="s">
        <v>7370</v>
      </c>
      <c r="P3363" t="s">
        <v>208</v>
      </c>
      <c r="Q3363" t="s">
        <v>209</v>
      </c>
    </row>
    <row r="3364" spans="1:17" x14ac:dyDescent="0.3">
      <c r="A3364" t="s">
        <v>7371</v>
      </c>
      <c r="C3364" t="s">
        <v>7372</v>
      </c>
      <c r="D3364" t="s">
        <v>7372</v>
      </c>
      <c r="E3364" s="5">
        <v>46283</v>
      </c>
      <c r="F3364" t="s">
        <v>204</v>
      </c>
      <c r="G3364" t="s">
        <v>220</v>
      </c>
      <c r="H3364">
        <v>1798</v>
      </c>
      <c r="I3364">
        <v>0</v>
      </c>
      <c r="J3364">
        <v>0</v>
      </c>
      <c r="K3364">
        <v>1798</v>
      </c>
      <c r="L3364" s="5">
        <v>46285</v>
      </c>
      <c r="M3364" t="s">
        <v>7091</v>
      </c>
      <c r="N3364" t="s">
        <v>207</v>
      </c>
      <c r="O3364" t="s">
        <v>7372</v>
      </c>
      <c r="P3364" t="s">
        <v>208</v>
      </c>
      <c r="Q3364" t="s">
        <v>209</v>
      </c>
    </row>
    <row r="3365" spans="1:17" x14ac:dyDescent="0.3">
      <c r="A3365" t="s">
        <v>7373</v>
      </c>
      <c r="C3365" t="s">
        <v>7374</v>
      </c>
      <c r="D3365" t="s">
        <v>7374</v>
      </c>
      <c r="E3365" s="5">
        <v>46283</v>
      </c>
      <c r="F3365" t="s">
        <v>204</v>
      </c>
      <c r="G3365" t="s">
        <v>213</v>
      </c>
      <c r="H3365">
        <v>13597</v>
      </c>
      <c r="I3365">
        <v>217.55</v>
      </c>
      <c r="J3365">
        <v>39.159999999999997</v>
      </c>
      <c r="K3365">
        <v>13340.29</v>
      </c>
      <c r="L3365" s="5">
        <v>46285</v>
      </c>
      <c r="M3365" t="s">
        <v>7091</v>
      </c>
      <c r="N3365" t="s">
        <v>207</v>
      </c>
      <c r="O3365" t="s">
        <v>7374</v>
      </c>
      <c r="P3365" t="s">
        <v>208</v>
      </c>
      <c r="Q3365" t="s">
        <v>209</v>
      </c>
    </row>
    <row r="3366" spans="1:17" x14ac:dyDescent="0.3">
      <c r="A3366" t="s">
        <v>7375</v>
      </c>
      <c r="C3366" t="s">
        <v>7376</v>
      </c>
      <c r="D3366" t="s">
        <v>7376</v>
      </c>
      <c r="E3366" s="5">
        <v>46283</v>
      </c>
      <c r="F3366" t="s">
        <v>204</v>
      </c>
      <c r="G3366" t="s">
        <v>220</v>
      </c>
      <c r="H3366">
        <v>1299</v>
      </c>
      <c r="I3366">
        <v>0</v>
      </c>
      <c r="J3366">
        <v>0</v>
      </c>
      <c r="K3366">
        <v>1299</v>
      </c>
      <c r="L3366" s="5">
        <v>46285</v>
      </c>
      <c r="M3366" t="s">
        <v>7091</v>
      </c>
      <c r="N3366" t="s">
        <v>207</v>
      </c>
      <c r="O3366" t="s">
        <v>7376</v>
      </c>
      <c r="P3366" t="s">
        <v>208</v>
      </c>
      <c r="Q3366" t="s">
        <v>209</v>
      </c>
    </row>
    <row r="3367" spans="1:17" x14ac:dyDescent="0.3">
      <c r="A3367" t="s">
        <v>7377</v>
      </c>
      <c r="C3367" t="s">
        <v>7378</v>
      </c>
      <c r="D3367" t="s">
        <v>7378</v>
      </c>
      <c r="E3367" s="5">
        <v>46283</v>
      </c>
      <c r="F3367" t="s">
        <v>204</v>
      </c>
      <c r="G3367" t="s">
        <v>205</v>
      </c>
      <c r="H3367">
        <v>6797</v>
      </c>
      <c r="I3367">
        <v>115.55</v>
      </c>
      <c r="J3367">
        <v>20.8</v>
      </c>
      <c r="K3367">
        <v>6660.65</v>
      </c>
      <c r="L3367" s="5">
        <v>46285</v>
      </c>
      <c r="M3367" t="s">
        <v>7091</v>
      </c>
      <c r="N3367" t="s">
        <v>207</v>
      </c>
      <c r="O3367" t="s">
        <v>7378</v>
      </c>
      <c r="P3367" t="s">
        <v>208</v>
      </c>
      <c r="Q3367" t="s">
        <v>209</v>
      </c>
    </row>
    <row r="3368" spans="1:17" x14ac:dyDescent="0.3">
      <c r="A3368" t="s">
        <v>7379</v>
      </c>
      <c r="C3368" t="s">
        <v>7380</v>
      </c>
      <c r="D3368" t="s">
        <v>7381</v>
      </c>
      <c r="E3368" s="5">
        <v>46283</v>
      </c>
      <c r="F3368" t="s">
        <v>204</v>
      </c>
      <c r="G3368" t="s">
        <v>220</v>
      </c>
      <c r="H3368">
        <v>2999</v>
      </c>
      <c r="I3368">
        <v>9</v>
      </c>
      <c r="J3368">
        <v>1.62</v>
      </c>
      <c r="K3368">
        <v>2988.38</v>
      </c>
      <c r="L3368" s="5">
        <v>46285</v>
      </c>
      <c r="M3368" t="s">
        <v>7091</v>
      </c>
      <c r="N3368" t="s">
        <v>207</v>
      </c>
      <c r="O3368" t="s">
        <v>7381</v>
      </c>
      <c r="P3368" t="s">
        <v>208</v>
      </c>
      <c r="Q3368" t="s">
        <v>209</v>
      </c>
    </row>
    <row r="3369" spans="1:17" x14ac:dyDescent="0.3">
      <c r="A3369" t="s">
        <v>7382</v>
      </c>
      <c r="C3369" t="s">
        <v>7383</v>
      </c>
      <c r="D3369" t="s">
        <v>7384</v>
      </c>
      <c r="E3369" s="5">
        <v>46283</v>
      </c>
      <c r="F3369" t="s">
        <v>204</v>
      </c>
      <c r="G3369" t="s">
        <v>220</v>
      </c>
      <c r="H3369">
        <v>7999</v>
      </c>
      <c r="I3369">
        <v>24</v>
      </c>
      <c r="J3369">
        <v>4.32</v>
      </c>
      <c r="K3369">
        <v>7970.68</v>
      </c>
      <c r="L3369" s="5">
        <v>46285</v>
      </c>
      <c r="M3369" t="s">
        <v>7091</v>
      </c>
      <c r="N3369" t="s">
        <v>207</v>
      </c>
      <c r="O3369" t="s">
        <v>7384</v>
      </c>
      <c r="P3369" t="s">
        <v>208</v>
      </c>
      <c r="Q3369" t="s">
        <v>209</v>
      </c>
    </row>
    <row r="3370" spans="1:17" x14ac:dyDescent="0.3">
      <c r="A3370" t="s">
        <v>7385</v>
      </c>
      <c r="C3370" t="s">
        <v>7386</v>
      </c>
      <c r="D3370" t="s">
        <v>7386</v>
      </c>
      <c r="E3370" s="5">
        <v>46283</v>
      </c>
      <c r="F3370" t="s">
        <v>204</v>
      </c>
      <c r="G3370" t="s">
        <v>220</v>
      </c>
      <c r="H3370">
        <v>2798</v>
      </c>
      <c r="I3370">
        <v>8.39</v>
      </c>
      <c r="J3370">
        <v>1.51</v>
      </c>
      <c r="K3370">
        <v>2788.1</v>
      </c>
      <c r="L3370" s="5">
        <v>46285</v>
      </c>
      <c r="M3370" t="s">
        <v>7091</v>
      </c>
      <c r="N3370" t="s">
        <v>207</v>
      </c>
      <c r="O3370" t="s">
        <v>7386</v>
      </c>
      <c r="P3370" t="s">
        <v>208</v>
      </c>
      <c r="Q3370" t="s">
        <v>209</v>
      </c>
    </row>
    <row r="3371" spans="1:17" x14ac:dyDescent="0.3">
      <c r="A3371" t="s">
        <v>7387</v>
      </c>
      <c r="C3371" t="s">
        <v>7388</v>
      </c>
      <c r="D3371" t="s">
        <v>7388</v>
      </c>
      <c r="E3371" s="5">
        <v>46283</v>
      </c>
      <c r="F3371" t="s">
        <v>204</v>
      </c>
      <c r="G3371" t="s">
        <v>205</v>
      </c>
      <c r="H3371">
        <v>898</v>
      </c>
      <c r="I3371">
        <v>17.059999999999999</v>
      </c>
      <c r="J3371">
        <v>3.07</v>
      </c>
      <c r="K3371">
        <v>877.87</v>
      </c>
      <c r="L3371" s="5">
        <v>46285</v>
      </c>
      <c r="M3371" t="s">
        <v>7091</v>
      </c>
      <c r="N3371" t="s">
        <v>207</v>
      </c>
      <c r="O3371" t="s">
        <v>7388</v>
      </c>
      <c r="P3371" t="s">
        <v>208</v>
      </c>
      <c r="Q3371" t="s">
        <v>209</v>
      </c>
    </row>
    <row r="3372" spans="1:17" x14ac:dyDescent="0.3">
      <c r="A3372" t="s">
        <v>7389</v>
      </c>
      <c r="C3372" t="s">
        <v>7390</v>
      </c>
      <c r="D3372" t="s">
        <v>7390</v>
      </c>
      <c r="E3372" s="5">
        <v>46283</v>
      </c>
      <c r="F3372" t="s">
        <v>204</v>
      </c>
      <c r="G3372" t="s">
        <v>255</v>
      </c>
      <c r="H3372">
        <v>1098</v>
      </c>
      <c r="I3372">
        <v>16.47</v>
      </c>
      <c r="J3372">
        <v>2.96</v>
      </c>
      <c r="K3372">
        <v>1078.57</v>
      </c>
      <c r="L3372" s="5">
        <v>46285</v>
      </c>
      <c r="M3372" t="s">
        <v>7091</v>
      </c>
      <c r="N3372" t="s">
        <v>207</v>
      </c>
      <c r="O3372" t="s">
        <v>7390</v>
      </c>
      <c r="P3372" t="s">
        <v>208</v>
      </c>
      <c r="Q3372" t="s">
        <v>209</v>
      </c>
    </row>
    <row r="3373" spans="1:17" x14ac:dyDescent="0.3">
      <c r="A3373" t="s">
        <v>7391</v>
      </c>
      <c r="C3373" t="s">
        <v>7392</v>
      </c>
      <c r="D3373" t="s">
        <v>7393</v>
      </c>
      <c r="E3373" s="5">
        <v>46283</v>
      </c>
      <c r="F3373" t="s">
        <v>204</v>
      </c>
      <c r="G3373" t="s">
        <v>213</v>
      </c>
      <c r="H3373">
        <v>4999</v>
      </c>
      <c r="I3373">
        <v>79.98</v>
      </c>
      <c r="J3373">
        <v>14.4</v>
      </c>
      <c r="K3373">
        <v>4904.62</v>
      </c>
      <c r="L3373" s="5">
        <v>46285</v>
      </c>
      <c r="M3373" t="s">
        <v>7091</v>
      </c>
      <c r="N3373" t="s">
        <v>207</v>
      </c>
      <c r="O3373" t="s">
        <v>7393</v>
      </c>
      <c r="P3373" t="s">
        <v>208</v>
      </c>
      <c r="Q3373" t="s">
        <v>209</v>
      </c>
    </row>
    <row r="3374" spans="1:17" x14ac:dyDescent="0.3">
      <c r="A3374" t="s">
        <v>7394</v>
      </c>
      <c r="C3374" t="s">
        <v>7395</v>
      </c>
      <c r="D3374" t="s">
        <v>7396</v>
      </c>
      <c r="E3374" s="5">
        <v>46283</v>
      </c>
      <c r="F3374" t="s">
        <v>204</v>
      </c>
      <c r="G3374" t="s">
        <v>220</v>
      </c>
      <c r="H3374">
        <v>1299</v>
      </c>
      <c r="I3374">
        <v>0</v>
      </c>
      <c r="J3374">
        <v>0</v>
      </c>
      <c r="K3374">
        <v>1299</v>
      </c>
      <c r="L3374" s="5">
        <v>46285</v>
      </c>
      <c r="M3374" t="s">
        <v>7091</v>
      </c>
      <c r="N3374" t="s">
        <v>207</v>
      </c>
      <c r="O3374" t="s">
        <v>7396</v>
      </c>
      <c r="P3374" t="s">
        <v>208</v>
      </c>
      <c r="Q3374" t="s">
        <v>209</v>
      </c>
    </row>
    <row r="3375" spans="1:17" x14ac:dyDescent="0.3">
      <c r="A3375" t="s">
        <v>7397</v>
      </c>
      <c r="C3375" t="s">
        <v>7398</v>
      </c>
      <c r="D3375" t="s">
        <v>7398</v>
      </c>
      <c r="E3375" s="5">
        <v>46283</v>
      </c>
      <c r="F3375" t="s">
        <v>204</v>
      </c>
      <c r="G3375" t="s">
        <v>213</v>
      </c>
      <c r="H3375">
        <v>4998</v>
      </c>
      <c r="I3375">
        <v>79.97</v>
      </c>
      <c r="J3375">
        <v>14.39</v>
      </c>
      <c r="K3375">
        <v>4903.6400000000003</v>
      </c>
      <c r="L3375" s="5">
        <v>46285</v>
      </c>
      <c r="M3375" t="s">
        <v>7091</v>
      </c>
      <c r="N3375" t="s">
        <v>207</v>
      </c>
      <c r="O3375" t="s">
        <v>7398</v>
      </c>
      <c r="P3375" t="s">
        <v>208</v>
      </c>
      <c r="Q3375" t="s">
        <v>209</v>
      </c>
    </row>
    <row r="3376" spans="1:17" x14ac:dyDescent="0.3">
      <c r="A3376" t="s">
        <v>7399</v>
      </c>
      <c r="C3376" t="s">
        <v>7400</v>
      </c>
      <c r="D3376" t="s">
        <v>7400</v>
      </c>
      <c r="E3376" s="5">
        <v>46283</v>
      </c>
      <c r="F3376" t="s">
        <v>204</v>
      </c>
      <c r="G3376" t="s">
        <v>213</v>
      </c>
      <c r="H3376">
        <v>4798</v>
      </c>
      <c r="I3376">
        <v>76.77</v>
      </c>
      <c r="J3376">
        <v>13.82</v>
      </c>
      <c r="K3376">
        <v>4707.41</v>
      </c>
      <c r="L3376" s="5">
        <v>46285</v>
      </c>
      <c r="M3376" t="s">
        <v>7091</v>
      </c>
      <c r="N3376" t="s">
        <v>207</v>
      </c>
      <c r="O3376" t="s">
        <v>7400</v>
      </c>
      <c r="P3376" t="s">
        <v>208</v>
      </c>
      <c r="Q3376" t="s">
        <v>209</v>
      </c>
    </row>
    <row r="3377" spans="1:17" x14ac:dyDescent="0.3">
      <c r="A3377" t="s">
        <v>7401</v>
      </c>
      <c r="C3377" t="s">
        <v>7402</v>
      </c>
      <c r="D3377" t="s">
        <v>7402</v>
      </c>
      <c r="E3377" s="5">
        <v>46283</v>
      </c>
      <c r="F3377" t="s">
        <v>204</v>
      </c>
      <c r="G3377" t="s">
        <v>205</v>
      </c>
      <c r="H3377">
        <v>698</v>
      </c>
      <c r="I3377">
        <v>13.26</v>
      </c>
      <c r="J3377">
        <v>2.39</v>
      </c>
      <c r="K3377">
        <v>682.35</v>
      </c>
      <c r="L3377" s="5">
        <v>46285</v>
      </c>
      <c r="M3377" t="s">
        <v>7091</v>
      </c>
      <c r="N3377" t="s">
        <v>207</v>
      </c>
      <c r="O3377" t="s">
        <v>7402</v>
      </c>
      <c r="P3377" t="s">
        <v>208</v>
      </c>
      <c r="Q3377" t="s">
        <v>209</v>
      </c>
    </row>
    <row r="3378" spans="1:17" x14ac:dyDescent="0.3">
      <c r="A3378" t="s">
        <v>7403</v>
      </c>
      <c r="C3378" t="s">
        <v>7404</v>
      </c>
      <c r="D3378" t="s">
        <v>7404</v>
      </c>
      <c r="E3378" s="5">
        <v>46283</v>
      </c>
      <c r="F3378" t="s">
        <v>204</v>
      </c>
      <c r="G3378" t="s">
        <v>255</v>
      </c>
      <c r="H3378">
        <v>349</v>
      </c>
      <c r="I3378">
        <v>5.24</v>
      </c>
      <c r="J3378">
        <v>0.94</v>
      </c>
      <c r="K3378">
        <v>342.82</v>
      </c>
      <c r="L3378" s="5">
        <v>46285</v>
      </c>
      <c r="M3378" t="s">
        <v>7091</v>
      </c>
      <c r="N3378" t="s">
        <v>207</v>
      </c>
      <c r="O3378" t="s">
        <v>7404</v>
      </c>
      <c r="P3378" t="s">
        <v>208</v>
      </c>
      <c r="Q3378" t="s">
        <v>209</v>
      </c>
    </row>
    <row r="3379" spans="1:17" x14ac:dyDescent="0.3">
      <c r="A3379" t="s">
        <v>7405</v>
      </c>
      <c r="C3379" t="s">
        <v>7406</v>
      </c>
      <c r="D3379" t="s">
        <v>7406</v>
      </c>
      <c r="E3379" s="5">
        <v>46283</v>
      </c>
      <c r="F3379" t="s">
        <v>204</v>
      </c>
      <c r="G3379" t="s">
        <v>220</v>
      </c>
      <c r="H3379">
        <v>4498</v>
      </c>
      <c r="I3379">
        <v>13.49</v>
      </c>
      <c r="J3379">
        <v>2.4300000000000002</v>
      </c>
      <c r="K3379">
        <v>4482.08</v>
      </c>
      <c r="L3379" s="5">
        <v>46285</v>
      </c>
      <c r="M3379" t="s">
        <v>7091</v>
      </c>
      <c r="N3379" t="s">
        <v>207</v>
      </c>
      <c r="O3379" t="s">
        <v>7406</v>
      </c>
      <c r="P3379" t="s">
        <v>208</v>
      </c>
      <c r="Q3379" t="s">
        <v>209</v>
      </c>
    </row>
    <row r="3380" spans="1:17" x14ac:dyDescent="0.3">
      <c r="A3380" t="s">
        <v>7407</v>
      </c>
      <c r="C3380" t="s">
        <v>7408</v>
      </c>
      <c r="D3380" t="s">
        <v>7408</v>
      </c>
      <c r="E3380" s="5">
        <v>46283</v>
      </c>
      <c r="F3380" t="s">
        <v>204</v>
      </c>
      <c r="G3380" t="s">
        <v>220</v>
      </c>
      <c r="H3380">
        <v>3797</v>
      </c>
      <c r="I3380">
        <v>11.39</v>
      </c>
      <c r="J3380">
        <v>2.0499999999999998</v>
      </c>
      <c r="K3380">
        <v>3783.56</v>
      </c>
      <c r="L3380" s="5">
        <v>46285</v>
      </c>
      <c r="M3380" t="s">
        <v>7091</v>
      </c>
      <c r="N3380" t="s">
        <v>207</v>
      </c>
      <c r="O3380" t="s">
        <v>7408</v>
      </c>
      <c r="P3380" t="s">
        <v>208</v>
      </c>
      <c r="Q3380" t="s">
        <v>209</v>
      </c>
    </row>
    <row r="3381" spans="1:17" x14ac:dyDescent="0.3">
      <c r="A3381" t="s">
        <v>7409</v>
      </c>
      <c r="C3381" t="s">
        <v>7410</v>
      </c>
      <c r="D3381" t="s">
        <v>7410</v>
      </c>
      <c r="E3381" s="5">
        <v>46283</v>
      </c>
      <c r="F3381" t="s">
        <v>204</v>
      </c>
      <c r="G3381" t="s">
        <v>220</v>
      </c>
      <c r="H3381">
        <v>1998</v>
      </c>
      <c r="I3381">
        <v>0</v>
      </c>
      <c r="J3381">
        <v>0</v>
      </c>
      <c r="K3381">
        <v>1998</v>
      </c>
      <c r="L3381" s="5">
        <v>46285</v>
      </c>
      <c r="M3381" t="s">
        <v>7091</v>
      </c>
      <c r="N3381" t="s">
        <v>207</v>
      </c>
      <c r="O3381" t="s">
        <v>7410</v>
      </c>
      <c r="P3381" t="s">
        <v>208</v>
      </c>
      <c r="Q3381" t="s">
        <v>209</v>
      </c>
    </row>
    <row r="3382" spans="1:17" x14ac:dyDescent="0.3">
      <c r="A3382" t="s">
        <v>7411</v>
      </c>
      <c r="C3382" t="s">
        <v>7412</v>
      </c>
      <c r="D3382" t="s">
        <v>7412</v>
      </c>
      <c r="E3382" s="5">
        <v>46283</v>
      </c>
      <c r="F3382" t="s">
        <v>204</v>
      </c>
      <c r="G3382" t="s">
        <v>220</v>
      </c>
      <c r="H3382">
        <v>648</v>
      </c>
      <c r="I3382">
        <v>0</v>
      </c>
      <c r="J3382">
        <v>0</v>
      </c>
      <c r="K3382">
        <v>648</v>
      </c>
      <c r="L3382" s="5">
        <v>46285</v>
      </c>
      <c r="M3382" t="s">
        <v>7091</v>
      </c>
      <c r="N3382" t="s">
        <v>207</v>
      </c>
      <c r="O3382" t="s">
        <v>7412</v>
      </c>
      <c r="P3382" t="s">
        <v>208</v>
      </c>
      <c r="Q3382" t="s">
        <v>209</v>
      </c>
    </row>
    <row r="3383" spans="1:17" x14ac:dyDescent="0.3">
      <c r="A3383" t="s">
        <v>7413</v>
      </c>
      <c r="C3383" t="s">
        <v>7414</v>
      </c>
      <c r="D3383" t="s">
        <v>7414</v>
      </c>
      <c r="E3383" s="5">
        <v>46283</v>
      </c>
      <c r="F3383" t="s">
        <v>204</v>
      </c>
      <c r="G3383" t="s">
        <v>213</v>
      </c>
      <c r="H3383">
        <v>5298</v>
      </c>
      <c r="I3383">
        <v>84.77</v>
      </c>
      <c r="J3383">
        <v>15.26</v>
      </c>
      <c r="K3383">
        <v>5197.97</v>
      </c>
      <c r="L3383" s="5">
        <v>46285</v>
      </c>
      <c r="M3383" t="s">
        <v>7091</v>
      </c>
      <c r="N3383" t="s">
        <v>207</v>
      </c>
      <c r="O3383" t="s">
        <v>7414</v>
      </c>
      <c r="P3383" t="s">
        <v>208</v>
      </c>
      <c r="Q3383" t="s">
        <v>209</v>
      </c>
    </row>
    <row r="3384" spans="1:17" x14ac:dyDescent="0.3">
      <c r="A3384" t="s">
        <v>7415</v>
      </c>
      <c r="C3384" t="s">
        <v>7416</v>
      </c>
      <c r="D3384" t="s">
        <v>7416</v>
      </c>
      <c r="E3384" s="5">
        <v>46283</v>
      </c>
      <c r="F3384" t="s">
        <v>204</v>
      </c>
      <c r="G3384" t="s">
        <v>220</v>
      </c>
      <c r="H3384">
        <v>1299</v>
      </c>
      <c r="I3384">
        <v>0</v>
      </c>
      <c r="J3384">
        <v>0</v>
      </c>
      <c r="K3384">
        <v>1299</v>
      </c>
      <c r="L3384" s="5">
        <v>46285</v>
      </c>
      <c r="M3384" t="s">
        <v>7091</v>
      </c>
      <c r="N3384" t="s">
        <v>207</v>
      </c>
      <c r="O3384" t="s">
        <v>7416</v>
      </c>
      <c r="P3384" t="s">
        <v>208</v>
      </c>
      <c r="Q3384" t="s">
        <v>209</v>
      </c>
    </row>
    <row r="3385" spans="1:17" x14ac:dyDescent="0.3">
      <c r="A3385" t="s">
        <v>7417</v>
      </c>
      <c r="C3385" t="s">
        <v>7418</v>
      </c>
      <c r="D3385" t="s">
        <v>7418</v>
      </c>
      <c r="E3385" s="5">
        <v>46283</v>
      </c>
      <c r="F3385" t="s">
        <v>204</v>
      </c>
      <c r="G3385" t="s">
        <v>213</v>
      </c>
      <c r="H3385">
        <v>3147</v>
      </c>
      <c r="I3385">
        <v>50.35</v>
      </c>
      <c r="J3385">
        <v>9.06</v>
      </c>
      <c r="K3385">
        <v>3087.59</v>
      </c>
      <c r="L3385" s="5">
        <v>46285</v>
      </c>
      <c r="M3385" t="s">
        <v>7091</v>
      </c>
      <c r="N3385" t="s">
        <v>207</v>
      </c>
      <c r="O3385" t="s">
        <v>7418</v>
      </c>
      <c r="P3385" t="s">
        <v>208</v>
      </c>
      <c r="Q3385" t="s">
        <v>209</v>
      </c>
    </row>
    <row r="3386" spans="1:17" x14ac:dyDescent="0.3">
      <c r="A3386" t="s">
        <v>7419</v>
      </c>
      <c r="C3386" t="s">
        <v>7420</v>
      </c>
      <c r="D3386" t="s">
        <v>7420</v>
      </c>
      <c r="E3386" s="5">
        <v>46283</v>
      </c>
      <c r="F3386" t="s">
        <v>204</v>
      </c>
      <c r="G3386" t="s">
        <v>255</v>
      </c>
      <c r="H3386">
        <v>3499</v>
      </c>
      <c r="I3386">
        <v>41.99</v>
      </c>
      <c r="J3386">
        <v>7.56</v>
      </c>
      <c r="K3386">
        <v>3449.45</v>
      </c>
      <c r="L3386" s="5">
        <v>46285</v>
      </c>
      <c r="M3386" t="s">
        <v>7091</v>
      </c>
      <c r="N3386" t="s">
        <v>207</v>
      </c>
      <c r="O3386" t="s">
        <v>7420</v>
      </c>
      <c r="P3386" t="s">
        <v>208</v>
      </c>
      <c r="Q3386" t="s">
        <v>209</v>
      </c>
    </row>
    <row r="3387" spans="1:17" x14ac:dyDescent="0.3">
      <c r="A3387" t="s">
        <v>7421</v>
      </c>
      <c r="C3387" t="s">
        <v>7422</v>
      </c>
      <c r="D3387" t="s">
        <v>7422</v>
      </c>
      <c r="E3387" s="5">
        <v>46283</v>
      </c>
      <c r="F3387" t="s">
        <v>204</v>
      </c>
      <c r="G3387" t="s">
        <v>220</v>
      </c>
      <c r="H3387">
        <v>2499</v>
      </c>
      <c r="I3387">
        <v>7.5</v>
      </c>
      <c r="J3387">
        <v>1.35</v>
      </c>
      <c r="K3387">
        <v>2490.15</v>
      </c>
      <c r="L3387" s="5">
        <v>46285</v>
      </c>
      <c r="M3387" t="s">
        <v>7091</v>
      </c>
      <c r="N3387" t="s">
        <v>207</v>
      </c>
      <c r="O3387" t="s">
        <v>7422</v>
      </c>
      <c r="P3387" t="s">
        <v>208</v>
      </c>
      <c r="Q3387" t="s">
        <v>209</v>
      </c>
    </row>
    <row r="3388" spans="1:17" x14ac:dyDescent="0.3">
      <c r="A3388" t="s">
        <v>7423</v>
      </c>
      <c r="C3388" t="s">
        <v>7424</v>
      </c>
      <c r="D3388" t="s">
        <v>7424</v>
      </c>
      <c r="E3388" s="5">
        <v>46283</v>
      </c>
      <c r="F3388" t="s">
        <v>204</v>
      </c>
      <c r="G3388" t="s">
        <v>220</v>
      </c>
      <c r="H3388">
        <v>599</v>
      </c>
      <c r="I3388">
        <v>0</v>
      </c>
      <c r="J3388">
        <v>0</v>
      </c>
      <c r="K3388">
        <v>599</v>
      </c>
      <c r="L3388" s="5">
        <v>46285</v>
      </c>
      <c r="M3388" t="s">
        <v>7091</v>
      </c>
      <c r="N3388" t="s">
        <v>207</v>
      </c>
      <c r="O3388" t="s">
        <v>7424</v>
      </c>
      <c r="P3388" t="s">
        <v>208</v>
      </c>
      <c r="Q3388" t="s">
        <v>209</v>
      </c>
    </row>
    <row r="3389" spans="1:17" x14ac:dyDescent="0.3">
      <c r="A3389" t="s">
        <v>7425</v>
      </c>
      <c r="C3389" t="s">
        <v>7426</v>
      </c>
      <c r="D3389" t="s">
        <v>7426</v>
      </c>
      <c r="E3389" s="5">
        <v>46283</v>
      </c>
      <c r="F3389" t="s">
        <v>204</v>
      </c>
      <c r="G3389" t="s">
        <v>220</v>
      </c>
      <c r="H3389">
        <v>6847</v>
      </c>
      <c r="I3389">
        <v>20.54</v>
      </c>
      <c r="J3389">
        <v>3.7</v>
      </c>
      <c r="K3389">
        <v>6822.76</v>
      </c>
      <c r="L3389" s="5">
        <v>46285</v>
      </c>
      <c r="M3389" t="s">
        <v>7091</v>
      </c>
      <c r="N3389" t="s">
        <v>207</v>
      </c>
      <c r="O3389" t="s">
        <v>7426</v>
      </c>
      <c r="P3389" t="s">
        <v>208</v>
      </c>
      <c r="Q3389" t="s">
        <v>209</v>
      </c>
    </row>
    <row r="3390" spans="1:17" x14ac:dyDescent="0.3">
      <c r="A3390" t="s">
        <v>7427</v>
      </c>
      <c r="C3390" t="s">
        <v>7428</v>
      </c>
      <c r="D3390" t="s">
        <v>7428</v>
      </c>
      <c r="E3390" s="5">
        <v>46283</v>
      </c>
      <c r="F3390" t="s">
        <v>204</v>
      </c>
      <c r="G3390" t="s">
        <v>220</v>
      </c>
      <c r="H3390">
        <v>2499</v>
      </c>
      <c r="I3390">
        <v>7.5</v>
      </c>
      <c r="J3390">
        <v>1.35</v>
      </c>
      <c r="K3390">
        <v>2490.15</v>
      </c>
      <c r="L3390" s="5">
        <v>46285</v>
      </c>
      <c r="M3390" t="s">
        <v>7091</v>
      </c>
      <c r="N3390" t="s">
        <v>207</v>
      </c>
      <c r="O3390" t="s">
        <v>7428</v>
      </c>
      <c r="P3390" t="s">
        <v>208</v>
      </c>
      <c r="Q3390" t="s">
        <v>209</v>
      </c>
    </row>
    <row r="3391" spans="1:17" x14ac:dyDescent="0.3">
      <c r="A3391" t="s">
        <v>7429</v>
      </c>
      <c r="C3391" t="s">
        <v>7430</v>
      </c>
      <c r="D3391" t="s">
        <v>7430</v>
      </c>
      <c r="E3391" s="5">
        <v>46283</v>
      </c>
      <c r="F3391" t="s">
        <v>204</v>
      </c>
      <c r="G3391" t="s">
        <v>220</v>
      </c>
      <c r="H3391">
        <v>3498</v>
      </c>
      <c r="I3391">
        <v>10.49</v>
      </c>
      <c r="J3391">
        <v>1.89</v>
      </c>
      <c r="K3391">
        <v>3485.62</v>
      </c>
      <c r="L3391" s="5">
        <v>46285</v>
      </c>
      <c r="M3391" t="s">
        <v>7091</v>
      </c>
      <c r="N3391" t="s">
        <v>207</v>
      </c>
      <c r="O3391" t="s">
        <v>7430</v>
      </c>
      <c r="P3391" t="s">
        <v>208</v>
      </c>
      <c r="Q3391" t="s">
        <v>209</v>
      </c>
    </row>
    <row r="3392" spans="1:17" x14ac:dyDescent="0.3">
      <c r="A3392" t="s">
        <v>7431</v>
      </c>
      <c r="C3392" t="s">
        <v>7432</v>
      </c>
      <c r="D3392" t="s">
        <v>7432</v>
      </c>
      <c r="E3392" s="5">
        <v>46283</v>
      </c>
      <c r="F3392" t="s">
        <v>204</v>
      </c>
      <c r="G3392" t="s">
        <v>213</v>
      </c>
      <c r="H3392">
        <v>4999</v>
      </c>
      <c r="I3392">
        <v>79.98</v>
      </c>
      <c r="J3392">
        <v>14.4</v>
      </c>
      <c r="K3392">
        <v>4904.62</v>
      </c>
      <c r="L3392" s="5">
        <v>46285</v>
      </c>
      <c r="M3392" t="s">
        <v>7091</v>
      </c>
      <c r="N3392" t="s">
        <v>207</v>
      </c>
      <c r="O3392" t="s">
        <v>7432</v>
      </c>
      <c r="P3392" t="s">
        <v>208</v>
      </c>
      <c r="Q3392" t="s">
        <v>209</v>
      </c>
    </row>
    <row r="3393" spans="1:17" x14ac:dyDescent="0.3">
      <c r="A3393" t="s">
        <v>7433</v>
      </c>
      <c r="C3393" t="s">
        <v>7434</v>
      </c>
      <c r="D3393" t="s">
        <v>7434</v>
      </c>
      <c r="E3393" s="5">
        <v>46283</v>
      </c>
      <c r="F3393" t="s">
        <v>204</v>
      </c>
      <c r="G3393" t="s">
        <v>205</v>
      </c>
      <c r="H3393">
        <v>4498</v>
      </c>
      <c r="I3393">
        <v>76.47</v>
      </c>
      <c r="J3393">
        <v>13.76</v>
      </c>
      <c r="K3393">
        <v>4407.7700000000004</v>
      </c>
      <c r="L3393" s="5">
        <v>46285</v>
      </c>
      <c r="M3393" t="s">
        <v>7091</v>
      </c>
      <c r="N3393" t="s">
        <v>207</v>
      </c>
      <c r="O3393" t="s">
        <v>7434</v>
      </c>
      <c r="P3393" t="s">
        <v>208</v>
      </c>
      <c r="Q3393" t="s">
        <v>209</v>
      </c>
    </row>
    <row r="3394" spans="1:17" x14ac:dyDescent="0.3">
      <c r="A3394" t="s">
        <v>7435</v>
      </c>
      <c r="C3394" t="s">
        <v>7436</v>
      </c>
      <c r="D3394" t="s">
        <v>7436</v>
      </c>
      <c r="E3394" s="5">
        <v>46283</v>
      </c>
      <c r="F3394" t="s">
        <v>204</v>
      </c>
      <c r="G3394" t="s">
        <v>205</v>
      </c>
      <c r="H3394">
        <v>2398</v>
      </c>
      <c r="I3394">
        <v>40.770000000000003</v>
      </c>
      <c r="J3394">
        <v>7.34</v>
      </c>
      <c r="K3394">
        <v>2349.89</v>
      </c>
      <c r="L3394" s="5">
        <v>46285</v>
      </c>
      <c r="M3394" t="s">
        <v>7091</v>
      </c>
      <c r="N3394" t="s">
        <v>207</v>
      </c>
      <c r="O3394" t="s">
        <v>7436</v>
      </c>
      <c r="P3394" t="s">
        <v>208</v>
      </c>
      <c r="Q3394" t="s">
        <v>209</v>
      </c>
    </row>
    <row r="3395" spans="1:17" x14ac:dyDescent="0.3">
      <c r="A3395" t="s">
        <v>7437</v>
      </c>
      <c r="C3395" t="s">
        <v>7438</v>
      </c>
      <c r="D3395" t="s">
        <v>7438</v>
      </c>
      <c r="E3395" s="5">
        <v>46283</v>
      </c>
      <c r="F3395" t="s">
        <v>204</v>
      </c>
      <c r="G3395" t="s">
        <v>220</v>
      </c>
      <c r="H3395">
        <v>2499</v>
      </c>
      <c r="I3395">
        <v>7.5</v>
      </c>
      <c r="J3395">
        <v>1.35</v>
      </c>
      <c r="K3395">
        <v>2490.15</v>
      </c>
      <c r="L3395" s="5">
        <v>46285</v>
      </c>
      <c r="M3395" t="s">
        <v>7091</v>
      </c>
      <c r="N3395" t="s">
        <v>207</v>
      </c>
      <c r="O3395" t="s">
        <v>7438</v>
      </c>
      <c r="P3395" t="s">
        <v>208</v>
      </c>
      <c r="Q3395" t="s">
        <v>209</v>
      </c>
    </row>
    <row r="3396" spans="1:17" x14ac:dyDescent="0.3">
      <c r="A3396" t="s">
        <v>7439</v>
      </c>
      <c r="C3396" t="s">
        <v>7440</v>
      </c>
      <c r="D3396" t="s">
        <v>7440</v>
      </c>
      <c r="E3396" s="5">
        <v>46283</v>
      </c>
      <c r="F3396" t="s">
        <v>204</v>
      </c>
      <c r="G3396" t="s">
        <v>213</v>
      </c>
      <c r="H3396">
        <v>4999</v>
      </c>
      <c r="I3396">
        <v>79.98</v>
      </c>
      <c r="J3396">
        <v>14.4</v>
      </c>
      <c r="K3396">
        <v>4904.62</v>
      </c>
      <c r="L3396" s="5">
        <v>46285</v>
      </c>
      <c r="M3396" t="s">
        <v>7091</v>
      </c>
      <c r="N3396" t="s">
        <v>207</v>
      </c>
      <c r="O3396" t="s">
        <v>7440</v>
      </c>
      <c r="P3396" t="s">
        <v>208</v>
      </c>
      <c r="Q3396" t="s">
        <v>209</v>
      </c>
    </row>
    <row r="3397" spans="1:17" x14ac:dyDescent="0.3">
      <c r="A3397" t="s">
        <v>7441</v>
      </c>
      <c r="C3397" t="s">
        <v>7442</v>
      </c>
      <c r="D3397" t="s">
        <v>7442</v>
      </c>
      <c r="E3397" s="5">
        <v>46283</v>
      </c>
      <c r="F3397" t="s">
        <v>204</v>
      </c>
      <c r="G3397" t="s">
        <v>213</v>
      </c>
      <c r="H3397">
        <v>3498</v>
      </c>
      <c r="I3397">
        <v>55.97</v>
      </c>
      <c r="J3397">
        <v>10.07</v>
      </c>
      <c r="K3397">
        <v>3431.96</v>
      </c>
      <c r="L3397" s="5">
        <v>46285</v>
      </c>
      <c r="M3397" t="s">
        <v>7091</v>
      </c>
      <c r="N3397" t="s">
        <v>207</v>
      </c>
      <c r="O3397" t="s">
        <v>7442</v>
      </c>
      <c r="P3397" t="s">
        <v>208</v>
      </c>
      <c r="Q3397" t="s">
        <v>209</v>
      </c>
    </row>
    <row r="3398" spans="1:17" x14ac:dyDescent="0.3">
      <c r="A3398" t="s">
        <v>7443</v>
      </c>
      <c r="C3398" t="s">
        <v>7444</v>
      </c>
      <c r="D3398" t="s">
        <v>7445</v>
      </c>
      <c r="E3398" s="5">
        <v>46283</v>
      </c>
      <c r="F3398" t="s">
        <v>204</v>
      </c>
      <c r="G3398" t="s">
        <v>213</v>
      </c>
      <c r="H3398">
        <v>2999</v>
      </c>
      <c r="I3398">
        <v>47.98</v>
      </c>
      <c r="J3398">
        <v>8.64</v>
      </c>
      <c r="K3398">
        <v>2942.38</v>
      </c>
      <c r="L3398" s="5">
        <v>46285</v>
      </c>
      <c r="M3398" t="s">
        <v>7091</v>
      </c>
      <c r="N3398" t="s">
        <v>207</v>
      </c>
      <c r="O3398" t="s">
        <v>7445</v>
      </c>
      <c r="P3398" t="s">
        <v>208</v>
      </c>
      <c r="Q3398" t="s">
        <v>209</v>
      </c>
    </row>
    <row r="3399" spans="1:17" x14ac:dyDescent="0.3">
      <c r="A3399" t="s">
        <v>7446</v>
      </c>
      <c r="C3399" t="s">
        <v>7447</v>
      </c>
      <c r="D3399" t="s">
        <v>7447</v>
      </c>
      <c r="E3399" s="5">
        <v>46283</v>
      </c>
      <c r="F3399" t="s">
        <v>204</v>
      </c>
      <c r="G3399" t="s">
        <v>220</v>
      </c>
      <c r="H3399">
        <v>3998</v>
      </c>
      <c r="I3399">
        <v>11.99</v>
      </c>
      <c r="J3399">
        <v>2.16</v>
      </c>
      <c r="K3399">
        <v>3983.85</v>
      </c>
      <c r="L3399" s="5">
        <v>46285</v>
      </c>
      <c r="M3399" t="s">
        <v>7091</v>
      </c>
      <c r="N3399" t="s">
        <v>207</v>
      </c>
      <c r="O3399" t="s">
        <v>7447</v>
      </c>
      <c r="P3399" t="s">
        <v>208</v>
      </c>
      <c r="Q3399" t="s">
        <v>209</v>
      </c>
    </row>
    <row r="3400" spans="1:17" x14ac:dyDescent="0.3">
      <c r="A3400" t="s">
        <v>7448</v>
      </c>
      <c r="C3400" t="s">
        <v>7449</v>
      </c>
      <c r="D3400" t="s">
        <v>7449</v>
      </c>
      <c r="E3400" s="5">
        <v>46283</v>
      </c>
      <c r="F3400" t="s">
        <v>204</v>
      </c>
      <c r="G3400" t="s">
        <v>220</v>
      </c>
      <c r="H3400">
        <v>2397</v>
      </c>
      <c r="I3400">
        <v>7.19</v>
      </c>
      <c r="J3400">
        <v>1.29</v>
      </c>
      <c r="K3400">
        <v>2388.52</v>
      </c>
      <c r="L3400" s="5">
        <v>46285</v>
      </c>
      <c r="M3400" t="s">
        <v>7091</v>
      </c>
      <c r="N3400" t="s">
        <v>207</v>
      </c>
      <c r="O3400" t="s">
        <v>7449</v>
      </c>
      <c r="P3400" t="s">
        <v>208</v>
      </c>
      <c r="Q3400" t="s">
        <v>209</v>
      </c>
    </row>
    <row r="3401" spans="1:17" x14ac:dyDescent="0.3">
      <c r="A3401" t="s">
        <v>7450</v>
      </c>
      <c r="C3401" t="s">
        <v>7451</v>
      </c>
      <c r="D3401" t="s">
        <v>7452</v>
      </c>
      <c r="E3401" s="5">
        <v>46283</v>
      </c>
      <c r="F3401" t="s">
        <v>204</v>
      </c>
      <c r="G3401" t="s">
        <v>255</v>
      </c>
      <c r="H3401">
        <v>2499</v>
      </c>
      <c r="I3401">
        <v>29.99</v>
      </c>
      <c r="J3401">
        <v>5.4</v>
      </c>
      <c r="K3401">
        <v>2463.61</v>
      </c>
      <c r="L3401" s="5">
        <v>46285</v>
      </c>
      <c r="M3401" t="s">
        <v>7091</v>
      </c>
      <c r="N3401" t="s">
        <v>207</v>
      </c>
      <c r="O3401" t="s">
        <v>7452</v>
      </c>
      <c r="P3401" t="s">
        <v>208</v>
      </c>
      <c r="Q3401" t="s">
        <v>209</v>
      </c>
    </row>
    <row r="3402" spans="1:17" x14ac:dyDescent="0.3">
      <c r="A3402" t="s">
        <v>7453</v>
      </c>
      <c r="C3402" t="s">
        <v>7454</v>
      </c>
      <c r="D3402" t="s">
        <v>7454</v>
      </c>
      <c r="E3402" s="5">
        <v>46283</v>
      </c>
      <c r="F3402" t="s">
        <v>204</v>
      </c>
      <c r="G3402" t="s">
        <v>213</v>
      </c>
      <c r="H3402">
        <v>4999</v>
      </c>
      <c r="I3402">
        <v>79.98</v>
      </c>
      <c r="J3402">
        <v>14.4</v>
      </c>
      <c r="K3402">
        <v>4904.62</v>
      </c>
      <c r="L3402" s="5">
        <v>46285</v>
      </c>
      <c r="M3402" t="s">
        <v>7091</v>
      </c>
      <c r="N3402" t="s">
        <v>207</v>
      </c>
      <c r="O3402" t="s">
        <v>7454</v>
      </c>
      <c r="P3402" t="s">
        <v>208</v>
      </c>
      <c r="Q3402" t="s">
        <v>209</v>
      </c>
    </row>
    <row r="3403" spans="1:17" x14ac:dyDescent="0.3">
      <c r="A3403" t="s">
        <v>7455</v>
      </c>
      <c r="C3403" t="s">
        <v>7456</v>
      </c>
      <c r="D3403" t="s">
        <v>7456</v>
      </c>
      <c r="E3403" s="5">
        <v>46283</v>
      </c>
      <c r="F3403" t="s">
        <v>204</v>
      </c>
      <c r="G3403" t="s">
        <v>220</v>
      </c>
      <c r="H3403">
        <v>6097</v>
      </c>
      <c r="I3403">
        <v>18.29</v>
      </c>
      <c r="J3403">
        <v>3.29</v>
      </c>
      <c r="K3403">
        <v>6075.42</v>
      </c>
      <c r="L3403" s="5">
        <v>46285</v>
      </c>
      <c r="M3403" t="s">
        <v>7091</v>
      </c>
      <c r="N3403" t="s">
        <v>207</v>
      </c>
      <c r="O3403" t="s">
        <v>7456</v>
      </c>
      <c r="P3403" t="s">
        <v>208</v>
      </c>
      <c r="Q3403" t="s">
        <v>209</v>
      </c>
    </row>
    <row r="3404" spans="1:17" x14ac:dyDescent="0.3">
      <c r="A3404" t="s">
        <v>7457</v>
      </c>
      <c r="B3404" t="s">
        <v>5436</v>
      </c>
      <c r="E3404" s="5">
        <v>46283</v>
      </c>
      <c r="F3404" t="s">
        <v>921</v>
      </c>
      <c r="G3404" t="s">
        <v>213</v>
      </c>
      <c r="H3404">
        <v>1499</v>
      </c>
      <c r="I3404">
        <v>0</v>
      </c>
      <c r="J3404">
        <v>0</v>
      </c>
      <c r="K3404">
        <v>-1499</v>
      </c>
      <c r="L3404" s="5">
        <v>46285</v>
      </c>
      <c r="M3404" t="s">
        <v>7091</v>
      </c>
      <c r="N3404" t="s">
        <v>207</v>
      </c>
      <c r="O3404" t="s">
        <v>5437</v>
      </c>
      <c r="P3404" t="s">
        <v>208</v>
      </c>
    </row>
    <row r="3405" spans="1:17" x14ac:dyDescent="0.3">
      <c r="A3405" t="s">
        <v>7458</v>
      </c>
      <c r="B3405" t="s">
        <v>5775</v>
      </c>
      <c r="E3405" s="5">
        <v>46283</v>
      </c>
      <c r="F3405" t="s">
        <v>921</v>
      </c>
      <c r="G3405" t="s">
        <v>220</v>
      </c>
      <c r="H3405">
        <v>6298</v>
      </c>
      <c r="I3405">
        <v>0</v>
      </c>
      <c r="J3405">
        <v>0</v>
      </c>
      <c r="K3405">
        <v>-6298</v>
      </c>
      <c r="L3405" s="5">
        <v>46285</v>
      </c>
      <c r="M3405" t="s">
        <v>7091</v>
      </c>
      <c r="N3405" t="s">
        <v>207</v>
      </c>
      <c r="O3405" t="s">
        <v>5776</v>
      </c>
      <c r="P3405" t="s">
        <v>208</v>
      </c>
    </row>
    <row r="3406" spans="1:17" x14ac:dyDescent="0.3">
      <c r="A3406" t="s">
        <v>7459</v>
      </c>
      <c r="B3406" t="s">
        <v>6069</v>
      </c>
      <c r="E3406" s="5">
        <v>46283</v>
      </c>
      <c r="F3406" t="s">
        <v>921</v>
      </c>
      <c r="G3406" t="s">
        <v>220</v>
      </c>
      <c r="H3406">
        <v>2499</v>
      </c>
      <c r="I3406">
        <v>0</v>
      </c>
      <c r="J3406">
        <v>0</v>
      </c>
      <c r="K3406">
        <v>-2499</v>
      </c>
      <c r="L3406" s="5">
        <v>46285</v>
      </c>
      <c r="M3406" t="s">
        <v>7091</v>
      </c>
      <c r="N3406" t="s">
        <v>207</v>
      </c>
      <c r="O3406" t="s">
        <v>6070</v>
      </c>
      <c r="P3406" t="s">
        <v>208</v>
      </c>
    </row>
    <row r="3407" spans="1:17" x14ac:dyDescent="0.3">
      <c r="A3407" t="s">
        <v>7460</v>
      </c>
      <c r="B3407" t="s">
        <v>4754</v>
      </c>
      <c r="E3407" s="5">
        <v>46283</v>
      </c>
      <c r="F3407" t="s">
        <v>921</v>
      </c>
      <c r="G3407" t="s">
        <v>220</v>
      </c>
      <c r="H3407">
        <v>3499</v>
      </c>
      <c r="I3407">
        <v>0</v>
      </c>
      <c r="J3407">
        <v>0</v>
      </c>
      <c r="K3407">
        <v>-3499</v>
      </c>
      <c r="L3407" s="5">
        <v>46285</v>
      </c>
      <c r="M3407" t="s">
        <v>7091</v>
      </c>
      <c r="N3407" t="s">
        <v>207</v>
      </c>
      <c r="O3407" t="s">
        <v>4756</v>
      </c>
      <c r="P3407" t="s">
        <v>208</v>
      </c>
    </row>
    <row r="3408" spans="1:17" x14ac:dyDescent="0.3">
      <c r="A3408" t="s">
        <v>7461</v>
      </c>
      <c r="B3408" t="s">
        <v>4911</v>
      </c>
      <c r="E3408" s="5">
        <v>46283</v>
      </c>
      <c r="F3408" t="s">
        <v>921</v>
      </c>
      <c r="G3408" t="s">
        <v>213</v>
      </c>
      <c r="H3408">
        <v>2098</v>
      </c>
      <c r="I3408">
        <v>0</v>
      </c>
      <c r="J3408">
        <v>0</v>
      </c>
      <c r="K3408">
        <v>-2098</v>
      </c>
      <c r="L3408" s="5">
        <v>46285</v>
      </c>
      <c r="M3408" t="s">
        <v>7091</v>
      </c>
      <c r="N3408" t="s">
        <v>207</v>
      </c>
      <c r="O3408" t="s">
        <v>4912</v>
      </c>
      <c r="P3408" t="s">
        <v>208</v>
      </c>
    </row>
    <row r="3409" spans="1:17" x14ac:dyDescent="0.3">
      <c r="A3409" t="s">
        <v>7462</v>
      </c>
      <c r="B3409" t="s">
        <v>5059</v>
      </c>
      <c r="E3409" s="5">
        <v>46283</v>
      </c>
      <c r="F3409" t="s">
        <v>921</v>
      </c>
      <c r="G3409" t="s">
        <v>220</v>
      </c>
      <c r="H3409">
        <v>15997</v>
      </c>
      <c r="I3409">
        <v>0</v>
      </c>
      <c r="J3409">
        <v>0</v>
      </c>
      <c r="K3409">
        <v>-15997</v>
      </c>
      <c r="L3409" s="5">
        <v>46285</v>
      </c>
      <c r="M3409" t="s">
        <v>7091</v>
      </c>
      <c r="N3409" t="s">
        <v>207</v>
      </c>
      <c r="O3409" t="s">
        <v>5060</v>
      </c>
      <c r="P3409" t="s">
        <v>208</v>
      </c>
    </row>
    <row r="3410" spans="1:17" x14ac:dyDescent="0.3">
      <c r="A3410" t="s">
        <v>7463</v>
      </c>
      <c r="B3410" t="s">
        <v>5164</v>
      </c>
      <c r="E3410" s="5">
        <v>46283</v>
      </c>
      <c r="F3410" t="s">
        <v>921</v>
      </c>
      <c r="G3410" t="s">
        <v>220</v>
      </c>
      <c r="H3410">
        <v>11797</v>
      </c>
      <c r="I3410">
        <v>0</v>
      </c>
      <c r="J3410">
        <v>0</v>
      </c>
      <c r="K3410">
        <v>-11797</v>
      </c>
      <c r="L3410" s="5">
        <v>46285</v>
      </c>
      <c r="M3410" t="s">
        <v>7091</v>
      </c>
      <c r="N3410" t="s">
        <v>207</v>
      </c>
      <c r="O3410" t="s">
        <v>5165</v>
      </c>
      <c r="P3410" t="s">
        <v>208</v>
      </c>
    </row>
    <row r="3411" spans="1:17" x14ac:dyDescent="0.3">
      <c r="A3411" t="s">
        <v>7464</v>
      </c>
      <c r="B3411" t="s">
        <v>5553</v>
      </c>
      <c r="E3411" s="5">
        <v>46283</v>
      </c>
      <c r="F3411" t="s">
        <v>921</v>
      </c>
      <c r="G3411" t="s">
        <v>220</v>
      </c>
      <c r="H3411">
        <v>3897</v>
      </c>
      <c r="I3411">
        <v>0</v>
      </c>
      <c r="J3411">
        <v>0</v>
      </c>
      <c r="K3411">
        <v>-3897</v>
      </c>
      <c r="L3411" s="5">
        <v>46285</v>
      </c>
      <c r="M3411" t="s">
        <v>7091</v>
      </c>
      <c r="N3411" t="s">
        <v>207</v>
      </c>
      <c r="O3411" t="s">
        <v>5554</v>
      </c>
      <c r="P3411" t="s">
        <v>208</v>
      </c>
    </row>
    <row r="3412" spans="1:17" x14ac:dyDescent="0.3">
      <c r="A3412" t="s">
        <v>7465</v>
      </c>
      <c r="B3412" t="s">
        <v>6945</v>
      </c>
      <c r="E3412" s="5">
        <v>46283</v>
      </c>
      <c r="F3412" t="s">
        <v>921</v>
      </c>
      <c r="G3412" t="s">
        <v>220</v>
      </c>
      <c r="H3412">
        <v>2298</v>
      </c>
      <c r="I3412">
        <v>0</v>
      </c>
      <c r="J3412">
        <v>0</v>
      </c>
      <c r="K3412">
        <v>-2298</v>
      </c>
      <c r="L3412" s="5">
        <v>46285</v>
      </c>
      <c r="M3412" t="s">
        <v>7091</v>
      </c>
      <c r="N3412" t="s">
        <v>207</v>
      </c>
      <c r="O3412" t="s">
        <v>6946</v>
      </c>
      <c r="P3412" t="s">
        <v>208</v>
      </c>
    </row>
    <row r="3413" spans="1:17" x14ac:dyDescent="0.3">
      <c r="A3413" t="s">
        <v>7466</v>
      </c>
      <c r="C3413" t="s">
        <v>7467</v>
      </c>
      <c r="D3413" t="s">
        <v>7467</v>
      </c>
      <c r="E3413" s="5">
        <v>46284</v>
      </c>
      <c r="F3413" t="s">
        <v>204</v>
      </c>
      <c r="G3413" t="s">
        <v>220</v>
      </c>
      <c r="H3413">
        <v>1798</v>
      </c>
      <c r="I3413">
        <v>0</v>
      </c>
      <c r="J3413">
        <v>0</v>
      </c>
      <c r="K3413">
        <v>1798</v>
      </c>
      <c r="L3413" s="5">
        <v>46286</v>
      </c>
      <c r="M3413" t="s">
        <v>7468</v>
      </c>
      <c r="N3413" t="s">
        <v>207</v>
      </c>
      <c r="O3413" t="s">
        <v>7467</v>
      </c>
      <c r="P3413" t="s">
        <v>208</v>
      </c>
      <c r="Q3413" t="s">
        <v>209</v>
      </c>
    </row>
    <row r="3414" spans="1:17" x14ac:dyDescent="0.3">
      <c r="A3414" t="s">
        <v>7469</v>
      </c>
      <c r="C3414" t="s">
        <v>7470</v>
      </c>
      <c r="D3414" t="s">
        <v>7471</v>
      </c>
      <c r="E3414" s="5">
        <v>46284</v>
      </c>
      <c r="F3414" t="s">
        <v>204</v>
      </c>
      <c r="G3414" t="s">
        <v>213</v>
      </c>
      <c r="H3414">
        <v>1798</v>
      </c>
      <c r="I3414">
        <v>32.36</v>
      </c>
      <c r="J3414">
        <v>5.82</v>
      </c>
      <c r="K3414">
        <v>1759.82</v>
      </c>
      <c r="L3414" s="5">
        <v>46286</v>
      </c>
      <c r="M3414" t="s">
        <v>7468</v>
      </c>
      <c r="N3414" t="s">
        <v>207</v>
      </c>
      <c r="O3414" t="s">
        <v>7471</v>
      </c>
      <c r="P3414" t="s">
        <v>208</v>
      </c>
      <c r="Q3414" t="s">
        <v>209</v>
      </c>
    </row>
    <row r="3415" spans="1:17" x14ac:dyDescent="0.3">
      <c r="A3415" t="s">
        <v>7472</v>
      </c>
      <c r="C3415" t="s">
        <v>7473</v>
      </c>
      <c r="D3415" t="s">
        <v>7473</v>
      </c>
      <c r="E3415" s="5">
        <v>46284</v>
      </c>
      <c r="F3415" t="s">
        <v>204</v>
      </c>
      <c r="G3415" t="s">
        <v>205</v>
      </c>
      <c r="H3415">
        <v>599</v>
      </c>
      <c r="I3415">
        <v>11.38</v>
      </c>
      <c r="J3415">
        <v>2.0499999999999998</v>
      </c>
      <c r="K3415">
        <v>585.57000000000005</v>
      </c>
      <c r="L3415" s="5">
        <v>46286</v>
      </c>
      <c r="M3415" t="s">
        <v>7468</v>
      </c>
      <c r="N3415" t="s">
        <v>207</v>
      </c>
      <c r="O3415" t="s">
        <v>7473</v>
      </c>
      <c r="P3415" t="s">
        <v>208</v>
      </c>
      <c r="Q3415" t="s">
        <v>209</v>
      </c>
    </row>
    <row r="3416" spans="1:17" x14ac:dyDescent="0.3">
      <c r="A3416" t="s">
        <v>7474</v>
      </c>
      <c r="C3416" t="s">
        <v>7475</v>
      </c>
      <c r="D3416" t="s">
        <v>7475</v>
      </c>
      <c r="E3416" s="5">
        <v>46284</v>
      </c>
      <c r="F3416" t="s">
        <v>204</v>
      </c>
      <c r="G3416" t="s">
        <v>220</v>
      </c>
      <c r="H3416">
        <v>1799</v>
      </c>
      <c r="I3416">
        <v>0</v>
      </c>
      <c r="J3416">
        <v>0</v>
      </c>
      <c r="K3416">
        <v>1799</v>
      </c>
      <c r="L3416" s="5">
        <v>46286</v>
      </c>
      <c r="M3416" t="s">
        <v>7468</v>
      </c>
      <c r="N3416" t="s">
        <v>207</v>
      </c>
      <c r="O3416" t="s">
        <v>7475</v>
      </c>
      <c r="P3416" t="s">
        <v>208</v>
      </c>
      <c r="Q3416" t="s">
        <v>209</v>
      </c>
    </row>
    <row r="3417" spans="1:17" x14ac:dyDescent="0.3">
      <c r="A3417" t="s">
        <v>7476</v>
      </c>
      <c r="C3417" t="s">
        <v>7477</v>
      </c>
      <c r="D3417" t="s">
        <v>7477</v>
      </c>
      <c r="E3417" s="5">
        <v>46284</v>
      </c>
      <c r="F3417" t="s">
        <v>204</v>
      </c>
      <c r="G3417" t="s">
        <v>220</v>
      </c>
      <c r="H3417">
        <v>3499</v>
      </c>
      <c r="I3417">
        <v>10.5</v>
      </c>
      <c r="J3417">
        <v>1.89</v>
      </c>
      <c r="K3417">
        <v>3486.61</v>
      </c>
      <c r="L3417" s="5">
        <v>46286</v>
      </c>
      <c r="M3417" t="s">
        <v>7468</v>
      </c>
      <c r="N3417" t="s">
        <v>207</v>
      </c>
      <c r="O3417" t="s">
        <v>7477</v>
      </c>
      <c r="P3417" t="s">
        <v>208</v>
      </c>
      <c r="Q3417" t="s">
        <v>209</v>
      </c>
    </row>
    <row r="3418" spans="1:17" x14ac:dyDescent="0.3">
      <c r="A3418" t="s">
        <v>7478</v>
      </c>
      <c r="C3418" t="s">
        <v>7479</v>
      </c>
      <c r="D3418" t="s">
        <v>7479</v>
      </c>
      <c r="E3418" s="5">
        <v>46284</v>
      </c>
      <c r="F3418" t="s">
        <v>204</v>
      </c>
      <c r="G3418" t="s">
        <v>205</v>
      </c>
      <c r="H3418">
        <v>1299</v>
      </c>
      <c r="I3418">
        <v>24.68</v>
      </c>
      <c r="J3418">
        <v>4.4400000000000004</v>
      </c>
      <c r="K3418">
        <v>1269.8800000000001</v>
      </c>
      <c r="L3418" s="5">
        <v>46286</v>
      </c>
      <c r="M3418" t="s">
        <v>7468</v>
      </c>
      <c r="N3418" t="s">
        <v>207</v>
      </c>
      <c r="O3418" t="s">
        <v>7479</v>
      </c>
      <c r="P3418" t="s">
        <v>208</v>
      </c>
      <c r="Q3418" t="s">
        <v>209</v>
      </c>
    </row>
    <row r="3419" spans="1:17" x14ac:dyDescent="0.3">
      <c r="A3419" t="s">
        <v>7480</v>
      </c>
      <c r="C3419" t="s">
        <v>7481</v>
      </c>
      <c r="D3419" t="s">
        <v>7481</v>
      </c>
      <c r="E3419" s="5">
        <v>46284</v>
      </c>
      <c r="F3419" t="s">
        <v>204</v>
      </c>
      <c r="G3419" t="s">
        <v>213</v>
      </c>
      <c r="H3419">
        <v>3597</v>
      </c>
      <c r="I3419">
        <v>57.55</v>
      </c>
      <c r="J3419">
        <v>10.36</v>
      </c>
      <c r="K3419">
        <v>3529.09</v>
      </c>
      <c r="L3419" s="5">
        <v>46286</v>
      </c>
      <c r="M3419" t="s">
        <v>7468</v>
      </c>
      <c r="N3419" t="s">
        <v>207</v>
      </c>
      <c r="O3419" t="s">
        <v>7481</v>
      </c>
      <c r="P3419" t="s">
        <v>208</v>
      </c>
      <c r="Q3419" t="s">
        <v>209</v>
      </c>
    </row>
    <row r="3420" spans="1:17" x14ac:dyDescent="0.3">
      <c r="A3420" t="s">
        <v>7482</v>
      </c>
      <c r="C3420" t="s">
        <v>7483</v>
      </c>
      <c r="D3420" t="s">
        <v>7483</v>
      </c>
      <c r="E3420" s="5">
        <v>46284</v>
      </c>
      <c r="F3420" t="s">
        <v>204</v>
      </c>
      <c r="G3420" t="s">
        <v>213</v>
      </c>
      <c r="H3420">
        <v>299</v>
      </c>
      <c r="I3420">
        <v>5.38</v>
      </c>
      <c r="J3420">
        <v>0.97</v>
      </c>
      <c r="K3420">
        <v>292.64999999999998</v>
      </c>
      <c r="L3420" s="5">
        <v>46286</v>
      </c>
      <c r="M3420" t="s">
        <v>7468</v>
      </c>
      <c r="N3420" t="s">
        <v>207</v>
      </c>
      <c r="O3420" t="s">
        <v>7483</v>
      </c>
      <c r="P3420" t="s">
        <v>208</v>
      </c>
      <c r="Q3420" t="s">
        <v>209</v>
      </c>
    </row>
    <row r="3421" spans="1:17" x14ac:dyDescent="0.3">
      <c r="A3421" t="s">
        <v>7484</v>
      </c>
      <c r="C3421" t="s">
        <v>7485</v>
      </c>
      <c r="D3421" t="s">
        <v>7486</v>
      </c>
      <c r="E3421" s="5">
        <v>46284</v>
      </c>
      <c r="F3421" t="s">
        <v>204</v>
      </c>
      <c r="G3421" t="s">
        <v>220</v>
      </c>
      <c r="H3421">
        <v>3098</v>
      </c>
      <c r="I3421">
        <v>9.2899999999999991</v>
      </c>
      <c r="J3421">
        <v>1.67</v>
      </c>
      <c r="K3421">
        <v>3087.04</v>
      </c>
      <c r="L3421" s="5">
        <v>46286</v>
      </c>
      <c r="M3421" t="s">
        <v>7468</v>
      </c>
      <c r="N3421" t="s">
        <v>207</v>
      </c>
      <c r="O3421" t="s">
        <v>7486</v>
      </c>
      <c r="P3421" t="s">
        <v>208</v>
      </c>
      <c r="Q3421" t="s">
        <v>209</v>
      </c>
    </row>
    <row r="3422" spans="1:17" x14ac:dyDescent="0.3">
      <c r="A3422" t="s">
        <v>7487</v>
      </c>
      <c r="C3422" t="s">
        <v>7488</v>
      </c>
      <c r="D3422" t="s">
        <v>7488</v>
      </c>
      <c r="E3422" s="5">
        <v>46284</v>
      </c>
      <c r="F3422" t="s">
        <v>204</v>
      </c>
      <c r="G3422" t="s">
        <v>220</v>
      </c>
      <c r="H3422">
        <v>2999</v>
      </c>
      <c r="I3422">
        <v>9</v>
      </c>
      <c r="J3422">
        <v>1.62</v>
      </c>
      <c r="K3422">
        <v>2988.38</v>
      </c>
      <c r="L3422" s="5">
        <v>46286</v>
      </c>
      <c r="M3422" t="s">
        <v>7468</v>
      </c>
      <c r="N3422" t="s">
        <v>207</v>
      </c>
      <c r="O3422" t="s">
        <v>7488</v>
      </c>
      <c r="P3422" t="s">
        <v>208</v>
      </c>
      <c r="Q3422" t="s">
        <v>209</v>
      </c>
    </row>
    <row r="3423" spans="1:17" x14ac:dyDescent="0.3">
      <c r="A3423" t="s">
        <v>7489</v>
      </c>
      <c r="C3423" t="s">
        <v>7490</v>
      </c>
      <c r="D3423" t="s">
        <v>7490</v>
      </c>
      <c r="E3423" s="5">
        <v>46284</v>
      </c>
      <c r="F3423" t="s">
        <v>204</v>
      </c>
      <c r="G3423" t="s">
        <v>220</v>
      </c>
      <c r="H3423">
        <v>1798</v>
      </c>
      <c r="I3423">
        <v>0</v>
      </c>
      <c r="J3423">
        <v>0</v>
      </c>
      <c r="K3423">
        <v>1798</v>
      </c>
      <c r="L3423" s="5">
        <v>46286</v>
      </c>
      <c r="M3423" t="s">
        <v>7468</v>
      </c>
      <c r="N3423" t="s">
        <v>207</v>
      </c>
      <c r="O3423" t="s">
        <v>7490</v>
      </c>
      <c r="P3423" t="s">
        <v>208</v>
      </c>
      <c r="Q3423" t="s">
        <v>209</v>
      </c>
    </row>
    <row r="3424" spans="1:17" x14ac:dyDescent="0.3">
      <c r="A3424" t="s">
        <v>7491</v>
      </c>
      <c r="C3424" t="s">
        <v>7492</v>
      </c>
      <c r="D3424" t="s">
        <v>7492</v>
      </c>
      <c r="E3424" s="5">
        <v>46284</v>
      </c>
      <c r="F3424" t="s">
        <v>204</v>
      </c>
      <c r="G3424" t="s">
        <v>205</v>
      </c>
      <c r="H3424">
        <v>7999</v>
      </c>
      <c r="I3424">
        <v>135.97999999999999</v>
      </c>
      <c r="J3424">
        <v>24.48</v>
      </c>
      <c r="K3424">
        <v>7838.54</v>
      </c>
      <c r="L3424" s="5">
        <v>46286</v>
      </c>
      <c r="M3424" t="s">
        <v>7468</v>
      </c>
      <c r="N3424" t="s">
        <v>207</v>
      </c>
      <c r="O3424" t="s">
        <v>7492</v>
      </c>
      <c r="P3424" t="s">
        <v>208</v>
      </c>
      <c r="Q3424" t="s">
        <v>209</v>
      </c>
    </row>
    <row r="3425" spans="1:17" x14ac:dyDescent="0.3">
      <c r="A3425" t="s">
        <v>7493</v>
      </c>
      <c r="C3425" t="s">
        <v>7494</v>
      </c>
      <c r="D3425" t="s">
        <v>7494</v>
      </c>
      <c r="E3425" s="5">
        <v>46284</v>
      </c>
      <c r="F3425" t="s">
        <v>204</v>
      </c>
      <c r="G3425" t="s">
        <v>220</v>
      </c>
      <c r="H3425">
        <v>5097</v>
      </c>
      <c r="I3425">
        <v>15.29</v>
      </c>
      <c r="J3425">
        <v>2.75</v>
      </c>
      <c r="K3425">
        <v>5078.96</v>
      </c>
      <c r="L3425" s="5">
        <v>46286</v>
      </c>
      <c r="M3425" t="s">
        <v>7468</v>
      </c>
      <c r="N3425" t="s">
        <v>207</v>
      </c>
      <c r="O3425" t="s">
        <v>7494</v>
      </c>
      <c r="P3425" t="s">
        <v>208</v>
      </c>
      <c r="Q3425" t="s">
        <v>209</v>
      </c>
    </row>
    <row r="3426" spans="1:17" x14ac:dyDescent="0.3">
      <c r="A3426" t="s">
        <v>7495</v>
      </c>
      <c r="C3426" t="s">
        <v>7496</v>
      </c>
      <c r="D3426" t="s">
        <v>7496</v>
      </c>
      <c r="E3426" s="5">
        <v>46284</v>
      </c>
      <c r="F3426" t="s">
        <v>204</v>
      </c>
      <c r="G3426" t="s">
        <v>220</v>
      </c>
      <c r="H3426">
        <v>299</v>
      </c>
      <c r="I3426">
        <v>0</v>
      </c>
      <c r="J3426">
        <v>0</v>
      </c>
      <c r="K3426">
        <v>299</v>
      </c>
      <c r="L3426" s="5">
        <v>46286</v>
      </c>
      <c r="M3426" t="s">
        <v>7468</v>
      </c>
      <c r="N3426" t="s">
        <v>207</v>
      </c>
      <c r="O3426" t="s">
        <v>7496</v>
      </c>
      <c r="P3426" t="s">
        <v>208</v>
      </c>
      <c r="Q3426" t="s">
        <v>209</v>
      </c>
    </row>
    <row r="3427" spans="1:17" x14ac:dyDescent="0.3">
      <c r="A3427" t="s">
        <v>7497</v>
      </c>
      <c r="C3427" t="s">
        <v>7498</v>
      </c>
      <c r="D3427" t="s">
        <v>7498</v>
      </c>
      <c r="E3427" s="5">
        <v>46284</v>
      </c>
      <c r="F3427" t="s">
        <v>204</v>
      </c>
      <c r="G3427" t="s">
        <v>205</v>
      </c>
      <c r="H3427">
        <v>349</v>
      </c>
      <c r="I3427">
        <v>6.63</v>
      </c>
      <c r="J3427">
        <v>1.19</v>
      </c>
      <c r="K3427">
        <v>341.18</v>
      </c>
      <c r="L3427" s="5">
        <v>46286</v>
      </c>
      <c r="M3427" t="s">
        <v>7468</v>
      </c>
      <c r="N3427" t="s">
        <v>207</v>
      </c>
      <c r="O3427" t="s">
        <v>7498</v>
      </c>
      <c r="P3427" t="s">
        <v>208</v>
      </c>
      <c r="Q3427" t="s">
        <v>209</v>
      </c>
    </row>
    <row r="3428" spans="1:17" x14ac:dyDescent="0.3">
      <c r="A3428" t="s">
        <v>7499</v>
      </c>
      <c r="C3428" t="s">
        <v>7500</v>
      </c>
      <c r="D3428" t="s">
        <v>7500</v>
      </c>
      <c r="E3428" s="5">
        <v>46284</v>
      </c>
      <c r="F3428" t="s">
        <v>204</v>
      </c>
      <c r="G3428" t="s">
        <v>220</v>
      </c>
      <c r="H3428">
        <v>8998</v>
      </c>
      <c r="I3428">
        <v>26.99</v>
      </c>
      <c r="J3428">
        <v>4.8600000000000003</v>
      </c>
      <c r="K3428">
        <v>8966.15</v>
      </c>
      <c r="L3428" s="5">
        <v>46286</v>
      </c>
      <c r="M3428" t="s">
        <v>7468</v>
      </c>
      <c r="N3428" t="s">
        <v>207</v>
      </c>
      <c r="O3428" t="s">
        <v>7500</v>
      </c>
      <c r="P3428" t="s">
        <v>208</v>
      </c>
      <c r="Q3428" t="s">
        <v>209</v>
      </c>
    </row>
    <row r="3429" spans="1:17" x14ac:dyDescent="0.3">
      <c r="A3429" t="s">
        <v>7501</v>
      </c>
      <c r="C3429" t="s">
        <v>7502</v>
      </c>
      <c r="D3429" t="s">
        <v>7502</v>
      </c>
      <c r="E3429" s="5">
        <v>46284</v>
      </c>
      <c r="F3429" t="s">
        <v>204</v>
      </c>
      <c r="G3429" t="s">
        <v>255</v>
      </c>
      <c r="H3429">
        <v>5698</v>
      </c>
      <c r="I3429">
        <v>68.38</v>
      </c>
      <c r="J3429">
        <v>12.31</v>
      </c>
      <c r="K3429">
        <v>5617.31</v>
      </c>
      <c r="L3429" s="5">
        <v>46286</v>
      </c>
      <c r="M3429" t="s">
        <v>7468</v>
      </c>
      <c r="N3429" t="s">
        <v>207</v>
      </c>
      <c r="O3429" t="s">
        <v>7502</v>
      </c>
      <c r="P3429" t="s">
        <v>208</v>
      </c>
      <c r="Q3429" t="s">
        <v>209</v>
      </c>
    </row>
    <row r="3430" spans="1:17" x14ac:dyDescent="0.3">
      <c r="A3430" t="s">
        <v>7503</v>
      </c>
      <c r="C3430" t="s">
        <v>7504</v>
      </c>
      <c r="D3430" t="s">
        <v>7504</v>
      </c>
      <c r="E3430" s="5">
        <v>46284</v>
      </c>
      <c r="F3430" t="s">
        <v>204</v>
      </c>
      <c r="G3430" t="s">
        <v>220</v>
      </c>
      <c r="H3430">
        <v>4999</v>
      </c>
      <c r="I3430">
        <v>15</v>
      </c>
      <c r="J3430">
        <v>2.7</v>
      </c>
      <c r="K3430">
        <v>4981.3</v>
      </c>
      <c r="L3430" s="5">
        <v>46286</v>
      </c>
      <c r="M3430" t="s">
        <v>7468</v>
      </c>
      <c r="N3430" t="s">
        <v>207</v>
      </c>
      <c r="O3430" t="s">
        <v>7504</v>
      </c>
      <c r="P3430" t="s">
        <v>208</v>
      </c>
      <c r="Q3430" t="s">
        <v>209</v>
      </c>
    </row>
    <row r="3431" spans="1:17" x14ac:dyDescent="0.3">
      <c r="A3431" t="s">
        <v>7505</v>
      </c>
      <c r="C3431" t="s">
        <v>7506</v>
      </c>
      <c r="D3431" t="s">
        <v>7506</v>
      </c>
      <c r="E3431" s="5">
        <v>46284</v>
      </c>
      <c r="F3431" t="s">
        <v>204</v>
      </c>
      <c r="G3431" t="s">
        <v>205</v>
      </c>
      <c r="H3431">
        <v>10147</v>
      </c>
      <c r="I3431">
        <v>243.53</v>
      </c>
      <c r="J3431">
        <v>43.84</v>
      </c>
      <c r="K3431">
        <v>9859.6299999999992</v>
      </c>
      <c r="L3431" s="5">
        <v>46286</v>
      </c>
      <c r="M3431" t="s">
        <v>7468</v>
      </c>
      <c r="N3431" t="s">
        <v>207</v>
      </c>
      <c r="O3431" t="s">
        <v>7506</v>
      </c>
      <c r="P3431" t="s">
        <v>208</v>
      </c>
      <c r="Q3431" t="s">
        <v>209</v>
      </c>
    </row>
    <row r="3432" spans="1:17" x14ac:dyDescent="0.3">
      <c r="A3432" t="s">
        <v>7507</v>
      </c>
      <c r="C3432" t="s">
        <v>7508</v>
      </c>
      <c r="D3432" t="s">
        <v>7508</v>
      </c>
      <c r="E3432" s="5">
        <v>46284</v>
      </c>
      <c r="F3432" t="s">
        <v>204</v>
      </c>
      <c r="G3432" t="s">
        <v>220</v>
      </c>
      <c r="H3432">
        <v>2999</v>
      </c>
      <c r="I3432">
        <v>9</v>
      </c>
      <c r="J3432">
        <v>1.62</v>
      </c>
      <c r="K3432">
        <v>2988.38</v>
      </c>
      <c r="L3432" s="5">
        <v>46286</v>
      </c>
      <c r="M3432" t="s">
        <v>7468</v>
      </c>
      <c r="N3432" t="s">
        <v>207</v>
      </c>
      <c r="O3432" t="s">
        <v>7508</v>
      </c>
      <c r="P3432" t="s">
        <v>208</v>
      </c>
      <c r="Q3432" t="s">
        <v>209</v>
      </c>
    </row>
    <row r="3433" spans="1:17" x14ac:dyDescent="0.3">
      <c r="A3433" t="s">
        <v>7509</v>
      </c>
      <c r="C3433" t="s">
        <v>7510</v>
      </c>
      <c r="D3433" t="s">
        <v>7510</v>
      </c>
      <c r="E3433" s="5">
        <v>46284</v>
      </c>
      <c r="F3433" t="s">
        <v>204</v>
      </c>
      <c r="G3433" t="s">
        <v>220</v>
      </c>
      <c r="H3433">
        <v>998</v>
      </c>
      <c r="I3433">
        <v>0</v>
      </c>
      <c r="J3433">
        <v>0</v>
      </c>
      <c r="K3433">
        <v>998</v>
      </c>
      <c r="L3433" s="5">
        <v>46286</v>
      </c>
      <c r="M3433" t="s">
        <v>7468</v>
      </c>
      <c r="N3433" t="s">
        <v>207</v>
      </c>
      <c r="O3433" t="s">
        <v>7510</v>
      </c>
      <c r="P3433" t="s">
        <v>208</v>
      </c>
      <c r="Q3433" t="s">
        <v>209</v>
      </c>
    </row>
    <row r="3434" spans="1:17" x14ac:dyDescent="0.3">
      <c r="A3434" t="s">
        <v>7511</v>
      </c>
      <c r="C3434" t="s">
        <v>7512</v>
      </c>
      <c r="D3434" t="s">
        <v>7512</v>
      </c>
      <c r="E3434" s="5">
        <v>46284</v>
      </c>
      <c r="F3434" t="s">
        <v>204</v>
      </c>
      <c r="G3434" t="s">
        <v>220</v>
      </c>
      <c r="H3434">
        <v>7297</v>
      </c>
      <c r="I3434">
        <v>21.89</v>
      </c>
      <c r="J3434">
        <v>3.94</v>
      </c>
      <c r="K3434">
        <v>7271.17</v>
      </c>
      <c r="L3434" s="5">
        <v>46286</v>
      </c>
      <c r="M3434" t="s">
        <v>7468</v>
      </c>
      <c r="N3434" t="s">
        <v>207</v>
      </c>
      <c r="O3434" t="s">
        <v>7512</v>
      </c>
      <c r="P3434" t="s">
        <v>208</v>
      </c>
      <c r="Q3434" t="s">
        <v>209</v>
      </c>
    </row>
    <row r="3435" spans="1:17" x14ac:dyDescent="0.3">
      <c r="A3435" t="s">
        <v>7513</v>
      </c>
      <c r="C3435" t="s">
        <v>7514</v>
      </c>
      <c r="D3435" t="s">
        <v>7515</v>
      </c>
      <c r="E3435" s="5">
        <v>46284</v>
      </c>
      <c r="F3435" t="s">
        <v>204</v>
      </c>
      <c r="G3435" t="s">
        <v>213</v>
      </c>
      <c r="H3435">
        <v>1998</v>
      </c>
      <c r="I3435">
        <v>35.96</v>
      </c>
      <c r="J3435">
        <v>6.47</v>
      </c>
      <c r="K3435">
        <v>1955.57</v>
      </c>
      <c r="L3435" s="5">
        <v>46286</v>
      </c>
      <c r="M3435" t="s">
        <v>7468</v>
      </c>
      <c r="N3435" t="s">
        <v>207</v>
      </c>
      <c r="O3435" t="s">
        <v>7515</v>
      </c>
      <c r="P3435" t="s">
        <v>208</v>
      </c>
      <c r="Q3435" t="s">
        <v>209</v>
      </c>
    </row>
    <row r="3436" spans="1:17" x14ac:dyDescent="0.3">
      <c r="A3436" t="s">
        <v>7516</v>
      </c>
      <c r="C3436" t="s">
        <v>7517</v>
      </c>
      <c r="D3436" t="s">
        <v>7517</v>
      </c>
      <c r="E3436" s="5">
        <v>46284</v>
      </c>
      <c r="F3436" t="s">
        <v>204</v>
      </c>
      <c r="G3436" t="s">
        <v>255</v>
      </c>
      <c r="H3436">
        <v>999</v>
      </c>
      <c r="I3436">
        <v>14.99</v>
      </c>
      <c r="J3436">
        <v>2.7</v>
      </c>
      <c r="K3436">
        <v>981.31</v>
      </c>
      <c r="L3436" s="5">
        <v>46286</v>
      </c>
      <c r="M3436" t="s">
        <v>7468</v>
      </c>
      <c r="N3436" t="s">
        <v>207</v>
      </c>
      <c r="O3436" t="s">
        <v>7517</v>
      </c>
      <c r="P3436" t="s">
        <v>208</v>
      </c>
      <c r="Q3436" t="s">
        <v>209</v>
      </c>
    </row>
    <row r="3437" spans="1:17" x14ac:dyDescent="0.3">
      <c r="A3437" t="s">
        <v>7518</v>
      </c>
      <c r="C3437" t="s">
        <v>7519</v>
      </c>
      <c r="D3437" t="s">
        <v>7519</v>
      </c>
      <c r="E3437" s="5">
        <v>46284</v>
      </c>
      <c r="F3437" t="s">
        <v>204</v>
      </c>
      <c r="G3437" t="s">
        <v>213</v>
      </c>
      <c r="H3437">
        <v>7497</v>
      </c>
      <c r="I3437">
        <v>119.95</v>
      </c>
      <c r="J3437">
        <v>21.59</v>
      </c>
      <c r="K3437">
        <v>7355.46</v>
      </c>
      <c r="L3437" s="5">
        <v>46286</v>
      </c>
      <c r="M3437" t="s">
        <v>7468</v>
      </c>
      <c r="N3437" t="s">
        <v>207</v>
      </c>
      <c r="O3437" t="s">
        <v>7519</v>
      </c>
      <c r="P3437" t="s">
        <v>208</v>
      </c>
      <c r="Q3437" t="s">
        <v>209</v>
      </c>
    </row>
    <row r="3438" spans="1:17" x14ac:dyDescent="0.3">
      <c r="A3438" t="s">
        <v>7520</v>
      </c>
      <c r="C3438" t="s">
        <v>7521</v>
      </c>
      <c r="D3438" t="s">
        <v>7521</v>
      </c>
      <c r="E3438" s="5">
        <v>46284</v>
      </c>
      <c r="F3438" t="s">
        <v>204</v>
      </c>
      <c r="G3438" t="s">
        <v>213</v>
      </c>
      <c r="H3438">
        <v>3998</v>
      </c>
      <c r="I3438">
        <v>63.97</v>
      </c>
      <c r="J3438">
        <v>11.51</v>
      </c>
      <c r="K3438">
        <v>3922.52</v>
      </c>
      <c r="L3438" s="5">
        <v>46286</v>
      </c>
      <c r="M3438" t="s">
        <v>7468</v>
      </c>
      <c r="N3438" t="s">
        <v>207</v>
      </c>
      <c r="O3438" t="s">
        <v>7521</v>
      </c>
      <c r="P3438" t="s">
        <v>208</v>
      </c>
      <c r="Q3438" t="s">
        <v>209</v>
      </c>
    </row>
    <row r="3439" spans="1:17" x14ac:dyDescent="0.3">
      <c r="A3439" t="s">
        <v>7522</v>
      </c>
      <c r="C3439" t="s">
        <v>7523</v>
      </c>
      <c r="D3439" t="s">
        <v>7523</v>
      </c>
      <c r="E3439" s="5">
        <v>46284</v>
      </c>
      <c r="F3439" t="s">
        <v>204</v>
      </c>
      <c r="G3439" t="s">
        <v>213</v>
      </c>
      <c r="H3439">
        <v>7999</v>
      </c>
      <c r="I3439">
        <v>127.98</v>
      </c>
      <c r="J3439">
        <v>23.04</v>
      </c>
      <c r="K3439">
        <v>7847.98</v>
      </c>
      <c r="L3439" s="5">
        <v>46286</v>
      </c>
      <c r="M3439" t="s">
        <v>7468</v>
      </c>
      <c r="N3439" t="s">
        <v>207</v>
      </c>
      <c r="O3439" t="s">
        <v>7523</v>
      </c>
      <c r="P3439" t="s">
        <v>208</v>
      </c>
      <c r="Q3439" t="s">
        <v>209</v>
      </c>
    </row>
    <row r="3440" spans="1:17" x14ac:dyDescent="0.3">
      <c r="A3440" t="s">
        <v>7524</v>
      </c>
      <c r="C3440" t="s">
        <v>7525</v>
      </c>
      <c r="D3440" t="s">
        <v>7525</v>
      </c>
      <c r="E3440" s="5">
        <v>46284</v>
      </c>
      <c r="F3440" t="s">
        <v>204</v>
      </c>
      <c r="G3440" t="s">
        <v>220</v>
      </c>
      <c r="H3440">
        <v>3397</v>
      </c>
      <c r="I3440">
        <v>10.19</v>
      </c>
      <c r="J3440">
        <v>1.83</v>
      </c>
      <c r="K3440">
        <v>3384.98</v>
      </c>
      <c r="L3440" s="5">
        <v>46286</v>
      </c>
      <c r="M3440" t="s">
        <v>7468</v>
      </c>
      <c r="N3440" t="s">
        <v>207</v>
      </c>
      <c r="O3440" t="s">
        <v>7525</v>
      </c>
      <c r="P3440" t="s">
        <v>208</v>
      </c>
      <c r="Q3440" t="s">
        <v>209</v>
      </c>
    </row>
    <row r="3441" spans="1:17" x14ac:dyDescent="0.3">
      <c r="A3441" t="s">
        <v>7526</v>
      </c>
      <c r="C3441" t="s">
        <v>7527</v>
      </c>
      <c r="D3441" t="s">
        <v>7527</v>
      </c>
      <c r="E3441" s="5">
        <v>46284</v>
      </c>
      <c r="F3441" t="s">
        <v>204</v>
      </c>
      <c r="G3441" t="s">
        <v>220</v>
      </c>
      <c r="H3441">
        <v>8997</v>
      </c>
      <c r="I3441">
        <v>26.99</v>
      </c>
      <c r="J3441">
        <v>4.8600000000000003</v>
      </c>
      <c r="K3441">
        <v>8965.15</v>
      </c>
      <c r="L3441" s="5">
        <v>46286</v>
      </c>
      <c r="M3441" t="s">
        <v>7468</v>
      </c>
      <c r="N3441" t="s">
        <v>207</v>
      </c>
      <c r="O3441" t="s">
        <v>7527</v>
      </c>
      <c r="P3441" t="s">
        <v>208</v>
      </c>
      <c r="Q3441" t="s">
        <v>209</v>
      </c>
    </row>
    <row r="3442" spans="1:17" x14ac:dyDescent="0.3">
      <c r="A3442" t="s">
        <v>7528</v>
      </c>
      <c r="C3442" t="s">
        <v>7529</v>
      </c>
      <c r="D3442" t="s">
        <v>7529</v>
      </c>
      <c r="E3442" s="5">
        <v>46284</v>
      </c>
      <c r="F3442" t="s">
        <v>204</v>
      </c>
      <c r="G3442" t="s">
        <v>220</v>
      </c>
      <c r="H3442">
        <v>1198</v>
      </c>
      <c r="I3442">
        <v>0</v>
      </c>
      <c r="J3442">
        <v>0</v>
      </c>
      <c r="K3442">
        <v>1198</v>
      </c>
      <c r="L3442" s="5">
        <v>46286</v>
      </c>
      <c r="M3442" t="s">
        <v>7468</v>
      </c>
      <c r="N3442" t="s">
        <v>207</v>
      </c>
      <c r="O3442" t="s">
        <v>7529</v>
      </c>
      <c r="P3442" t="s">
        <v>208</v>
      </c>
      <c r="Q3442" t="s">
        <v>209</v>
      </c>
    </row>
    <row r="3443" spans="1:17" x14ac:dyDescent="0.3">
      <c r="A3443" t="s">
        <v>7530</v>
      </c>
      <c r="C3443" t="s">
        <v>7531</v>
      </c>
      <c r="D3443" t="s">
        <v>7531</v>
      </c>
      <c r="E3443" s="5">
        <v>46284</v>
      </c>
      <c r="F3443" t="s">
        <v>204</v>
      </c>
      <c r="G3443" t="s">
        <v>220</v>
      </c>
      <c r="H3443">
        <v>4498</v>
      </c>
      <c r="I3443">
        <v>13.49</v>
      </c>
      <c r="J3443">
        <v>2.4300000000000002</v>
      </c>
      <c r="K3443">
        <v>4482.08</v>
      </c>
      <c r="L3443" s="5">
        <v>46286</v>
      </c>
      <c r="M3443" t="s">
        <v>7468</v>
      </c>
      <c r="N3443" t="s">
        <v>207</v>
      </c>
      <c r="O3443" t="s">
        <v>7531</v>
      </c>
      <c r="P3443" t="s">
        <v>208</v>
      </c>
      <c r="Q3443" t="s">
        <v>209</v>
      </c>
    </row>
    <row r="3444" spans="1:17" x14ac:dyDescent="0.3">
      <c r="A3444" t="s">
        <v>7532</v>
      </c>
      <c r="C3444" t="s">
        <v>7533</v>
      </c>
      <c r="D3444" t="s">
        <v>7534</v>
      </c>
      <c r="E3444" s="5">
        <v>46284</v>
      </c>
      <c r="F3444" t="s">
        <v>204</v>
      </c>
      <c r="G3444" t="s">
        <v>213</v>
      </c>
      <c r="H3444">
        <v>1799</v>
      </c>
      <c r="I3444">
        <v>32.380000000000003</v>
      </c>
      <c r="J3444">
        <v>5.83</v>
      </c>
      <c r="K3444">
        <v>1760.79</v>
      </c>
      <c r="L3444" s="5">
        <v>46286</v>
      </c>
      <c r="M3444" t="s">
        <v>7468</v>
      </c>
      <c r="N3444" t="s">
        <v>207</v>
      </c>
      <c r="O3444" t="s">
        <v>7534</v>
      </c>
      <c r="P3444" t="s">
        <v>208</v>
      </c>
      <c r="Q3444" t="s">
        <v>209</v>
      </c>
    </row>
    <row r="3445" spans="1:17" x14ac:dyDescent="0.3">
      <c r="A3445" t="s">
        <v>7535</v>
      </c>
      <c r="C3445" t="s">
        <v>7536</v>
      </c>
      <c r="D3445" t="s">
        <v>7536</v>
      </c>
      <c r="E3445" s="5">
        <v>46284</v>
      </c>
      <c r="F3445" t="s">
        <v>204</v>
      </c>
      <c r="G3445" t="s">
        <v>220</v>
      </c>
      <c r="H3445">
        <v>999</v>
      </c>
      <c r="I3445">
        <v>0</v>
      </c>
      <c r="J3445">
        <v>0</v>
      </c>
      <c r="K3445">
        <v>999</v>
      </c>
      <c r="L3445" s="5">
        <v>46286</v>
      </c>
      <c r="M3445" t="s">
        <v>7468</v>
      </c>
      <c r="N3445" t="s">
        <v>207</v>
      </c>
      <c r="O3445" t="s">
        <v>7536</v>
      </c>
      <c r="P3445" t="s">
        <v>208</v>
      </c>
      <c r="Q3445" t="s">
        <v>209</v>
      </c>
    </row>
    <row r="3446" spans="1:17" x14ac:dyDescent="0.3">
      <c r="A3446" t="s">
        <v>7537</v>
      </c>
      <c r="C3446" t="s">
        <v>7538</v>
      </c>
      <c r="D3446" t="s">
        <v>7538</v>
      </c>
      <c r="E3446" s="5">
        <v>46284</v>
      </c>
      <c r="F3446" t="s">
        <v>204</v>
      </c>
      <c r="G3446" t="s">
        <v>213</v>
      </c>
      <c r="H3446">
        <v>4999</v>
      </c>
      <c r="I3446">
        <v>79.98</v>
      </c>
      <c r="J3446">
        <v>14.4</v>
      </c>
      <c r="K3446">
        <v>4904.62</v>
      </c>
      <c r="L3446" s="5">
        <v>46286</v>
      </c>
      <c r="M3446" t="s">
        <v>7468</v>
      </c>
      <c r="N3446" t="s">
        <v>207</v>
      </c>
      <c r="O3446" t="s">
        <v>7538</v>
      </c>
      <c r="P3446" t="s">
        <v>208</v>
      </c>
      <c r="Q3446" t="s">
        <v>209</v>
      </c>
    </row>
    <row r="3447" spans="1:17" x14ac:dyDescent="0.3">
      <c r="A3447" t="s">
        <v>7539</v>
      </c>
      <c r="C3447" t="s">
        <v>7540</v>
      </c>
      <c r="D3447" t="s">
        <v>7540</v>
      </c>
      <c r="E3447" s="5">
        <v>46284</v>
      </c>
      <c r="F3447" t="s">
        <v>204</v>
      </c>
      <c r="G3447" t="s">
        <v>220</v>
      </c>
      <c r="H3447">
        <v>1499</v>
      </c>
      <c r="I3447">
        <v>0</v>
      </c>
      <c r="J3447">
        <v>0</v>
      </c>
      <c r="K3447">
        <v>1499</v>
      </c>
      <c r="L3447" s="5">
        <v>46286</v>
      </c>
      <c r="M3447" t="s">
        <v>7468</v>
      </c>
      <c r="N3447" t="s">
        <v>207</v>
      </c>
      <c r="O3447" t="s">
        <v>7540</v>
      </c>
      <c r="P3447" t="s">
        <v>208</v>
      </c>
      <c r="Q3447" t="s">
        <v>209</v>
      </c>
    </row>
    <row r="3448" spans="1:17" x14ac:dyDescent="0.3">
      <c r="A3448" t="s">
        <v>7541</v>
      </c>
      <c r="C3448" t="s">
        <v>7542</v>
      </c>
      <c r="D3448" t="s">
        <v>7542</v>
      </c>
      <c r="E3448" s="5">
        <v>46284</v>
      </c>
      <c r="F3448" t="s">
        <v>204</v>
      </c>
      <c r="G3448" t="s">
        <v>220</v>
      </c>
      <c r="H3448">
        <v>7999</v>
      </c>
      <c r="I3448">
        <v>24</v>
      </c>
      <c r="J3448">
        <v>4.32</v>
      </c>
      <c r="K3448">
        <v>7970.68</v>
      </c>
      <c r="L3448" s="5">
        <v>46286</v>
      </c>
      <c r="M3448" t="s">
        <v>7468</v>
      </c>
      <c r="N3448" t="s">
        <v>207</v>
      </c>
      <c r="O3448" t="s">
        <v>7542</v>
      </c>
      <c r="P3448" t="s">
        <v>208</v>
      </c>
      <c r="Q3448" t="s">
        <v>209</v>
      </c>
    </row>
    <row r="3449" spans="1:17" x14ac:dyDescent="0.3">
      <c r="A3449" t="s">
        <v>7543</v>
      </c>
      <c r="C3449" t="s">
        <v>7544</v>
      </c>
      <c r="D3449" t="s">
        <v>7544</v>
      </c>
      <c r="E3449" s="5">
        <v>46284</v>
      </c>
      <c r="F3449" t="s">
        <v>204</v>
      </c>
      <c r="G3449" t="s">
        <v>220</v>
      </c>
      <c r="H3449">
        <v>1499</v>
      </c>
      <c r="I3449">
        <v>0</v>
      </c>
      <c r="J3449">
        <v>0</v>
      </c>
      <c r="K3449">
        <v>1499</v>
      </c>
      <c r="L3449" s="5">
        <v>46286</v>
      </c>
      <c r="M3449" t="s">
        <v>7468</v>
      </c>
      <c r="N3449" t="s">
        <v>207</v>
      </c>
      <c r="O3449" t="s">
        <v>7544</v>
      </c>
      <c r="P3449" t="s">
        <v>208</v>
      </c>
      <c r="Q3449" t="s">
        <v>209</v>
      </c>
    </row>
    <row r="3450" spans="1:17" x14ac:dyDescent="0.3">
      <c r="A3450" t="s">
        <v>7545</v>
      </c>
      <c r="C3450" t="s">
        <v>7546</v>
      </c>
      <c r="D3450" t="s">
        <v>7546</v>
      </c>
      <c r="E3450" s="5">
        <v>46284</v>
      </c>
      <c r="F3450" t="s">
        <v>204</v>
      </c>
      <c r="G3450" t="s">
        <v>220</v>
      </c>
      <c r="H3450">
        <v>999</v>
      </c>
      <c r="I3450">
        <v>0</v>
      </c>
      <c r="J3450">
        <v>0</v>
      </c>
      <c r="K3450">
        <v>999</v>
      </c>
      <c r="L3450" s="5">
        <v>46286</v>
      </c>
      <c r="M3450" t="s">
        <v>7468</v>
      </c>
      <c r="N3450" t="s">
        <v>207</v>
      </c>
      <c r="O3450" t="s">
        <v>7546</v>
      </c>
      <c r="P3450" t="s">
        <v>208</v>
      </c>
      <c r="Q3450" t="s">
        <v>209</v>
      </c>
    </row>
    <row r="3451" spans="1:17" x14ac:dyDescent="0.3">
      <c r="A3451" t="s">
        <v>7547</v>
      </c>
      <c r="C3451" t="s">
        <v>7548</v>
      </c>
      <c r="D3451" t="s">
        <v>7548</v>
      </c>
      <c r="E3451" s="5">
        <v>46284</v>
      </c>
      <c r="F3451" t="s">
        <v>204</v>
      </c>
      <c r="G3451" t="s">
        <v>213</v>
      </c>
      <c r="H3451">
        <v>6297</v>
      </c>
      <c r="I3451">
        <v>100.75</v>
      </c>
      <c r="J3451">
        <v>18.14</v>
      </c>
      <c r="K3451">
        <v>6178.11</v>
      </c>
      <c r="L3451" s="5">
        <v>46286</v>
      </c>
      <c r="M3451" t="s">
        <v>7468</v>
      </c>
      <c r="N3451" t="s">
        <v>207</v>
      </c>
      <c r="O3451" t="s">
        <v>7548</v>
      </c>
      <c r="P3451" t="s">
        <v>208</v>
      </c>
      <c r="Q3451" t="s">
        <v>209</v>
      </c>
    </row>
    <row r="3452" spans="1:17" x14ac:dyDescent="0.3">
      <c r="A3452" t="s">
        <v>7549</v>
      </c>
      <c r="C3452" t="s">
        <v>7550</v>
      </c>
      <c r="D3452" t="s">
        <v>7550</v>
      </c>
      <c r="E3452" s="5">
        <v>46284</v>
      </c>
      <c r="F3452" t="s">
        <v>204</v>
      </c>
      <c r="G3452" t="s">
        <v>220</v>
      </c>
      <c r="H3452">
        <v>999</v>
      </c>
      <c r="I3452">
        <v>0</v>
      </c>
      <c r="J3452">
        <v>0</v>
      </c>
      <c r="K3452">
        <v>999</v>
      </c>
      <c r="L3452" s="5">
        <v>46286</v>
      </c>
      <c r="M3452" t="s">
        <v>7468</v>
      </c>
      <c r="N3452" t="s">
        <v>207</v>
      </c>
      <c r="O3452" t="s">
        <v>7550</v>
      </c>
      <c r="P3452" t="s">
        <v>208</v>
      </c>
      <c r="Q3452" t="s">
        <v>209</v>
      </c>
    </row>
    <row r="3453" spans="1:17" x14ac:dyDescent="0.3">
      <c r="A3453" t="s">
        <v>7551</v>
      </c>
      <c r="C3453" t="s">
        <v>7552</v>
      </c>
      <c r="D3453" t="s">
        <v>7552</v>
      </c>
      <c r="E3453" s="5">
        <v>46284</v>
      </c>
      <c r="F3453" t="s">
        <v>204</v>
      </c>
      <c r="G3453" t="s">
        <v>255</v>
      </c>
      <c r="H3453">
        <v>799</v>
      </c>
      <c r="I3453">
        <v>11.99</v>
      </c>
      <c r="J3453">
        <v>2.16</v>
      </c>
      <c r="K3453">
        <v>784.85</v>
      </c>
      <c r="L3453" s="5">
        <v>46286</v>
      </c>
      <c r="M3453" t="s">
        <v>7468</v>
      </c>
      <c r="N3453" t="s">
        <v>207</v>
      </c>
      <c r="O3453" t="s">
        <v>7552</v>
      </c>
      <c r="P3453" t="s">
        <v>208</v>
      </c>
      <c r="Q3453" t="s">
        <v>209</v>
      </c>
    </row>
    <row r="3454" spans="1:17" x14ac:dyDescent="0.3">
      <c r="A3454" t="s">
        <v>7553</v>
      </c>
      <c r="C3454" t="s">
        <v>7554</v>
      </c>
      <c r="D3454" t="s">
        <v>7554</v>
      </c>
      <c r="E3454" s="5">
        <v>46284</v>
      </c>
      <c r="F3454" t="s">
        <v>204</v>
      </c>
      <c r="G3454" t="s">
        <v>220</v>
      </c>
      <c r="H3454">
        <v>4498</v>
      </c>
      <c r="I3454">
        <v>13.49</v>
      </c>
      <c r="J3454">
        <v>2.4300000000000002</v>
      </c>
      <c r="K3454">
        <v>4482.08</v>
      </c>
      <c r="L3454" s="5">
        <v>46286</v>
      </c>
      <c r="M3454" t="s">
        <v>7468</v>
      </c>
      <c r="N3454" t="s">
        <v>207</v>
      </c>
      <c r="O3454" t="s">
        <v>7554</v>
      </c>
      <c r="P3454" t="s">
        <v>208</v>
      </c>
      <c r="Q3454" t="s">
        <v>209</v>
      </c>
    </row>
    <row r="3455" spans="1:17" x14ac:dyDescent="0.3">
      <c r="A3455" t="s">
        <v>7555</v>
      </c>
      <c r="C3455" t="s">
        <v>7556</v>
      </c>
      <c r="D3455" t="s">
        <v>7556</v>
      </c>
      <c r="E3455" s="5">
        <v>46284</v>
      </c>
      <c r="F3455" t="s">
        <v>204</v>
      </c>
      <c r="G3455" t="s">
        <v>255</v>
      </c>
      <c r="H3455">
        <v>9497</v>
      </c>
      <c r="I3455">
        <v>113.96</v>
      </c>
      <c r="J3455">
        <v>20.51</v>
      </c>
      <c r="K3455">
        <v>9362.5300000000007</v>
      </c>
      <c r="L3455" s="5">
        <v>46286</v>
      </c>
      <c r="M3455" t="s">
        <v>7468</v>
      </c>
      <c r="N3455" t="s">
        <v>207</v>
      </c>
      <c r="O3455" t="s">
        <v>7556</v>
      </c>
      <c r="P3455" t="s">
        <v>208</v>
      </c>
      <c r="Q3455" t="s">
        <v>209</v>
      </c>
    </row>
    <row r="3456" spans="1:17" x14ac:dyDescent="0.3">
      <c r="A3456" t="s">
        <v>7557</v>
      </c>
      <c r="C3456" t="s">
        <v>7558</v>
      </c>
      <c r="D3456" t="s">
        <v>7558</v>
      </c>
      <c r="E3456" s="5">
        <v>46284</v>
      </c>
      <c r="F3456" t="s">
        <v>204</v>
      </c>
      <c r="G3456" t="s">
        <v>205</v>
      </c>
      <c r="H3456">
        <v>5147</v>
      </c>
      <c r="I3456">
        <v>87.5</v>
      </c>
      <c r="J3456">
        <v>15.75</v>
      </c>
      <c r="K3456">
        <v>5043.75</v>
      </c>
      <c r="L3456" s="5">
        <v>46286</v>
      </c>
      <c r="M3456" t="s">
        <v>7468</v>
      </c>
      <c r="N3456" t="s">
        <v>207</v>
      </c>
      <c r="O3456" t="s">
        <v>7558</v>
      </c>
      <c r="P3456" t="s">
        <v>208</v>
      </c>
      <c r="Q3456" t="s">
        <v>209</v>
      </c>
    </row>
    <row r="3457" spans="1:17" x14ac:dyDescent="0.3">
      <c r="A3457" t="s">
        <v>7559</v>
      </c>
      <c r="C3457" t="s">
        <v>7560</v>
      </c>
      <c r="D3457" t="s">
        <v>7560</v>
      </c>
      <c r="E3457" s="5">
        <v>46284</v>
      </c>
      <c r="F3457" t="s">
        <v>204</v>
      </c>
      <c r="G3457" t="s">
        <v>213</v>
      </c>
      <c r="H3457">
        <v>3348</v>
      </c>
      <c r="I3457">
        <v>53.57</v>
      </c>
      <c r="J3457">
        <v>9.64</v>
      </c>
      <c r="K3457">
        <v>3284.79</v>
      </c>
      <c r="L3457" s="5">
        <v>46286</v>
      </c>
      <c r="M3457" t="s">
        <v>7468</v>
      </c>
      <c r="N3457" t="s">
        <v>207</v>
      </c>
      <c r="O3457" t="s">
        <v>7560</v>
      </c>
      <c r="P3457" t="s">
        <v>208</v>
      </c>
      <c r="Q3457" t="s">
        <v>209</v>
      </c>
    </row>
    <row r="3458" spans="1:17" x14ac:dyDescent="0.3">
      <c r="A3458" t="s">
        <v>7561</v>
      </c>
      <c r="C3458" t="s">
        <v>7562</v>
      </c>
      <c r="D3458" t="s">
        <v>7562</v>
      </c>
      <c r="E3458" s="5">
        <v>46284</v>
      </c>
      <c r="F3458" t="s">
        <v>204</v>
      </c>
      <c r="G3458" t="s">
        <v>220</v>
      </c>
      <c r="H3458">
        <v>1848</v>
      </c>
      <c r="I3458">
        <v>0</v>
      </c>
      <c r="J3458">
        <v>0</v>
      </c>
      <c r="K3458">
        <v>1848</v>
      </c>
      <c r="L3458" s="5">
        <v>46286</v>
      </c>
      <c r="M3458" t="s">
        <v>7468</v>
      </c>
      <c r="N3458" t="s">
        <v>207</v>
      </c>
      <c r="O3458" t="s">
        <v>7562</v>
      </c>
      <c r="P3458" t="s">
        <v>208</v>
      </c>
      <c r="Q3458" t="s">
        <v>209</v>
      </c>
    </row>
    <row r="3459" spans="1:17" x14ac:dyDescent="0.3">
      <c r="A3459" t="s">
        <v>7563</v>
      </c>
      <c r="C3459" t="s">
        <v>7564</v>
      </c>
      <c r="D3459" t="s">
        <v>7564</v>
      </c>
      <c r="E3459" s="5">
        <v>46284</v>
      </c>
      <c r="F3459" t="s">
        <v>204</v>
      </c>
      <c r="G3459" t="s">
        <v>213</v>
      </c>
      <c r="H3459">
        <v>349</v>
      </c>
      <c r="I3459">
        <v>6.28</v>
      </c>
      <c r="J3459">
        <v>1.1299999999999999</v>
      </c>
      <c r="K3459">
        <v>341.59</v>
      </c>
      <c r="L3459" s="5">
        <v>46286</v>
      </c>
      <c r="M3459" t="s">
        <v>7468</v>
      </c>
      <c r="N3459" t="s">
        <v>207</v>
      </c>
      <c r="O3459" t="s">
        <v>7564</v>
      </c>
      <c r="P3459" t="s">
        <v>208</v>
      </c>
      <c r="Q3459" t="s">
        <v>209</v>
      </c>
    </row>
    <row r="3460" spans="1:17" x14ac:dyDescent="0.3">
      <c r="A3460" t="s">
        <v>7565</v>
      </c>
      <c r="C3460" t="s">
        <v>7566</v>
      </c>
      <c r="D3460" t="s">
        <v>7566</v>
      </c>
      <c r="E3460" s="5">
        <v>46284</v>
      </c>
      <c r="F3460" t="s">
        <v>204</v>
      </c>
      <c r="G3460" t="s">
        <v>220</v>
      </c>
      <c r="H3460">
        <v>2499</v>
      </c>
      <c r="I3460">
        <v>7.5</v>
      </c>
      <c r="J3460">
        <v>1.35</v>
      </c>
      <c r="K3460">
        <v>2490.15</v>
      </c>
      <c r="L3460" s="5">
        <v>46286</v>
      </c>
      <c r="M3460" t="s">
        <v>7468</v>
      </c>
      <c r="N3460" t="s">
        <v>207</v>
      </c>
      <c r="O3460" t="s">
        <v>7566</v>
      </c>
      <c r="P3460" t="s">
        <v>208</v>
      </c>
      <c r="Q3460" t="s">
        <v>209</v>
      </c>
    </row>
    <row r="3461" spans="1:17" x14ac:dyDescent="0.3">
      <c r="A3461" t="s">
        <v>7567</v>
      </c>
      <c r="C3461" t="s">
        <v>7568</v>
      </c>
      <c r="D3461" t="s">
        <v>7568</v>
      </c>
      <c r="E3461" s="5">
        <v>46284</v>
      </c>
      <c r="F3461" t="s">
        <v>204</v>
      </c>
      <c r="G3461" t="s">
        <v>213</v>
      </c>
      <c r="H3461">
        <v>349</v>
      </c>
      <c r="I3461">
        <v>6.28</v>
      </c>
      <c r="J3461">
        <v>1.1299999999999999</v>
      </c>
      <c r="K3461">
        <v>341.59</v>
      </c>
      <c r="L3461" s="5">
        <v>46286</v>
      </c>
      <c r="M3461" t="s">
        <v>7468</v>
      </c>
      <c r="N3461" t="s">
        <v>207</v>
      </c>
      <c r="O3461" t="s">
        <v>7568</v>
      </c>
      <c r="P3461" t="s">
        <v>208</v>
      </c>
      <c r="Q3461" t="s">
        <v>209</v>
      </c>
    </row>
    <row r="3462" spans="1:17" x14ac:dyDescent="0.3">
      <c r="A3462" t="s">
        <v>7569</v>
      </c>
      <c r="C3462" t="s">
        <v>7570</v>
      </c>
      <c r="D3462" t="s">
        <v>7570</v>
      </c>
      <c r="E3462" s="5">
        <v>46284</v>
      </c>
      <c r="F3462" t="s">
        <v>204</v>
      </c>
      <c r="G3462" t="s">
        <v>220</v>
      </c>
      <c r="H3462">
        <v>799</v>
      </c>
      <c r="I3462">
        <v>0</v>
      </c>
      <c r="J3462">
        <v>0</v>
      </c>
      <c r="K3462">
        <v>799</v>
      </c>
      <c r="L3462" s="5">
        <v>46286</v>
      </c>
      <c r="M3462" t="s">
        <v>7468</v>
      </c>
      <c r="N3462" t="s">
        <v>207</v>
      </c>
      <c r="O3462" t="s">
        <v>7570</v>
      </c>
      <c r="P3462" t="s">
        <v>208</v>
      </c>
      <c r="Q3462" t="s">
        <v>209</v>
      </c>
    </row>
    <row r="3463" spans="1:17" x14ac:dyDescent="0.3">
      <c r="A3463" t="s">
        <v>7571</v>
      </c>
      <c r="C3463" t="s">
        <v>7572</v>
      </c>
      <c r="D3463" t="s">
        <v>7572</v>
      </c>
      <c r="E3463" s="5">
        <v>46284</v>
      </c>
      <c r="F3463" t="s">
        <v>204</v>
      </c>
      <c r="G3463" t="s">
        <v>220</v>
      </c>
      <c r="H3463">
        <v>3998</v>
      </c>
      <c r="I3463">
        <v>11.99</v>
      </c>
      <c r="J3463">
        <v>2.16</v>
      </c>
      <c r="K3463">
        <v>3983.85</v>
      </c>
      <c r="L3463" s="5">
        <v>46286</v>
      </c>
      <c r="M3463" t="s">
        <v>7468</v>
      </c>
      <c r="N3463" t="s">
        <v>207</v>
      </c>
      <c r="O3463" t="s">
        <v>7572</v>
      </c>
      <c r="P3463" t="s">
        <v>208</v>
      </c>
      <c r="Q3463" t="s">
        <v>209</v>
      </c>
    </row>
    <row r="3464" spans="1:17" x14ac:dyDescent="0.3">
      <c r="A3464" t="s">
        <v>7573</v>
      </c>
      <c r="C3464" t="s">
        <v>7574</v>
      </c>
      <c r="D3464" t="s">
        <v>7574</v>
      </c>
      <c r="E3464" s="5">
        <v>46284</v>
      </c>
      <c r="F3464" t="s">
        <v>204</v>
      </c>
      <c r="G3464" t="s">
        <v>255</v>
      </c>
      <c r="H3464">
        <v>9297</v>
      </c>
      <c r="I3464">
        <v>111.56</v>
      </c>
      <c r="J3464">
        <v>20.079999999999998</v>
      </c>
      <c r="K3464">
        <v>9165.36</v>
      </c>
      <c r="L3464" s="5">
        <v>46286</v>
      </c>
      <c r="M3464" t="s">
        <v>7468</v>
      </c>
      <c r="N3464" t="s">
        <v>207</v>
      </c>
      <c r="O3464" t="s">
        <v>7574</v>
      </c>
      <c r="P3464" t="s">
        <v>208</v>
      </c>
      <c r="Q3464" t="s">
        <v>209</v>
      </c>
    </row>
    <row r="3465" spans="1:17" x14ac:dyDescent="0.3">
      <c r="A3465" t="s">
        <v>7575</v>
      </c>
      <c r="C3465" t="s">
        <v>7576</v>
      </c>
      <c r="D3465" t="s">
        <v>7576</v>
      </c>
      <c r="E3465" s="5">
        <v>46284</v>
      </c>
      <c r="F3465" t="s">
        <v>204</v>
      </c>
      <c r="G3465" t="s">
        <v>220</v>
      </c>
      <c r="H3465">
        <v>1499</v>
      </c>
      <c r="I3465">
        <v>0</v>
      </c>
      <c r="J3465">
        <v>0</v>
      </c>
      <c r="K3465">
        <v>1499</v>
      </c>
      <c r="L3465" s="5">
        <v>46286</v>
      </c>
      <c r="M3465" t="s">
        <v>7468</v>
      </c>
      <c r="N3465" t="s">
        <v>207</v>
      </c>
      <c r="O3465" t="s">
        <v>7576</v>
      </c>
      <c r="P3465" t="s">
        <v>208</v>
      </c>
      <c r="Q3465" t="s">
        <v>209</v>
      </c>
    </row>
    <row r="3466" spans="1:17" x14ac:dyDescent="0.3">
      <c r="A3466" t="s">
        <v>7577</v>
      </c>
      <c r="C3466" t="s">
        <v>7578</v>
      </c>
      <c r="D3466" t="s">
        <v>7578</v>
      </c>
      <c r="E3466" s="5">
        <v>46284</v>
      </c>
      <c r="F3466" t="s">
        <v>204</v>
      </c>
      <c r="G3466" t="s">
        <v>213</v>
      </c>
      <c r="H3466">
        <v>1598</v>
      </c>
      <c r="I3466">
        <v>28.76</v>
      </c>
      <c r="J3466">
        <v>5.18</v>
      </c>
      <c r="K3466">
        <v>1564.06</v>
      </c>
      <c r="L3466" s="5">
        <v>46286</v>
      </c>
      <c r="M3466" t="s">
        <v>7468</v>
      </c>
      <c r="N3466" t="s">
        <v>207</v>
      </c>
      <c r="O3466" t="s">
        <v>7578</v>
      </c>
      <c r="P3466" t="s">
        <v>208</v>
      </c>
      <c r="Q3466" t="s">
        <v>209</v>
      </c>
    </row>
    <row r="3467" spans="1:17" x14ac:dyDescent="0.3">
      <c r="A3467" t="s">
        <v>7579</v>
      </c>
      <c r="C3467" t="s">
        <v>7580</v>
      </c>
      <c r="D3467" t="s">
        <v>7580</v>
      </c>
      <c r="E3467" s="5">
        <v>46284</v>
      </c>
      <c r="F3467" t="s">
        <v>204</v>
      </c>
      <c r="G3467" t="s">
        <v>220</v>
      </c>
      <c r="H3467">
        <v>799</v>
      </c>
      <c r="I3467">
        <v>0</v>
      </c>
      <c r="J3467">
        <v>0</v>
      </c>
      <c r="K3467">
        <v>799</v>
      </c>
      <c r="L3467" s="5">
        <v>46286</v>
      </c>
      <c r="M3467" t="s">
        <v>7468</v>
      </c>
      <c r="N3467" t="s">
        <v>207</v>
      </c>
      <c r="O3467" t="s">
        <v>7580</v>
      </c>
      <c r="P3467" t="s">
        <v>208</v>
      </c>
      <c r="Q3467" t="s">
        <v>209</v>
      </c>
    </row>
    <row r="3468" spans="1:17" x14ac:dyDescent="0.3">
      <c r="A3468" t="s">
        <v>7581</v>
      </c>
      <c r="C3468" t="s">
        <v>7582</v>
      </c>
      <c r="D3468" t="s">
        <v>7582</v>
      </c>
      <c r="E3468" s="5">
        <v>46284</v>
      </c>
      <c r="F3468" t="s">
        <v>204</v>
      </c>
      <c r="G3468" t="s">
        <v>220</v>
      </c>
      <c r="H3468">
        <v>3998</v>
      </c>
      <c r="I3468">
        <v>11.99</v>
      </c>
      <c r="J3468">
        <v>2.16</v>
      </c>
      <c r="K3468">
        <v>3983.85</v>
      </c>
      <c r="L3468" s="5">
        <v>46286</v>
      </c>
      <c r="M3468" t="s">
        <v>7468</v>
      </c>
      <c r="N3468" t="s">
        <v>207</v>
      </c>
      <c r="O3468" t="s">
        <v>7582</v>
      </c>
      <c r="P3468" t="s">
        <v>208</v>
      </c>
      <c r="Q3468" t="s">
        <v>209</v>
      </c>
    </row>
    <row r="3469" spans="1:17" x14ac:dyDescent="0.3">
      <c r="A3469" t="s">
        <v>7583</v>
      </c>
      <c r="C3469" t="s">
        <v>7584</v>
      </c>
      <c r="D3469" t="s">
        <v>7584</v>
      </c>
      <c r="E3469" s="5">
        <v>46284</v>
      </c>
      <c r="F3469" t="s">
        <v>204</v>
      </c>
      <c r="G3469" t="s">
        <v>220</v>
      </c>
      <c r="H3469">
        <v>2999</v>
      </c>
      <c r="I3469">
        <v>9</v>
      </c>
      <c r="J3469">
        <v>1.62</v>
      </c>
      <c r="K3469">
        <v>2988.38</v>
      </c>
      <c r="L3469" s="5">
        <v>46286</v>
      </c>
      <c r="M3469" t="s">
        <v>7468</v>
      </c>
      <c r="N3469" t="s">
        <v>207</v>
      </c>
      <c r="O3469" t="s">
        <v>7584</v>
      </c>
      <c r="P3469" t="s">
        <v>208</v>
      </c>
      <c r="Q3469" t="s">
        <v>209</v>
      </c>
    </row>
    <row r="3470" spans="1:17" x14ac:dyDescent="0.3">
      <c r="A3470" t="s">
        <v>7585</v>
      </c>
      <c r="C3470" t="s">
        <v>7586</v>
      </c>
      <c r="D3470" t="s">
        <v>7586</v>
      </c>
      <c r="E3470" s="5">
        <v>46284</v>
      </c>
      <c r="F3470" t="s">
        <v>204</v>
      </c>
      <c r="G3470" t="s">
        <v>220</v>
      </c>
      <c r="H3470">
        <v>9797</v>
      </c>
      <c r="I3470">
        <v>29.39</v>
      </c>
      <c r="J3470">
        <v>5.29</v>
      </c>
      <c r="K3470">
        <v>9762.32</v>
      </c>
      <c r="L3470" s="5">
        <v>46286</v>
      </c>
      <c r="M3470" t="s">
        <v>7468</v>
      </c>
      <c r="N3470" t="s">
        <v>207</v>
      </c>
      <c r="O3470" t="s">
        <v>7586</v>
      </c>
      <c r="P3470" t="s">
        <v>208</v>
      </c>
      <c r="Q3470" t="s">
        <v>209</v>
      </c>
    </row>
    <row r="3471" spans="1:17" x14ac:dyDescent="0.3">
      <c r="A3471" t="s">
        <v>7587</v>
      </c>
      <c r="C3471" t="s">
        <v>7588</v>
      </c>
      <c r="D3471" t="s">
        <v>7589</v>
      </c>
      <c r="E3471" s="5">
        <v>46284</v>
      </c>
      <c r="F3471" t="s">
        <v>204</v>
      </c>
      <c r="G3471" t="s">
        <v>220</v>
      </c>
      <c r="H3471">
        <v>5498</v>
      </c>
      <c r="I3471">
        <v>16.489999999999998</v>
      </c>
      <c r="J3471">
        <v>2.97</v>
      </c>
      <c r="K3471">
        <v>5478.54</v>
      </c>
      <c r="L3471" s="5">
        <v>46286</v>
      </c>
      <c r="M3471" t="s">
        <v>7468</v>
      </c>
      <c r="N3471" t="s">
        <v>207</v>
      </c>
      <c r="O3471" t="s">
        <v>7589</v>
      </c>
      <c r="P3471" t="s">
        <v>208</v>
      </c>
      <c r="Q3471" t="s">
        <v>209</v>
      </c>
    </row>
    <row r="3472" spans="1:17" x14ac:dyDescent="0.3">
      <c r="A3472" t="s">
        <v>7590</v>
      </c>
      <c r="C3472" t="s">
        <v>7591</v>
      </c>
      <c r="D3472" t="s">
        <v>7592</v>
      </c>
      <c r="E3472" s="5">
        <v>46284</v>
      </c>
      <c r="F3472" t="s">
        <v>204</v>
      </c>
      <c r="G3472" t="s">
        <v>213</v>
      </c>
      <c r="H3472">
        <v>5998</v>
      </c>
      <c r="I3472">
        <v>95.97</v>
      </c>
      <c r="J3472">
        <v>17.27</v>
      </c>
      <c r="K3472">
        <v>5884.76</v>
      </c>
      <c r="L3472" s="5">
        <v>46286</v>
      </c>
      <c r="M3472" t="s">
        <v>7468</v>
      </c>
      <c r="N3472" t="s">
        <v>207</v>
      </c>
      <c r="O3472" t="s">
        <v>7592</v>
      </c>
      <c r="P3472" t="s">
        <v>208</v>
      </c>
      <c r="Q3472" t="s">
        <v>209</v>
      </c>
    </row>
    <row r="3473" spans="1:17" x14ac:dyDescent="0.3">
      <c r="A3473" t="s">
        <v>7593</v>
      </c>
      <c r="C3473" t="s">
        <v>7594</v>
      </c>
      <c r="D3473" t="s">
        <v>7594</v>
      </c>
      <c r="E3473" s="5">
        <v>46284</v>
      </c>
      <c r="F3473" t="s">
        <v>204</v>
      </c>
      <c r="G3473" t="s">
        <v>220</v>
      </c>
      <c r="H3473">
        <v>1299</v>
      </c>
      <c r="I3473">
        <v>0</v>
      </c>
      <c r="J3473">
        <v>0</v>
      </c>
      <c r="K3473">
        <v>1299</v>
      </c>
      <c r="L3473" s="5">
        <v>46286</v>
      </c>
      <c r="M3473" t="s">
        <v>7468</v>
      </c>
      <c r="N3473" t="s">
        <v>207</v>
      </c>
      <c r="O3473" t="s">
        <v>7594</v>
      </c>
      <c r="P3473" t="s">
        <v>208</v>
      </c>
      <c r="Q3473" t="s">
        <v>209</v>
      </c>
    </row>
    <row r="3474" spans="1:17" x14ac:dyDescent="0.3">
      <c r="A3474" t="s">
        <v>7595</v>
      </c>
      <c r="C3474" t="s">
        <v>7596</v>
      </c>
      <c r="D3474" t="s">
        <v>7596</v>
      </c>
      <c r="E3474" s="5">
        <v>46284</v>
      </c>
      <c r="F3474" t="s">
        <v>204</v>
      </c>
      <c r="G3474" t="s">
        <v>220</v>
      </c>
      <c r="H3474">
        <v>4798</v>
      </c>
      <c r="I3474">
        <v>14.39</v>
      </c>
      <c r="J3474">
        <v>2.59</v>
      </c>
      <c r="K3474">
        <v>4781.0200000000004</v>
      </c>
      <c r="L3474" s="5">
        <v>46286</v>
      </c>
      <c r="M3474" t="s">
        <v>7468</v>
      </c>
      <c r="N3474" t="s">
        <v>207</v>
      </c>
      <c r="O3474" t="s">
        <v>7596</v>
      </c>
      <c r="P3474" t="s">
        <v>208</v>
      </c>
      <c r="Q3474" t="s">
        <v>209</v>
      </c>
    </row>
    <row r="3475" spans="1:17" x14ac:dyDescent="0.3">
      <c r="A3475" t="s">
        <v>7597</v>
      </c>
      <c r="C3475" t="s">
        <v>7598</v>
      </c>
      <c r="D3475" t="s">
        <v>7598</v>
      </c>
      <c r="E3475" s="5">
        <v>46284</v>
      </c>
      <c r="F3475" t="s">
        <v>204</v>
      </c>
      <c r="G3475" t="s">
        <v>220</v>
      </c>
      <c r="H3475">
        <v>648</v>
      </c>
      <c r="I3475">
        <v>0</v>
      </c>
      <c r="J3475">
        <v>0</v>
      </c>
      <c r="K3475">
        <v>648</v>
      </c>
      <c r="L3475" s="5">
        <v>46286</v>
      </c>
      <c r="M3475" t="s">
        <v>7468</v>
      </c>
      <c r="N3475" t="s">
        <v>207</v>
      </c>
      <c r="O3475" t="s">
        <v>7598</v>
      </c>
      <c r="P3475" t="s">
        <v>208</v>
      </c>
      <c r="Q3475" t="s">
        <v>209</v>
      </c>
    </row>
    <row r="3476" spans="1:17" x14ac:dyDescent="0.3">
      <c r="A3476" t="s">
        <v>7599</v>
      </c>
      <c r="C3476" t="s">
        <v>7600</v>
      </c>
      <c r="D3476" t="s">
        <v>7600</v>
      </c>
      <c r="E3476" s="5">
        <v>46284</v>
      </c>
      <c r="F3476" t="s">
        <v>204</v>
      </c>
      <c r="G3476" t="s">
        <v>213</v>
      </c>
      <c r="H3476">
        <v>1598</v>
      </c>
      <c r="I3476">
        <v>28.76</v>
      </c>
      <c r="J3476">
        <v>5.18</v>
      </c>
      <c r="K3476">
        <v>1564.06</v>
      </c>
      <c r="L3476" s="5">
        <v>46286</v>
      </c>
      <c r="M3476" t="s">
        <v>7468</v>
      </c>
      <c r="N3476" t="s">
        <v>207</v>
      </c>
      <c r="O3476" t="s">
        <v>7600</v>
      </c>
      <c r="P3476" t="s">
        <v>208</v>
      </c>
      <c r="Q3476" t="s">
        <v>209</v>
      </c>
    </row>
    <row r="3477" spans="1:17" x14ac:dyDescent="0.3">
      <c r="A3477" t="s">
        <v>7601</v>
      </c>
      <c r="C3477" t="s">
        <v>7602</v>
      </c>
      <c r="D3477" t="s">
        <v>7602</v>
      </c>
      <c r="E3477" s="5">
        <v>46284</v>
      </c>
      <c r="F3477" t="s">
        <v>204</v>
      </c>
      <c r="G3477" t="s">
        <v>220</v>
      </c>
      <c r="H3477">
        <v>999</v>
      </c>
      <c r="I3477">
        <v>0</v>
      </c>
      <c r="J3477">
        <v>0</v>
      </c>
      <c r="K3477">
        <v>999</v>
      </c>
      <c r="L3477" s="5">
        <v>46286</v>
      </c>
      <c r="M3477" t="s">
        <v>7468</v>
      </c>
      <c r="N3477" t="s">
        <v>207</v>
      </c>
      <c r="O3477" t="s">
        <v>7602</v>
      </c>
      <c r="P3477" t="s">
        <v>208</v>
      </c>
      <c r="Q3477" t="s">
        <v>209</v>
      </c>
    </row>
    <row r="3478" spans="1:17" x14ac:dyDescent="0.3">
      <c r="A3478" t="s">
        <v>7603</v>
      </c>
      <c r="C3478" t="s">
        <v>7604</v>
      </c>
      <c r="D3478" t="s">
        <v>7604</v>
      </c>
      <c r="E3478" s="5">
        <v>46284</v>
      </c>
      <c r="F3478" t="s">
        <v>204</v>
      </c>
      <c r="G3478" t="s">
        <v>220</v>
      </c>
      <c r="H3478">
        <v>2999</v>
      </c>
      <c r="I3478">
        <v>9</v>
      </c>
      <c r="J3478">
        <v>1.62</v>
      </c>
      <c r="K3478">
        <v>2988.38</v>
      </c>
      <c r="L3478" s="5">
        <v>46286</v>
      </c>
      <c r="M3478" t="s">
        <v>7468</v>
      </c>
      <c r="N3478" t="s">
        <v>207</v>
      </c>
      <c r="O3478" t="s">
        <v>7604</v>
      </c>
      <c r="P3478" t="s">
        <v>208</v>
      </c>
      <c r="Q3478" t="s">
        <v>209</v>
      </c>
    </row>
    <row r="3479" spans="1:17" x14ac:dyDescent="0.3">
      <c r="A3479" t="s">
        <v>7605</v>
      </c>
      <c r="C3479" t="s">
        <v>7606</v>
      </c>
      <c r="D3479" t="s">
        <v>7606</v>
      </c>
      <c r="E3479" s="5">
        <v>46284</v>
      </c>
      <c r="F3479" t="s">
        <v>204</v>
      </c>
      <c r="G3479" t="s">
        <v>220</v>
      </c>
      <c r="H3479">
        <v>1898</v>
      </c>
      <c r="I3479">
        <v>0</v>
      </c>
      <c r="J3479">
        <v>0</v>
      </c>
      <c r="K3479">
        <v>1898</v>
      </c>
      <c r="L3479" s="5">
        <v>46286</v>
      </c>
      <c r="M3479" t="s">
        <v>7468</v>
      </c>
      <c r="N3479" t="s">
        <v>207</v>
      </c>
      <c r="O3479" t="s">
        <v>7606</v>
      </c>
      <c r="P3479" t="s">
        <v>208</v>
      </c>
      <c r="Q3479" t="s">
        <v>209</v>
      </c>
    </row>
    <row r="3480" spans="1:17" x14ac:dyDescent="0.3">
      <c r="A3480" t="s">
        <v>7607</v>
      </c>
      <c r="C3480" t="s">
        <v>7608</v>
      </c>
      <c r="D3480" t="s">
        <v>7608</v>
      </c>
      <c r="E3480" s="5">
        <v>46284</v>
      </c>
      <c r="F3480" t="s">
        <v>204</v>
      </c>
      <c r="G3480" t="s">
        <v>255</v>
      </c>
      <c r="H3480">
        <v>1499</v>
      </c>
      <c r="I3480">
        <v>22.49</v>
      </c>
      <c r="J3480">
        <v>4.05</v>
      </c>
      <c r="K3480">
        <v>1472.46</v>
      </c>
      <c r="L3480" s="5">
        <v>46286</v>
      </c>
      <c r="M3480" t="s">
        <v>7468</v>
      </c>
      <c r="N3480" t="s">
        <v>207</v>
      </c>
      <c r="O3480" t="s">
        <v>7608</v>
      </c>
      <c r="P3480" t="s">
        <v>208</v>
      </c>
      <c r="Q3480" t="s">
        <v>209</v>
      </c>
    </row>
    <row r="3481" spans="1:17" x14ac:dyDescent="0.3">
      <c r="A3481" t="s">
        <v>7609</v>
      </c>
      <c r="C3481" t="s">
        <v>7610</v>
      </c>
      <c r="D3481" t="s">
        <v>7610</v>
      </c>
      <c r="E3481" s="5">
        <v>46284</v>
      </c>
      <c r="F3481" t="s">
        <v>204</v>
      </c>
      <c r="G3481" t="s">
        <v>205</v>
      </c>
      <c r="H3481">
        <v>648</v>
      </c>
      <c r="I3481">
        <v>12.31</v>
      </c>
      <c r="J3481">
        <v>2.2200000000000002</v>
      </c>
      <c r="K3481">
        <v>633.47</v>
      </c>
      <c r="L3481" s="5">
        <v>46286</v>
      </c>
      <c r="M3481" t="s">
        <v>7468</v>
      </c>
      <c r="N3481" t="s">
        <v>207</v>
      </c>
      <c r="O3481" t="s">
        <v>7610</v>
      </c>
      <c r="P3481" t="s">
        <v>208</v>
      </c>
      <c r="Q3481" t="s">
        <v>209</v>
      </c>
    </row>
    <row r="3482" spans="1:17" x14ac:dyDescent="0.3">
      <c r="A3482" t="s">
        <v>7611</v>
      </c>
      <c r="C3482" t="s">
        <v>7612</v>
      </c>
      <c r="D3482" t="s">
        <v>7612</v>
      </c>
      <c r="E3482" s="5">
        <v>46284</v>
      </c>
      <c r="F3482" t="s">
        <v>204</v>
      </c>
      <c r="G3482" t="s">
        <v>213</v>
      </c>
      <c r="H3482">
        <v>4797</v>
      </c>
      <c r="I3482">
        <v>76.75</v>
      </c>
      <c r="J3482">
        <v>13.82</v>
      </c>
      <c r="K3482">
        <v>4706.43</v>
      </c>
      <c r="L3482" s="5">
        <v>46286</v>
      </c>
      <c r="M3482" t="s">
        <v>7468</v>
      </c>
      <c r="N3482" t="s">
        <v>207</v>
      </c>
      <c r="O3482" t="s">
        <v>7612</v>
      </c>
      <c r="P3482" t="s">
        <v>208</v>
      </c>
      <c r="Q3482" t="s">
        <v>209</v>
      </c>
    </row>
    <row r="3483" spans="1:17" x14ac:dyDescent="0.3">
      <c r="A3483" t="s">
        <v>7613</v>
      </c>
      <c r="C3483" t="s">
        <v>7614</v>
      </c>
      <c r="D3483" t="s">
        <v>7614</v>
      </c>
      <c r="E3483" s="5">
        <v>46284</v>
      </c>
      <c r="F3483" t="s">
        <v>204</v>
      </c>
      <c r="G3483" t="s">
        <v>213</v>
      </c>
      <c r="H3483">
        <v>3499</v>
      </c>
      <c r="I3483">
        <v>55.98</v>
      </c>
      <c r="J3483">
        <v>10.08</v>
      </c>
      <c r="K3483">
        <v>3432.94</v>
      </c>
      <c r="L3483" s="5">
        <v>46286</v>
      </c>
      <c r="M3483" t="s">
        <v>7468</v>
      </c>
      <c r="N3483" t="s">
        <v>207</v>
      </c>
      <c r="O3483" t="s">
        <v>7614</v>
      </c>
      <c r="P3483" t="s">
        <v>208</v>
      </c>
      <c r="Q3483" t="s">
        <v>209</v>
      </c>
    </row>
    <row r="3484" spans="1:17" x14ac:dyDescent="0.3">
      <c r="A3484" t="s">
        <v>7615</v>
      </c>
      <c r="C3484" t="s">
        <v>7616</v>
      </c>
      <c r="D3484" t="s">
        <v>7616</v>
      </c>
      <c r="E3484" s="5">
        <v>46284</v>
      </c>
      <c r="F3484" t="s">
        <v>204</v>
      </c>
      <c r="G3484" t="s">
        <v>220</v>
      </c>
      <c r="H3484">
        <v>599</v>
      </c>
      <c r="I3484">
        <v>0</v>
      </c>
      <c r="J3484">
        <v>0</v>
      </c>
      <c r="K3484">
        <v>599</v>
      </c>
      <c r="L3484" s="5">
        <v>46286</v>
      </c>
      <c r="M3484" t="s">
        <v>7468</v>
      </c>
      <c r="N3484" t="s">
        <v>207</v>
      </c>
      <c r="O3484" t="s">
        <v>7616</v>
      </c>
      <c r="P3484" t="s">
        <v>208</v>
      </c>
      <c r="Q3484" t="s">
        <v>209</v>
      </c>
    </row>
    <row r="3485" spans="1:17" x14ac:dyDescent="0.3">
      <c r="A3485" t="s">
        <v>7617</v>
      </c>
      <c r="C3485" t="s">
        <v>7618</v>
      </c>
      <c r="D3485" t="s">
        <v>7618</v>
      </c>
      <c r="E3485" s="5">
        <v>46284</v>
      </c>
      <c r="F3485" t="s">
        <v>204</v>
      </c>
      <c r="G3485" t="s">
        <v>220</v>
      </c>
      <c r="H3485">
        <v>1298</v>
      </c>
      <c r="I3485">
        <v>0</v>
      </c>
      <c r="J3485">
        <v>0</v>
      </c>
      <c r="K3485">
        <v>1298</v>
      </c>
      <c r="L3485" s="5">
        <v>46286</v>
      </c>
      <c r="M3485" t="s">
        <v>7468</v>
      </c>
      <c r="N3485" t="s">
        <v>207</v>
      </c>
      <c r="O3485" t="s">
        <v>7618</v>
      </c>
      <c r="P3485" t="s">
        <v>208</v>
      </c>
      <c r="Q3485" t="s">
        <v>209</v>
      </c>
    </row>
    <row r="3486" spans="1:17" x14ac:dyDescent="0.3">
      <c r="A3486" t="s">
        <v>7619</v>
      </c>
      <c r="C3486" t="s">
        <v>7620</v>
      </c>
      <c r="D3486" t="s">
        <v>7620</v>
      </c>
      <c r="E3486" s="5">
        <v>46284</v>
      </c>
      <c r="F3486" t="s">
        <v>204</v>
      </c>
      <c r="G3486" t="s">
        <v>213</v>
      </c>
      <c r="H3486">
        <v>2498</v>
      </c>
      <c r="I3486">
        <v>39.97</v>
      </c>
      <c r="J3486">
        <v>7.19</v>
      </c>
      <c r="K3486">
        <v>2450.84</v>
      </c>
      <c r="L3486" s="5">
        <v>46286</v>
      </c>
      <c r="M3486" t="s">
        <v>7468</v>
      </c>
      <c r="N3486" t="s">
        <v>207</v>
      </c>
      <c r="O3486" t="s">
        <v>7620</v>
      </c>
      <c r="P3486" t="s">
        <v>208</v>
      </c>
      <c r="Q3486" t="s">
        <v>209</v>
      </c>
    </row>
    <row r="3487" spans="1:17" x14ac:dyDescent="0.3">
      <c r="A3487" t="s">
        <v>7621</v>
      </c>
      <c r="C3487" t="s">
        <v>7622</v>
      </c>
      <c r="D3487" t="s">
        <v>7622</v>
      </c>
      <c r="E3487" s="5">
        <v>46284</v>
      </c>
      <c r="F3487" t="s">
        <v>204</v>
      </c>
      <c r="G3487" t="s">
        <v>213</v>
      </c>
      <c r="H3487">
        <v>3499</v>
      </c>
      <c r="I3487">
        <v>55.98</v>
      </c>
      <c r="J3487">
        <v>10.08</v>
      </c>
      <c r="K3487">
        <v>3432.94</v>
      </c>
      <c r="L3487" s="5">
        <v>46286</v>
      </c>
      <c r="M3487" t="s">
        <v>7468</v>
      </c>
      <c r="N3487" t="s">
        <v>207</v>
      </c>
      <c r="O3487" t="s">
        <v>7622</v>
      </c>
      <c r="P3487" t="s">
        <v>208</v>
      </c>
      <c r="Q3487" t="s">
        <v>209</v>
      </c>
    </row>
    <row r="3488" spans="1:17" x14ac:dyDescent="0.3">
      <c r="A3488" t="s">
        <v>7623</v>
      </c>
      <c r="C3488" t="s">
        <v>7624</v>
      </c>
      <c r="D3488" t="s">
        <v>7624</v>
      </c>
      <c r="E3488" s="5">
        <v>46284</v>
      </c>
      <c r="F3488" t="s">
        <v>204</v>
      </c>
      <c r="G3488" t="s">
        <v>213</v>
      </c>
      <c r="H3488">
        <v>5498</v>
      </c>
      <c r="I3488">
        <v>87.97</v>
      </c>
      <c r="J3488">
        <v>15.83</v>
      </c>
      <c r="K3488">
        <v>5394.2</v>
      </c>
      <c r="L3488" s="5">
        <v>46286</v>
      </c>
      <c r="M3488" t="s">
        <v>7468</v>
      </c>
      <c r="N3488" t="s">
        <v>207</v>
      </c>
      <c r="O3488" t="s">
        <v>7624</v>
      </c>
      <c r="P3488" t="s">
        <v>208</v>
      </c>
      <c r="Q3488" t="s">
        <v>209</v>
      </c>
    </row>
    <row r="3489" spans="1:17" x14ac:dyDescent="0.3">
      <c r="A3489" t="s">
        <v>7625</v>
      </c>
      <c r="C3489" t="s">
        <v>7626</v>
      </c>
      <c r="D3489" t="s">
        <v>7626</v>
      </c>
      <c r="E3489" s="5">
        <v>46284</v>
      </c>
      <c r="F3489" t="s">
        <v>204</v>
      </c>
      <c r="G3489" t="s">
        <v>220</v>
      </c>
      <c r="H3489">
        <v>7097</v>
      </c>
      <c r="I3489">
        <v>21.29</v>
      </c>
      <c r="J3489">
        <v>3.83</v>
      </c>
      <c r="K3489">
        <v>7071.88</v>
      </c>
      <c r="L3489" s="5">
        <v>46286</v>
      </c>
      <c r="M3489" t="s">
        <v>7468</v>
      </c>
      <c r="N3489" t="s">
        <v>207</v>
      </c>
      <c r="O3489" t="s">
        <v>7626</v>
      </c>
      <c r="P3489" t="s">
        <v>208</v>
      </c>
      <c r="Q3489" t="s">
        <v>209</v>
      </c>
    </row>
    <row r="3490" spans="1:17" x14ac:dyDescent="0.3">
      <c r="A3490" t="s">
        <v>7627</v>
      </c>
      <c r="C3490" t="s">
        <v>7628</v>
      </c>
      <c r="D3490" t="s">
        <v>7629</v>
      </c>
      <c r="E3490" s="5">
        <v>46284</v>
      </c>
      <c r="F3490" t="s">
        <v>204</v>
      </c>
      <c r="G3490" t="s">
        <v>255</v>
      </c>
      <c r="H3490">
        <v>299</v>
      </c>
      <c r="I3490">
        <v>4.49</v>
      </c>
      <c r="J3490">
        <v>0.81</v>
      </c>
      <c r="K3490">
        <v>293.7</v>
      </c>
      <c r="L3490" s="5">
        <v>46286</v>
      </c>
      <c r="M3490" t="s">
        <v>7468</v>
      </c>
      <c r="N3490" t="s">
        <v>207</v>
      </c>
      <c r="O3490" t="s">
        <v>7629</v>
      </c>
      <c r="P3490" t="s">
        <v>208</v>
      </c>
      <c r="Q3490" t="s">
        <v>209</v>
      </c>
    </row>
    <row r="3491" spans="1:17" x14ac:dyDescent="0.3">
      <c r="A3491" t="s">
        <v>7630</v>
      </c>
      <c r="C3491" t="s">
        <v>7631</v>
      </c>
      <c r="D3491" t="s">
        <v>7632</v>
      </c>
      <c r="E3491" s="5">
        <v>46284</v>
      </c>
      <c r="F3491" t="s">
        <v>204</v>
      </c>
      <c r="G3491" t="s">
        <v>220</v>
      </c>
      <c r="H3491">
        <v>2298</v>
      </c>
      <c r="I3491">
        <v>6.89</v>
      </c>
      <c r="J3491">
        <v>1.24</v>
      </c>
      <c r="K3491">
        <v>2289.87</v>
      </c>
      <c r="L3491" s="5">
        <v>46286</v>
      </c>
      <c r="M3491" t="s">
        <v>7468</v>
      </c>
      <c r="N3491" t="s">
        <v>207</v>
      </c>
      <c r="O3491" t="s">
        <v>7632</v>
      </c>
      <c r="P3491" t="s">
        <v>208</v>
      </c>
      <c r="Q3491" t="s">
        <v>209</v>
      </c>
    </row>
    <row r="3492" spans="1:17" x14ac:dyDescent="0.3">
      <c r="A3492" t="s">
        <v>7633</v>
      </c>
      <c r="C3492" t="s">
        <v>7634</v>
      </c>
      <c r="D3492" t="s">
        <v>7634</v>
      </c>
      <c r="E3492" s="5">
        <v>46284</v>
      </c>
      <c r="F3492" t="s">
        <v>204</v>
      </c>
      <c r="G3492" t="s">
        <v>220</v>
      </c>
      <c r="H3492">
        <v>599</v>
      </c>
      <c r="I3492">
        <v>0</v>
      </c>
      <c r="J3492">
        <v>0</v>
      </c>
      <c r="K3492">
        <v>599</v>
      </c>
      <c r="L3492" s="5">
        <v>46286</v>
      </c>
      <c r="M3492" t="s">
        <v>7468</v>
      </c>
      <c r="N3492" t="s">
        <v>207</v>
      </c>
      <c r="O3492" t="s">
        <v>7634</v>
      </c>
      <c r="P3492" t="s">
        <v>208</v>
      </c>
      <c r="Q3492" t="s">
        <v>209</v>
      </c>
    </row>
    <row r="3493" spans="1:17" x14ac:dyDescent="0.3">
      <c r="A3493" t="s">
        <v>7635</v>
      </c>
      <c r="C3493" t="s">
        <v>7636</v>
      </c>
      <c r="D3493" t="s">
        <v>7636</v>
      </c>
      <c r="E3493" s="5">
        <v>46284</v>
      </c>
      <c r="F3493" t="s">
        <v>204</v>
      </c>
      <c r="G3493" t="s">
        <v>220</v>
      </c>
      <c r="H3493">
        <v>2999</v>
      </c>
      <c r="I3493">
        <v>9</v>
      </c>
      <c r="J3493">
        <v>1.62</v>
      </c>
      <c r="K3493">
        <v>2988.38</v>
      </c>
      <c r="L3493" s="5">
        <v>46286</v>
      </c>
      <c r="M3493" t="s">
        <v>7468</v>
      </c>
      <c r="N3493" t="s">
        <v>207</v>
      </c>
      <c r="O3493" t="s">
        <v>7636</v>
      </c>
      <c r="P3493" t="s">
        <v>208</v>
      </c>
      <c r="Q3493" t="s">
        <v>209</v>
      </c>
    </row>
    <row r="3494" spans="1:17" x14ac:dyDescent="0.3">
      <c r="A3494" t="s">
        <v>7637</v>
      </c>
      <c r="C3494" t="s">
        <v>7638</v>
      </c>
      <c r="D3494" t="s">
        <v>7638</v>
      </c>
      <c r="E3494" s="5">
        <v>46284</v>
      </c>
      <c r="F3494" t="s">
        <v>204</v>
      </c>
      <c r="G3494" t="s">
        <v>220</v>
      </c>
      <c r="H3494">
        <v>12998</v>
      </c>
      <c r="I3494">
        <v>38.99</v>
      </c>
      <c r="J3494">
        <v>7.02</v>
      </c>
      <c r="K3494">
        <v>12951.99</v>
      </c>
      <c r="L3494" s="5">
        <v>46286</v>
      </c>
      <c r="M3494" t="s">
        <v>7468</v>
      </c>
      <c r="N3494" t="s">
        <v>207</v>
      </c>
      <c r="O3494" t="s">
        <v>7638</v>
      </c>
      <c r="P3494" t="s">
        <v>208</v>
      </c>
      <c r="Q3494" t="s">
        <v>209</v>
      </c>
    </row>
    <row r="3495" spans="1:17" x14ac:dyDescent="0.3">
      <c r="A3495" t="s">
        <v>7639</v>
      </c>
      <c r="C3495" t="s">
        <v>7640</v>
      </c>
      <c r="D3495" t="s">
        <v>7640</v>
      </c>
      <c r="E3495" s="5">
        <v>46284</v>
      </c>
      <c r="F3495" t="s">
        <v>204</v>
      </c>
      <c r="G3495" t="s">
        <v>220</v>
      </c>
      <c r="H3495">
        <v>1598</v>
      </c>
      <c r="I3495">
        <v>0</v>
      </c>
      <c r="J3495">
        <v>0</v>
      </c>
      <c r="K3495">
        <v>1598</v>
      </c>
      <c r="L3495" s="5">
        <v>46286</v>
      </c>
      <c r="M3495" t="s">
        <v>7468</v>
      </c>
      <c r="N3495" t="s">
        <v>207</v>
      </c>
      <c r="O3495" t="s">
        <v>7640</v>
      </c>
      <c r="P3495" t="s">
        <v>208</v>
      </c>
      <c r="Q3495" t="s">
        <v>209</v>
      </c>
    </row>
    <row r="3496" spans="1:17" x14ac:dyDescent="0.3">
      <c r="A3496" t="s">
        <v>7641</v>
      </c>
      <c r="C3496" t="s">
        <v>7642</v>
      </c>
      <c r="D3496" t="s">
        <v>7642</v>
      </c>
      <c r="E3496" s="5">
        <v>46284</v>
      </c>
      <c r="F3496" t="s">
        <v>204</v>
      </c>
      <c r="G3496" t="s">
        <v>220</v>
      </c>
      <c r="H3496">
        <v>1799</v>
      </c>
      <c r="I3496">
        <v>0</v>
      </c>
      <c r="J3496">
        <v>0</v>
      </c>
      <c r="K3496">
        <v>1799</v>
      </c>
      <c r="L3496" s="5">
        <v>46286</v>
      </c>
      <c r="M3496" t="s">
        <v>7468</v>
      </c>
      <c r="N3496" t="s">
        <v>207</v>
      </c>
      <c r="O3496" t="s">
        <v>7642</v>
      </c>
      <c r="P3496" t="s">
        <v>208</v>
      </c>
      <c r="Q3496" t="s">
        <v>209</v>
      </c>
    </row>
    <row r="3497" spans="1:17" x14ac:dyDescent="0.3">
      <c r="A3497" t="s">
        <v>7643</v>
      </c>
      <c r="C3497" t="s">
        <v>7644</v>
      </c>
      <c r="D3497" t="s">
        <v>7644</v>
      </c>
      <c r="E3497" s="5">
        <v>46284</v>
      </c>
      <c r="F3497" t="s">
        <v>204</v>
      </c>
      <c r="G3497" t="s">
        <v>213</v>
      </c>
      <c r="H3497">
        <v>3499</v>
      </c>
      <c r="I3497">
        <v>55.98</v>
      </c>
      <c r="J3497">
        <v>10.08</v>
      </c>
      <c r="K3497">
        <v>3432.94</v>
      </c>
      <c r="L3497" s="5">
        <v>46286</v>
      </c>
      <c r="M3497" t="s">
        <v>7468</v>
      </c>
      <c r="N3497" t="s">
        <v>207</v>
      </c>
      <c r="O3497" t="s">
        <v>7644</v>
      </c>
      <c r="P3497" t="s">
        <v>208</v>
      </c>
      <c r="Q3497" t="s">
        <v>209</v>
      </c>
    </row>
    <row r="3498" spans="1:17" x14ac:dyDescent="0.3">
      <c r="A3498" t="s">
        <v>7645</v>
      </c>
      <c r="C3498" t="s">
        <v>7646</v>
      </c>
      <c r="D3498" t="s">
        <v>7646</v>
      </c>
      <c r="E3498" s="5">
        <v>46284</v>
      </c>
      <c r="F3498" t="s">
        <v>204</v>
      </c>
      <c r="G3498" t="s">
        <v>205</v>
      </c>
      <c r="H3498">
        <v>999</v>
      </c>
      <c r="I3498">
        <v>18.98</v>
      </c>
      <c r="J3498">
        <v>3.42</v>
      </c>
      <c r="K3498">
        <v>976.6</v>
      </c>
      <c r="L3498" s="5">
        <v>46286</v>
      </c>
      <c r="M3498" t="s">
        <v>7468</v>
      </c>
      <c r="N3498" t="s">
        <v>207</v>
      </c>
      <c r="O3498" t="s">
        <v>7646</v>
      </c>
      <c r="P3498" t="s">
        <v>208</v>
      </c>
      <c r="Q3498" t="s">
        <v>209</v>
      </c>
    </row>
    <row r="3499" spans="1:17" x14ac:dyDescent="0.3">
      <c r="A3499" t="s">
        <v>7647</v>
      </c>
      <c r="C3499" t="s">
        <v>7648</v>
      </c>
      <c r="D3499" t="s">
        <v>7648</v>
      </c>
      <c r="E3499" s="5">
        <v>46284</v>
      </c>
      <c r="F3499" t="s">
        <v>204</v>
      </c>
      <c r="G3499" t="s">
        <v>220</v>
      </c>
      <c r="H3499">
        <v>4999</v>
      </c>
      <c r="I3499">
        <v>15</v>
      </c>
      <c r="J3499">
        <v>2.7</v>
      </c>
      <c r="K3499">
        <v>4981.3</v>
      </c>
      <c r="L3499" s="5">
        <v>46286</v>
      </c>
      <c r="M3499" t="s">
        <v>7468</v>
      </c>
      <c r="N3499" t="s">
        <v>207</v>
      </c>
      <c r="O3499" t="s">
        <v>7648</v>
      </c>
      <c r="P3499" t="s">
        <v>208</v>
      </c>
      <c r="Q3499" t="s">
        <v>209</v>
      </c>
    </row>
    <row r="3500" spans="1:17" x14ac:dyDescent="0.3">
      <c r="A3500" t="s">
        <v>7649</v>
      </c>
      <c r="C3500" t="s">
        <v>7650</v>
      </c>
      <c r="D3500" t="s">
        <v>7651</v>
      </c>
      <c r="E3500" s="5">
        <v>46284</v>
      </c>
      <c r="F3500" t="s">
        <v>204</v>
      </c>
      <c r="G3500" t="s">
        <v>220</v>
      </c>
      <c r="H3500">
        <v>3847</v>
      </c>
      <c r="I3500">
        <v>11.54</v>
      </c>
      <c r="J3500">
        <v>2.08</v>
      </c>
      <c r="K3500">
        <v>3833.38</v>
      </c>
      <c r="L3500" s="5">
        <v>46286</v>
      </c>
      <c r="M3500" t="s">
        <v>7468</v>
      </c>
      <c r="N3500" t="s">
        <v>207</v>
      </c>
      <c r="O3500" t="s">
        <v>7651</v>
      </c>
      <c r="P3500" t="s">
        <v>208</v>
      </c>
      <c r="Q3500" t="s">
        <v>209</v>
      </c>
    </row>
    <row r="3501" spans="1:17" x14ac:dyDescent="0.3">
      <c r="A3501" t="s">
        <v>7652</v>
      </c>
      <c r="C3501" t="s">
        <v>7653</v>
      </c>
      <c r="D3501" t="s">
        <v>7653</v>
      </c>
      <c r="E3501" s="5">
        <v>46284</v>
      </c>
      <c r="F3501" t="s">
        <v>204</v>
      </c>
      <c r="G3501" t="s">
        <v>213</v>
      </c>
      <c r="H3501">
        <v>1848</v>
      </c>
      <c r="I3501">
        <v>33.26</v>
      </c>
      <c r="J3501">
        <v>5.99</v>
      </c>
      <c r="K3501">
        <v>1808.75</v>
      </c>
      <c r="L3501" s="5">
        <v>46286</v>
      </c>
      <c r="M3501" t="s">
        <v>7468</v>
      </c>
      <c r="N3501" t="s">
        <v>207</v>
      </c>
      <c r="O3501" t="s">
        <v>7653</v>
      </c>
      <c r="P3501" t="s">
        <v>208</v>
      </c>
      <c r="Q3501" t="s">
        <v>209</v>
      </c>
    </row>
    <row r="3502" spans="1:17" x14ac:dyDescent="0.3">
      <c r="A3502" t="s">
        <v>7654</v>
      </c>
      <c r="C3502" t="s">
        <v>7655</v>
      </c>
      <c r="D3502" t="s">
        <v>7655</v>
      </c>
      <c r="E3502" s="5">
        <v>46284</v>
      </c>
      <c r="F3502" t="s">
        <v>204</v>
      </c>
      <c r="G3502" t="s">
        <v>205</v>
      </c>
      <c r="H3502">
        <v>999</v>
      </c>
      <c r="I3502">
        <v>18.98</v>
      </c>
      <c r="J3502">
        <v>3.42</v>
      </c>
      <c r="K3502">
        <v>976.6</v>
      </c>
      <c r="L3502" s="5">
        <v>46286</v>
      </c>
      <c r="M3502" t="s">
        <v>7468</v>
      </c>
      <c r="N3502" t="s">
        <v>207</v>
      </c>
      <c r="O3502" t="s">
        <v>7655</v>
      </c>
      <c r="P3502" t="s">
        <v>208</v>
      </c>
      <c r="Q3502" t="s">
        <v>209</v>
      </c>
    </row>
    <row r="3503" spans="1:17" x14ac:dyDescent="0.3">
      <c r="A3503" t="s">
        <v>7656</v>
      </c>
      <c r="C3503" t="s">
        <v>7657</v>
      </c>
      <c r="D3503" t="s">
        <v>7657</v>
      </c>
      <c r="E3503" s="5">
        <v>46284</v>
      </c>
      <c r="F3503" t="s">
        <v>204</v>
      </c>
      <c r="G3503" t="s">
        <v>220</v>
      </c>
      <c r="H3503">
        <v>599</v>
      </c>
      <c r="I3503">
        <v>0</v>
      </c>
      <c r="J3503">
        <v>0</v>
      </c>
      <c r="K3503">
        <v>599</v>
      </c>
      <c r="L3503" s="5">
        <v>46286</v>
      </c>
      <c r="M3503" t="s">
        <v>7468</v>
      </c>
      <c r="N3503" t="s">
        <v>207</v>
      </c>
      <c r="O3503" t="s">
        <v>7657</v>
      </c>
      <c r="P3503" t="s">
        <v>208</v>
      </c>
      <c r="Q3503" t="s">
        <v>209</v>
      </c>
    </row>
    <row r="3504" spans="1:17" x14ac:dyDescent="0.3">
      <c r="A3504" t="s">
        <v>7658</v>
      </c>
      <c r="C3504" t="s">
        <v>7659</v>
      </c>
      <c r="D3504" t="s">
        <v>7659</v>
      </c>
      <c r="E3504" s="5">
        <v>46284</v>
      </c>
      <c r="F3504" t="s">
        <v>204</v>
      </c>
      <c r="G3504" t="s">
        <v>220</v>
      </c>
      <c r="H3504">
        <v>999</v>
      </c>
      <c r="I3504">
        <v>0</v>
      </c>
      <c r="J3504">
        <v>0</v>
      </c>
      <c r="K3504">
        <v>999</v>
      </c>
      <c r="L3504" s="5">
        <v>46286</v>
      </c>
      <c r="M3504" t="s">
        <v>7468</v>
      </c>
      <c r="N3504" t="s">
        <v>207</v>
      </c>
      <c r="O3504" t="s">
        <v>7659</v>
      </c>
      <c r="P3504" t="s">
        <v>208</v>
      </c>
      <c r="Q3504" t="s">
        <v>209</v>
      </c>
    </row>
    <row r="3505" spans="1:17" x14ac:dyDescent="0.3">
      <c r="A3505" t="s">
        <v>7660</v>
      </c>
      <c r="C3505" t="s">
        <v>7661</v>
      </c>
      <c r="D3505" t="s">
        <v>7661</v>
      </c>
      <c r="E3505" s="5">
        <v>46284</v>
      </c>
      <c r="F3505" t="s">
        <v>204</v>
      </c>
      <c r="G3505" t="s">
        <v>220</v>
      </c>
      <c r="H3505">
        <v>1798</v>
      </c>
      <c r="I3505">
        <v>0</v>
      </c>
      <c r="J3505">
        <v>0</v>
      </c>
      <c r="K3505">
        <v>1798</v>
      </c>
      <c r="L3505" s="5">
        <v>46286</v>
      </c>
      <c r="M3505" t="s">
        <v>7468</v>
      </c>
      <c r="N3505" t="s">
        <v>207</v>
      </c>
      <c r="O3505" t="s">
        <v>7661</v>
      </c>
      <c r="P3505" t="s">
        <v>208</v>
      </c>
      <c r="Q3505" t="s">
        <v>209</v>
      </c>
    </row>
    <row r="3506" spans="1:17" x14ac:dyDescent="0.3">
      <c r="A3506" t="s">
        <v>7662</v>
      </c>
      <c r="C3506" t="s">
        <v>7663</v>
      </c>
      <c r="D3506" t="s">
        <v>7663</v>
      </c>
      <c r="E3506" s="5">
        <v>46284</v>
      </c>
      <c r="F3506" t="s">
        <v>204</v>
      </c>
      <c r="G3506" t="s">
        <v>220</v>
      </c>
      <c r="H3506">
        <v>1598</v>
      </c>
      <c r="I3506">
        <v>0</v>
      </c>
      <c r="J3506">
        <v>0</v>
      </c>
      <c r="K3506">
        <v>1598</v>
      </c>
      <c r="L3506" s="5">
        <v>46286</v>
      </c>
      <c r="M3506" t="s">
        <v>7468</v>
      </c>
      <c r="N3506" t="s">
        <v>207</v>
      </c>
      <c r="O3506" t="s">
        <v>7663</v>
      </c>
      <c r="P3506" t="s">
        <v>208</v>
      </c>
      <c r="Q3506" t="s">
        <v>209</v>
      </c>
    </row>
    <row r="3507" spans="1:17" x14ac:dyDescent="0.3">
      <c r="A3507" t="s">
        <v>7664</v>
      </c>
      <c r="C3507" t="s">
        <v>7665</v>
      </c>
      <c r="D3507" t="s">
        <v>7665</v>
      </c>
      <c r="E3507" s="5">
        <v>46284</v>
      </c>
      <c r="F3507" t="s">
        <v>204</v>
      </c>
      <c r="G3507" t="s">
        <v>220</v>
      </c>
      <c r="H3507">
        <v>15998</v>
      </c>
      <c r="I3507">
        <v>47.99</v>
      </c>
      <c r="J3507">
        <v>8.64</v>
      </c>
      <c r="K3507">
        <v>15941.37</v>
      </c>
      <c r="L3507" s="5">
        <v>46286</v>
      </c>
      <c r="M3507" t="s">
        <v>7468</v>
      </c>
      <c r="N3507" t="s">
        <v>207</v>
      </c>
      <c r="O3507" t="s">
        <v>7665</v>
      </c>
      <c r="P3507" t="s">
        <v>208</v>
      </c>
      <c r="Q3507" t="s">
        <v>209</v>
      </c>
    </row>
    <row r="3508" spans="1:17" x14ac:dyDescent="0.3">
      <c r="A3508" t="s">
        <v>7666</v>
      </c>
      <c r="C3508" t="s">
        <v>7667</v>
      </c>
      <c r="D3508" t="s">
        <v>7667</v>
      </c>
      <c r="E3508" s="5">
        <v>46284</v>
      </c>
      <c r="F3508" t="s">
        <v>204</v>
      </c>
      <c r="G3508" t="s">
        <v>213</v>
      </c>
      <c r="H3508">
        <v>8797</v>
      </c>
      <c r="I3508">
        <v>140.75</v>
      </c>
      <c r="J3508">
        <v>25.34</v>
      </c>
      <c r="K3508">
        <v>8630.91</v>
      </c>
      <c r="L3508" s="5">
        <v>46286</v>
      </c>
      <c r="M3508" t="s">
        <v>7468</v>
      </c>
      <c r="N3508" t="s">
        <v>207</v>
      </c>
      <c r="O3508" t="s">
        <v>7667</v>
      </c>
      <c r="P3508" t="s">
        <v>208</v>
      </c>
      <c r="Q3508" t="s">
        <v>209</v>
      </c>
    </row>
    <row r="3509" spans="1:17" x14ac:dyDescent="0.3">
      <c r="A3509" t="s">
        <v>7668</v>
      </c>
      <c r="C3509" t="s">
        <v>7669</v>
      </c>
      <c r="D3509" t="s">
        <v>7669</v>
      </c>
      <c r="E3509" s="5">
        <v>46284</v>
      </c>
      <c r="F3509" t="s">
        <v>204</v>
      </c>
      <c r="G3509" t="s">
        <v>205</v>
      </c>
      <c r="H3509">
        <v>799</v>
      </c>
      <c r="I3509">
        <v>15.18</v>
      </c>
      <c r="J3509">
        <v>2.73</v>
      </c>
      <c r="K3509">
        <v>781.09</v>
      </c>
      <c r="L3509" s="5">
        <v>46286</v>
      </c>
      <c r="M3509" t="s">
        <v>7468</v>
      </c>
      <c r="N3509" t="s">
        <v>207</v>
      </c>
      <c r="O3509" t="s">
        <v>7669</v>
      </c>
      <c r="P3509" t="s">
        <v>208</v>
      </c>
      <c r="Q3509" t="s">
        <v>209</v>
      </c>
    </row>
    <row r="3510" spans="1:17" x14ac:dyDescent="0.3">
      <c r="A3510" t="s">
        <v>7670</v>
      </c>
      <c r="C3510" t="s">
        <v>7671</v>
      </c>
      <c r="D3510" t="s">
        <v>7671</v>
      </c>
      <c r="E3510" s="5">
        <v>46284</v>
      </c>
      <c r="F3510" t="s">
        <v>204</v>
      </c>
      <c r="G3510" t="s">
        <v>220</v>
      </c>
      <c r="H3510">
        <v>6298</v>
      </c>
      <c r="I3510">
        <v>18.89</v>
      </c>
      <c r="J3510">
        <v>3.4</v>
      </c>
      <c r="K3510">
        <v>6275.71</v>
      </c>
      <c r="L3510" s="5">
        <v>46286</v>
      </c>
      <c r="M3510" t="s">
        <v>7468</v>
      </c>
      <c r="N3510" t="s">
        <v>207</v>
      </c>
      <c r="O3510" t="s">
        <v>7671</v>
      </c>
      <c r="P3510" t="s">
        <v>208</v>
      </c>
      <c r="Q3510" t="s">
        <v>209</v>
      </c>
    </row>
    <row r="3511" spans="1:17" x14ac:dyDescent="0.3">
      <c r="A3511" t="s">
        <v>7672</v>
      </c>
      <c r="C3511" t="s">
        <v>7673</v>
      </c>
      <c r="D3511" t="s">
        <v>7673</v>
      </c>
      <c r="E3511" s="5">
        <v>46284</v>
      </c>
      <c r="F3511" t="s">
        <v>204</v>
      </c>
      <c r="G3511" t="s">
        <v>220</v>
      </c>
      <c r="H3511">
        <v>2697</v>
      </c>
      <c r="I3511">
        <v>8.09</v>
      </c>
      <c r="J3511">
        <v>1.46</v>
      </c>
      <c r="K3511">
        <v>2687.45</v>
      </c>
      <c r="L3511" s="5">
        <v>46286</v>
      </c>
      <c r="M3511" t="s">
        <v>7468</v>
      </c>
      <c r="N3511" t="s">
        <v>207</v>
      </c>
      <c r="O3511" t="s">
        <v>7673</v>
      </c>
      <c r="P3511" t="s">
        <v>208</v>
      </c>
      <c r="Q3511" t="s">
        <v>209</v>
      </c>
    </row>
    <row r="3512" spans="1:17" x14ac:dyDescent="0.3">
      <c r="A3512" t="s">
        <v>7674</v>
      </c>
      <c r="C3512" t="s">
        <v>7675</v>
      </c>
      <c r="D3512" t="s">
        <v>7675</v>
      </c>
      <c r="E3512" s="5">
        <v>46284</v>
      </c>
      <c r="F3512" t="s">
        <v>204</v>
      </c>
      <c r="G3512" t="s">
        <v>220</v>
      </c>
      <c r="H3512">
        <v>2098</v>
      </c>
      <c r="I3512">
        <v>6.29</v>
      </c>
      <c r="J3512">
        <v>1.1299999999999999</v>
      </c>
      <c r="K3512">
        <v>2090.58</v>
      </c>
      <c r="L3512" s="5">
        <v>46286</v>
      </c>
      <c r="M3512" t="s">
        <v>7468</v>
      </c>
      <c r="N3512" t="s">
        <v>207</v>
      </c>
      <c r="O3512" t="s">
        <v>7675</v>
      </c>
      <c r="P3512" t="s">
        <v>208</v>
      </c>
      <c r="Q3512" t="s">
        <v>209</v>
      </c>
    </row>
    <row r="3513" spans="1:17" x14ac:dyDescent="0.3">
      <c r="A3513" t="s">
        <v>7676</v>
      </c>
      <c r="C3513" t="s">
        <v>7677</v>
      </c>
      <c r="D3513" t="s">
        <v>7677</v>
      </c>
      <c r="E3513" s="5">
        <v>46284</v>
      </c>
      <c r="F3513" t="s">
        <v>204</v>
      </c>
      <c r="G3513" t="s">
        <v>213</v>
      </c>
      <c r="H3513">
        <v>7297</v>
      </c>
      <c r="I3513">
        <v>116.75</v>
      </c>
      <c r="J3513">
        <v>21.02</v>
      </c>
      <c r="K3513">
        <v>7159.23</v>
      </c>
      <c r="L3513" s="5">
        <v>46286</v>
      </c>
      <c r="M3513" t="s">
        <v>7468</v>
      </c>
      <c r="N3513" t="s">
        <v>207</v>
      </c>
      <c r="O3513" t="s">
        <v>7677</v>
      </c>
      <c r="P3513" t="s">
        <v>208</v>
      </c>
      <c r="Q3513" t="s">
        <v>209</v>
      </c>
    </row>
    <row r="3514" spans="1:17" x14ac:dyDescent="0.3">
      <c r="A3514" t="s">
        <v>7678</v>
      </c>
      <c r="C3514" t="s">
        <v>7679</v>
      </c>
      <c r="D3514" t="s">
        <v>7679</v>
      </c>
      <c r="E3514" s="5">
        <v>46284</v>
      </c>
      <c r="F3514" t="s">
        <v>204</v>
      </c>
      <c r="G3514" t="s">
        <v>220</v>
      </c>
      <c r="H3514">
        <v>3098</v>
      </c>
      <c r="I3514">
        <v>9.2899999999999991</v>
      </c>
      <c r="J3514">
        <v>1.67</v>
      </c>
      <c r="K3514">
        <v>3087.04</v>
      </c>
      <c r="L3514" s="5">
        <v>46286</v>
      </c>
      <c r="M3514" t="s">
        <v>7468</v>
      </c>
      <c r="N3514" t="s">
        <v>207</v>
      </c>
      <c r="O3514" t="s">
        <v>7679</v>
      </c>
      <c r="P3514" t="s">
        <v>208</v>
      </c>
      <c r="Q3514" t="s">
        <v>209</v>
      </c>
    </row>
    <row r="3515" spans="1:17" x14ac:dyDescent="0.3">
      <c r="A3515" t="s">
        <v>7680</v>
      </c>
      <c r="C3515" t="s">
        <v>7681</v>
      </c>
      <c r="D3515" t="s">
        <v>7681</v>
      </c>
      <c r="E3515" s="5">
        <v>46284</v>
      </c>
      <c r="F3515" t="s">
        <v>204</v>
      </c>
      <c r="G3515" t="s">
        <v>220</v>
      </c>
      <c r="H3515">
        <v>1298</v>
      </c>
      <c r="I3515">
        <v>0</v>
      </c>
      <c r="J3515">
        <v>0</v>
      </c>
      <c r="K3515">
        <v>1298</v>
      </c>
      <c r="L3515" s="5">
        <v>46286</v>
      </c>
      <c r="M3515" t="s">
        <v>7468</v>
      </c>
      <c r="N3515" t="s">
        <v>207</v>
      </c>
      <c r="O3515" t="s">
        <v>7681</v>
      </c>
      <c r="P3515" t="s">
        <v>208</v>
      </c>
      <c r="Q3515" t="s">
        <v>209</v>
      </c>
    </row>
    <row r="3516" spans="1:17" x14ac:dyDescent="0.3">
      <c r="A3516" t="s">
        <v>7682</v>
      </c>
      <c r="C3516" t="s">
        <v>7683</v>
      </c>
      <c r="D3516" t="s">
        <v>7683</v>
      </c>
      <c r="E3516" s="5">
        <v>46284</v>
      </c>
      <c r="F3516" t="s">
        <v>204</v>
      </c>
      <c r="G3516" t="s">
        <v>220</v>
      </c>
      <c r="H3516">
        <v>2999</v>
      </c>
      <c r="I3516">
        <v>9</v>
      </c>
      <c r="J3516">
        <v>1.62</v>
      </c>
      <c r="K3516">
        <v>2988.38</v>
      </c>
      <c r="L3516" s="5">
        <v>46286</v>
      </c>
      <c r="M3516" t="s">
        <v>7468</v>
      </c>
      <c r="N3516" t="s">
        <v>207</v>
      </c>
      <c r="O3516" t="s">
        <v>7683</v>
      </c>
      <c r="P3516" t="s">
        <v>208</v>
      </c>
      <c r="Q3516" t="s">
        <v>209</v>
      </c>
    </row>
    <row r="3517" spans="1:17" x14ac:dyDescent="0.3">
      <c r="A3517" t="s">
        <v>7684</v>
      </c>
      <c r="C3517" t="s">
        <v>7685</v>
      </c>
      <c r="D3517" t="s">
        <v>7685</v>
      </c>
      <c r="E3517" s="5">
        <v>46284</v>
      </c>
      <c r="F3517" t="s">
        <v>204</v>
      </c>
      <c r="G3517" t="s">
        <v>220</v>
      </c>
      <c r="H3517">
        <v>2798</v>
      </c>
      <c r="I3517">
        <v>8.39</v>
      </c>
      <c r="J3517">
        <v>1.51</v>
      </c>
      <c r="K3517">
        <v>2788.1</v>
      </c>
      <c r="L3517" s="5">
        <v>46286</v>
      </c>
      <c r="M3517" t="s">
        <v>7468</v>
      </c>
      <c r="N3517" t="s">
        <v>207</v>
      </c>
      <c r="O3517" t="s">
        <v>7685</v>
      </c>
      <c r="P3517" t="s">
        <v>208</v>
      </c>
      <c r="Q3517" t="s">
        <v>209</v>
      </c>
    </row>
    <row r="3518" spans="1:17" x14ac:dyDescent="0.3">
      <c r="A3518" t="s">
        <v>7686</v>
      </c>
      <c r="C3518" t="s">
        <v>7687</v>
      </c>
      <c r="D3518" t="s">
        <v>7687</v>
      </c>
      <c r="E3518" s="5">
        <v>46284</v>
      </c>
      <c r="F3518" t="s">
        <v>204</v>
      </c>
      <c r="G3518" t="s">
        <v>220</v>
      </c>
      <c r="H3518">
        <v>4999</v>
      </c>
      <c r="I3518">
        <v>15</v>
      </c>
      <c r="J3518">
        <v>2.7</v>
      </c>
      <c r="K3518">
        <v>4981.3</v>
      </c>
      <c r="L3518" s="5">
        <v>46286</v>
      </c>
      <c r="M3518" t="s">
        <v>7468</v>
      </c>
      <c r="N3518" t="s">
        <v>207</v>
      </c>
      <c r="O3518" t="s">
        <v>7687</v>
      </c>
      <c r="P3518" t="s">
        <v>208</v>
      </c>
      <c r="Q3518" t="s">
        <v>209</v>
      </c>
    </row>
    <row r="3519" spans="1:17" x14ac:dyDescent="0.3">
      <c r="A3519" t="s">
        <v>7688</v>
      </c>
      <c r="C3519" t="s">
        <v>7689</v>
      </c>
      <c r="D3519" t="s">
        <v>7689</v>
      </c>
      <c r="E3519" s="5">
        <v>46284</v>
      </c>
      <c r="F3519" t="s">
        <v>204</v>
      </c>
      <c r="G3519" t="s">
        <v>220</v>
      </c>
      <c r="H3519">
        <v>7498</v>
      </c>
      <c r="I3519">
        <v>22.49</v>
      </c>
      <c r="J3519">
        <v>4.05</v>
      </c>
      <c r="K3519">
        <v>7471.46</v>
      </c>
      <c r="L3519" s="5">
        <v>46286</v>
      </c>
      <c r="M3519" t="s">
        <v>7468</v>
      </c>
      <c r="N3519" t="s">
        <v>207</v>
      </c>
      <c r="O3519" t="s">
        <v>7689</v>
      </c>
      <c r="P3519" t="s">
        <v>208</v>
      </c>
      <c r="Q3519" t="s">
        <v>209</v>
      </c>
    </row>
    <row r="3520" spans="1:17" x14ac:dyDescent="0.3">
      <c r="A3520" t="s">
        <v>7690</v>
      </c>
      <c r="C3520" t="s">
        <v>7691</v>
      </c>
      <c r="D3520" t="s">
        <v>7691</v>
      </c>
      <c r="E3520" s="5">
        <v>46284</v>
      </c>
      <c r="F3520" t="s">
        <v>204</v>
      </c>
      <c r="G3520" t="s">
        <v>205</v>
      </c>
      <c r="H3520">
        <v>499</v>
      </c>
      <c r="I3520">
        <v>9.48</v>
      </c>
      <c r="J3520">
        <v>1.71</v>
      </c>
      <c r="K3520">
        <v>487.81</v>
      </c>
      <c r="L3520" s="5">
        <v>46286</v>
      </c>
      <c r="M3520" t="s">
        <v>7468</v>
      </c>
      <c r="N3520" t="s">
        <v>207</v>
      </c>
      <c r="O3520" t="s">
        <v>7691</v>
      </c>
      <c r="P3520" t="s">
        <v>208</v>
      </c>
      <c r="Q3520" t="s">
        <v>209</v>
      </c>
    </row>
    <row r="3521" spans="1:17" x14ac:dyDescent="0.3">
      <c r="A3521" t="s">
        <v>7692</v>
      </c>
      <c r="C3521" t="s">
        <v>7693</v>
      </c>
      <c r="D3521" t="s">
        <v>7693</v>
      </c>
      <c r="E3521" s="5">
        <v>46284</v>
      </c>
      <c r="F3521" t="s">
        <v>204</v>
      </c>
      <c r="G3521" t="s">
        <v>220</v>
      </c>
      <c r="H3521">
        <v>6797</v>
      </c>
      <c r="I3521">
        <v>20.39</v>
      </c>
      <c r="J3521">
        <v>3.67</v>
      </c>
      <c r="K3521">
        <v>6772.94</v>
      </c>
      <c r="L3521" s="5">
        <v>46286</v>
      </c>
      <c r="M3521" t="s">
        <v>7468</v>
      </c>
      <c r="N3521" t="s">
        <v>207</v>
      </c>
      <c r="O3521" t="s">
        <v>7693</v>
      </c>
      <c r="P3521" t="s">
        <v>208</v>
      </c>
      <c r="Q3521" t="s">
        <v>209</v>
      </c>
    </row>
    <row r="3522" spans="1:17" x14ac:dyDescent="0.3">
      <c r="A3522" t="s">
        <v>7694</v>
      </c>
      <c r="C3522" t="s">
        <v>7695</v>
      </c>
      <c r="D3522" t="s">
        <v>7695</v>
      </c>
      <c r="E3522" s="5">
        <v>46284</v>
      </c>
      <c r="F3522" t="s">
        <v>204</v>
      </c>
      <c r="G3522" t="s">
        <v>220</v>
      </c>
      <c r="H3522">
        <v>799</v>
      </c>
      <c r="I3522">
        <v>0</v>
      </c>
      <c r="J3522">
        <v>0</v>
      </c>
      <c r="K3522">
        <v>799</v>
      </c>
      <c r="L3522" s="5">
        <v>46286</v>
      </c>
      <c r="M3522" t="s">
        <v>7468</v>
      </c>
      <c r="N3522" t="s">
        <v>207</v>
      </c>
      <c r="O3522" t="s">
        <v>7695</v>
      </c>
      <c r="P3522" t="s">
        <v>208</v>
      </c>
      <c r="Q3522" t="s">
        <v>209</v>
      </c>
    </row>
    <row r="3523" spans="1:17" x14ac:dyDescent="0.3">
      <c r="A3523" t="s">
        <v>7696</v>
      </c>
      <c r="C3523" t="s">
        <v>7697</v>
      </c>
      <c r="D3523" t="s">
        <v>7697</v>
      </c>
      <c r="E3523" s="5">
        <v>46284</v>
      </c>
      <c r="F3523" t="s">
        <v>204</v>
      </c>
      <c r="G3523" t="s">
        <v>255</v>
      </c>
      <c r="H3523">
        <v>1499</v>
      </c>
      <c r="I3523">
        <v>22.49</v>
      </c>
      <c r="J3523">
        <v>4.05</v>
      </c>
      <c r="K3523">
        <v>1472.46</v>
      </c>
      <c r="L3523" s="5">
        <v>46286</v>
      </c>
      <c r="M3523" t="s">
        <v>7468</v>
      </c>
      <c r="N3523" t="s">
        <v>207</v>
      </c>
      <c r="O3523" t="s">
        <v>7697</v>
      </c>
      <c r="P3523" t="s">
        <v>208</v>
      </c>
      <c r="Q3523" t="s">
        <v>209</v>
      </c>
    </row>
    <row r="3524" spans="1:17" x14ac:dyDescent="0.3">
      <c r="A3524" t="s">
        <v>7698</v>
      </c>
      <c r="C3524" t="s">
        <v>7699</v>
      </c>
      <c r="D3524" t="s">
        <v>7699</v>
      </c>
      <c r="E3524" s="5">
        <v>46284</v>
      </c>
      <c r="F3524" t="s">
        <v>204</v>
      </c>
      <c r="G3524" t="s">
        <v>220</v>
      </c>
      <c r="H3524">
        <v>698</v>
      </c>
      <c r="I3524">
        <v>0</v>
      </c>
      <c r="J3524">
        <v>0</v>
      </c>
      <c r="K3524">
        <v>698</v>
      </c>
      <c r="L3524" s="5">
        <v>46286</v>
      </c>
      <c r="M3524" t="s">
        <v>7468</v>
      </c>
      <c r="N3524" t="s">
        <v>207</v>
      </c>
      <c r="O3524" t="s">
        <v>7699</v>
      </c>
      <c r="P3524" t="s">
        <v>208</v>
      </c>
      <c r="Q3524" t="s">
        <v>209</v>
      </c>
    </row>
    <row r="3525" spans="1:17" x14ac:dyDescent="0.3">
      <c r="A3525" t="s">
        <v>7700</v>
      </c>
      <c r="C3525" t="s">
        <v>7701</v>
      </c>
      <c r="D3525" t="s">
        <v>7701</v>
      </c>
      <c r="E3525" s="5">
        <v>46284</v>
      </c>
      <c r="F3525" t="s">
        <v>204</v>
      </c>
      <c r="G3525" t="s">
        <v>213</v>
      </c>
      <c r="H3525">
        <v>1299</v>
      </c>
      <c r="I3525">
        <v>23.38</v>
      </c>
      <c r="J3525">
        <v>4.21</v>
      </c>
      <c r="K3525">
        <v>1271.4100000000001</v>
      </c>
      <c r="L3525" s="5">
        <v>46286</v>
      </c>
      <c r="M3525" t="s">
        <v>7468</v>
      </c>
      <c r="N3525" t="s">
        <v>207</v>
      </c>
      <c r="O3525" t="s">
        <v>7701</v>
      </c>
      <c r="P3525" t="s">
        <v>208</v>
      </c>
      <c r="Q3525" t="s">
        <v>209</v>
      </c>
    </row>
    <row r="3526" spans="1:17" x14ac:dyDescent="0.3">
      <c r="A3526" t="s">
        <v>7702</v>
      </c>
      <c r="C3526" t="s">
        <v>7703</v>
      </c>
      <c r="D3526" t="s">
        <v>7704</v>
      </c>
      <c r="E3526" s="5">
        <v>46284</v>
      </c>
      <c r="F3526" t="s">
        <v>204</v>
      </c>
      <c r="G3526" t="s">
        <v>220</v>
      </c>
      <c r="H3526">
        <v>7998</v>
      </c>
      <c r="I3526">
        <v>23.99</v>
      </c>
      <c r="J3526">
        <v>4.32</v>
      </c>
      <c r="K3526">
        <v>7969.69</v>
      </c>
      <c r="L3526" s="5">
        <v>46286</v>
      </c>
      <c r="M3526" t="s">
        <v>7468</v>
      </c>
      <c r="N3526" t="s">
        <v>207</v>
      </c>
      <c r="O3526" t="s">
        <v>7704</v>
      </c>
      <c r="P3526" t="s">
        <v>208</v>
      </c>
      <c r="Q3526" t="s">
        <v>209</v>
      </c>
    </row>
    <row r="3527" spans="1:17" x14ac:dyDescent="0.3">
      <c r="A3527" t="s">
        <v>7705</v>
      </c>
      <c r="C3527" t="s">
        <v>7706</v>
      </c>
      <c r="D3527" t="s">
        <v>7707</v>
      </c>
      <c r="E3527" s="5">
        <v>46284</v>
      </c>
      <c r="F3527" t="s">
        <v>204</v>
      </c>
      <c r="G3527" t="s">
        <v>213</v>
      </c>
      <c r="H3527">
        <v>1397</v>
      </c>
      <c r="I3527">
        <v>25.15</v>
      </c>
      <c r="J3527">
        <v>4.53</v>
      </c>
      <c r="K3527">
        <v>1367.32</v>
      </c>
      <c r="L3527" s="5">
        <v>46286</v>
      </c>
      <c r="M3527" t="s">
        <v>7468</v>
      </c>
      <c r="N3527" t="s">
        <v>207</v>
      </c>
      <c r="O3527" t="s">
        <v>7707</v>
      </c>
      <c r="P3527" t="s">
        <v>208</v>
      </c>
      <c r="Q3527" t="s">
        <v>209</v>
      </c>
    </row>
    <row r="3528" spans="1:17" x14ac:dyDescent="0.3">
      <c r="A3528" t="s">
        <v>7708</v>
      </c>
      <c r="C3528" t="s">
        <v>7709</v>
      </c>
      <c r="D3528" t="s">
        <v>7709</v>
      </c>
      <c r="E3528" s="5">
        <v>46284</v>
      </c>
      <c r="F3528" t="s">
        <v>204</v>
      </c>
      <c r="G3528" t="s">
        <v>205</v>
      </c>
      <c r="H3528">
        <v>299</v>
      </c>
      <c r="I3528">
        <v>5.68</v>
      </c>
      <c r="J3528">
        <v>1.02</v>
      </c>
      <c r="K3528">
        <v>292.3</v>
      </c>
      <c r="L3528" s="5">
        <v>46286</v>
      </c>
      <c r="M3528" t="s">
        <v>7468</v>
      </c>
      <c r="N3528" t="s">
        <v>207</v>
      </c>
      <c r="O3528" t="s">
        <v>7709</v>
      </c>
      <c r="P3528" t="s">
        <v>208</v>
      </c>
      <c r="Q3528" t="s">
        <v>209</v>
      </c>
    </row>
    <row r="3529" spans="1:17" x14ac:dyDescent="0.3">
      <c r="A3529" t="s">
        <v>7710</v>
      </c>
      <c r="C3529" t="s">
        <v>7711</v>
      </c>
      <c r="D3529" t="s">
        <v>7711</v>
      </c>
      <c r="E3529" s="5">
        <v>46284</v>
      </c>
      <c r="F3529" t="s">
        <v>204</v>
      </c>
      <c r="G3529" t="s">
        <v>220</v>
      </c>
      <c r="H3529">
        <v>2397</v>
      </c>
      <c r="I3529">
        <v>7.19</v>
      </c>
      <c r="J3529">
        <v>1.29</v>
      </c>
      <c r="K3529">
        <v>2388.52</v>
      </c>
      <c r="L3529" s="5">
        <v>46286</v>
      </c>
      <c r="M3529" t="s">
        <v>7468</v>
      </c>
      <c r="N3529" t="s">
        <v>207</v>
      </c>
      <c r="O3529" t="s">
        <v>7711</v>
      </c>
      <c r="P3529" t="s">
        <v>208</v>
      </c>
      <c r="Q3529" t="s">
        <v>209</v>
      </c>
    </row>
    <row r="3530" spans="1:17" x14ac:dyDescent="0.3">
      <c r="A3530" t="s">
        <v>7712</v>
      </c>
      <c r="C3530" t="s">
        <v>7713</v>
      </c>
      <c r="D3530" t="s">
        <v>7713</v>
      </c>
      <c r="E3530" s="5">
        <v>46284</v>
      </c>
      <c r="F3530" t="s">
        <v>204</v>
      </c>
      <c r="G3530" t="s">
        <v>205</v>
      </c>
      <c r="H3530">
        <v>2499</v>
      </c>
      <c r="I3530">
        <v>42.48</v>
      </c>
      <c r="J3530">
        <v>7.65</v>
      </c>
      <c r="K3530">
        <v>2448.87</v>
      </c>
      <c r="L3530" s="5">
        <v>46286</v>
      </c>
      <c r="M3530" t="s">
        <v>7468</v>
      </c>
      <c r="N3530" t="s">
        <v>207</v>
      </c>
      <c r="O3530" t="s">
        <v>7713</v>
      </c>
      <c r="P3530" t="s">
        <v>208</v>
      </c>
      <c r="Q3530" t="s">
        <v>209</v>
      </c>
    </row>
    <row r="3531" spans="1:17" x14ac:dyDescent="0.3">
      <c r="A3531" t="s">
        <v>7714</v>
      </c>
      <c r="C3531" t="s">
        <v>7715</v>
      </c>
      <c r="D3531" t="s">
        <v>7715</v>
      </c>
      <c r="E3531" s="5">
        <v>46284</v>
      </c>
      <c r="F3531" t="s">
        <v>204</v>
      </c>
      <c r="G3531" t="s">
        <v>205</v>
      </c>
      <c r="H3531">
        <v>1499</v>
      </c>
      <c r="I3531">
        <v>28.48</v>
      </c>
      <c r="J3531">
        <v>5.13</v>
      </c>
      <c r="K3531">
        <v>1465.39</v>
      </c>
      <c r="L3531" s="5">
        <v>46286</v>
      </c>
      <c r="M3531" t="s">
        <v>7468</v>
      </c>
      <c r="N3531" t="s">
        <v>207</v>
      </c>
      <c r="O3531" t="s">
        <v>7715</v>
      </c>
      <c r="P3531" t="s">
        <v>208</v>
      </c>
      <c r="Q3531" t="s">
        <v>209</v>
      </c>
    </row>
    <row r="3532" spans="1:17" x14ac:dyDescent="0.3">
      <c r="A3532" t="s">
        <v>7716</v>
      </c>
      <c r="C3532" t="s">
        <v>7717</v>
      </c>
      <c r="D3532" t="s">
        <v>7717</v>
      </c>
      <c r="E3532" s="5">
        <v>46284</v>
      </c>
      <c r="F3532" t="s">
        <v>204</v>
      </c>
      <c r="G3532" t="s">
        <v>220</v>
      </c>
      <c r="H3532">
        <v>2998</v>
      </c>
      <c r="I3532">
        <v>8.99</v>
      </c>
      <c r="J3532">
        <v>1.62</v>
      </c>
      <c r="K3532">
        <v>2987.39</v>
      </c>
      <c r="L3532" s="5">
        <v>46286</v>
      </c>
      <c r="M3532" t="s">
        <v>7468</v>
      </c>
      <c r="N3532" t="s">
        <v>207</v>
      </c>
      <c r="O3532" t="s">
        <v>7717</v>
      </c>
      <c r="P3532" t="s">
        <v>208</v>
      </c>
      <c r="Q3532" t="s">
        <v>209</v>
      </c>
    </row>
    <row r="3533" spans="1:17" x14ac:dyDescent="0.3">
      <c r="A3533" t="s">
        <v>7718</v>
      </c>
      <c r="C3533" t="s">
        <v>7719</v>
      </c>
      <c r="D3533" t="s">
        <v>7719</v>
      </c>
      <c r="E3533" s="5">
        <v>46284</v>
      </c>
      <c r="F3533" t="s">
        <v>204</v>
      </c>
      <c r="G3533" t="s">
        <v>220</v>
      </c>
      <c r="H3533">
        <v>799</v>
      </c>
      <c r="I3533">
        <v>0</v>
      </c>
      <c r="J3533">
        <v>0</v>
      </c>
      <c r="K3533">
        <v>799</v>
      </c>
      <c r="L3533" s="5">
        <v>46286</v>
      </c>
      <c r="M3533" t="s">
        <v>7468</v>
      </c>
      <c r="N3533" t="s">
        <v>207</v>
      </c>
      <c r="O3533" t="s">
        <v>7719</v>
      </c>
      <c r="P3533" t="s">
        <v>208</v>
      </c>
      <c r="Q3533" t="s">
        <v>209</v>
      </c>
    </row>
    <row r="3534" spans="1:17" x14ac:dyDescent="0.3">
      <c r="A3534" t="s">
        <v>7720</v>
      </c>
      <c r="C3534" t="s">
        <v>7721</v>
      </c>
      <c r="D3534" t="s">
        <v>7722</v>
      </c>
      <c r="E3534" s="5">
        <v>46284</v>
      </c>
      <c r="F3534" t="s">
        <v>204</v>
      </c>
      <c r="G3534" t="s">
        <v>220</v>
      </c>
      <c r="H3534">
        <v>798</v>
      </c>
      <c r="I3534">
        <v>0</v>
      </c>
      <c r="J3534">
        <v>0</v>
      </c>
      <c r="K3534">
        <v>798</v>
      </c>
      <c r="L3534" s="5">
        <v>46286</v>
      </c>
      <c r="M3534" t="s">
        <v>7468</v>
      </c>
      <c r="N3534" t="s">
        <v>207</v>
      </c>
      <c r="O3534" t="s">
        <v>7722</v>
      </c>
      <c r="P3534" t="s">
        <v>208</v>
      </c>
      <c r="Q3534" t="s">
        <v>209</v>
      </c>
    </row>
    <row r="3535" spans="1:17" x14ac:dyDescent="0.3">
      <c r="A3535" t="s">
        <v>7723</v>
      </c>
      <c r="C3535" t="s">
        <v>7724</v>
      </c>
      <c r="D3535" t="s">
        <v>7724</v>
      </c>
      <c r="E3535" s="5">
        <v>46284</v>
      </c>
      <c r="F3535" t="s">
        <v>204</v>
      </c>
      <c r="G3535" t="s">
        <v>220</v>
      </c>
      <c r="H3535">
        <v>799</v>
      </c>
      <c r="I3535">
        <v>0</v>
      </c>
      <c r="J3535">
        <v>0</v>
      </c>
      <c r="K3535">
        <v>799</v>
      </c>
      <c r="L3535" s="5">
        <v>46286</v>
      </c>
      <c r="M3535" t="s">
        <v>7468</v>
      </c>
      <c r="N3535" t="s">
        <v>207</v>
      </c>
      <c r="O3535" t="s">
        <v>7724</v>
      </c>
      <c r="P3535" t="s">
        <v>208</v>
      </c>
      <c r="Q3535" t="s">
        <v>209</v>
      </c>
    </row>
    <row r="3536" spans="1:17" x14ac:dyDescent="0.3">
      <c r="A3536" t="s">
        <v>7725</v>
      </c>
      <c r="C3536" t="s">
        <v>7726</v>
      </c>
      <c r="D3536" t="s">
        <v>7726</v>
      </c>
      <c r="E3536" s="5">
        <v>46284</v>
      </c>
      <c r="F3536" t="s">
        <v>204</v>
      </c>
      <c r="G3536" t="s">
        <v>205</v>
      </c>
      <c r="H3536">
        <v>1299</v>
      </c>
      <c r="I3536">
        <v>24.68</v>
      </c>
      <c r="J3536">
        <v>4.4400000000000004</v>
      </c>
      <c r="K3536">
        <v>1269.8800000000001</v>
      </c>
      <c r="L3536" s="5">
        <v>46286</v>
      </c>
      <c r="M3536" t="s">
        <v>7468</v>
      </c>
      <c r="N3536" t="s">
        <v>207</v>
      </c>
      <c r="O3536" t="s">
        <v>7726</v>
      </c>
      <c r="P3536" t="s">
        <v>208</v>
      </c>
      <c r="Q3536" t="s">
        <v>209</v>
      </c>
    </row>
    <row r="3537" spans="1:17" x14ac:dyDescent="0.3">
      <c r="A3537" t="s">
        <v>7727</v>
      </c>
      <c r="C3537" t="s">
        <v>7728</v>
      </c>
      <c r="D3537" t="s">
        <v>7728</v>
      </c>
      <c r="E3537" s="5">
        <v>46284</v>
      </c>
      <c r="F3537" t="s">
        <v>204</v>
      </c>
      <c r="G3537" t="s">
        <v>213</v>
      </c>
      <c r="H3537">
        <v>2998</v>
      </c>
      <c r="I3537">
        <v>47.97</v>
      </c>
      <c r="J3537">
        <v>8.6300000000000008</v>
      </c>
      <c r="K3537">
        <v>2941.4</v>
      </c>
      <c r="L3537" s="5">
        <v>46286</v>
      </c>
      <c r="M3537" t="s">
        <v>7468</v>
      </c>
      <c r="N3537" t="s">
        <v>207</v>
      </c>
      <c r="O3537" t="s">
        <v>7728</v>
      </c>
      <c r="P3537" t="s">
        <v>208</v>
      </c>
      <c r="Q3537" t="s">
        <v>209</v>
      </c>
    </row>
    <row r="3538" spans="1:17" x14ac:dyDescent="0.3">
      <c r="A3538" t="s">
        <v>7729</v>
      </c>
      <c r="C3538" t="s">
        <v>7730</v>
      </c>
      <c r="D3538" t="s">
        <v>7731</v>
      </c>
      <c r="E3538" s="5">
        <v>46284</v>
      </c>
      <c r="F3538" t="s">
        <v>204</v>
      </c>
      <c r="G3538" t="s">
        <v>213</v>
      </c>
      <c r="H3538">
        <v>349</v>
      </c>
      <c r="I3538">
        <v>6.28</v>
      </c>
      <c r="J3538">
        <v>1.1299999999999999</v>
      </c>
      <c r="K3538">
        <v>341.59</v>
      </c>
      <c r="L3538" s="5">
        <v>46286</v>
      </c>
      <c r="M3538" t="s">
        <v>7468</v>
      </c>
      <c r="N3538" t="s">
        <v>207</v>
      </c>
      <c r="O3538" t="s">
        <v>7731</v>
      </c>
      <c r="P3538" t="s">
        <v>208</v>
      </c>
      <c r="Q3538" t="s">
        <v>209</v>
      </c>
    </row>
    <row r="3539" spans="1:17" x14ac:dyDescent="0.3">
      <c r="A3539" t="s">
        <v>7732</v>
      </c>
      <c r="C3539" t="s">
        <v>7733</v>
      </c>
      <c r="D3539" t="s">
        <v>7733</v>
      </c>
      <c r="E3539" s="5">
        <v>46284</v>
      </c>
      <c r="F3539" t="s">
        <v>204</v>
      </c>
      <c r="G3539" t="s">
        <v>220</v>
      </c>
      <c r="H3539">
        <v>1299</v>
      </c>
      <c r="I3539">
        <v>0</v>
      </c>
      <c r="J3539">
        <v>0</v>
      </c>
      <c r="K3539">
        <v>1299</v>
      </c>
      <c r="L3539" s="5">
        <v>46286</v>
      </c>
      <c r="M3539" t="s">
        <v>7468</v>
      </c>
      <c r="N3539" t="s">
        <v>207</v>
      </c>
      <c r="O3539" t="s">
        <v>7733</v>
      </c>
      <c r="P3539" t="s">
        <v>208</v>
      </c>
      <c r="Q3539" t="s">
        <v>209</v>
      </c>
    </row>
    <row r="3540" spans="1:17" x14ac:dyDescent="0.3">
      <c r="A3540" t="s">
        <v>7734</v>
      </c>
      <c r="C3540" t="s">
        <v>7735</v>
      </c>
      <c r="D3540" t="s">
        <v>7735</v>
      </c>
      <c r="E3540" s="5">
        <v>46284</v>
      </c>
      <c r="F3540" t="s">
        <v>204</v>
      </c>
      <c r="G3540" t="s">
        <v>205</v>
      </c>
      <c r="H3540">
        <v>3097</v>
      </c>
      <c r="I3540">
        <v>52.65</v>
      </c>
      <c r="J3540">
        <v>9.48</v>
      </c>
      <c r="K3540">
        <v>3034.87</v>
      </c>
      <c r="L3540" s="5">
        <v>46286</v>
      </c>
      <c r="M3540" t="s">
        <v>7468</v>
      </c>
      <c r="N3540" t="s">
        <v>207</v>
      </c>
      <c r="O3540" t="s">
        <v>7735</v>
      </c>
      <c r="P3540" t="s">
        <v>208</v>
      </c>
      <c r="Q3540" t="s">
        <v>209</v>
      </c>
    </row>
    <row r="3541" spans="1:17" x14ac:dyDescent="0.3">
      <c r="A3541" t="s">
        <v>7736</v>
      </c>
      <c r="C3541" t="s">
        <v>7737</v>
      </c>
      <c r="D3541" t="s">
        <v>7738</v>
      </c>
      <c r="E3541" s="5">
        <v>46284</v>
      </c>
      <c r="F3541" t="s">
        <v>204</v>
      </c>
      <c r="G3541" t="s">
        <v>220</v>
      </c>
      <c r="H3541">
        <v>1098</v>
      </c>
      <c r="I3541">
        <v>0</v>
      </c>
      <c r="J3541">
        <v>0</v>
      </c>
      <c r="K3541">
        <v>1098</v>
      </c>
      <c r="L3541" s="5">
        <v>46286</v>
      </c>
      <c r="M3541" t="s">
        <v>7468</v>
      </c>
      <c r="N3541" t="s">
        <v>207</v>
      </c>
      <c r="O3541" t="s">
        <v>7738</v>
      </c>
      <c r="P3541" t="s">
        <v>208</v>
      </c>
      <c r="Q3541" t="s">
        <v>209</v>
      </c>
    </row>
    <row r="3542" spans="1:17" x14ac:dyDescent="0.3">
      <c r="A3542" t="s">
        <v>7739</v>
      </c>
      <c r="C3542" t="s">
        <v>7740</v>
      </c>
      <c r="D3542" t="s">
        <v>7740</v>
      </c>
      <c r="E3542" s="5">
        <v>46284</v>
      </c>
      <c r="F3542" t="s">
        <v>204</v>
      </c>
      <c r="G3542" t="s">
        <v>205</v>
      </c>
      <c r="H3542">
        <v>1298</v>
      </c>
      <c r="I3542">
        <v>24.66</v>
      </c>
      <c r="J3542">
        <v>4.4400000000000004</v>
      </c>
      <c r="K3542">
        <v>1268.9000000000001</v>
      </c>
      <c r="L3542" s="5">
        <v>46286</v>
      </c>
      <c r="M3542" t="s">
        <v>7468</v>
      </c>
      <c r="N3542" t="s">
        <v>207</v>
      </c>
      <c r="O3542" t="s">
        <v>7740</v>
      </c>
      <c r="P3542" t="s">
        <v>208</v>
      </c>
      <c r="Q3542" t="s">
        <v>209</v>
      </c>
    </row>
    <row r="3543" spans="1:17" x14ac:dyDescent="0.3">
      <c r="A3543" t="s">
        <v>7741</v>
      </c>
      <c r="C3543" t="s">
        <v>7742</v>
      </c>
      <c r="D3543" t="s">
        <v>7742</v>
      </c>
      <c r="E3543" s="5">
        <v>46284</v>
      </c>
      <c r="F3543" t="s">
        <v>204</v>
      </c>
      <c r="G3543" t="s">
        <v>213</v>
      </c>
      <c r="H3543">
        <v>1798</v>
      </c>
      <c r="I3543">
        <v>32.36</v>
      </c>
      <c r="J3543">
        <v>5.82</v>
      </c>
      <c r="K3543">
        <v>1759.82</v>
      </c>
      <c r="L3543" s="5">
        <v>46286</v>
      </c>
      <c r="M3543" t="s">
        <v>7468</v>
      </c>
      <c r="N3543" t="s">
        <v>207</v>
      </c>
      <c r="O3543" t="s">
        <v>7742</v>
      </c>
      <c r="P3543" t="s">
        <v>208</v>
      </c>
      <c r="Q3543" t="s">
        <v>209</v>
      </c>
    </row>
    <row r="3544" spans="1:17" x14ac:dyDescent="0.3">
      <c r="A3544" t="s">
        <v>7743</v>
      </c>
      <c r="C3544" t="s">
        <v>7744</v>
      </c>
      <c r="D3544" t="s">
        <v>7744</v>
      </c>
      <c r="E3544" s="5">
        <v>46284</v>
      </c>
      <c r="F3544" t="s">
        <v>204</v>
      </c>
      <c r="G3544" t="s">
        <v>220</v>
      </c>
      <c r="H3544">
        <v>10997</v>
      </c>
      <c r="I3544">
        <v>32.99</v>
      </c>
      <c r="J3544">
        <v>5.94</v>
      </c>
      <c r="K3544">
        <v>10958.07</v>
      </c>
      <c r="L3544" s="5">
        <v>46286</v>
      </c>
      <c r="M3544" t="s">
        <v>7468</v>
      </c>
      <c r="N3544" t="s">
        <v>207</v>
      </c>
      <c r="O3544" t="s">
        <v>7744</v>
      </c>
      <c r="P3544" t="s">
        <v>208</v>
      </c>
      <c r="Q3544" t="s">
        <v>209</v>
      </c>
    </row>
    <row r="3545" spans="1:17" x14ac:dyDescent="0.3">
      <c r="A3545" t="s">
        <v>7745</v>
      </c>
      <c r="C3545" t="s">
        <v>7746</v>
      </c>
      <c r="D3545" t="s">
        <v>7747</v>
      </c>
      <c r="E3545" s="5">
        <v>46284</v>
      </c>
      <c r="F3545" t="s">
        <v>204</v>
      </c>
      <c r="G3545" t="s">
        <v>220</v>
      </c>
      <c r="H3545">
        <v>1799</v>
      </c>
      <c r="I3545">
        <v>0</v>
      </c>
      <c r="J3545">
        <v>0</v>
      </c>
      <c r="K3545">
        <v>1799</v>
      </c>
      <c r="L3545" s="5">
        <v>46286</v>
      </c>
      <c r="M3545" t="s">
        <v>7468</v>
      </c>
      <c r="N3545" t="s">
        <v>207</v>
      </c>
      <c r="O3545" t="s">
        <v>7747</v>
      </c>
      <c r="P3545" t="s">
        <v>208</v>
      </c>
      <c r="Q3545" t="s">
        <v>209</v>
      </c>
    </row>
    <row r="3546" spans="1:17" x14ac:dyDescent="0.3">
      <c r="A3546" t="s">
        <v>7748</v>
      </c>
      <c r="C3546" t="s">
        <v>7749</v>
      </c>
      <c r="D3546" t="s">
        <v>7749</v>
      </c>
      <c r="E3546" s="5">
        <v>46284</v>
      </c>
      <c r="F3546" t="s">
        <v>204</v>
      </c>
      <c r="G3546" t="s">
        <v>213</v>
      </c>
      <c r="H3546">
        <v>5597</v>
      </c>
      <c r="I3546">
        <v>89.55</v>
      </c>
      <c r="J3546">
        <v>16.12</v>
      </c>
      <c r="K3546">
        <v>5491.33</v>
      </c>
      <c r="L3546" s="5">
        <v>46286</v>
      </c>
      <c r="M3546" t="s">
        <v>7468</v>
      </c>
      <c r="N3546" t="s">
        <v>207</v>
      </c>
      <c r="O3546" t="s">
        <v>7749</v>
      </c>
      <c r="P3546" t="s">
        <v>208</v>
      </c>
      <c r="Q3546" t="s">
        <v>209</v>
      </c>
    </row>
    <row r="3547" spans="1:17" x14ac:dyDescent="0.3">
      <c r="A3547" t="s">
        <v>7750</v>
      </c>
      <c r="C3547" t="s">
        <v>7751</v>
      </c>
      <c r="D3547" t="s">
        <v>7751</v>
      </c>
      <c r="E3547" s="5">
        <v>46284</v>
      </c>
      <c r="F3547" t="s">
        <v>204</v>
      </c>
      <c r="G3547" t="s">
        <v>220</v>
      </c>
      <c r="H3547">
        <v>5998</v>
      </c>
      <c r="I3547">
        <v>17.989999999999998</v>
      </c>
      <c r="J3547">
        <v>3.24</v>
      </c>
      <c r="K3547">
        <v>5976.77</v>
      </c>
      <c r="L3547" s="5">
        <v>46286</v>
      </c>
      <c r="M3547" t="s">
        <v>7468</v>
      </c>
      <c r="N3547" t="s">
        <v>207</v>
      </c>
      <c r="O3547" t="s">
        <v>7751</v>
      </c>
      <c r="P3547" t="s">
        <v>208</v>
      </c>
      <c r="Q3547" t="s">
        <v>209</v>
      </c>
    </row>
    <row r="3548" spans="1:17" x14ac:dyDescent="0.3">
      <c r="A3548" t="s">
        <v>7752</v>
      </c>
      <c r="C3548" t="s">
        <v>7753</v>
      </c>
      <c r="D3548" t="s">
        <v>7753</v>
      </c>
      <c r="E3548" s="5">
        <v>46284</v>
      </c>
      <c r="F3548" t="s">
        <v>204</v>
      </c>
      <c r="G3548" t="s">
        <v>220</v>
      </c>
      <c r="H3548">
        <v>499</v>
      </c>
      <c r="I3548">
        <v>0</v>
      </c>
      <c r="J3548">
        <v>0</v>
      </c>
      <c r="K3548">
        <v>499</v>
      </c>
      <c r="L3548" s="5">
        <v>46286</v>
      </c>
      <c r="M3548" t="s">
        <v>7468</v>
      </c>
      <c r="N3548" t="s">
        <v>207</v>
      </c>
      <c r="O3548" t="s">
        <v>7753</v>
      </c>
      <c r="P3548" t="s">
        <v>208</v>
      </c>
      <c r="Q3548" t="s">
        <v>209</v>
      </c>
    </row>
    <row r="3549" spans="1:17" x14ac:dyDescent="0.3">
      <c r="A3549" t="s">
        <v>7754</v>
      </c>
      <c r="C3549" t="s">
        <v>7755</v>
      </c>
      <c r="D3549" t="s">
        <v>7755</v>
      </c>
      <c r="E3549" s="5">
        <v>46284</v>
      </c>
      <c r="F3549" t="s">
        <v>204</v>
      </c>
      <c r="G3549" t="s">
        <v>255</v>
      </c>
      <c r="H3549">
        <v>999</v>
      </c>
      <c r="I3549">
        <v>14.99</v>
      </c>
      <c r="J3549">
        <v>2.7</v>
      </c>
      <c r="K3549">
        <v>981.31</v>
      </c>
      <c r="L3549" s="5">
        <v>46286</v>
      </c>
      <c r="M3549" t="s">
        <v>7468</v>
      </c>
      <c r="N3549" t="s">
        <v>207</v>
      </c>
      <c r="O3549" t="s">
        <v>7755</v>
      </c>
      <c r="P3549" t="s">
        <v>208</v>
      </c>
      <c r="Q3549" t="s">
        <v>209</v>
      </c>
    </row>
    <row r="3550" spans="1:17" x14ac:dyDescent="0.3">
      <c r="A3550" t="s">
        <v>7756</v>
      </c>
      <c r="C3550" t="s">
        <v>7757</v>
      </c>
      <c r="D3550" t="s">
        <v>7757</v>
      </c>
      <c r="E3550" s="5">
        <v>46284</v>
      </c>
      <c r="F3550" t="s">
        <v>204</v>
      </c>
      <c r="G3550" t="s">
        <v>220</v>
      </c>
      <c r="H3550">
        <v>9097</v>
      </c>
      <c r="I3550">
        <v>27.29</v>
      </c>
      <c r="J3550">
        <v>4.91</v>
      </c>
      <c r="K3550">
        <v>9064.7999999999993</v>
      </c>
      <c r="L3550" s="5">
        <v>46286</v>
      </c>
      <c r="M3550" t="s">
        <v>7468</v>
      </c>
      <c r="N3550" t="s">
        <v>207</v>
      </c>
      <c r="O3550" t="s">
        <v>7757</v>
      </c>
      <c r="P3550" t="s">
        <v>208</v>
      </c>
      <c r="Q3550" t="s">
        <v>209</v>
      </c>
    </row>
    <row r="3551" spans="1:17" x14ac:dyDescent="0.3">
      <c r="A3551" t="s">
        <v>7758</v>
      </c>
      <c r="C3551" t="s">
        <v>7759</v>
      </c>
      <c r="D3551" t="s">
        <v>7759</v>
      </c>
      <c r="E3551" s="5">
        <v>46284</v>
      </c>
      <c r="F3551" t="s">
        <v>204</v>
      </c>
      <c r="G3551" t="s">
        <v>220</v>
      </c>
      <c r="H3551">
        <v>11997</v>
      </c>
      <c r="I3551">
        <v>35.99</v>
      </c>
      <c r="J3551">
        <v>6.48</v>
      </c>
      <c r="K3551">
        <v>11954.53</v>
      </c>
      <c r="L3551" s="5">
        <v>46286</v>
      </c>
      <c r="M3551" t="s">
        <v>7468</v>
      </c>
      <c r="N3551" t="s">
        <v>207</v>
      </c>
      <c r="O3551" t="s">
        <v>7759</v>
      </c>
      <c r="P3551" t="s">
        <v>208</v>
      </c>
      <c r="Q3551" t="s">
        <v>209</v>
      </c>
    </row>
    <row r="3552" spans="1:17" x14ac:dyDescent="0.3">
      <c r="A3552" t="s">
        <v>7760</v>
      </c>
      <c r="C3552" t="s">
        <v>7761</v>
      </c>
      <c r="D3552" t="s">
        <v>7761</v>
      </c>
      <c r="E3552" s="5">
        <v>46284</v>
      </c>
      <c r="F3552" t="s">
        <v>204</v>
      </c>
      <c r="G3552" t="s">
        <v>213</v>
      </c>
      <c r="H3552">
        <v>3147</v>
      </c>
      <c r="I3552">
        <v>50.35</v>
      </c>
      <c r="J3552">
        <v>9.06</v>
      </c>
      <c r="K3552">
        <v>3087.59</v>
      </c>
      <c r="L3552" s="5">
        <v>46286</v>
      </c>
      <c r="M3552" t="s">
        <v>7468</v>
      </c>
      <c r="N3552" t="s">
        <v>207</v>
      </c>
      <c r="O3552" t="s">
        <v>7761</v>
      </c>
      <c r="P3552" t="s">
        <v>208</v>
      </c>
      <c r="Q3552" t="s">
        <v>209</v>
      </c>
    </row>
    <row r="3553" spans="1:17" x14ac:dyDescent="0.3">
      <c r="A3553" t="s">
        <v>7762</v>
      </c>
      <c r="C3553" t="s">
        <v>7763</v>
      </c>
      <c r="D3553" t="s">
        <v>7763</v>
      </c>
      <c r="E3553" s="5">
        <v>46284</v>
      </c>
      <c r="F3553" t="s">
        <v>204</v>
      </c>
      <c r="G3553" t="s">
        <v>220</v>
      </c>
      <c r="H3553">
        <v>349</v>
      </c>
      <c r="I3553">
        <v>0</v>
      </c>
      <c r="J3553">
        <v>0</v>
      </c>
      <c r="K3553">
        <v>349</v>
      </c>
      <c r="L3553" s="5">
        <v>46286</v>
      </c>
      <c r="M3553" t="s">
        <v>7468</v>
      </c>
      <c r="N3553" t="s">
        <v>207</v>
      </c>
      <c r="O3553" t="s">
        <v>7763</v>
      </c>
      <c r="P3553" t="s">
        <v>208</v>
      </c>
      <c r="Q3553" t="s">
        <v>209</v>
      </c>
    </row>
    <row r="3554" spans="1:17" x14ac:dyDescent="0.3">
      <c r="A3554" t="s">
        <v>7764</v>
      </c>
      <c r="C3554" t="s">
        <v>7765</v>
      </c>
      <c r="D3554" t="s">
        <v>7765</v>
      </c>
      <c r="E3554" s="5">
        <v>46284</v>
      </c>
      <c r="F3554" t="s">
        <v>204</v>
      </c>
      <c r="G3554" t="s">
        <v>255</v>
      </c>
      <c r="H3554">
        <v>7999</v>
      </c>
      <c r="I3554">
        <v>95.99</v>
      </c>
      <c r="J3554">
        <v>17.28</v>
      </c>
      <c r="K3554">
        <v>7885.73</v>
      </c>
      <c r="L3554" s="5">
        <v>46286</v>
      </c>
      <c r="M3554" t="s">
        <v>7468</v>
      </c>
      <c r="N3554" t="s">
        <v>207</v>
      </c>
      <c r="O3554" t="s">
        <v>7765</v>
      </c>
      <c r="P3554" t="s">
        <v>208</v>
      </c>
      <c r="Q3554" t="s">
        <v>209</v>
      </c>
    </row>
    <row r="3555" spans="1:17" x14ac:dyDescent="0.3">
      <c r="A3555" t="s">
        <v>7766</v>
      </c>
      <c r="C3555" t="s">
        <v>7767</v>
      </c>
      <c r="D3555" t="s">
        <v>7767</v>
      </c>
      <c r="E3555" s="5">
        <v>46284</v>
      </c>
      <c r="F3555" t="s">
        <v>204</v>
      </c>
      <c r="G3555" t="s">
        <v>220</v>
      </c>
      <c r="H3555">
        <v>4298</v>
      </c>
      <c r="I3555">
        <v>12.89</v>
      </c>
      <c r="J3555">
        <v>2.3199999999999998</v>
      </c>
      <c r="K3555">
        <v>4282.79</v>
      </c>
      <c r="L3555" s="5">
        <v>46286</v>
      </c>
      <c r="M3555" t="s">
        <v>7468</v>
      </c>
      <c r="N3555" t="s">
        <v>207</v>
      </c>
      <c r="O3555" t="s">
        <v>7767</v>
      </c>
      <c r="P3555" t="s">
        <v>208</v>
      </c>
      <c r="Q3555" t="s">
        <v>209</v>
      </c>
    </row>
    <row r="3556" spans="1:17" x14ac:dyDescent="0.3">
      <c r="A3556" t="s">
        <v>7768</v>
      </c>
      <c r="C3556" t="s">
        <v>7769</v>
      </c>
      <c r="D3556" t="s">
        <v>7769</v>
      </c>
      <c r="E3556" s="5">
        <v>46284</v>
      </c>
      <c r="F3556" t="s">
        <v>204</v>
      </c>
      <c r="G3556" t="s">
        <v>213</v>
      </c>
      <c r="H3556">
        <v>1798</v>
      </c>
      <c r="I3556">
        <v>32.36</v>
      </c>
      <c r="J3556">
        <v>5.82</v>
      </c>
      <c r="K3556">
        <v>1759.82</v>
      </c>
      <c r="L3556" s="5">
        <v>46286</v>
      </c>
      <c r="M3556" t="s">
        <v>7468</v>
      </c>
      <c r="N3556" t="s">
        <v>207</v>
      </c>
      <c r="O3556" t="s">
        <v>7769</v>
      </c>
      <c r="P3556" t="s">
        <v>208</v>
      </c>
      <c r="Q3556" t="s">
        <v>209</v>
      </c>
    </row>
    <row r="3557" spans="1:17" x14ac:dyDescent="0.3">
      <c r="A3557" t="s">
        <v>7770</v>
      </c>
      <c r="C3557" t="s">
        <v>7771</v>
      </c>
      <c r="D3557" t="s">
        <v>7771</v>
      </c>
      <c r="E3557" s="5">
        <v>46284</v>
      </c>
      <c r="F3557" t="s">
        <v>204</v>
      </c>
      <c r="G3557" t="s">
        <v>220</v>
      </c>
      <c r="H3557">
        <v>999</v>
      </c>
      <c r="I3557">
        <v>0</v>
      </c>
      <c r="J3557">
        <v>0</v>
      </c>
      <c r="K3557">
        <v>999</v>
      </c>
      <c r="L3557" s="5">
        <v>46286</v>
      </c>
      <c r="M3557" t="s">
        <v>7468</v>
      </c>
      <c r="N3557" t="s">
        <v>207</v>
      </c>
      <c r="O3557" t="s">
        <v>7771</v>
      </c>
      <c r="P3557" t="s">
        <v>208</v>
      </c>
      <c r="Q3557" t="s">
        <v>209</v>
      </c>
    </row>
    <row r="3558" spans="1:17" x14ac:dyDescent="0.3">
      <c r="A3558" t="s">
        <v>7772</v>
      </c>
      <c r="C3558" t="s">
        <v>7773</v>
      </c>
      <c r="D3558" t="s">
        <v>7773</v>
      </c>
      <c r="E3558" s="5">
        <v>46284</v>
      </c>
      <c r="F3558" t="s">
        <v>204</v>
      </c>
      <c r="G3558" t="s">
        <v>255</v>
      </c>
      <c r="H3558">
        <v>499</v>
      </c>
      <c r="I3558">
        <v>7.49</v>
      </c>
      <c r="J3558">
        <v>1.35</v>
      </c>
      <c r="K3558">
        <v>490.16</v>
      </c>
      <c r="L3558" s="5">
        <v>46286</v>
      </c>
      <c r="M3558" t="s">
        <v>7468</v>
      </c>
      <c r="N3558" t="s">
        <v>207</v>
      </c>
      <c r="O3558" t="s">
        <v>7773</v>
      </c>
      <c r="P3558" t="s">
        <v>208</v>
      </c>
      <c r="Q3558" t="s">
        <v>209</v>
      </c>
    </row>
    <row r="3559" spans="1:17" x14ac:dyDescent="0.3">
      <c r="A3559" t="s">
        <v>7774</v>
      </c>
      <c r="C3559" t="s">
        <v>7775</v>
      </c>
      <c r="D3559" t="s">
        <v>7775</v>
      </c>
      <c r="E3559" s="5">
        <v>46284</v>
      </c>
      <c r="F3559" t="s">
        <v>204</v>
      </c>
      <c r="G3559" t="s">
        <v>205</v>
      </c>
      <c r="H3559">
        <v>4798</v>
      </c>
      <c r="I3559">
        <v>81.569999999999993</v>
      </c>
      <c r="J3559">
        <v>14.68</v>
      </c>
      <c r="K3559">
        <v>4701.75</v>
      </c>
      <c r="L3559" s="5">
        <v>46286</v>
      </c>
      <c r="M3559" t="s">
        <v>7468</v>
      </c>
      <c r="N3559" t="s">
        <v>207</v>
      </c>
      <c r="O3559" t="s">
        <v>7775</v>
      </c>
      <c r="P3559" t="s">
        <v>208</v>
      </c>
      <c r="Q3559" t="s">
        <v>209</v>
      </c>
    </row>
    <row r="3560" spans="1:17" x14ac:dyDescent="0.3">
      <c r="A3560" t="s">
        <v>7776</v>
      </c>
      <c r="C3560" t="s">
        <v>7777</v>
      </c>
      <c r="D3560" t="s">
        <v>7777</v>
      </c>
      <c r="E3560" s="5">
        <v>46284</v>
      </c>
      <c r="F3560" t="s">
        <v>204</v>
      </c>
      <c r="G3560" t="s">
        <v>220</v>
      </c>
      <c r="H3560">
        <v>1598</v>
      </c>
      <c r="I3560">
        <v>0</v>
      </c>
      <c r="J3560">
        <v>0</v>
      </c>
      <c r="K3560">
        <v>1598</v>
      </c>
      <c r="L3560" s="5">
        <v>46286</v>
      </c>
      <c r="M3560" t="s">
        <v>7468</v>
      </c>
      <c r="N3560" t="s">
        <v>207</v>
      </c>
      <c r="O3560" t="s">
        <v>7777</v>
      </c>
      <c r="P3560" t="s">
        <v>208</v>
      </c>
      <c r="Q3560" t="s">
        <v>209</v>
      </c>
    </row>
    <row r="3561" spans="1:17" x14ac:dyDescent="0.3">
      <c r="A3561" t="s">
        <v>7778</v>
      </c>
      <c r="C3561" t="s">
        <v>7779</v>
      </c>
      <c r="D3561" t="s">
        <v>7779</v>
      </c>
      <c r="E3561" s="5">
        <v>46284</v>
      </c>
      <c r="F3561" t="s">
        <v>204</v>
      </c>
      <c r="G3561" t="s">
        <v>205</v>
      </c>
      <c r="H3561">
        <v>799</v>
      </c>
      <c r="I3561">
        <v>15.18</v>
      </c>
      <c r="J3561">
        <v>2.73</v>
      </c>
      <c r="K3561">
        <v>781.09</v>
      </c>
      <c r="L3561" s="5">
        <v>46286</v>
      </c>
      <c r="M3561" t="s">
        <v>7468</v>
      </c>
      <c r="N3561" t="s">
        <v>207</v>
      </c>
      <c r="O3561" t="s">
        <v>7779</v>
      </c>
      <c r="P3561" t="s">
        <v>208</v>
      </c>
      <c r="Q3561" t="s">
        <v>209</v>
      </c>
    </row>
    <row r="3562" spans="1:17" x14ac:dyDescent="0.3">
      <c r="A3562" t="s">
        <v>7780</v>
      </c>
      <c r="C3562" t="s">
        <v>7781</v>
      </c>
      <c r="D3562" t="s">
        <v>7781</v>
      </c>
      <c r="E3562" s="5">
        <v>46284</v>
      </c>
      <c r="F3562" t="s">
        <v>204</v>
      </c>
      <c r="G3562" t="s">
        <v>205</v>
      </c>
      <c r="H3562">
        <v>999</v>
      </c>
      <c r="I3562">
        <v>18.98</v>
      </c>
      <c r="J3562">
        <v>3.42</v>
      </c>
      <c r="K3562">
        <v>976.6</v>
      </c>
      <c r="L3562" s="5">
        <v>46286</v>
      </c>
      <c r="M3562" t="s">
        <v>7468</v>
      </c>
      <c r="N3562" t="s">
        <v>207</v>
      </c>
      <c r="O3562" t="s">
        <v>7781</v>
      </c>
      <c r="P3562" t="s">
        <v>208</v>
      </c>
      <c r="Q3562" t="s">
        <v>209</v>
      </c>
    </row>
    <row r="3563" spans="1:17" x14ac:dyDescent="0.3">
      <c r="A3563" t="s">
        <v>7782</v>
      </c>
      <c r="C3563" t="s">
        <v>7783</v>
      </c>
      <c r="D3563" t="s">
        <v>7783</v>
      </c>
      <c r="E3563" s="5">
        <v>46284</v>
      </c>
      <c r="F3563" t="s">
        <v>204</v>
      </c>
      <c r="G3563" t="s">
        <v>205</v>
      </c>
      <c r="H3563">
        <v>5998</v>
      </c>
      <c r="I3563">
        <v>143.94999999999999</v>
      </c>
      <c r="J3563">
        <v>25.91</v>
      </c>
      <c r="K3563">
        <v>5828.14</v>
      </c>
      <c r="L3563" s="5">
        <v>46286</v>
      </c>
      <c r="M3563" t="s">
        <v>7468</v>
      </c>
      <c r="N3563" t="s">
        <v>207</v>
      </c>
      <c r="O3563" t="s">
        <v>7783</v>
      </c>
      <c r="P3563" t="s">
        <v>208</v>
      </c>
      <c r="Q3563" t="s">
        <v>209</v>
      </c>
    </row>
    <row r="3564" spans="1:17" x14ac:dyDescent="0.3">
      <c r="A3564" t="s">
        <v>7784</v>
      </c>
      <c r="C3564" t="s">
        <v>7785</v>
      </c>
      <c r="D3564" t="s">
        <v>7785</v>
      </c>
      <c r="E3564" s="5">
        <v>46284</v>
      </c>
      <c r="F3564" t="s">
        <v>204</v>
      </c>
      <c r="G3564" t="s">
        <v>220</v>
      </c>
      <c r="H3564">
        <v>349</v>
      </c>
      <c r="I3564">
        <v>0</v>
      </c>
      <c r="J3564">
        <v>0</v>
      </c>
      <c r="K3564">
        <v>349</v>
      </c>
      <c r="L3564" s="5">
        <v>46286</v>
      </c>
      <c r="M3564" t="s">
        <v>7468</v>
      </c>
      <c r="N3564" t="s">
        <v>207</v>
      </c>
      <c r="O3564" t="s">
        <v>7785</v>
      </c>
      <c r="P3564" t="s">
        <v>208</v>
      </c>
      <c r="Q3564" t="s">
        <v>209</v>
      </c>
    </row>
    <row r="3565" spans="1:17" x14ac:dyDescent="0.3">
      <c r="A3565" t="s">
        <v>7786</v>
      </c>
      <c r="C3565" t="s">
        <v>7787</v>
      </c>
      <c r="D3565" t="s">
        <v>7788</v>
      </c>
      <c r="E3565" s="5">
        <v>46284</v>
      </c>
      <c r="F3565" t="s">
        <v>204</v>
      </c>
      <c r="G3565" t="s">
        <v>220</v>
      </c>
      <c r="H3565">
        <v>599</v>
      </c>
      <c r="I3565">
        <v>0</v>
      </c>
      <c r="J3565">
        <v>0</v>
      </c>
      <c r="K3565">
        <v>599</v>
      </c>
      <c r="L3565" s="5">
        <v>46286</v>
      </c>
      <c r="M3565" t="s">
        <v>7468</v>
      </c>
      <c r="N3565" t="s">
        <v>207</v>
      </c>
      <c r="O3565" t="s">
        <v>7788</v>
      </c>
      <c r="P3565" t="s">
        <v>208</v>
      </c>
      <c r="Q3565" t="s">
        <v>209</v>
      </c>
    </row>
    <row r="3566" spans="1:17" x14ac:dyDescent="0.3">
      <c r="A3566" t="s">
        <v>7789</v>
      </c>
      <c r="C3566" t="s">
        <v>7790</v>
      </c>
      <c r="D3566" t="s">
        <v>7790</v>
      </c>
      <c r="E3566" s="5">
        <v>46284</v>
      </c>
      <c r="F3566" t="s">
        <v>204</v>
      </c>
      <c r="G3566" t="s">
        <v>220</v>
      </c>
      <c r="H3566">
        <v>4999</v>
      </c>
      <c r="I3566">
        <v>15</v>
      </c>
      <c r="J3566">
        <v>2.7</v>
      </c>
      <c r="K3566">
        <v>4981.3</v>
      </c>
      <c r="L3566" s="5">
        <v>46286</v>
      </c>
      <c r="M3566" t="s">
        <v>7468</v>
      </c>
      <c r="N3566" t="s">
        <v>207</v>
      </c>
      <c r="O3566" t="s">
        <v>7790</v>
      </c>
      <c r="P3566" t="s">
        <v>208</v>
      </c>
      <c r="Q3566" t="s">
        <v>209</v>
      </c>
    </row>
    <row r="3567" spans="1:17" x14ac:dyDescent="0.3">
      <c r="A3567" t="s">
        <v>7791</v>
      </c>
      <c r="C3567" t="s">
        <v>7792</v>
      </c>
      <c r="D3567" t="s">
        <v>7792</v>
      </c>
      <c r="E3567" s="5">
        <v>46284</v>
      </c>
      <c r="F3567" t="s">
        <v>204</v>
      </c>
      <c r="G3567" t="s">
        <v>220</v>
      </c>
      <c r="H3567">
        <v>9298</v>
      </c>
      <c r="I3567">
        <v>27.89</v>
      </c>
      <c r="J3567">
        <v>5.0199999999999996</v>
      </c>
      <c r="K3567">
        <v>9265.09</v>
      </c>
      <c r="L3567" s="5">
        <v>46286</v>
      </c>
      <c r="M3567" t="s">
        <v>7468</v>
      </c>
      <c r="N3567" t="s">
        <v>207</v>
      </c>
      <c r="O3567" t="s">
        <v>7792</v>
      </c>
      <c r="P3567" t="s">
        <v>208</v>
      </c>
      <c r="Q3567" t="s">
        <v>209</v>
      </c>
    </row>
    <row r="3568" spans="1:17" x14ac:dyDescent="0.3">
      <c r="A3568" t="s">
        <v>7793</v>
      </c>
      <c r="C3568" t="s">
        <v>7794</v>
      </c>
      <c r="D3568" t="s">
        <v>7794</v>
      </c>
      <c r="E3568" s="5">
        <v>46284</v>
      </c>
      <c r="F3568" t="s">
        <v>204</v>
      </c>
      <c r="G3568" t="s">
        <v>205</v>
      </c>
      <c r="H3568">
        <v>3499</v>
      </c>
      <c r="I3568">
        <v>59.48</v>
      </c>
      <c r="J3568">
        <v>10.71</v>
      </c>
      <c r="K3568">
        <v>3428.81</v>
      </c>
      <c r="L3568" s="5">
        <v>46286</v>
      </c>
      <c r="M3568" t="s">
        <v>7468</v>
      </c>
      <c r="N3568" t="s">
        <v>207</v>
      </c>
      <c r="O3568" t="s">
        <v>7794</v>
      </c>
      <c r="P3568" t="s">
        <v>208</v>
      </c>
      <c r="Q3568" t="s">
        <v>209</v>
      </c>
    </row>
    <row r="3569" spans="1:17" x14ac:dyDescent="0.3">
      <c r="A3569" t="s">
        <v>7795</v>
      </c>
      <c r="C3569" t="s">
        <v>7796</v>
      </c>
      <c r="D3569" t="s">
        <v>7797</v>
      </c>
      <c r="E3569" s="5">
        <v>46284</v>
      </c>
      <c r="F3569" t="s">
        <v>204</v>
      </c>
      <c r="G3569" t="s">
        <v>220</v>
      </c>
      <c r="H3569">
        <v>13597</v>
      </c>
      <c r="I3569">
        <v>40.79</v>
      </c>
      <c r="J3569">
        <v>7.34</v>
      </c>
      <c r="K3569">
        <v>13548.87</v>
      </c>
      <c r="L3569" s="5">
        <v>46286</v>
      </c>
      <c r="M3569" t="s">
        <v>7468</v>
      </c>
      <c r="N3569" t="s">
        <v>207</v>
      </c>
      <c r="O3569" t="s">
        <v>7797</v>
      </c>
      <c r="P3569" t="s">
        <v>208</v>
      </c>
      <c r="Q3569" t="s">
        <v>209</v>
      </c>
    </row>
    <row r="3570" spans="1:17" x14ac:dyDescent="0.3">
      <c r="A3570" t="s">
        <v>7798</v>
      </c>
      <c r="C3570" t="s">
        <v>7799</v>
      </c>
      <c r="D3570" t="s">
        <v>7800</v>
      </c>
      <c r="E3570" s="5">
        <v>46284</v>
      </c>
      <c r="F3570" t="s">
        <v>204</v>
      </c>
      <c r="G3570" t="s">
        <v>205</v>
      </c>
      <c r="H3570">
        <v>898</v>
      </c>
      <c r="I3570">
        <v>17.059999999999999</v>
      </c>
      <c r="J3570">
        <v>3.07</v>
      </c>
      <c r="K3570">
        <v>877.87</v>
      </c>
      <c r="L3570" s="5">
        <v>46286</v>
      </c>
      <c r="M3570" t="s">
        <v>7468</v>
      </c>
      <c r="N3570" t="s">
        <v>207</v>
      </c>
      <c r="O3570" t="s">
        <v>7800</v>
      </c>
      <c r="P3570" t="s">
        <v>208</v>
      </c>
      <c r="Q3570" t="s">
        <v>209</v>
      </c>
    </row>
    <row r="3571" spans="1:17" x14ac:dyDescent="0.3">
      <c r="A3571" t="s">
        <v>7801</v>
      </c>
      <c r="C3571" t="s">
        <v>7802</v>
      </c>
      <c r="D3571" t="s">
        <v>7802</v>
      </c>
      <c r="E3571" s="5">
        <v>46284</v>
      </c>
      <c r="F3571" t="s">
        <v>204</v>
      </c>
      <c r="G3571" t="s">
        <v>213</v>
      </c>
      <c r="H3571">
        <v>4999</v>
      </c>
      <c r="I3571">
        <v>79.98</v>
      </c>
      <c r="J3571">
        <v>14.4</v>
      </c>
      <c r="K3571">
        <v>4904.62</v>
      </c>
      <c r="L3571" s="5">
        <v>46286</v>
      </c>
      <c r="M3571" t="s">
        <v>7468</v>
      </c>
      <c r="N3571" t="s">
        <v>207</v>
      </c>
      <c r="O3571" t="s">
        <v>7802</v>
      </c>
      <c r="P3571" t="s">
        <v>208</v>
      </c>
      <c r="Q3571" t="s">
        <v>209</v>
      </c>
    </row>
    <row r="3572" spans="1:17" x14ac:dyDescent="0.3">
      <c r="A3572" t="s">
        <v>7803</v>
      </c>
      <c r="C3572" t="s">
        <v>7804</v>
      </c>
      <c r="D3572" t="s">
        <v>7804</v>
      </c>
      <c r="E3572" s="5">
        <v>46284</v>
      </c>
      <c r="F3572" t="s">
        <v>204</v>
      </c>
      <c r="G3572" t="s">
        <v>220</v>
      </c>
      <c r="H3572">
        <v>1299</v>
      </c>
      <c r="I3572">
        <v>0</v>
      </c>
      <c r="J3572">
        <v>0</v>
      </c>
      <c r="K3572">
        <v>1299</v>
      </c>
      <c r="L3572" s="5">
        <v>46286</v>
      </c>
      <c r="M3572" t="s">
        <v>7468</v>
      </c>
      <c r="N3572" t="s">
        <v>207</v>
      </c>
      <c r="O3572" t="s">
        <v>7804</v>
      </c>
      <c r="P3572" t="s">
        <v>208</v>
      </c>
      <c r="Q3572" t="s">
        <v>209</v>
      </c>
    </row>
    <row r="3573" spans="1:17" x14ac:dyDescent="0.3">
      <c r="A3573" t="s">
        <v>7805</v>
      </c>
      <c r="C3573" t="s">
        <v>7806</v>
      </c>
      <c r="D3573" t="s">
        <v>7806</v>
      </c>
      <c r="E3573" s="5">
        <v>46284</v>
      </c>
      <c r="F3573" t="s">
        <v>204</v>
      </c>
      <c r="G3573" t="s">
        <v>220</v>
      </c>
      <c r="H3573">
        <v>1299</v>
      </c>
      <c r="I3573">
        <v>3.9</v>
      </c>
      <c r="J3573">
        <v>0.7</v>
      </c>
      <c r="K3573">
        <v>1294.4000000000001</v>
      </c>
      <c r="L3573" s="5">
        <v>46286</v>
      </c>
      <c r="M3573" t="s">
        <v>7468</v>
      </c>
      <c r="N3573" t="s">
        <v>207</v>
      </c>
      <c r="O3573" t="s">
        <v>7806</v>
      </c>
      <c r="P3573" t="s">
        <v>208</v>
      </c>
      <c r="Q3573" t="s">
        <v>209</v>
      </c>
    </row>
    <row r="3574" spans="1:17" x14ac:dyDescent="0.3">
      <c r="A3574" t="s">
        <v>7807</v>
      </c>
      <c r="C3574" t="s">
        <v>7808</v>
      </c>
      <c r="D3574" t="s">
        <v>7808</v>
      </c>
      <c r="E3574" s="5">
        <v>46284</v>
      </c>
      <c r="F3574" t="s">
        <v>204</v>
      </c>
      <c r="G3574" t="s">
        <v>255</v>
      </c>
      <c r="H3574">
        <v>5298</v>
      </c>
      <c r="I3574">
        <v>63.58</v>
      </c>
      <c r="J3574">
        <v>11.44</v>
      </c>
      <c r="K3574">
        <v>5222.9799999999996</v>
      </c>
      <c r="L3574" s="5">
        <v>46286</v>
      </c>
      <c r="M3574" t="s">
        <v>7468</v>
      </c>
      <c r="N3574" t="s">
        <v>207</v>
      </c>
      <c r="O3574" t="s">
        <v>7808</v>
      </c>
      <c r="P3574" t="s">
        <v>208</v>
      </c>
      <c r="Q3574" t="s">
        <v>209</v>
      </c>
    </row>
    <row r="3575" spans="1:17" x14ac:dyDescent="0.3">
      <c r="A3575" t="s">
        <v>7809</v>
      </c>
      <c r="C3575" t="s">
        <v>7810</v>
      </c>
      <c r="D3575" t="s">
        <v>7810</v>
      </c>
      <c r="E3575" s="5">
        <v>46284</v>
      </c>
      <c r="F3575" t="s">
        <v>204</v>
      </c>
      <c r="G3575" t="s">
        <v>213</v>
      </c>
      <c r="H3575">
        <v>1098</v>
      </c>
      <c r="I3575">
        <v>19.760000000000002</v>
      </c>
      <c r="J3575">
        <v>3.56</v>
      </c>
      <c r="K3575">
        <v>1074.68</v>
      </c>
      <c r="L3575" s="5">
        <v>46286</v>
      </c>
      <c r="M3575" t="s">
        <v>7468</v>
      </c>
      <c r="N3575" t="s">
        <v>207</v>
      </c>
      <c r="O3575" t="s">
        <v>7810</v>
      </c>
      <c r="P3575" t="s">
        <v>208</v>
      </c>
      <c r="Q3575" t="s">
        <v>209</v>
      </c>
    </row>
    <row r="3576" spans="1:17" x14ac:dyDescent="0.3">
      <c r="A3576" t="s">
        <v>7811</v>
      </c>
      <c r="C3576" t="s">
        <v>7812</v>
      </c>
      <c r="D3576" t="s">
        <v>7812</v>
      </c>
      <c r="E3576" s="5">
        <v>46284</v>
      </c>
      <c r="F3576" t="s">
        <v>204</v>
      </c>
      <c r="G3576" t="s">
        <v>220</v>
      </c>
      <c r="H3576">
        <v>499</v>
      </c>
      <c r="I3576">
        <v>0</v>
      </c>
      <c r="J3576">
        <v>0</v>
      </c>
      <c r="K3576">
        <v>499</v>
      </c>
      <c r="L3576" s="5">
        <v>46286</v>
      </c>
      <c r="M3576" t="s">
        <v>7468</v>
      </c>
      <c r="N3576" t="s">
        <v>207</v>
      </c>
      <c r="O3576" t="s">
        <v>7812</v>
      </c>
      <c r="P3576" t="s">
        <v>208</v>
      </c>
      <c r="Q3576" t="s">
        <v>209</v>
      </c>
    </row>
    <row r="3577" spans="1:17" x14ac:dyDescent="0.3">
      <c r="A3577" t="s">
        <v>7813</v>
      </c>
      <c r="C3577" t="s">
        <v>7814</v>
      </c>
      <c r="D3577" t="s">
        <v>7814</v>
      </c>
      <c r="E3577" s="5">
        <v>46284</v>
      </c>
      <c r="F3577" t="s">
        <v>204</v>
      </c>
      <c r="G3577" t="s">
        <v>220</v>
      </c>
      <c r="H3577">
        <v>6997</v>
      </c>
      <c r="I3577">
        <v>20.99</v>
      </c>
      <c r="J3577">
        <v>3.78</v>
      </c>
      <c r="K3577">
        <v>6972.23</v>
      </c>
      <c r="L3577" s="5">
        <v>46286</v>
      </c>
      <c r="M3577" t="s">
        <v>7468</v>
      </c>
      <c r="N3577" t="s">
        <v>207</v>
      </c>
      <c r="O3577" t="s">
        <v>7814</v>
      </c>
      <c r="P3577" t="s">
        <v>208</v>
      </c>
      <c r="Q3577" t="s">
        <v>209</v>
      </c>
    </row>
    <row r="3578" spans="1:17" x14ac:dyDescent="0.3">
      <c r="A3578" t="s">
        <v>7815</v>
      </c>
      <c r="C3578" t="s">
        <v>7816</v>
      </c>
      <c r="D3578" t="s">
        <v>7817</v>
      </c>
      <c r="E3578" s="5">
        <v>46284</v>
      </c>
      <c r="F3578" t="s">
        <v>204</v>
      </c>
      <c r="G3578" t="s">
        <v>220</v>
      </c>
      <c r="H3578">
        <v>4498</v>
      </c>
      <c r="I3578">
        <v>13.49</v>
      </c>
      <c r="J3578">
        <v>2.4300000000000002</v>
      </c>
      <c r="K3578">
        <v>4482.08</v>
      </c>
      <c r="L3578" s="5">
        <v>46286</v>
      </c>
      <c r="M3578" t="s">
        <v>7468</v>
      </c>
      <c r="N3578" t="s">
        <v>207</v>
      </c>
      <c r="O3578" t="s">
        <v>7817</v>
      </c>
      <c r="P3578" t="s">
        <v>208</v>
      </c>
      <c r="Q3578" t="s">
        <v>209</v>
      </c>
    </row>
    <row r="3579" spans="1:17" x14ac:dyDescent="0.3">
      <c r="A3579" t="s">
        <v>7818</v>
      </c>
      <c r="C3579" t="s">
        <v>7819</v>
      </c>
      <c r="D3579" t="s">
        <v>7819</v>
      </c>
      <c r="E3579" s="5">
        <v>46284</v>
      </c>
      <c r="F3579" t="s">
        <v>204</v>
      </c>
      <c r="G3579" t="s">
        <v>213</v>
      </c>
      <c r="H3579">
        <v>8348</v>
      </c>
      <c r="I3579">
        <v>133.57</v>
      </c>
      <c r="J3579">
        <v>24.04</v>
      </c>
      <c r="K3579">
        <v>8190.39</v>
      </c>
      <c r="L3579" s="5">
        <v>46286</v>
      </c>
      <c r="M3579" t="s">
        <v>7468</v>
      </c>
      <c r="N3579" t="s">
        <v>207</v>
      </c>
      <c r="O3579" t="s">
        <v>7819</v>
      </c>
      <c r="P3579" t="s">
        <v>208</v>
      </c>
      <c r="Q3579" t="s">
        <v>209</v>
      </c>
    </row>
    <row r="3580" spans="1:17" x14ac:dyDescent="0.3">
      <c r="A3580" t="s">
        <v>7820</v>
      </c>
      <c r="C3580" t="s">
        <v>7821</v>
      </c>
      <c r="D3580" t="s">
        <v>7821</v>
      </c>
      <c r="E3580" s="5">
        <v>46284</v>
      </c>
      <c r="F3580" t="s">
        <v>204</v>
      </c>
      <c r="G3580" t="s">
        <v>220</v>
      </c>
      <c r="H3580">
        <v>2798</v>
      </c>
      <c r="I3580">
        <v>8.39</v>
      </c>
      <c r="J3580">
        <v>1.51</v>
      </c>
      <c r="K3580">
        <v>2788.1</v>
      </c>
      <c r="L3580" s="5">
        <v>46286</v>
      </c>
      <c r="M3580" t="s">
        <v>7468</v>
      </c>
      <c r="N3580" t="s">
        <v>207</v>
      </c>
      <c r="O3580" t="s">
        <v>7821</v>
      </c>
      <c r="P3580" t="s">
        <v>208</v>
      </c>
      <c r="Q3580" t="s">
        <v>209</v>
      </c>
    </row>
    <row r="3581" spans="1:17" x14ac:dyDescent="0.3">
      <c r="A3581" t="s">
        <v>7822</v>
      </c>
      <c r="C3581" t="s">
        <v>7823</v>
      </c>
      <c r="D3581" t="s">
        <v>7823</v>
      </c>
      <c r="E3581" s="5">
        <v>46284</v>
      </c>
      <c r="F3581" t="s">
        <v>204</v>
      </c>
      <c r="G3581" t="s">
        <v>220</v>
      </c>
      <c r="H3581">
        <v>1499</v>
      </c>
      <c r="I3581">
        <v>0</v>
      </c>
      <c r="J3581">
        <v>0</v>
      </c>
      <c r="K3581">
        <v>1499</v>
      </c>
      <c r="L3581" s="5">
        <v>46286</v>
      </c>
      <c r="M3581" t="s">
        <v>7468</v>
      </c>
      <c r="N3581" t="s">
        <v>207</v>
      </c>
      <c r="O3581" t="s">
        <v>7823</v>
      </c>
      <c r="P3581" t="s">
        <v>208</v>
      </c>
      <c r="Q3581" t="s">
        <v>209</v>
      </c>
    </row>
    <row r="3582" spans="1:17" x14ac:dyDescent="0.3">
      <c r="A3582" t="s">
        <v>7824</v>
      </c>
      <c r="C3582" t="s">
        <v>7825</v>
      </c>
      <c r="D3582" t="s">
        <v>7825</v>
      </c>
      <c r="E3582" s="5">
        <v>46284</v>
      </c>
      <c r="F3582" t="s">
        <v>204</v>
      </c>
      <c r="G3582" t="s">
        <v>205</v>
      </c>
      <c r="H3582">
        <v>6798</v>
      </c>
      <c r="I3582">
        <v>115.57</v>
      </c>
      <c r="J3582">
        <v>20.8</v>
      </c>
      <c r="K3582">
        <v>6661.63</v>
      </c>
      <c r="L3582" s="5">
        <v>46286</v>
      </c>
      <c r="M3582" t="s">
        <v>7468</v>
      </c>
      <c r="N3582" t="s">
        <v>207</v>
      </c>
      <c r="O3582" t="s">
        <v>7825</v>
      </c>
      <c r="P3582" t="s">
        <v>208</v>
      </c>
      <c r="Q3582" t="s">
        <v>209</v>
      </c>
    </row>
    <row r="3583" spans="1:17" x14ac:dyDescent="0.3">
      <c r="A3583" t="s">
        <v>7826</v>
      </c>
      <c r="C3583" t="s">
        <v>7827</v>
      </c>
      <c r="D3583" t="s">
        <v>7827</v>
      </c>
      <c r="E3583" s="5">
        <v>46284</v>
      </c>
      <c r="F3583" t="s">
        <v>204</v>
      </c>
      <c r="G3583" t="s">
        <v>220</v>
      </c>
      <c r="H3583">
        <v>499</v>
      </c>
      <c r="I3583">
        <v>0</v>
      </c>
      <c r="J3583">
        <v>0</v>
      </c>
      <c r="K3583">
        <v>499</v>
      </c>
      <c r="L3583" s="5">
        <v>46286</v>
      </c>
      <c r="M3583" t="s">
        <v>7468</v>
      </c>
      <c r="N3583" t="s">
        <v>207</v>
      </c>
      <c r="O3583" t="s">
        <v>7827</v>
      </c>
      <c r="P3583" t="s">
        <v>208</v>
      </c>
      <c r="Q3583" t="s">
        <v>209</v>
      </c>
    </row>
    <row r="3584" spans="1:17" x14ac:dyDescent="0.3">
      <c r="A3584" t="s">
        <v>7828</v>
      </c>
      <c r="C3584" t="s">
        <v>7829</v>
      </c>
      <c r="D3584" t="s">
        <v>7829</v>
      </c>
      <c r="E3584" s="5">
        <v>46284</v>
      </c>
      <c r="F3584" t="s">
        <v>204</v>
      </c>
      <c r="G3584" t="s">
        <v>213</v>
      </c>
      <c r="H3584">
        <v>6998</v>
      </c>
      <c r="I3584">
        <v>111.97</v>
      </c>
      <c r="J3584">
        <v>20.149999999999999</v>
      </c>
      <c r="K3584">
        <v>6865.88</v>
      </c>
      <c r="L3584" s="5">
        <v>46286</v>
      </c>
      <c r="M3584" t="s">
        <v>7468</v>
      </c>
      <c r="N3584" t="s">
        <v>207</v>
      </c>
      <c r="O3584" t="s">
        <v>7829</v>
      </c>
      <c r="P3584" t="s">
        <v>208</v>
      </c>
      <c r="Q3584" t="s">
        <v>209</v>
      </c>
    </row>
    <row r="3585" spans="1:17" x14ac:dyDescent="0.3">
      <c r="A3585" t="s">
        <v>7830</v>
      </c>
      <c r="C3585" t="s">
        <v>7831</v>
      </c>
      <c r="D3585" t="s">
        <v>7831</v>
      </c>
      <c r="E3585" s="5">
        <v>46284</v>
      </c>
      <c r="F3585" t="s">
        <v>204</v>
      </c>
      <c r="G3585" t="s">
        <v>220</v>
      </c>
      <c r="H3585">
        <v>599</v>
      </c>
      <c r="I3585">
        <v>0</v>
      </c>
      <c r="J3585">
        <v>0</v>
      </c>
      <c r="K3585">
        <v>599</v>
      </c>
      <c r="L3585" s="5">
        <v>46286</v>
      </c>
      <c r="M3585" t="s">
        <v>7468</v>
      </c>
      <c r="N3585" t="s">
        <v>207</v>
      </c>
      <c r="O3585" t="s">
        <v>7831</v>
      </c>
      <c r="P3585" t="s">
        <v>208</v>
      </c>
      <c r="Q3585" t="s">
        <v>209</v>
      </c>
    </row>
    <row r="3586" spans="1:17" x14ac:dyDescent="0.3">
      <c r="A3586" t="s">
        <v>7832</v>
      </c>
      <c r="C3586" t="s">
        <v>7833</v>
      </c>
      <c r="D3586" t="s">
        <v>7833</v>
      </c>
      <c r="E3586" s="5">
        <v>46284</v>
      </c>
      <c r="F3586" t="s">
        <v>204</v>
      </c>
      <c r="G3586" t="s">
        <v>213</v>
      </c>
      <c r="H3586">
        <v>3598</v>
      </c>
      <c r="I3586">
        <v>57.57</v>
      </c>
      <c r="J3586">
        <v>10.36</v>
      </c>
      <c r="K3586">
        <v>3530.07</v>
      </c>
      <c r="L3586" s="5">
        <v>46286</v>
      </c>
      <c r="M3586" t="s">
        <v>7468</v>
      </c>
      <c r="N3586" t="s">
        <v>207</v>
      </c>
      <c r="O3586" t="s">
        <v>7833</v>
      </c>
      <c r="P3586" t="s">
        <v>208</v>
      </c>
      <c r="Q3586" t="s">
        <v>209</v>
      </c>
    </row>
    <row r="3587" spans="1:17" x14ac:dyDescent="0.3">
      <c r="A3587" t="s">
        <v>7834</v>
      </c>
      <c r="C3587" t="s">
        <v>7835</v>
      </c>
      <c r="D3587" t="s">
        <v>7835</v>
      </c>
      <c r="E3587" s="5">
        <v>46284</v>
      </c>
      <c r="F3587" t="s">
        <v>204</v>
      </c>
      <c r="G3587" t="s">
        <v>220</v>
      </c>
      <c r="H3587">
        <v>2098</v>
      </c>
      <c r="I3587">
        <v>6.29</v>
      </c>
      <c r="J3587">
        <v>1.1299999999999999</v>
      </c>
      <c r="K3587">
        <v>2090.58</v>
      </c>
      <c r="L3587" s="5">
        <v>46286</v>
      </c>
      <c r="M3587" t="s">
        <v>7468</v>
      </c>
      <c r="N3587" t="s">
        <v>207</v>
      </c>
      <c r="O3587" t="s">
        <v>7835</v>
      </c>
      <c r="P3587" t="s">
        <v>208</v>
      </c>
      <c r="Q3587" t="s">
        <v>209</v>
      </c>
    </row>
    <row r="3588" spans="1:17" x14ac:dyDescent="0.3">
      <c r="A3588" t="s">
        <v>7836</v>
      </c>
      <c r="C3588" t="s">
        <v>7837</v>
      </c>
      <c r="D3588" t="s">
        <v>7837</v>
      </c>
      <c r="E3588" s="5">
        <v>46284</v>
      </c>
      <c r="F3588" t="s">
        <v>204</v>
      </c>
      <c r="G3588" t="s">
        <v>220</v>
      </c>
      <c r="H3588">
        <v>3498</v>
      </c>
      <c r="I3588">
        <v>10.49</v>
      </c>
      <c r="J3588">
        <v>1.89</v>
      </c>
      <c r="K3588">
        <v>3485.62</v>
      </c>
      <c r="L3588" s="5">
        <v>46286</v>
      </c>
      <c r="M3588" t="s">
        <v>7468</v>
      </c>
      <c r="N3588" t="s">
        <v>207</v>
      </c>
      <c r="O3588" t="s">
        <v>7837</v>
      </c>
      <c r="P3588" t="s">
        <v>208</v>
      </c>
      <c r="Q3588" t="s">
        <v>209</v>
      </c>
    </row>
    <row r="3589" spans="1:17" x14ac:dyDescent="0.3">
      <c r="A3589" t="s">
        <v>7838</v>
      </c>
      <c r="C3589" t="s">
        <v>7839</v>
      </c>
      <c r="D3589" t="s">
        <v>7839</v>
      </c>
      <c r="E3589" s="5">
        <v>46284</v>
      </c>
      <c r="F3589" t="s">
        <v>204</v>
      </c>
      <c r="G3589" t="s">
        <v>255</v>
      </c>
      <c r="H3589">
        <v>7999</v>
      </c>
      <c r="I3589">
        <v>95.99</v>
      </c>
      <c r="J3589">
        <v>17.28</v>
      </c>
      <c r="K3589">
        <v>7885.73</v>
      </c>
      <c r="L3589" s="5">
        <v>46286</v>
      </c>
      <c r="M3589" t="s">
        <v>7468</v>
      </c>
      <c r="N3589" t="s">
        <v>207</v>
      </c>
      <c r="O3589" t="s">
        <v>7839</v>
      </c>
      <c r="P3589" t="s">
        <v>208</v>
      </c>
      <c r="Q3589" t="s">
        <v>209</v>
      </c>
    </row>
    <row r="3590" spans="1:17" x14ac:dyDescent="0.3">
      <c r="A3590" t="s">
        <v>7840</v>
      </c>
      <c r="C3590" t="s">
        <v>7841</v>
      </c>
      <c r="D3590" t="s">
        <v>7841</v>
      </c>
      <c r="E3590" s="5">
        <v>46284</v>
      </c>
      <c r="F3590" t="s">
        <v>204</v>
      </c>
      <c r="G3590" t="s">
        <v>220</v>
      </c>
      <c r="H3590">
        <v>349</v>
      </c>
      <c r="I3590">
        <v>0</v>
      </c>
      <c r="J3590">
        <v>0</v>
      </c>
      <c r="K3590">
        <v>349</v>
      </c>
      <c r="L3590" s="5">
        <v>46286</v>
      </c>
      <c r="M3590" t="s">
        <v>7468</v>
      </c>
      <c r="N3590" t="s">
        <v>207</v>
      </c>
      <c r="O3590" t="s">
        <v>7841</v>
      </c>
      <c r="P3590" t="s">
        <v>208</v>
      </c>
      <c r="Q3590" t="s">
        <v>209</v>
      </c>
    </row>
    <row r="3591" spans="1:17" x14ac:dyDescent="0.3">
      <c r="A3591" t="s">
        <v>7842</v>
      </c>
      <c r="C3591" t="s">
        <v>7843</v>
      </c>
      <c r="D3591" t="s">
        <v>7843</v>
      </c>
      <c r="E3591" s="5">
        <v>46284</v>
      </c>
      <c r="F3591" t="s">
        <v>204</v>
      </c>
      <c r="G3591" t="s">
        <v>220</v>
      </c>
      <c r="H3591">
        <v>1499</v>
      </c>
      <c r="I3591">
        <v>0</v>
      </c>
      <c r="J3591">
        <v>0</v>
      </c>
      <c r="K3591">
        <v>1499</v>
      </c>
      <c r="L3591" s="5">
        <v>46286</v>
      </c>
      <c r="M3591" t="s">
        <v>7468</v>
      </c>
      <c r="N3591" t="s">
        <v>207</v>
      </c>
      <c r="O3591" t="s">
        <v>7843</v>
      </c>
      <c r="P3591" t="s">
        <v>208</v>
      </c>
      <c r="Q3591" t="s">
        <v>209</v>
      </c>
    </row>
    <row r="3592" spans="1:17" x14ac:dyDescent="0.3">
      <c r="A3592" t="s">
        <v>7844</v>
      </c>
      <c r="C3592" t="s">
        <v>7845</v>
      </c>
      <c r="D3592" t="s">
        <v>7846</v>
      </c>
      <c r="E3592" s="5">
        <v>46284</v>
      </c>
      <c r="F3592" t="s">
        <v>204</v>
      </c>
      <c r="G3592" t="s">
        <v>213</v>
      </c>
      <c r="H3592">
        <v>4498</v>
      </c>
      <c r="I3592">
        <v>71.97</v>
      </c>
      <c r="J3592">
        <v>12.95</v>
      </c>
      <c r="K3592">
        <v>4413.08</v>
      </c>
      <c r="L3592" s="5">
        <v>46286</v>
      </c>
      <c r="M3592" t="s">
        <v>7468</v>
      </c>
      <c r="N3592" t="s">
        <v>207</v>
      </c>
      <c r="O3592" t="s">
        <v>7846</v>
      </c>
      <c r="P3592" t="s">
        <v>208</v>
      </c>
      <c r="Q3592" t="s">
        <v>209</v>
      </c>
    </row>
    <row r="3593" spans="1:17" x14ac:dyDescent="0.3">
      <c r="A3593" t="s">
        <v>7847</v>
      </c>
      <c r="C3593" t="s">
        <v>7848</v>
      </c>
      <c r="D3593" t="s">
        <v>7848</v>
      </c>
      <c r="E3593" s="5">
        <v>46284</v>
      </c>
      <c r="F3593" t="s">
        <v>204</v>
      </c>
      <c r="G3593" t="s">
        <v>255</v>
      </c>
      <c r="H3593">
        <v>4998</v>
      </c>
      <c r="I3593">
        <v>59.98</v>
      </c>
      <c r="J3593">
        <v>10.8</v>
      </c>
      <c r="K3593">
        <v>4927.22</v>
      </c>
      <c r="L3593" s="5">
        <v>46286</v>
      </c>
      <c r="M3593" t="s">
        <v>7468</v>
      </c>
      <c r="N3593" t="s">
        <v>207</v>
      </c>
      <c r="O3593" t="s">
        <v>7848</v>
      </c>
      <c r="P3593" t="s">
        <v>208</v>
      </c>
      <c r="Q3593" t="s">
        <v>209</v>
      </c>
    </row>
    <row r="3594" spans="1:17" x14ac:dyDescent="0.3">
      <c r="A3594" t="s">
        <v>7849</v>
      </c>
      <c r="C3594" t="s">
        <v>7850</v>
      </c>
      <c r="D3594" t="s">
        <v>7850</v>
      </c>
      <c r="E3594" s="5">
        <v>46284</v>
      </c>
      <c r="F3594" t="s">
        <v>204</v>
      </c>
      <c r="G3594" t="s">
        <v>213</v>
      </c>
      <c r="H3594">
        <v>3098</v>
      </c>
      <c r="I3594">
        <v>49.57</v>
      </c>
      <c r="J3594">
        <v>8.92</v>
      </c>
      <c r="K3594">
        <v>3039.51</v>
      </c>
      <c r="L3594" s="5">
        <v>46286</v>
      </c>
      <c r="M3594" t="s">
        <v>7468</v>
      </c>
      <c r="N3594" t="s">
        <v>207</v>
      </c>
      <c r="O3594" t="s">
        <v>7850</v>
      </c>
      <c r="P3594" t="s">
        <v>208</v>
      </c>
      <c r="Q3594" t="s">
        <v>209</v>
      </c>
    </row>
    <row r="3595" spans="1:17" x14ac:dyDescent="0.3">
      <c r="A3595" t="s">
        <v>7851</v>
      </c>
      <c r="C3595" t="s">
        <v>7852</v>
      </c>
      <c r="D3595" t="s">
        <v>7852</v>
      </c>
      <c r="E3595" s="5">
        <v>46284</v>
      </c>
      <c r="F3595" t="s">
        <v>204</v>
      </c>
      <c r="G3595" t="s">
        <v>220</v>
      </c>
      <c r="H3595">
        <v>7097</v>
      </c>
      <c r="I3595">
        <v>21.29</v>
      </c>
      <c r="J3595">
        <v>3.83</v>
      </c>
      <c r="K3595">
        <v>7071.88</v>
      </c>
      <c r="L3595" s="5">
        <v>46286</v>
      </c>
      <c r="M3595" t="s">
        <v>7468</v>
      </c>
      <c r="N3595" t="s">
        <v>207</v>
      </c>
      <c r="O3595" t="s">
        <v>7852</v>
      </c>
      <c r="P3595" t="s">
        <v>208</v>
      </c>
      <c r="Q3595" t="s">
        <v>209</v>
      </c>
    </row>
    <row r="3596" spans="1:17" x14ac:dyDescent="0.3">
      <c r="A3596" t="s">
        <v>7853</v>
      </c>
      <c r="C3596" t="s">
        <v>7854</v>
      </c>
      <c r="D3596" t="s">
        <v>7854</v>
      </c>
      <c r="E3596" s="5">
        <v>46284</v>
      </c>
      <c r="F3596" t="s">
        <v>204</v>
      </c>
      <c r="G3596" t="s">
        <v>220</v>
      </c>
      <c r="H3596">
        <v>7999</v>
      </c>
      <c r="I3596">
        <v>24</v>
      </c>
      <c r="J3596">
        <v>4.32</v>
      </c>
      <c r="K3596">
        <v>7970.68</v>
      </c>
      <c r="L3596" s="5">
        <v>46286</v>
      </c>
      <c r="M3596" t="s">
        <v>7468</v>
      </c>
      <c r="N3596" t="s">
        <v>207</v>
      </c>
      <c r="O3596" t="s">
        <v>7854</v>
      </c>
      <c r="P3596" t="s">
        <v>208</v>
      </c>
      <c r="Q3596" t="s">
        <v>209</v>
      </c>
    </row>
    <row r="3597" spans="1:17" x14ac:dyDescent="0.3">
      <c r="A3597" t="s">
        <v>7855</v>
      </c>
      <c r="C3597" t="s">
        <v>7856</v>
      </c>
      <c r="D3597" t="s">
        <v>7856</v>
      </c>
      <c r="E3597" s="5">
        <v>46284</v>
      </c>
      <c r="F3597" t="s">
        <v>204</v>
      </c>
      <c r="G3597" t="s">
        <v>220</v>
      </c>
      <c r="H3597">
        <v>2298</v>
      </c>
      <c r="I3597">
        <v>6.89</v>
      </c>
      <c r="J3597">
        <v>1.24</v>
      </c>
      <c r="K3597">
        <v>2289.87</v>
      </c>
      <c r="L3597" s="5">
        <v>46286</v>
      </c>
      <c r="M3597" t="s">
        <v>7468</v>
      </c>
      <c r="N3597" t="s">
        <v>207</v>
      </c>
      <c r="O3597" t="s">
        <v>7856</v>
      </c>
      <c r="P3597" t="s">
        <v>208</v>
      </c>
      <c r="Q3597" t="s">
        <v>209</v>
      </c>
    </row>
    <row r="3598" spans="1:17" x14ac:dyDescent="0.3">
      <c r="A3598" t="s">
        <v>7857</v>
      </c>
      <c r="C3598" t="s">
        <v>7858</v>
      </c>
      <c r="D3598" t="s">
        <v>7858</v>
      </c>
      <c r="E3598" s="5">
        <v>46284</v>
      </c>
      <c r="F3598" t="s">
        <v>204</v>
      </c>
      <c r="G3598" t="s">
        <v>220</v>
      </c>
      <c r="H3598">
        <v>2999</v>
      </c>
      <c r="I3598">
        <v>9</v>
      </c>
      <c r="J3598">
        <v>1.62</v>
      </c>
      <c r="K3598">
        <v>2988.38</v>
      </c>
      <c r="L3598" s="5">
        <v>46286</v>
      </c>
      <c r="M3598" t="s">
        <v>7468</v>
      </c>
      <c r="N3598" t="s">
        <v>207</v>
      </c>
      <c r="O3598" t="s">
        <v>7858</v>
      </c>
      <c r="P3598" t="s">
        <v>208</v>
      </c>
      <c r="Q3598" t="s">
        <v>209</v>
      </c>
    </row>
    <row r="3599" spans="1:17" x14ac:dyDescent="0.3">
      <c r="A3599" t="s">
        <v>7859</v>
      </c>
      <c r="C3599" t="s">
        <v>7860</v>
      </c>
      <c r="D3599" t="s">
        <v>7860</v>
      </c>
      <c r="E3599" s="5">
        <v>46284</v>
      </c>
      <c r="F3599" t="s">
        <v>204</v>
      </c>
      <c r="G3599" t="s">
        <v>220</v>
      </c>
      <c r="H3599">
        <v>599</v>
      </c>
      <c r="I3599">
        <v>0</v>
      </c>
      <c r="J3599">
        <v>0</v>
      </c>
      <c r="K3599">
        <v>599</v>
      </c>
      <c r="L3599" s="5">
        <v>46286</v>
      </c>
      <c r="M3599" t="s">
        <v>7468</v>
      </c>
      <c r="N3599" t="s">
        <v>207</v>
      </c>
      <c r="O3599" t="s">
        <v>7860</v>
      </c>
      <c r="P3599" t="s">
        <v>208</v>
      </c>
      <c r="Q3599" t="s">
        <v>209</v>
      </c>
    </row>
    <row r="3600" spans="1:17" x14ac:dyDescent="0.3">
      <c r="A3600" t="s">
        <v>7861</v>
      </c>
      <c r="C3600" t="s">
        <v>7862</v>
      </c>
      <c r="D3600" t="s">
        <v>7862</v>
      </c>
      <c r="E3600" s="5">
        <v>46284</v>
      </c>
      <c r="F3600" t="s">
        <v>204</v>
      </c>
      <c r="G3600" t="s">
        <v>255</v>
      </c>
      <c r="H3600">
        <v>349</v>
      </c>
      <c r="I3600">
        <v>5.24</v>
      </c>
      <c r="J3600">
        <v>0.94</v>
      </c>
      <c r="K3600">
        <v>342.82</v>
      </c>
      <c r="L3600" s="5">
        <v>46286</v>
      </c>
      <c r="M3600" t="s">
        <v>7468</v>
      </c>
      <c r="N3600" t="s">
        <v>207</v>
      </c>
      <c r="O3600" t="s">
        <v>7862</v>
      </c>
      <c r="P3600" t="s">
        <v>208</v>
      </c>
      <c r="Q3600" t="s">
        <v>209</v>
      </c>
    </row>
    <row r="3601" spans="1:17" x14ac:dyDescent="0.3">
      <c r="A3601" t="s">
        <v>7863</v>
      </c>
      <c r="C3601" t="s">
        <v>7864</v>
      </c>
      <c r="D3601" t="s">
        <v>7864</v>
      </c>
      <c r="E3601" s="5">
        <v>46284</v>
      </c>
      <c r="F3601" t="s">
        <v>204</v>
      </c>
      <c r="G3601" t="s">
        <v>220</v>
      </c>
      <c r="H3601">
        <v>9297</v>
      </c>
      <c r="I3601">
        <v>27.89</v>
      </c>
      <c r="J3601">
        <v>5.0199999999999996</v>
      </c>
      <c r="K3601">
        <v>9264.09</v>
      </c>
      <c r="L3601" s="5">
        <v>46286</v>
      </c>
      <c r="M3601" t="s">
        <v>7468</v>
      </c>
      <c r="N3601" t="s">
        <v>207</v>
      </c>
      <c r="O3601" t="s">
        <v>7864</v>
      </c>
      <c r="P3601" t="s">
        <v>208</v>
      </c>
      <c r="Q3601" t="s">
        <v>209</v>
      </c>
    </row>
    <row r="3602" spans="1:17" x14ac:dyDescent="0.3">
      <c r="A3602" t="s">
        <v>7865</v>
      </c>
      <c r="B3602" t="s">
        <v>6806</v>
      </c>
      <c r="E3602" s="5">
        <v>46284</v>
      </c>
      <c r="F3602" t="s">
        <v>921</v>
      </c>
      <c r="G3602" t="s">
        <v>220</v>
      </c>
      <c r="H3602">
        <v>1498</v>
      </c>
      <c r="I3602">
        <v>0</v>
      </c>
      <c r="J3602">
        <v>0</v>
      </c>
      <c r="K3602">
        <v>-1498</v>
      </c>
      <c r="L3602" s="5">
        <v>46286</v>
      </c>
      <c r="M3602" t="s">
        <v>7468</v>
      </c>
      <c r="N3602" t="s">
        <v>207</v>
      </c>
      <c r="O3602" t="s">
        <v>6807</v>
      </c>
      <c r="P3602" t="s">
        <v>208</v>
      </c>
    </row>
    <row r="3603" spans="1:17" x14ac:dyDescent="0.3">
      <c r="A3603" t="s">
        <v>7866</v>
      </c>
      <c r="B3603" t="s">
        <v>6125</v>
      </c>
      <c r="E3603" s="5">
        <v>46284</v>
      </c>
      <c r="F3603" t="s">
        <v>921</v>
      </c>
      <c r="G3603" t="s">
        <v>220</v>
      </c>
      <c r="H3603">
        <v>799</v>
      </c>
      <c r="I3603">
        <v>0</v>
      </c>
      <c r="J3603">
        <v>0</v>
      </c>
      <c r="K3603">
        <v>-799</v>
      </c>
      <c r="L3603" s="5">
        <v>46286</v>
      </c>
      <c r="M3603" t="s">
        <v>7468</v>
      </c>
      <c r="N3603" t="s">
        <v>207</v>
      </c>
      <c r="O3603" t="s">
        <v>6126</v>
      </c>
      <c r="P3603" t="s">
        <v>208</v>
      </c>
    </row>
    <row r="3604" spans="1:17" x14ac:dyDescent="0.3">
      <c r="A3604" t="s">
        <v>7867</v>
      </c>
      <c r="B3604" t="s">
        <v>7373</v>
      </c>
      <c r="E3604" s="5">
        <v>46284</v>
      </c>
      <c r="F3604" t="s">
        <v>921</v>
      </c>
      <c r="G3604" t="s">
        <v>213</v>
      </c>
      <c r="H3604">
        <v>13597</v>
      </c>
      <c r="I3604">
        <v>0</v>
      </c>
      <c r="J3604">
        <v>0</v>
      </c>
      <c r="K3604">
        <v>-13597</v>
      </c>
      <c r="L3604" s="5">
        <v>46286</v>
      </c>
      <c r="M3604" t="s">
        <v>7468</v>
      </c>
      <c r="N3604" t="s">
        <v>207</v>
      </c>
      <c r="O3604" t="s">
        <v>7374</v>
      </c>
      <c r="P3604" t="s">
        <v>208</v>
      </c>
    </row>
    <row r="3605" spans="1:17" x14ac:dyDescent="0.3">
      <c r="A3605" t="s">
        <v>7868</v>
      </c>
      <c r="B3605" t="s">
        <v>5985</v>
      </c>
      <c r="E3605" s="5">
        <v>46284</v>
      </c>
      <c r="F3605" t="s">
        <v>921</v>
      </c>
      <c r="G3605" t="s">
        <v>220</v>
      </c>
      <c r="H3605">
        <v>4999</v>
      </c>
      <c r="I3605">
        <v>0</v>
      </c>
      <c r="J3605">
        <v>0</v>
      </c>
      <c r="K3605">
        <v>-4999</v>
      </c>
      <c r="L3605" s="5">
        <v>46286</v>
      </c>
      <c r="M3605" t="s">
        <v>7468</v>
      </c>
      <c r="N3605" t="s">
        <v>207</v>
      </c>
      <c r="O3605" t="s">
        <v>5986</v>
      </c>
      <c r="P3605" t="s">
        <v>208</v>
      </c>
    </row>
    <row r="3606" spans="1:17" x14ac:dyDescent="0.3">
      <c r="A3606" t="s">
        <v>7869</v>
      </c>
      <c r="B3606" t="s">
        <v>5371</v>
      </c>
      <c r="E3606" s="5">
        <v>46284</v>
      </c>
      <c r="F3606" t="s">
        <v>921</v>
      </c>
      <c r="G3606" t="s">
        <v>220</v>
      </c>
      <c r="H3606">
        <v>4999</v>
      </c>
      <c r="I3606">
        <v>0</v>
      </c>
      <c r="J3606">
        <v>0</v>
      </c>
      <c r="K3606">
        <v>-4999</v>
      </c>
      <c r="L3606" s="5">
        <v>46286</v>
      </c>
      <c r="M3606" t="s">
        <v>7468</v>
      </c>
      <c r="N3606" t="s">
        <v>207</v>
      </c>
      <c r="O3606" t="s">
        <v>5372</v>
      </c>
      <c r="P3606" t="s">
        <v>208</v>
      </c>
    </row>
    <row r="3607" spans="1:17" x14ac:dyDescent="0.3">
      <c r="A3607" t="s">
        <v>7870</v>
      </c>
      <c r="B3607" t="s">
        <v>5720</v>
      </c>
      <c r="E3607" s="5">
        <v>46284</v>
      </c>
      <c r="F3607" t="s">
        <v>921</v>
      </c>
      <c r="G3607" t="s">
        <v>220</v>
      </c>
      <c r="H3607">
        <v>999</v>
      </c>
      <c r="I3607">
        <v>0</v>
      </c>
      <c r="J3607">
        <v>0</v>
      </c>
      <c r="K3607">
        <v>-999</v>
      </c>
      <c r="L3607" s="5">
        <v>46286</v>
      </c>
      <c r="M3607" t="s">
        <v>7468</v>
      </c>
      <c r="N3607" t="s">
        <v>207</v>
      </c>
      <c r="O3607" t="s">
        <v>5721</v>
      </c>
      <c r="P3607" t="s">
        <v>208</v>
      </c>
    </row>
    <row r="3608" spans="1:17" x14ac:dyDescent="0.3">
      <c r="A3608" t="s">
        <v>7871</v>
      </c>
      <c r="B3608" t="s">
        <v>6870</v>
      </c>
      <c r="E3608" s="5">
        <v>46284</v>
      </c>
      <c r="F3608" t="s">
        <v>921</v>
      </c>
      <c r="G3608" t="s">
        <v>213</v>
      </c>
      <c r="H3608">
        <v>349</v>
      </c>
      <c r="I3608">
        <v>0</v>
      </c>
      <c r="J3608">
        <v>0</v>
      </c>
      <c r="K3608">
        <v>-349</v>
      </c>
      <c r="L3608" s="5">
        <v>46286</v>
      </c>
      <c r="M3608" t="s">
        <v>7468</v>
      </c>
      <c r="N3608" t="s">
        <v>207</v>
      </c>
      <c r="O3608" t="s">
        <v>6871</v>
      </c>
      <c r="P3608" t="s">
        <v>208</v>
      </c>
    </row>
    <row r="3609" spans="1:17" x14ac:dyDescent="0.3">
      <c r="A3609" t="s">
        <v>7872</v>
      </c>
      <c r="B3609" t="s">
        <v>6429</v>
      </c>
      <c r="E3609" s="5">
        <v>46284</v>
      </c>
      <c r="F3609" t="s">
        <v>921</v>
      </c>
      <c r="G3609" t="s">
        <v>205</v>
      </c>
      <c r="H3609">
        <v>3499</v>
      </c>
      <c r="I3609">
        <v>0</v>
      </c>
      <c r="J3609">
        <v>0</v>
      </c>
      <c r="K3609">
        <v>-3499</v>
      </c>
      <c r="L3609" s="5">
        <v>46286</v>
      </c>
      <c r="M3609" t="s">
        <v>7468</v>
      </c>
      <c r="N3609" t="s">
        <v>207</v>
      </c>
      <c r="O3609" t="s">
        <v>6430</v>
      </c>
      <c r="P3609" t="s">
        <v>208</v>
      </c>
    </row>
    <row r="3610" spans="1:17" x14ac:dyDescent="0.3">
      <c r="A3610" t="s">
        <v>7873</v>
      </c>
      <c r="B3610" t="s">
        <v>6702</v>
      </c>
      <c r="E3610" s="5">
        <v>46284</v>
      </c>
      <c r="F3610" t="s">
        <v>921</v>
      </c>
      <c r="G3610" t="s">
        <v>220</v>
      </c>
      <c r="H3610">
        <v>648</v>
      </c>
      <c r="I3610">
        <v>0</v>
      </c>
      <c r="J3610">
        <v>0</v>
      </c>
      <c r="K3610">
        <v>-648</v>
      </c>
      <c r="L3610" s="5">
        <v>46286</v>
      </c>
      <c r="M3610" t="s">
        <v>7468</v>
      </c>
      <c r="N3610" t="s">
        <v>207</v>
      </c>
      <c r="O3610" t="s">
        <v>6703</v>
      </c>
      <c r="P3610" t="s">
        <v>208</v>
      </c>
    </row>
    <row r="3611" spans="1:17" x14ac:dyDescent="0.3">
      <c r="A3611" t="s">
        <v>7874</v>
      </c>
      <c r="B3611" t="s">
        <v>6030</v>
      </c>
      <c r="E3611" s="5">
        <v>46284</v>
      </c>
      <c r="F3611" t="s">
        <v>921</v>
      </c>
      <c r="G3611" t="s">
        <v>213</v>
      </c>
      <c r="H3611">
        <v>12297</v>
      </c>
      <c r="I3611">
        <v>0</v>
      </c>
      <c r="J3611">
        <v>0</v>
      </c>
      <c r="K3611">
        <v>-12297</v>
      </c>
      <c r="L3611" s="5">
        <v>46286</v>
      </c>
      <c r="M3611" t="s">
        <v>7468</v>
      </c>
      <c r="N3611" t="s">
        <v>207</v>
      </c>
      <c r="O3611" t="s">
        <v>6031</v>
      </c>
      <c r="P3611" t="s">
        <v>208</v>
      </c>
    </row>
    <row r="3612" spans="1:17" x14ac:dyDescent="0.3">
      <c r="A3612" t="s">
        <v>7875</v>
      </c>
      <c r="B3612" t="s">
        <v>5971</v>
      </c>
      <c r="E3612" s="5">
        <v>46284</v>
      </c>
      <c r="F3612" t="s">
        <v>921</v>
      </c>
      <c r="G3612" t="s">
        <v>213</v>
      </c>
      <c r="H3612">
        <v>8798</v>
      </c>
      <c r="I3612">
        <v>0</v>
      </c>
      <c r="J3612">
        <v>0</v>
      </c>
      <c r="K3612">
        <v>-8798</v>
      </c>
      <c r="L3612" s="5">
        <v>46286</v>
      </c>
      <c r="M3612" t="s">
        <v>7468</v>
      </c>
      <c r="N3612" t="s">
        <v>207</v>
      </c>
      <c r="O3612" t="s">
        <v>5972</v>
      </c>
      <c r="P3612" t="s">
        <v>208</v>
      </c>
    </row>
    <row r="3613" spans="1:17" x14ac:dyDescent="0.3">
      <c r="A3613" t="s">
        <v>7876</v>
      </c>
      <c r="C3613" t="s">
        <v>7877</v>
      </c>
      <c r="D3613" t="s">
        <v>7877</v>
      </c>
      <c r="E3613" s="5">
        <v>46285</v>
      </c>
      <c r="F3613" t="s">
        <v>204</v>
      </c>
      <c r="G3613" t="s">
        <v>220</v>
      </c>
      <c r="H3613">
        <v>5797</v>
      </c>
      <c r="I3613">
        <v>17.39</v>
      </c>
      <c r="J3613">
        <v>3.13</v>
      </c>
      <c r="K3613">
        <v>5776.48</v>
      </c>
      <c r="L3613" s="5">
        <v>46287</v>
      </c>
      <c r="M3613" t="s">
        <v>7878</v>
      </c>
      <c r="N3613" t="s">
        <v>207</v>
      </c>
      <c r="O3613" t="s">
        <v>7877</v>
      </c>
      <c r="P3613" t="s">
        <v>208</v>
      </c>
      <c r="Q3613" t="s">
        <v>209</v>
      </c>
    </row>
    <row r="3614" spans="1:17" x14ac:dyDescent="0.3">
      <c r="A3614" t="s">
        <v>7879</v>
      </c>
      <c r="C3614" t="s">
        <v>7880</v>
      </c>
      <c r="D3614" t="s">
        <v>7880</v>
      </c>
      <c r="E3614" s="5">
        <v>46285</v>
      </c>
      <c r="F3614" t="s">
        <v>204</v>
      </c>
      <c r="G3614" t="s">
        <v>220</v>
      </c>
      <c r="H3614">
        <v>2098</v>
      </c>
      <c r="I3614">
        <v>6.29</v>
      </c>
      <c r="J3614">
        <v>1.1299999999999999</v>
      </c>
      <c r="K3614">
        <v>2090.58</v>
      </c>
      <c r="L3614" s="5">
        <v>46287</v>
      </c>
      <c r="M3614" t="s">
        <v>7878</v>
      </c>
      <c r="N3614" t="s">
        <v>207</v>
      </c>
      <c r="O3614" t="s">
        <v>7880</v>
      </c>
      <c r="P3614" t="s">
        <v>208</v>
      </c>
      <c r="Q3614" t="s">
        <v>209</v>
      </c>
    </row>
    <row r="3615" spans="1:17" x14ac:dyDescent="0.3">
      <c r="A3615" t="s">
        <v>7881</v>
      </c>
      <c r="C3615" t="s">
        <v>7882</v>
      </c>
      <c r="D3615" t="s">
        <v>7882</v>
      </c>
      <c r="E3615" s="5">
        <v>46285</v>
      </c>
      <c r="F3615" t="s">
        <v>204</v>
      </c>
      <c r="G3615" t="s">
        <v>255</v>
      </c>
      <c r="H3615">
        <v>6498</v>
      </c>
      <c r="I3615">
        <v>77.98</v>
      </c>
      <c r="J3615">
        <v>14.04</v>
      </c>
      <c r="K3615">
        <v>6405.98</v>
      </c>
      <c r="L3615" s="5">
        <v>46287</v>
      </c>
      <c r="M3615" t="s">
        <v>7878</v>
      </c>
      <c r="N3615" t="s">
        <v>207</v>
      </c>
      <c r="O3615" t="s">
        <v>7882</v>
      </c>
      <c r="P3615" t="s">
        <v>208</v>
      </c>
      <c r="Q3615" t="s">
        <v>209</v>
      </c>
    </row>
    <row r="3616" spans="1:17" x14ac:dyDescent="0.3">
      <c r="A3616" t="s">
        <v>7883</v>
      </c>
      <c r="C3616" t="s">
        <v>7884</v>
      </c>
      <c r="D3616" t="s">
        <v>7884</v>
      </c>
      <c r="E3616" s="5">
        <v>46285</v>
      </c>
      <c r="F3616" t="s">
        <v>204</v>
      </c>
      <c r="G3616" t="s">
        <v>205</v>
      </c>
      <c r="H3616">
        <v>3499</v>
      </c>
      <c r="I3616">
        <v>59.48</v>
      </c>
      <c r="J3616">
        <v>10.71</v>
      </c>
      <c r="K3616">
        <v>3428.81</v>
      </c>
      <c r="L3616" s="5">
        <v>46287</v>
      </c>
      <c r="M3616" t="s">
        <v>7878</v>
      </c>
      <c r="N3616" t="s">
        <v>207</v>
      </c>
      <c r="O3616" t="s">
        <v>7884</v>
      </c>
      <c r="P3616" t="s">
        <v>208</v>
      </c>
      <c r="Q3616" t="s">
        <v>209</v>
      </c>
    </row>
    <row r="3617" spans="1:17" x14ac:dyDescent="0.3">
      <c r="A3617" t="s">
        <v>7885</v>
      </c>
      <c r="C3617" t="s">
        <v>7886</v>
      </c>
      <c r="D3617" t="s">
        <v>7886</v>
      </c>
      <c r="E3617" s="5">
        <v>46285</v>
      </c>
      <c r="F3617" t="s">
        <v>204</v>
      </c>
      <c r="G3617" t="s">
        <v>213</v>
      </c>
      <c r="H3617">
        <v>299</v>
      </c>
      <c r="I3617">
        <v>5.38</v>
      </c>
      <c r="J3617">
        <v>0.97</v>
      </c>
      <c r="K3617">
        <v>292.64999999999998</v>
      </c>
      <c r="L3617" s="5">
        <v>46287</v>
      </c>
      <c r="M3617" t="s">
        <v>7878</v>
      </c>
      <c r="N3617" t="s">
        <v>207</v>
      </c>
      <c r="O3617" t="s">
        <v>7886</v>
      </c>
      <c r="P3617" t="s">
        <v>208</v>
      </c>
      <c r="Q3617" t="s">
        <v>209</v>
      </c>
    </row>
    <row r="3618" spans="1:17" x14ac:dyDescent="0.3">
      <c r="A3618" t="s">
        <v>7887</v>
      </c>
      <c r="C3618" t="s">
        <v>7888</v>
      </c>
      <c r="D3618" t="s">
        <v>7888</v>
      </c>
      <c r="E3618" s="5">
        <v>46285</v>
      </c>
      <c r="F3618" t="s">
        <v>204</v>
      </c>
      <c r="G3618" t="s">
        <v>220</v>
      </c>
      <c r="H3618">
        <v>999</v>
      </c>
      <c r="I3618">
        <v>0</v>
      </c>
      <c r="J3618">
        <v>0</v>
      </c>
      <c r="K3618">
        <v>999</v>
      </c>
      <c r="L3618" s="5">
        <v>46287</v>
      </c>
      <c r="M3618" t="s">
        <v>7878</v>
      </c>
      <c r="N3618" t="s">
        <v>207</v>
      </c>
      <c r="O3618" t="s">
        <v>7888</v>
      </c>
      <c r="P3618" t="s">
        <v>208</v>
      </c>
      <c r="Q3618" t="s">
        <v>209</v>
      </c>
    </row>
    <row r="3619" spans="1:17" x14ac:dyDescent="0.3">
      <c r="A3619" t="s">
        <v>7889</v>
      </c>
      <c r="C3619" t="s">
        <v>7890</v>
      </c>
      <c r="D3619" t="s">
        <v>7890</v>
      </c>
      <c r="E3619" s="5">
        <v>46285</v>
      </c>
      <c r="F3619" t="s">
        <v>204</v>
      </c>
      <c r="G3619" t="s">
        <v>220</v>
      </c>
      <c r="H3619">
        <v>349</v>
      </c>
      <c r="I3619">
        <v>0</v>
      </c>
      <c r="J3619">
        <v>0</v>
      </c>
      <c r="K3619">
        <v>349</v>
      </c>
      <c r="L3619" s="5">
        <v>46287</v>
      </c>
      <c r="M3619" t="s">
        <v>7878</v>
      </c>
      <c r="N3619" t="s">
        <v>207</v>
      </c>
      <c r="O3619" t="s">
        <v>7890</v>
      </c>
      <c r="P3619" t="s">
        <v>208</v>
      </c>
      <c r="Q3619" t="s">
        <v>209</v>
      </c>
    </row>
    <row r="3620" spans="1:17" x14ac:dyDescent="0.3">
      <c r="A3620" t="s">
        <v>7891</v>
      </c>
      <c r="C3620" t="s">
        <v>7892</v>
      </c>
      <c r="D3620" t="s">
        <v>7892</v>
      </c>
      <c r="E3620" s="5">
        <v>46285</v>
      </c>
      <c r="F3620" t="s">
        <v>204</v>
      </c>
      <c r="G3620" t="s">
        <v>220</v>
      </c>
      <c r="H3620">
        <v>2999</v>
      </c>
      <c r="I3620">
        <v>9</v>
      </c>
      <c r="J3620">
        <v>1.62</v>
      </c>
      <c r="K3620">
        <v>2988.38</v>
      </c>
      <c r="L3620" s="5">
        <v>46287</v>
      </c>
      <c r="M3620" t="s">
        <v>7878</v>
      </c>
      <c r="N3620" t="s">
        <v>207</v>
      </c>
      <c r="O3620" t="s">
        <v>7892</v>
      </c>
      <c r="P3620" t="s">
        <v>208</v>
      </c>
      <c r="Q3620" t="s">
        <v>209</v>
      </c>
    </row>
    <row r="3621" spans="1:17" x14ac:dyDescent="0.3">
      <c r="A3621" t="s">
        <v>7893</v>
      </c>
      <c r="C3621" t="s">
        <v>7894</v>
      </c>
      <c r="D3621" t="s">
        <v>7894</v>
      </c>
      <c r="E3621" s="5">
        <v>46285</v>
      </c>
      <c r="F3621" t="s">
        <v>204</v>
      </c>
      <c r="G3621" t="s">
        <v>220</v>
      </c>
      <c r="H3621">
        <v>1198</v>
      </c>
      <c r="I3621">
        <v>0</v>
      </c>
      <c r="J3621">
        <v>0</v>
      </c>
      <c r="K3621">
        <v>1198</v>
      </c>
      <c r="L3621" s="5">
        <v>46287</v>
      </c>
      <c r="M3621" t="s">
        <v>7878</v>
      </c>
      <c r="N3621" t="s">
        <v>207</v>
      </c>
      <c r="O3621" t="s">
        <v>7894</v>
      </c>
      <c r="P3621" t="s">
        <v>208</v>
      </c>
      <c r="Q3621" t="s">
        <v>209</v>
      </c>
    </row>
    <row r="3622" spans="1:17" x14ac:dyDescent="0.3">
      <c r="A3622" t="s">
        <v>7895</v>
      </c>
      <c r="C3622" t="s">
        <v>7896</v>
      </c>
      <c r="D3622" t="s">
        <v>7896</v>
      </c>
      <c r="E3622" s="5">
        <v>46285</v>
      </c>
      <c r="F3622" t="s">
        <v>204</v>
      </c>
      <c r="G3622" t="s">
        <v>220</v>
      </c>
      <c r="H3622">
        <v>3798</v>
      </c>
      <c r="I3622">
        <v>11.39</v>
      </c>
      <c r="J3622">
        <v>2.0499999999999998</v>
      </c>
      <c r="K3622">
        <v>3784.56</v>
      </c>
      <c r="L3622" s="5">
        <v>46287</v>
      </c>
      <c r="M3622" t="s">
        <v>7878</v>
      </c>
      <c r="N3622" t="s">
        <v>207</v>
      </c>
      <c r="O3622" t="s">
        <v>7896</v>
      </c>
      <c r="P3622" t="s">
        <v>208</v>
      </c>
      <c r="Q3622" t="s">
        <v>209</v>
      </c>
    </row>
    <row r="3623" spans="1:17" x14ac:dyDescent="0.3">
      <c r="A3623" t="s">
        <v>7897</v>
      </c>
      <c r="C3623" t="s">
        <v>7898</v>
      </c>
      <c r="D3623" t="s">
        <v>7898</v>
      </c>
      <c r="E3623" s="5">
        <v>46285</v>
      </c>
      <c r="F3623" t="s">
        <v>204</v>
      </c>
      <c r="G3623" t="s">
        <v>220</v>
      </c>
      <c r="H3623">
        <v>7999</v>
      </c>
      <c r="I3623">
        <v>24</v>
      </c>
      <c r="J3623">
        <v>4.32</v>
      </c>
      <c r="K3623">
        <v>7970.68</v>
      </c>
      <c r="L3623" s="5">
        <v>46287</v>
      </c>
      <c r="M3623" t="s">
        <v>7878</v>
      </c>
      <c r="N3623" t="s">
        <v>207</v>
      </c>
      <c r="O3623" t="s">
        <v>7898</v>
      </c>
      <c r="P3623" t="s">
        <v>208</v>
      </c>
      <c r="Q3623" t="s">
        <v>209</v>
      </c>
    </row>
    <row r="3624" spans="1:17" x14ac:dyDescent="0.3">
      <c r="A3624" t="s">
        <v>7899</v>
      </c>
      <c r="C3624" t="s">
        <v>7900</v>
      </c>
      <c r="D3624" t="s">
        <v>7900</v>
      </c>
      <c r="E3624" s="5">
        <v>46285</v>
      </c>
      <c r="F3624" t="s">
        <v>204</v>
      </c>
      <c r="G3624" t="s">
        <v>220</v>
      </c>
      <c r="H3624">
        <v>2098</v>
      </c>
      <c r="I3624">
        <v>6.29</v>
      </c>
      <c r="J3624">
        <v>1.1299999999999999</v>
      </c>
      <c r="K3624">
        <v>2090.58</v>
      </c>
      <c r="L3624" s="5">
        <v>46287</v>
      </c>
      <c r="M3624" t="s">
        <v>7878</v>
      </c>
      <c r="N3624" t="s">
        <v>207</v>
      </c>
      <c r="O3624" t="s">
        <v>7900</v>
      </c>
      <c r="P3624" t="s">
        <v>208</v>
      </c>
      <c r="Q3624" t="s">
        <v>209</v>
      </c>
    </row>
    <row r="3625" spans="1:17" x14ac:dyDescent="0.3">
      <c r="A3625" t="s">
        <v>7901</v>
      </c>
      <c r="C3625" t="s">
        <v>7902</v>
      </c>
      <c r="D3625" t="s">
        <v>7902</v>
      </c>
      <c r="E3625" s="5">
        <v>46285</v>
      </c>
      <c r="F3625" t="s">
        <v>204</v>
      </c>
      <c r="G3625" t="s">
        <v>220</v>
      </c>
      <c r="H3625">
        <v>3498</v>
      </c>
      <c r="I3625">
        <v>10.49</v>
      </c>
      <c r="J3625">
        <v>1.89</v>
      </c>
      <c r="K3625">
        <v>3485.62</v>
      </c>
      <c r="L3625" s="5">
        <v>46287</v>
      </c>
      <c r="M3625" t="s">
        <v>7878</v>
      </c>
      <c r="N3625" t="s">
        <v>207</v>
      </c>
      <c r="O3625" t="s">
        <v>7902</v>
      </c>
      <c r="P3625" t="s">
        <v>208</v>
      </c>
      <c r="Q3625" t="s">
        <v>209</v>
      </c>
    </row>
    <row r="3626" spans="1:17" x14ac:dyDescent="0.3">
      <c r="A3626" t="s">
        <v>7903</v>
      </c>
      <c r="C3626" t="s">
        <v>7904</v>
      </c>
      <c r="D3626" t="s">
        <v>7905</v>
      </c>
      <c r="E3626" s="5">
        <v>46285</v>
      </c>
      <c r="F3626" t="s">
        <v>204</v>
      </c>
      <c r="G3626" t="s">
        <v>220</v>
      </c>
      <c r="H3626">
        <v>7297</v>
      </c>
      <c r="I3626">
        <v>21.89</v>
      </c>
      <c r="J3626">
        <v>3.94</v>
      </c>
      <c r="K3626">
        <v>7271.17</v>
      </c>
      <c r="L3626" s="5">
        <v>46287</v>
      </c>
      <c r="M3626" t="s">
        <v>7878</v>
      </c>
      <c r="N3626" t="s">
        <v>207</v>
      </c>
      <c r="O3626" t="s">
        <v>7905</v>
      </c>
      <c r="P3626" t="s">
        <v>208</v>
      </c>
      <c r="Q3626" t="s">
        <v>209</v>
      </c>
    </row>
    <row r="3627" spans="1:17" x14ac:dyDescent="0.3">
      <c r="A3627" t="s">
        <v>7906</v>
      </c>
      <c r="C3627" t="s">
        <v>7907</v>
      </c>
      <c r="D3627" t="s">
        <v>7907</v>
      </c>
      <c r="E3627" s="5">
        <v>46285</v>
      </c>
      <c r="F3627" t="s">
        <v>204</v>
      </c>
      <c r="G3627" t="s">
        <v>220</v>
      </c>
      <c r="H3627">
        <v>4999</v>
      </c>
      <c r="I3627">
        <v>15</v>
      </c>
      <c r="J3627">
        <v>2.7</v>
      </c>
      <c r="K3627">
        <v>4981.3</v>
      </c>
      <c r="L3627" s="5">
        <v>46287</v>
      </c>
      <c r="M3627" t="s">
        <v>7878</v>
      </c>
      <c r="N3627" t="s">
        <v>207</v>
      </c>
      <c r="O3627" t="s">
        <v>7907</v>
      </c>
      <c r="P3627" t="s">
        <v>208</v>
      </c>
      <c r="Q3627" t="s">
        <v>209</v>
      </c>
    </row>
    <row r="3628" spans="1:17" x14ac:dyDescent="0.3">
      <c r="A3628" t="s">
        <v>7908</v>
      </c>
      <c r="C3628" t="s">
        <v>7909</v>
      </c>
      <c r="D3628" t="s">
        <v>7909</v>
      </c>
      <c r="E3628" s="5">
        <v>46285</v>
      </c>
      <c r="F3628" t="s">
        <v>204</v>
      </c>
      <c r="G3628" t="s">
        <v>213</v>
      </c>
      <c r="H3628">
        <v>4397</v>
      </c>
      <c r="I3628">
        <v>70.349999999999994</v>
      </c>
      <c r="J3628">
        <v>12.66</v>
      </c>
      <c r="K3628">
        <v>4313.99</v>
      </c>
      <c r="L3628" s="5">
        <v>46287</v>
      </c>
      <c r="M3628" t="s">
        <v>7878</v>
      </c>
      <c r="N3628" t="s">
        <v>207</v>
      </c>
      <c r="O3628" t="s">
        <v>7909</v>
      </c>
      <c r="P3628" t="s">
        <v>208</v>
      </c>
      <c r="Q3628" t="s">
        <v>209</v>
      </c>
    </row>
    <row r="3629" spans="1:17" x14ac:dyDescent="0.3">
      <c r="A3629" t="s">
        <v>7910</v>
      </c>
      <c r="C3629" t="s">
        <v>7911</v>
      </c>
      <c r="D3629" t="s">
        <v>7911</v>
      </c>
      <c r="E3629" s="5">
        <v>46285</v>
      </c>
      <c r="F3629" t="s">
        <v>204</v>
      </c>
      <c r="G3629" t="s">
        <v>220</v>
      </c>
      <c r="H3629">
        <v>6498</v>
      </c>
      <c r="I3629">
        <v>19.489999999999998</v>
      </c>
      <c r="J3629">
        <v>3.51</v>
      </c>
      <c r="K3629">
        <v>6475</v>
      </c>
      <c r="L3629" s="5">
        <v>46287</v>
      </c>
      <c r="M3629" t="s">
        <v>7878</v>
      </c>
      <c r="N3629" t="s">
        <v>207</v>
      </c>
      <c r="O3629" t="s">
        <v>7911</v>
      </c>
      <c r="P3629" t="s">
        <v>208</v>
      </c>
      <c r="Q3629" t="s">
        <v>209</v>
      </c>
    </row>
    <row r="3630" spans="1:17" x14ac:dyDescent="0.3">
      <c r="A3630" t="s">
        <v>7912</v>
      </c>
      <c r="C3630" t="s">
        <v>7913</v>
      </c>
      <c r="D3630" t="s">
        <v>7913</v>
      </c>
      <c r="E3630" s="5">
        <v>46285</v>
      </c>
      <c r="F3630" t="s">
        <v>204</v>
      </c>
      <c r="G3630" t="s">
        <v>220</v>
      </c>
      <c r="H3630">
        <v>799</v>
      </c>
      <c r="I3630">
        <v>0</v>
      </c>
      <c r="J3630">
        <v>0</v>
      </c>
      <c r="K3630">
        <v>799</v>
      </c>
      <c r="L3630" s="5">
        <v>46287</v>
      </c>
      <c r="M3630" t="s">
        <v>7878</v>
      </c>
      <c r="N3630" t="s">
        <v>207</v>
      </c>
      <c r="O3630" t="s">
        <v>7913</v>
      </c>
      <c r="P3630" t="s">
        <v>208</v>
      </c>
      <c r="Q3630" t="s">
        <v>209</v>
      </c>
    </row>
    <row r="3631" spans="1:17" x14ac:dyDescent="0.3">
      <c r="A3631" t="s">
        <v>7914</v>
      </c>
      <c r="C3631" t="s">
        <v>7915</v>
      </c>
      <c r="D3631" t="s">
        <v>7915</v>
      </c>
      <c r="E3631" s="5">
        <v>46285</v>
      </c>
      <c r="F3631" t="s">
        <v>204</v>
      </c>
      <c r="G3631" t="s">
        <v>220</v>
      </c>
      <c r="H3631">
        <v>599</v>
      </c>
      <c r="I3631">
        <v>0</v>
      </c>
      <c r="J3631">
        <v>0</v>
      </c>
      <c r="K3631">
        <v>599</v>
      </c>
      <c r="L3631" s="5">
        <v>46287</v>
      </c>
      <c r="M3631" t="s">
        <v>7878</v>
      </c>
      <c r="N3631" t="s">
        <v>207</v>
      </c>
      <c r="O3631" t="s">
        <v>7915</v>
      </c>
      <c r="P3631" t="s">
        <v>208</v>
      </c>
      <c r="Q3631" t="s">
        <v>209</v>
      </c>
    </row>
    <row r="3632" spans="1:17" x14ac:dyDescent="0.3">
      <c r="A3632" t="s">
        <v>7916</v>
      </c>
      <c r="C3632" t="s">
        <v>7917</v>
      </c>
      <c r="D3632" t="s">
        <v>7917</v>
      </c>
      <c r="E3632" s="5">
        <v>46285</v>
      </c>
      <c r="F3632" t="s">
        <v>204</v>
      </c>
      <c r="G3632" t="s">
        <v>213</v>
      </c>
      <c r="H3632">
        <v>2098</v>
      </c>
      <c r="I3632">
        <v>33.57</v>
      </c>
      <c r="J3632">
        <v>6.04</v>
      </c>
      <c r="K3632">
        <v>2058.39</v>
      </c>
      <c r="L3632" s="5">
        <v>46287</v>
      </c>
      <c r="M3632" t="s">
        <v>7878</v>
      </c>
      <c r="N3632" t="s">
        <v>207</v>
      </c>
      <c r="O3632" t="s">
        <v>7917</v>
      </c>
      <c r="P3632" t="s">
        <v>208</v>
      </c>
      <c r="Q3632" t="s">
        <v>209</v>
      </c>
    </row>
    <row r="3633" spans="1:17" x14ac:dyDescent="0.3">
      <c r="A3633" t="s">
        <v>7918</v>
      </c>
      <c r="C3633" t="s">
        <v>7919</v>
      </c>
      <c r="D3633" t="s">
        <v>7919</v>
      </c>
      <c r="E3633" s="5">
        <v>46285</v>
      </c>
      <c r="F3633" t="s">
        <v>204</v>
      </c>
      <c r="G3633" t="s">
        <v>213</v>
      </c>
      <c r="H3633">
        <v>4999</v>
      </c>
      <c r="I3633">
        <v>79.98</v>
      </c>
      <c r="J3633">
        <v>14.4</v>
      </c>
      <c r="K3633">
        <v>4904.62</v>
      </c>
      <c r="L3633" s="5">
        <v>46287</v>
      </c>
      <c r="M3633" t="s">
        <v>7878</v>
      </c>
      <c r="N3633" t="s">
        <v>207</v>
      </c>
      <c r="O3633" t="s">
        <v>7919</v>
      </c>
      <c r="P3633" t="s">
        <v>208</v>
      </c>
      <c r="Q3633" t="s">
        <v>209</v>
      </c>
    </row>
    <row r="3634" spans="1:17" x14ac:dyDescent="0.3">
      <c r="A3634" t="s">
        <v>7920</v>
      </c>
      <c r="C3634" t="s">
        <v>7921</v>
      </c>
      <c r="D3634" t="s">
        <v>7921</v>
      </c>
      <c r="E3634" s="5">
        <v>46285</v>
      </c>
      <c r="F3634" t="s">
        <v>204</v>
      </c>
      <c r="G3634" t="s">
        <v>220</v>
      </c>
      <c r="H3634">
        <v>4999</v>
      </c>
      <c r="I3634">
        <v>15</v>
      </c>
      <c r="J3634">
        <v>2.7</v>
      </c>
      <c r="K3634">
        <v>4981.3</v>
      </c>
      <c r="L3634" s="5">
        <v>46287</v>
      </c>
      <c r="M3634" t="s">
        <v>7878</v>
      </c>
      <c r="N3634" t="s">
        <v>207</v>
      </c>
      <c r="O3634" t="s">
        <v>7921</v>
      </c>
      <c r="P3634" t="s">
        <v>208</v>
      </c>
      <c r="Q3634" t="s">
        <v>209</v>
      </c>
    </row>
    <row r="3635" spans="1:17" x14ac:dyDescent="0.3">
      <c r="A3635" t="s">
        <v>7922</v>
      </c>
      <c r="C3635" t="s">
        <v>7923</v>
      </c>
      <c r="D3635" t="s">
        <v>7924</v>
      </c>
      <c r="E3635" s="5">
        <v>46285</v>
      </c>
      <c r="F3635" t="s">
        <v>204</v>
      </c>
      <c r="G3635" t="s">
        <v>213</v>
      </c>
      <c r="H3635">
        <v>3597</v>
      </c>
      <c r="I3635">
        <v>57.55</v>
      </c>
      <c r="J3635">
        <v>10.36</v>
      </c>
      <c r="K3635">
        <v>3529.09</v>
      </c>
      <c r="L3635" s="5">
        <v>46287</v>
      </c>
      <c r="M3635" t="s">
        <v>7878</v>
      </c>
      <c r="N3635" t="s">
        <v>207</v>
      </c>
      <c r="O3635" t="s">
        <v>7924</v>
      </c>
      <c r="P3635" t="s">
        <v>208</v>
      </c>
      <c r="Q3635" t="s">
        <v>209</v>
      </c>
    </row>
    <row r="3636" spans="1:17" x14ac:dyDescent="0.3">
      <c r="A3636" t="s">
        <v>7925</v>
      </c>
      <c r="C3636" t="s">
        <v>7926</v>
      </c>
      <c r="D3636" t="s">
        <v>7926</v>
      </c>
      <c r="E3636" s="5">
        <v>46285</v>
      </c>
      <c r="F3636" t="s">
        <v>204</v>
      </c>
      <c r="G3636" t="s">
        <v>205</v>
      </c>
      <c r="H3636">
        <v>2998</v>
      </c>
      <c r="I3636">
        <v>50.97</v>
      </c>
      <c r="J3636">
        <v>9.17</v>
      </c>
      <c r="K3636">
        <v>2937.86</v>
      </c>
      <c r="L3636" s="5">
        <v>46287</v>
      </c>
      <c r="M3636" t="s">
        <v>7878</v>
      </c>
      <c r="N3636" t="s">
        <v>207</v>
      </c>
      <c r="O3636" t="s">
        <v>7926</v>
      </c>
      <c r="P3636" t="s">
        <v>208</v>
      </c>
      <c r="Q3636" t="s">
        <v>209</v>
      </c>
    </row>
    <row r="3637" spans="1:17" x14ac:dyDescent="0.3">
      <c r="A3637" t="s">
        <v>7927</v>
      </c>
      <c r="C3637" t="s">
        <v>7928</v>
      </c>
      <c r="D3637" t="s">
        <v>7928</v>
      </c>
      <c r="E3637" s="5">
        <v>46285</v>
      </c>
      <c r="F3637" t="s">
        <v>204</v>
      </c>
      <c r="G3637" t="s">
        <v>220</v>
      </c>
      <c r="H3637">
        <v>3499</v>
      </c>
      <c r="I3637">
        <v>10.5</v>
      </c>
      <c r="J3637">
        <v>1.89</v>
      </c>
      <c r="K3637">
        <v>3486.61</v>
      </c>
      <c r="L3637" s="5">
        <v>46287</v>
      </c>
      <c r="M3637" t="s">
        <v>7878</v>
      </c>
      <c r="N3637" t="s">
        <v>207</v>
      </c>
      <c r="O3637" t="s">
        <v>7928</v>
      </c>
      <c r="P3637" t="s">
        <v>208</v>
      </c>
      <c r="Q3637" t="s">
        <v>209</v>
      </c>
    </row>
    <row r="3638" spans="1:17" x14ac:dyDescent="0.3">
      <c r="A3638" t="s">
        <v>7929</v>
      </c>
      <c r="C3638" t="s">
        <v>7930</v>
      </c>
      <c r="D3638" t="s">
        <v>7930</v>
      </c>
      <c r="E3638" s="5">
        <v>46285</v>
      </c>
      <c r="F3638" t="s">
        <v>204</v>
      </c>
      <c r="G3638" t="s">
        <v>213</v>
      </c>
      <c r="H3638">
        <v>4297</v>
      </c>
      <c r="I3638">
        <v>68.75</v>
      </c>
      <c r="J3638">
        <v>12.38</v>
      </c>
      <c r="K3638">
        <v>4215.87</v>
      </c>
      <c r="L3638" s="5">
        <v>46287</v>
      </c>
      <c r="M3638" t="s">
        <v>7878</v>
      </c>
      <c r="N3638" t="s">
        <v>207</v>
      </c>
      <c r="O3638" t="s">
        <v>7930</v>
      </c>
      <c r="P3638" t="s">
        <v>208</v>
      </c>
      <c r="Q3638" t="s">
        <v>209</v>
      </c>
    </row>
    <row r="3639" spans="1:17" x14ac:dyDescent="0.3">
      <c r="A3639" t="s">
        <v>7931</v>
      </c>
      <c r="C3639" t="s">
        <v>7932</v>
      </c>
      <c r="D3639" t="s">
        <v>7932</v>
      </c>
      <c r="E3639" s="5">
        <v>46285</v>
      </c>
      <c r="F3639" t="s">
        <v>204</v>
      </c>
      <c r="G3639" t="s">
        <v>205</v>
      </c>
      <c r="H3639">
        <v>799</v>
      </c>
      <c r="I3639">
        <v>15.18</v>
      </c>
      <c r="J3639">
        <v>2.73</v>
      </c>
      <c r="K3639">
        <v>781.09</v>
      </c>
      <c r="L3639" s="5">
        <v>46287</v>
      </c>
      <c r="M3639" t="s">
        <v>7878</v>
      </c>
      <c r="N3639" t="s">
        <v>207</v>
      </c>
      <c r="O3639" t="s">
        <v>7932</v>
      </c>
      <c r="P3639" t="s">
        <v>208</v>
      </c>
      <c r="Q3639" t="s">
        <v>209</v>
      </c>
    </row>
    <row r="3640" spans="1:17" x14ac:dyDescent="0.3">
      <c r="A3640" t="s">
        <v>7933</v>
      </c>
      <c r="C3640" t="s">
        <v>7934</v>
      </c>
      <c r="D3640" t="s">
        <v>7934</v>
      </c>
      <c r="E3640" s="5">
        <v>46285</v>
      </c>
      <c r="F3640" t="s">
        <v>204</v>
      </c>
      <c r="G3640" t="s">
        <v>255</v>
      </c>
      <c r="H3640">
        <v>2298</v>
      </c>
      <c r="I3640">
        <v>27.58</v>
      </c>
      <c r="J3640">
        <v>4.96</v>
      </c>
      <c r="K3640">
        <v>2265.46</v>
      </c>
      <c r="L3640" s="5">
        <v>46287</v>
      </c>
      <c r="M3640" t="s">
        <v>7878</v>
      </c>
      <c r="N3640" t="s">
        <v>207</v>
      </c>
      <c r="O3640" t="s">
        <v>7934</v>
      </c>
      <c r="P3640" t="s">
        <v>208</v>
      </c>
      <c r="Q3640" t="s">
        <v>209</v>
      </c>
    </row>
    <row r="3641" spans="1:17" x14ac:dyDescent="0.3">
      <c r="A3641" t="s">
        <v>7935</v>
      </c>
      <c r="C3641" t="s">
        <v>7936</v>
      </c>
      <c r="D3641" t="s">
        <v>7936</v>
      </c>
      <c r="E3641" s="5">
        <v>46285</v>
      </c>
      <c r="F3641" t="s">
        <v>204</v>
      </c>
      <c r="G3641" t="s">
        <v>220</v>
      </c>
      <c r="H3641">
        <v>5347</v>
      </c>
      <c r="I3641">
        <v>16.04</v>
      </c>
      <c r="J3641">
        <v>2.89</v>
      </c>
      <c r="K3641">
        <v>5328.07</v>
      </c>
      <c r="L3641" s="5">
        <v>46287</v>
      </c>
      <c r="M3641" t="s">
        <v>7878</v>
      </c>
      <c r="N3641" t="s">
        <v>207</v>
      </c>
      <c r="O3641" t="s">
        <v>7936</v>
      </c>
      <c r="P3641" t="s">
        <v>208</v>
      </c>
      <c r="Q3641" t="s">
        <v>209</v>
      </c>
    </row>
    <row r="3642" spans="1:17" x14ac:dyDescent="0.3">
      <c r="A3642" t="s">
        <v>7937</v>
      </c>
      <c r="C3642" t="s">
        <v>7938</v>
      </c>
      <c r="D3642" t="s">
        <v>7938</v>
      </c>
      <c r="E3642" s="5">
        <v>46285</v>
      </c>
      <c r="F3642" t="s">
        <v>204</v>
      </c>
      <c r="G3642" t="s">
        <v>213</v>
      </c>
      <c r="H3642">
        <v>3297</v>
      </c>
      <c r="I3642">
        <v>52.75</v>
      </c>
      <c r="J3642">
        <v>9.5</v>
      </c>
      <c r="K3642">
        <v>3234.75</v>
      </c>
      <c r="L3642" s="5">
        <v>46287</v>
      </c>
      <c r="M3642" t="s">
        <v>7878</v>
      </c>
      <c r="N3642" t="s">
        <v>207</v>
      </c>
      <c r="O3642" t="s">
        <v>7938</v>
      </c>
      <c r="P3642" t="s">
        <v>208</v>
      </c>
      <c r="Q3642" t="s">
        <v>209</v>
      </c>
    </row>
    <row r="3643" spans="1:17" x14ac:dyDescent="0.3">
      <c r="A3643" t="s">
        <v>7939</v>
      </c>
      <c r="C3643" t="s">
        <v>7940</v>
      </c>
      <c r="D3643" t="s">
        <v>7941</v>
      </c>
      <c r="E3643" s="5">
        <v>46285</v>
      </c>
      <c r="F3643" t="s">
        <v>204</v>
      </c>
      <c r="G3643" t="s">
        <v>220</v>
      </c>
      <c r="H3643">
        <v>499</v>
      </c>
      <c r="I3643">
        <v>1.5</v>
      </c>
      <c r="J3643">
        <v>0.27</v>
      </c>
      <c r="K3643">
        <v>497.23</v>
      </c>
      <c r="L3643" s="5">
        <v>46287</v>
      </c>
      <c r="M3643" t="s">
        <v>7878</v>
      </c>
      <c r="N3643" t="s">
        <v>207</v>
      </c>
      <c r="O3643" t="s">
        <v>7941</v>
      </c>
      <c r="P3643" t="s">
        <v>208</v>
      </c>
      <c r="Q3643" t="s">
        <v>209</v>
      </c>
    </row>
    <row r="3644" spans="1:17" x14ac:dyDescent="0.3">
      <c r="A3644" t="s">
        <v>7942</v>
      </c>
      <c r="C3644" t="s">
        <v>7943</v>
      </c>
      <c r="D3644" t="s">
        <v>7943</v>
      </c>
      <c r="E3644" s="5">
        <v>46285</v>
      </c>
      <c r="F3644" t="s">
        <v>204</v>
      </c>
      <c r="G3644" t="s">
        <v>220</v>
      </c>
      <c r="H3644">
        <v>6797</v>
      </c>
      <c r="I3644">
        <v>20.39</v>
      </c>
      <c r="J3644">
        <v>3.67</v>
      </c>
      <c r="K3644">
        <v>6772.94</v>
      </c>
      <c r="L3644" s="5">
        <v>46287</v>
      </c>
      <c r="M3644" t="s">
        <v>7878</v>
      </c>
      <c r="N3644" t="s">
        <v>207</v>
      </c>
      <c r="O3644" t="s">
        <v>7943</v>
      </c>
      <c r="P3644" t="s">
        <v>208</v>
      </c>
      <c r="Q3644" t="s">
        <v>209</v>
      </c>
    </row>
    <row r="3645" spans="1:17" x14ac:dyDescent="0.3">
      <c r="A3645" t="s">
        <v>7944</v>
      </c>
      <c r="C3645" t="s">
        <v>7945</v>
      </c>
      <c r="D3645" t="s">
        <v>7945</v>
      </c>
      <c r="E3645" s="5">
        <v>46285</v>
      </c>
      <c r="F3645" t="s">
        <v>204</v>
      </c>
      <c r="G3645" t="s">
        <v>205</v>
      </c>
      <c r="H3645">
        <v>7999</v>
      </c>
      <c r="I3645">
        <v>135.97999999999999</v>
      </c>
      <c r="J3645">
        <v>24.48</v>
      </c>
      <c r="K3645">
        <v>7838.54</v>
      </c>
      <c r="L3645" s="5">
        <v>46287</v>
      </c>
      <c r="M3645" t="s">
        <v>7878</v>
      </c>
      <c r="N3645" t="s">
        <v>207</v>
      </c>
      <c r="O3645" t="s">
        <v>7945</v>
      </c>
      <c r="P3645" t="s">
        <v>208</v>
      </c>
      <c r="Q3645" t="s">
        <v>209</v>
      </c>
    </row>
    <row r="3646" spans="1:17" x14ac:dyDescent="0.3">
      <c r="A3646" t="s">
        <v>7946</v>
      </c>
      <c r="C3646" t="s">
        <v>7947</v>
      </c>
      <c r="D3646" t="s">
        <v>7947</v>
      </c>
      <c r="E3646" s="5">
        <v>46285</v>
      </c>
      <c r="F3646" t="s">
        <v>204</v>
      </c>
      <c r="G3646" t="s">
        <v>220</v>
      </c>
      <c r="H3646">
        <v>1299</v>
      </c>
      <c r="I3646">
        <v>0</v>
      </c>
      <c r="J3646">
        <v>0</v>
      </c>
      <c r="K3646">
        <v>1299</v>
      </c>
      <c r="L3646" s="5">
        <v>46287</v>
      </c>
      <c r="M3646" t="s">
        <v>7878</v>
      </c>
      <c r="N3646" t="s">
        <v>207</v>
      </c>
      <c r="O3646" t="s">
        <v>7947</v>
      </c>
      <c r="P3646" t="s">
        <v>208</v>
      </c>
      <c r="Q3646" t="s">
        <v>209</v>
      </c>
    </row>
    <row r="3647" spans="1:17" x14ac:dyDescent="0.3">
      <c r="A3647" t="s">
        <v>7948</v>
      </c>
      <c r="C3647" t="s">
        <v>7949</v>
      </c>
      <c r="D3647" t="s">
        <v>7949</v>
      </c>
      <c r="E3647" s="5">
        <v>46285</v>
      </c>
      <c r="F3647" t="s">
        <v>204</v>
      </c>
      <c r="G3647" t="s">
        <v>255</v>
      </c>
      <c r="H3647">
        <v>5998</v>
      </c>
      <c r="I3647">
        <v>71.98</v>
      </c>
      <c r="J3647">
        <v>12.96</v>
      </c>
      <c r="K3647">
        <v>5913.06</v>
      </c>
      <c r="L3647" s="5">
        <v>46287</v>
      </c>
      <c r="M3647" t="s">
        <v>7878</v>
      </c>
      <c r="N3647" t="s">
        <v>207</v>
      </c>
      <c r="O3647" t="s">
        <v>7949</v>
      </c>
      <c r="P3647" t="s">
        <v>208</v>
      </c>
      <c r="Q3647" t="s">
        <v>209</v>
      </c>
    </row>
    <row r="3648" spans="1:17" x14ac:dyDescent="0.3">
      <c r="A3648" t="s">
        <v>7950</v>
      </c>
      <c r="C3648" t="s">
        <v>7951</v>
      </c>
      <c r="D3648" t="s">
        <v>7951</v>
      </c>
      <c r="E3648" s="5">
        <v>46285</v>
      </c>
      <c r="F3648" t="s">
        <v>204</v>
      </c>
      <c r="G3648" t="s">
        <v>220</v>
      </c>
      <c r="H3648">
        <v>598</v>
      </c>
      <c r="I3648">
        <v>0</v>
      </c>
      <c r="J3648">
        <v>0</v>
      </c>
      <c r="K3648">
        <v>598</v>
      </c>
      <c r="L3648" s="5">
        <v>46287</v>
      </c>
      <c r="M3648" t="s">
        <v>7878</v>
      </c>
      <c r="N3648" t="s">
        <v>207</v>
      </c>
      <c r="O3648" t="s">
        <v>7951</v>
      </c>
      <c r="P3648" t="s">
        <v>208</v>
      </c>
      <c r="Q3648" t="s">
        <v>209</v>
      </c>
    </row>
    <row r="3649" spans="1:17" x14ac:dyDescent="0.3">
      <c r="A3649" t="s">
        <v>7952</v>
      </c>
      <c r="C3649" t="s">
        <v>7953</v>
      </c>
      <c r="D3649" t="s">
        <v>7954</v>
      </c>
      <c r="E3649" s="5">
        <v>46285</v>
      </c>
      <c r="F3649" t="s">
        <v>204</v>
      </c>
      <c r="G3649" t="s">
        <v>213</v>
      </c>
      <c r="H3649">
        <v>3298</v>
      </c>
      <c r="I3649">
        <v>52.77</v>
      </c>
      <c r="J3649">
        <v>9.5</v>
      </c>
      <c r="K3649">
        <v>3235.73</v>
      </c>
      <c r="L3649" s="5">
        <v>46287</v>
      </c>
      <c r="M3649" t="s">
        <v>7878</v>
      </c>
      <c r="N3649" t="s">
        <v>207</v>
      </c>
      <c r="O3649" t="s">
        <v>7954</v>
      </c>
      <c r="P3649" t="s">
        <v>208</v>
      </c>
      <c r="Q3649" t="s">
        <v>209</v>
      </c>
    </row>
    <row r="3650" spans="1:17" x14ac:dyDescent="0.3">
      <c r="A3650" t="s">
        <v>7955</v>
      </c>
      <c r="C3650" t="s">
        <v>7956</v>
      </c>
      <c r="D3650" t="s">
        <v>7956</v>
      </c>
      <c r="E3650" s="5">
        <v>46285</v>
      </c>
      <c r="F3650" t="s">
        <v>204</v>
      </c>
      <c r="G3650" t="s">
        <v>255</v>
      </c>
      <c r="H3650">
        <v>949</v>
      </c>
      <c r="I3650">
        <v>14.24</v>
      </c>
      <c r="J3650">
        <v>2.56</v>
      </c>
      <c r="K3650">
        <v>932.2</v>
      </c>
      <c r="L3650" s="5">
        <v>46287</v>
      </c>
      <c r="M3650" t="s">
        <v>7878</v>
      </c>
      <c r="N3650" t="s">
        <v>207</v>
      </c>
      <c r="O3650" t="s">
        <v>7956</v>
      </c>
      <c r="P3650" t="s">
        <v>208</v>
      </c>
      <c r="Q3650" t="s">
        <v>209</v>
      </c>
    </row>
    <row r="3651" spans="1:17" x14ac:dyDescent="0.3">
      <c r="A3651" t="s">
        <v>7957</v>
      </c>
      <c r="C3651" t="s">
        <v>7958</v>
      </c>
      <c r="D3651" t="s">
        <v>7958</v>
      </c>
      <c r="E3651" s="5">
        <v>46285</v>
      </c>
      <c r="F3651" t="s">
        <v>204</v>
      </c>
      <c r="G3651" t="s">
        <v>220</v>
      </c>
      <c r="H3651">
        <v>3499</v>
      </c>
      <c r="I3651">
        <v>10.5</v>
      </c>
      <c r="J3651">
        <v>1.89</v>
      </c>
      <c r="K3651">
        <v>3486.61</v>
      </c>
      <c r="L3651" s="5">
        <v>46287</v>
      </c>
      <c r="M3651" t="s">
        <v>7878</v>
      </c>
      <c r="N3651" t="s">
        <v>207</v>
      </c>
      <c r="O3651" t="s">
        <v>7958</v>
      </c>
      <c r="P3651" t="s">
        <v>208</v>
      </c>
      <c r="Q3651" t="s">
        <v>209</v>
      </c>
    </row>
    <row r="3652" spans="1:17" x14ac:dyDescent="0.3">
      <c r="A3652" t="s">
        <v>7959</v>
      </c>
      <c r="C3652" t="s">
        <v>7960</v>
      </c>
      <c r="D3652" t="s">
        <v>7960</v>
      </c>
      <c r="E3652" s="5">
        <v>46285</v>
      </c>
      <c r="F3652" t="s">
        <v>204</v>
      </c>
      <c r="G3652" t="s">
        <v>220</v>
      </c>
      <c r="H3652">
        <v>3498</v>
      </c>
      <c r="I3652">
        <v>10.49</v>
      </c>
      <c r="J3652">
        <v>1.89</v>
      </c>
      <c r="K3652">
        <v>3485.62</v>
      </c>
      <c r="L3652" s="5">
        <v>46287</v>
      </c>
      <c r="M3652" t="s">
        <v>7878</v>
      </c>
      <c r="N3652" t="s">
        <v>207</v>
      </c>
      <c r="O3652" t="s">
        <v>7960</v>
      </c>
      <c r="P3652" t="s">
        <v>208</v>
      </c>
      <c r="Q3652" t="s">
        <v>209</v>
      </c>
    </row>
    <row r="3653" spans="1:17" x14ac:dyDescent="0.3">
      <c r="A3653" t="s">
        <v>7961</v>
      </c>
      <c r="C3653" t="s">
        <v>7962</v>
      </c>
      <c r="D3653" t="s">
        <v>7962</v>
      </c>
      <c r="E3653" s="5">
        <v>46285</v>
      </c>
      <c r="F3653" t="s">
        <v>204</v>
      </c>
      <c r="G3653" t="s">
        <v>220</v>
      </c>
      <c r="H3653">
        <v>349</v>
      </c>
      <c r="I3653">
        <v>0</v>
      </c>
      <c r="J3653">
        <v>0</v>
      </c>
      <c r="K3653">
        <v>349</v>
      </c>
      <c r="L3653" s="5">
        <v>46287</v>
      </c>
      <c r="M3653" t="s">
        <v>7878</v>
      </c>
      <c r="N3653" t="s">
        <v>207</v>
      </c>
      <c r="O3653" t="s">
        <v>7962</v>
      </c>
      <c r="P3653" t="s">
        <v>208</v>
      </c>
      <c r="Q3653" t="s">
        <v>209</v>
      </c>
    </row>
    <row r="3654" spans="1:17" x14ac:dyDescent="0.3">
      <c r="A3654" t="s">
        <v>7963</v>
      </c>
      <c r="C3654" t="s">
        <v>7964</v>
      </c>
      <c r="D3654" t="s">
        <v>7964</v>
      </c>
      <c r="E3654" s="5">
        <v>46285</v>
      </c>
      <c r="F3654" t="s">
        <v>204</v>
      </c>
      <c r="G3654" t="s">
        <v>220</v>
      </c>
      <c r="H3654">
        <v>499</v>
      </c>
      <c r="I3654">
        <v>0</v>
      </c>
      <c r="J3654">
        <v>0</v>
      </c>
      <c r="K3654">
        <v>499</v>
      </c>
      <c r="L3654" s="5">
        <v>46287</v>
      </c>
      <c r="M3654" t="s">
        <v>7878</v>
      </c>
      <c r="N3654" t="s">
        <v>207</v>
      </c>
      <c r="O3654" t="s">
        <v>7964</v>
      </c>
      <c r="P3654" t="s">
        <v>208</v>
      </c>
      <c r="Q3654" t="s">
        <v>209</v>
      </c>
    </row>
    <row r="3655" spans="1:17" x14ac:dyDescent="0.3">
      <c r="A3655" t="s">
        <v>7965</v>
      </c>
      <c r="C3655" t="s">
        <v>7966</v>
      </c>
      <c r="D3655" t="s">
        <v>7966</v>
      </c>
      <c r="E3655" s="5">
        <v>46285</v>
      </c>
      <c r="F3655" t="s">
        <v>204</v>
      </c>
      <c r="G3655" t="s">
        <v>220</v>
      </c>
      <c r="H3655">
        <v>1298</v>
      </c>
      <c r="I3655">
        <v>0</v>
      </c>
      <c r="J3655">
        <v>0</v>
      </c>
      <c r="K3655">
        <v>1298</v>
      </c>
      <c r="L3655" s="5">
        <v>46287</v>
      </c>
      <c r="M3655" t="s">
        <v>7878</v>
      </c>
      <c r="N3655" t="s">
        <v>207</v>
      </c>
      <c r="O3655" t="s">
        <v>7966</v>
      </c>
      <c r="P3655" t="s">
        <v>208</v>
      </c>
      <c r="Q3655" t="s">
        <v>209</v>
      </c>
    </row>
    <row r="3656" spans="1:17" x14ac:dyDescent="0.3">
      <c r="A3656" t="s">
        <v>7967</v>
      </c>
      <c r="C3656" t="s">
        <v>7968</v>
      </c>
      <c r="D3656" t="s">
        <v>7968</v>
      </c>
      <c r="E3656" s="5">
        <v>46285</v>
      </c>
      <c r="F3656" t="s">
        <v>204</v>
      </c>
      <c r="G3656" t="s">
        <v>255</v>
      </c>
      <c r="H3656">
        <v>8797</v>
      </c>
      <c r="I3656">
        <v>105.56</v>
      </c>
      <c r="J3656">
        <v>19</v>
      </c>
      <c r="K3656">
        <v>8672.44</v>
      </c>
      <c r="L3656" s="5">
        <v>46287</v>
      </c>
      <c r="M3656" t="s">
        <v>7878</v>
      </c>
      <c r="N3656" t="s">
        <v>207</v>
      </c>
      <c r="O3656" t="s">
        <v>7968</v>
      </c>
      <c r="P3656" t="s">
        <v>208</v>
      </c>
      <c r="Q3656" t="s">
        <v>209</v>
      </c>
    </row>
    <row r="3657" spans="1:17" x14ac:dyDescent="0.3">
      <c r="A3657" t="s">
        <v>7969</v>
      </c>
      <c r="C3657" t="s">
        <v>7970</v>
      </c>
      <c r="D3657" t="s">
        <v>7970</v>
      </c>
      <c r="E3657" s="5">
        <v>46285</v>
      </c>
      <c r="F3657" t="s">
        <v>204</v>
      </c>
      <c r="G3657" t="s">
        <v>255</v>
      </c>
      <c r="H3657">
        <v>999</v>
      </c>
      <c r="I3657">
        <v>14.99</v>
      </c>
      <c r="J3657">
        <v>2.7</v>
      </c>
      <c r="K3657">
        <v>981.31</v>
      </c>
      <c r="L3657" s="5">
        <v>46287</v>
      </c>
      <c r="M3657" t="s">
        <v>7878</v>
      </c>
      <c r="N3657" t="s">
        <v>207</v>
      </c>
      <c r="O3657" t="s">
        <v>7970</v>
      </c>
      <c r="P3657" t="s">
        <v>208</v>
      </c>
      <c r="Q3657" t="s">
        <v>209</v>
      </c>
    </row>
    <row r="3658" spans="1:17" x14ac:dyDescent="0.3">
      <c r="A3658" t="s">
        <v>7971</v>
      </c>
      <c r="C3658" t="s">
        <v>7972</v>
      </c>
      <c r="D3658" t="s">
        <v>7972</v>
      </c>
      <c r="E3658" s="5">
        <v>46285</v>
      </c>
      <c r="F3658" t="s">
        <v>204</v>
      </c>
      <c r="G3658" t="s">
        <v>213</v>
      </c>
      <c r="H3658">
        <v>2098</v>
      </c>
      <c r="I3658">
        <v>33.57</v>
      </c>
      <c r="J3658">
        <v>6.04</v>
      </c>
      <c r="K3658">
        <v>2058.39</v>
      </c>
      <c r="L3658" s="5">
        <v>46287</v>
      </c>
      <c r="M3658" t="s">
        <v>7878</v>
      </c>
      <c r="N3658" t="s">
        <v>207</v>
      </c>
      <c r="O3658" t="s">
        <v>7972</v>
      </c>
      <c r="P3658" t="s">
        <v>208</v>
      </c>
      <c r="Q3658" t="s">
        <v>209</v>
      </c>
    </row>
    <row r="3659" spans="1:17" x14ac:dyDescent="0.3">
      <c r="A3659" t="s">
        <v>7973</v>
      </c>
      <c r="C3659" t="s">
        <v>7974</v>
      </c>
      <c r="D3659" t="s">
        <v>7975</v>
      </c>
      <c r="E3659" s="5">
        <v>46285</v>
      </c>
      <c r="F3659" t="s">
        <v>204</v>
      </c>
      <c r="G3659" t="s">
        <v>220</v>
      </c>
      <c r="H3659">
        <v>1799</v>
      </c>
      <c r="I3659">
        <v>0</v>
      </c>
      <c r="J3659">
        <v>0</v>
      </c>
      <c r="K3659">
        <v>1799</v>
      </c>
      <c r="L3659" s="5">
        <v>46287</v>
      </c>
      <c r="M3659" t="s">
        <v>7878</v>
      </c>
      <c r="N3659" t="s">
        <v>207</v>
      </c>
      <c r="O3659" t="s">
        <v>7975</v>
      </c>
      <c r="P3659" t="s">
        <v>208</v>
      </c>
      <c r="Q3659" t="s">
        <v>209</v>
      </c>
    </row>
    <row r="3660" spans="1:17" x14ac:dyDescent="0.3">
      <c r="A3660" t="s">
        <v>7976</v>
      </c>
      <c r="C3660" t="s">
        <v>7977</v>
      </c>
      <c r="D3660" t="s">
        <v>7977</v>
      </c>
      <c r="E3660" s="5">
        <v>46285</v>
      </c>
      <c r="F3660" t="s">
        <v>204</v>
      </c>
      <c r="G3660" t="s">
        <v>220</v>
      </c>
      <c r="H3660">
        <v>1898</v>
      </c>
      <c r="I3660">
        <v>0</v>
      </c>
      <c r="J3660">
        <v>0</v>
      </c>
      <c r="K3660">
        <v>1898</v>
      </c>
      <c r="L3660" s="5">
        <v>46287</v>
      </c>
      <c r="M3660" t="s">
        <v>7878</v>
      </c>
      <c r="N3660" t="s">
        <v>207</v>
      </c>
      <c r="O3660" t="s">
        <v>7977</v>
      </c>
      <c r="P3660" t="s">
        <v>208</v>
      </c>
      <c r="Q3660" t="s">
        <v>209</v>
      </c>
    </row>
    <row r="3661" spans="1:17" x14ac:dyDescent="0.3">
      <c r="A3661" t="s">
        <v>7978</v>
      </c>
      <c r="C3661" t="s">
        <v>7979</v>
      </c>
      <c r="D3661" t="s">
        <v>7979</v>
      </c>
      <c r="E3661" s="5">
        <v>46285</v>
      </c>
      <c r="F3661" t="s">
        <v>204</v>
      </c>
      <c r="G3661" t="s">
        <v>213</v>
      </c>
      <c r="H3661">
        <v>1799</v>
      </c>
      <c r="I3661">
        <v>32.380000000000003</v>
      </c>
      <c r="J3661">
        <v>5.83</v>
      </c>
      <c r="K3661">
        <v>1760.79</v>
      </c>
      <c r="L3661" s="5">
        <v>46287</v>
      </c>
      <c r="M3661" t="s">
        <v>7878</v>
      </c>
      <c r="N3661" t="s">
        <v>207</v>
      </c>
      <c r="O3661" t="s">
        <v>7979</v>
      </c>
      <c r="P3661" t="s">
        <v>208</v>
      </c>
      <c r="Q3661" t="s">
        <v>209</v>
      </c>
    </row>
    <row r="3662" spans="1:17" x14ac:dyDescent="0.3">
      <c r="A3662" t="s">
        <v>7980</v>
      </c>
      <c r="C3662" t="s">
        <v>7981</v>
      </c>
      <c r="D3662" t="s">
        <v>7981</v>
      </c>
      <c r="E3662" s="5">
        <v>46285</v>
      </c>
      <c r="F3662" t="s">
        <v>204</v>
      </c>
      <c r="G3662" t="s">
        <v>213</v>
      </c>
      <c r="H3662">
        <v>499</v>
      </c>
      <c r="I3662">
        <v>8.98</v>
      </c>
      <c r="J3662">
        <v>1.62</v>
      </c>
      <c r="K3662">
        <v>488.4</v>
      </c>
      <c r="L3662" s="5">
        <v>46287</v>
      </c>
      <c r="M3662" t="s">
        <v>7878</v>
      </c>
      <c r="N3662" t="s">
        <v>207</v>
      </c>
      <c r="O3662" t="s">
        <v>7981</v>
      </c>
      <c r="P3662" t="s">
        <v>208</v>
      </c>
      <c r="Q3662" t="s">
        <v>209</v>
      </c>
    </row>
    <row r="3663" spans="1:17" x14ac:dyDescent="0.3">
      <c r="A3663" t="s">
        <v>7982</v>
      </c>
      <c r="C3663" t="s">
        <v>7983</v>
      </c>
      <c r="D3663" t="s">
        <v>7984</v>
      </c>
      <c r="E3663" s="5">
        <v>46285</v>
      </c>
      <c r="F3663" t="s">
        <v>204</v>
      </c>
      <c r="G3663" t="s">
        <v>205</v>
      </c>
      <c r="H3663">
        <v>299</v>
      </c>
      <c r="I3663">
        <v>5.68</v>
      </c>
      <c r="J3663">
        <v>1.02</v>
      </c>
      <c r="K3663">
        <v>292.3</v>
      </c>
      <c r="L3663" s="5">
        <v>46287</v>
      </c>
      <c r="M3663" t="s">
        <v>7878</v>
      </c>
      <c r="N3663" t="s">
        <v>207</v>
      </c>
      <c r="O3663" t="s">
        <v>7984</v>
      </c>
      <c r="P3663" t="s">
        <v>208</v>
      </c>
      <c r="Q3663" t="s">
        <v>209</v>
      </c>
    </row>
    <row r="3664" spans="1:17" x14ac:dyDescent="0.3">
      <c r="A3664" t="s">
        <v>7985</v>
      </c>
      <c r="C3664" t="s">
        <v>7986</v>
      </c>
      <c r="D3664" t="s">
        <v>7987</v>
      </c>
      <c r="E3664" s="5">
        <v>46285</v>
      </c>
      <c r="F3664" t="s">
        <v>204</v>
      </c>
      <c r="G3664" t="s">
        <v>213</v>
      </c>
      <c r="H3664">
        <v>448</v>
      </c>
      <c r="I3664">
        <v>8.06</v>
      </c>
      <c r="J3664">
        <v>1.45</v>
      </c>
      <c r="K3664">
        <v>438.49</v>
      </c>
      <c r="L3664" s="5">
        <v>46287</v>
      </c>
      <c r="M3664" t="s">
        <v>7878</v>
      </c>
      <c r="N3664" t="s">
        <v>207</v>
      </c>
      <c r="O3664" t="s">
        <v>7987</v>
      </c>
      <c r="P3664" t="s">
        <v>208</v>
      </c>
      <c r="Q3664" t="s">
        <v>209</v>
      </c>
    </row>
    <row r="3665" spans="1:17" x14ac:dyDescent="0.3">
      <c r="A3665" t="s">
        <v>7988</v>
      </c>
      <c r="C3665" t="s">
        <v>7989</v>
      </c>
      <c r="D3665" t="s">
        <v>7989</v>
      </c>
      <c r="E3665" s="5">
        <v>46285</v>
      </c>
      <c r="F3665" t="s">
        <v>204</v>
      </c>
      <c r="G3665" t="s">
        <v>213</v>
      </c>
      <c r="H3665">
        <v>8797</v>
      </c>
      <c r="I3665">
        <v>140.75</v>
      </c>
      <c r="J3665">
        <v>25.34</v>
      </c>
      <c r="K3665">
        <v>8630.91</v>
      </c>
      <c r="L3665" s="5">
        <v>46287</v>
      </c>
      <c r="M3665" t="s">
        <v>7878</v>
      </c>
      <c r="N3665" t="s">
        <v>207</v>
      </c>
      <c r="O3665" t="s">
        <v>7989</v>
      </c>
      <c r="P3665" t="s">
        <v>208</v>
      </c>
      <c r="Q3665" t="s">
        <v>209</v>
      </c>
    </row>
    <row r="3666" spans="1:17" x14ac:dyDescent="0.3">
      <c r="A3666" t="s">
        <v>7990</v>
      </c>
      <c r="C3666" t="s">
        <v>7991</v>
      </c>
      <c r="D3666" t="s">
        <v>7992</v>
      </c>
      <c r="E3666" s="5">
        <v>46285</v>
      </c>
      <c r="F3666" t="s">
        <v>204</v>
      </c>
      <c r="G3666" t="s">
        <v>220</v>
      </c>
      <c r="H3666">
        <v>1799</v>
      </c>
      <c r="I3666">
        <v>0</v>
      </c>
      <c r="J3666">
        <v>0</v>
      </c>
      <c r="K3666">
        <v>1799</v>
      </c>
      <c r="L3666" s="5">
        <v>46287</v>
      </c>
      <c r="M3666" t="s">
        <v>7878</v>
      </c>
      <c r="N3666" t="s">
        <v>207</v>
      </c>
      <c r="O3666" t="s">
        <v>7992</v>
      </c>
      <c r="P3666" t="s">
        <v>208</v>
      </c>
      <c r="Q3666" t="s">
        <v>209</v>
      </c>
    </row>
    <row r="3667" spans="1:17" x14ac:dyDescent="0.3">
      <c r="A3667" t="s">
        <v>7993</v>
      </c>
      <c r="C3667" t="s">
        <v>7994</v>
      </c>
      <c r="D3667" t="s">
        <v>7994</v>
      </c>
      <c r="E3667" s="5">
        <v>46285</v>
      </c>
      <c r="F3667" t="s">
        <v>204</v>
      </c>
      <c r="G3667" t="s">
        <v>220</v>
      </c>
      <c r="H3667">
        <v>1499</v>
      </c>
      <c r="I3667">
        <v>0</v>
      </c>
      <c r="J3667">
        <v>0</v>
      </c>
      <c r="K3667">
        <v>1499</v>
      </c>
      <c r="L3667" s="5">
        <v>46287</v>
      </c>
      <c r="M3667" t="s">
        <v>7878</v>
      </c>
      <c r="N3667" t="s">
        <v>207</v>
      </c>
      <c r="O3667" t="s">
        <v>7994</v>
      </c>
      <c r="P3667" t="s">
        <v>208</v>
      </c>
      <c r="Q3667" t="s">
        <v>209</v>
      </c>
    </row>
    <row r="3668" spans="1:17" x14ac:dyDescent="0.3">
      <c r="A3668" t="s">
        <v>7995</v>
      </c>
      <c r="C3668" t="s">
        <v>7996</v>
      </c>
      <c r="D3668" t="s">
        <v>7996</v>
      </c>
      <c r="E3668" s="5">
        <v>46285</v>
      </c>
      <c r="F3668" t="s">
        <v>204</v>
      </c>
      <c r="G3668" t="s">
        <v>220</v>
      </c>
      <c r="H3668">
        <v>1799</v>
      </c>
      <c r="I3668">
        <v>0</v>
      </c>
      <c r="J3668">
        <v>0</v>
      </c>
      <c r="K3668">
        <v>1799</v>
      </c>
      <c r="L3668" s="5">
        <v>46287</v>
      </c>
      <c r="M3668" t="s">
        <v>7878</v>
      </c>
      <c r="N3668" t="s">
        <v>207</v>
      </c>
      <c r="O3668" t="s">
        <v>7996</v>
      </c>
      <c r="P3668" t="s">
        <v>208</v>
      </c>
      <c r="Q3668" t="s">
        <v>209</v>
      </c>
    </row>
    <row r="3669" spans="1:17" x14ac:dyDescent="0.3">
      <c r="A3669" t="s">
        <v>7997</v>
      </c>
      <c r="C3669" t="s">
        <v>7998</v>
      </c>
      <c r="D3669" t="s">
        <v>7998</v>
      </c>
      <c r="E3669" s="5">
        <v>46285</v>
      </c>
      <c r="F3669" t="s">
        <v>204</v>
      </c>
      <c r="G3669" t="s">
        <v>220</v>
      </c>
      <c r="H3669">
        <v>1498</v>
      </c>
      <c r="I3669">
        <v>0</v>
      </c>
      <c r="J3669">
        <v>0</v>
      </c>
      <c r="K3669">
        <v>1498</v>
      </c>
      <c r="L3669" s="5">
        <v>46287</v>
      </c>
      <c r="M3669" t="s">
        <v>7878</v>
      </c>
      <c r="N3669" t="s">
        <v>207</v>
      </c>
      <c r="O3669" t="s">
        <v>7998</v>
      </c>
      <c r="P3669" t="s">
        <v>208</v>
      </c>
      <c r="Q3669" t="s">
        <v>209</v>
      </c>
    </row>
    <row r="3670" spans="1:17" x14ac:dyDescent="0.3">
      <c r="A3670" t="s">
        <v>7999</v>
      </c>
      <c r="C3670" t="s">
        <v>8000</v>
      </c>
      <c r="D3670" t="s">
        <v>8000</v>
      </c>
      <c r="E3670" s="5">
        <v>46285</v>
      </c>
      <c r="F3670" t="s">
        <v>204</v>
      </c>
      <c r="G3670" t="s">
        <v>205</v>
      </c>
      <c r="H3670">
        <v>1499</v>
      </c>
      <c r="I3670">
        <v>28.48</v>
      </c>
      <c r="J3670">
        <v>5.13</v>
      </c>
      <c r="K3670">
        <v>1465.39</v>
      </c>
      <c r="L3670" s="5">
        <v>46287</v>
      </c>
      <c r="M3670" t="s">
        <v>7878</v>
      </c>
      <c r="N3670" t="s">
        <v>207</v>
      </c>
      <c r="O3670" t="s">
        <v>8000</v>
      </c>
      <c r="P3670" t="s">
        <v>208</v>
      </c>
      <c r="Q3670" t="s">
        <v>209</v>
      </c>
    </row>
    <row r="3671" spans="1:17" x14ac:dyDescent="0.3">
      <c r="A3671" t="s">
        <v>8001</v>
      </c>
      <c r="C3671" t="s">
        <v>8002</v>
      </c>
      <c r="D3671" t="s">
        <v>8002</v>
      </c>
      <c r="E3671" s="5">
        <v>46285</v>
      </c>
      <c r="F3671" t="s">
        <v>204</v>
      </c>
      <c r="G3671" t="s">
        <v>213</v>
      </c>
      <c r="H3671">
        <v>6298</v>
      </c>
      <c r="I3671">
        <v>100.77</v>
      </c>
      <c r="J3671">
        <v>18.14</v>
      </c>
      <c r="K3671">
        <v>6179.09</v>
      </c>
      <c r="L3671" s="5">
        <v>46287</v>
      </c>
      <c r="M3671" t="s">
        <v>7878</v>
      </c>
      <c r="N3671" t="s">
        <v>207</v>
      </c>
      <c r="O3671" t="s">
        <v>8002</v>
      </c>
      <c r="P3671" t="s">
        <v>208</v>
      </c>
      <c r="Q3671" t="s">
        <v>209</v>
      </c>
    </row>
    <row r="3672" spans="1:17" x14ac:dyDescent="0.3">
      <c r="A3672" t="s">
        <v>8003</v>
      </c>
      <c r="C3672" t="s">
        <v>8004</v>
      </c>
      <c r="D3672" t="s">
        <v>8004</v>
      </c>
      <c r="E3672" s="5">
        <v>46285</v>
      </c>
      <c r="F3672" t="s">
        <v>204</v>
      </c>
      <c r="G3672" t="s">
        <v>213</v>
      </c>
      <c r="H3672">
        <v>2798</v>
      </c>
      <c r="I3672">
        <v>44.77</v>
      </c>
      <c r="J3672">
        <v>8.06</v>
      </c>
      <c r="K3672">
        <v>2745.17</v>
      </c>
      <c r="L3672" s="5">
        <v>46287</v>
      </c>
      <c r="M3672" t="s">
        <v>7878</v>
      </c>
      <c r="N3672" t="s">
        <v>207</v>
      </c>
      <c r="O3672" t="s">
        <v>8004</v>
      </c>
      <c r="P3672" t="s">
        <v>208</v>
      </c>
      <c r="Q3672" t="s">
        <v>209</v>
      </c>
    </row>
    <row r="3673" spans="1:17" x14ac:dyDescent="0.3">
      <c r="A3673" t="s">
        <v>8005</v>
      </c>
      <c r="C3673" t="s">
        <v>8006</v>
      </c>
      <c r="D3673" t="s">
        <v>8006</v>
      </c>
      <c r="E3673" s="5">
        <v>46285</v>
      </c>
      <c r="F3673" t="s">
        <v>204</v>
      </c>
      <c r="G3673" t="s">
        <v>220</v>
      </c>
      <c r="H3673">
        <v>2998</v>
      </c>
      <c r="I3673">
        <v>8.99</v>
      </c>
      <c r="J3673">
        <v>1.62</v>
      </c>
      <c r="K3673">
        <v>2987.39</v>
      </c>
      <c r="L3673" s="5">
        <v>46287</v>
      </c>
      <c r="M3673" t="s">
        <v>7878</v>
      </c>
      <c r="N3673" t="s">
        <v>207</v>
      </c>
      <c r="O3673" t="s">
        <v>8006</v>
      </c>
      <c r="P3673" t="s">
        <v>208</v>
      </c>
      <c r="Q3673" t="s">
        <v>209</v>
      </c>
    </row>
    <row r="3674" spans="1:17" x14ac:dyDescent="0.3">
      <c r="A3674" t="s">
        <v>8007</v>
      </c>
      <c r="C3674" t="s">
        <v>8008</v>
      </c>
      <c r="D3674" t="s">
        <v>8008</v>
      </c>
      <c r="E3674" s="5">
        <v>46285</v>
      </c>
      <c r="F3674" t="s">
        <v>204</v>
      </c>
      <c r="G3674" t="s">
        <v>220</v>
      </c>
      <c r="H3674">
        <v>499</v>
      </c>
      <c r="I3674">
        <v>0</v>
      </c>
      <c r="J3674">
        <v>0</v>
      </c>
      <c r="K3674">
        <v>499</v>
      </c>
      <c r="L3674" s="5">
        <v>46287</v>
      </c>
      <c r="M3674" t="s">
        <v>7878</v>
      </c>
      <c r="N3674" t="s">
        <v>207</v>
      </c>
      <c r="O3674" t="s">
        <v>8008</v>
      </c>
      <c r="P3674" t="s">
        <v>208</v>
      </c>
      <c r="Q3674" t="s">
        <v>209</v>
      </c>
    </row>
    <row r="3675" spans="1:17" x14ac:dyDescent="0.3">
      <c r="A3675" t="s">
        <v>8009</v>
      </c>
      <c r="C3675" t="s">
        <v>8010</v>
      </c>
      <c r="D3675" t="s">
        <v>8010</v>
      </c>
      <c r="E3675" s="5">
        <v>46285</v>
      </c>
      <c r="F3675" t="s">
        <v>204</v>
      </c>
      <c r="G3675" t="s">
        <v>220</v>
      </c>
      <c r="H3675">
        <v>9498</v>
      </c>
      <c r="I3675">
        <v>28.49</v>
      </c>
      <c r="J3675">
        <v>5.13</v>
      </c>
      <c r="K3675">
        <v>9464.3799999999992</v>
      </c>
      <c r="L3675" s="5">
        <v>46287</v>
      </c>
      <c r="M3675" t="s">
        <v>7878</v>
      </c>
      <c r="N3675" t="s">
        <v>207</v>
      </c>
      <c r="O3675" t="s">
        <v>8010</v>
      </c>
      <c r="P3675" t="s">
        <v>208</v>
      </c>
      <c r="Q3675" t="s">
        <v>209</v>
      </c>
    </row>
    <row r="3676" spans="1:17" x14ac:dyDescent="0.3">
      <c r="A3676" t="s">
        <v>8011</v>
      </c>
      <c r="C3676" t="s">
        <v>8012</v>
      </c>
      <c r="D3676" t="s">
        <v>8012</v>
      </c>
      <c r="E3676" s="5">
        <v>46285</v>
      </c>
      <c r="F3676" t="s">
        <v>204</v>
      </c>
      <c r="G3676" t="s">
        <v>205</v>
      </c>
      <c r="H3676">
        <v>2499</v>
      </c>
      <c r="I3676">
        <v>42.48</v>
      </c>
      <c r="J3676">
        <v>7.65</v>
      </c>
      <c r="K3676">
        <v>2448.87</v>
      </c>
      <c r="L3676" s="5">
        <v>46287</v>
      </c>
      <c r="M3676" t="s">
        <v>7878</v>
      </c>
      <c r="N3676" t="s">
        <v>207</v>
      </c>
      <c r="O3676" t="s">
        <v>8012</v>
      </c>
      <c r="P3676" t="s">
        <v>208</v>
      </c>
      <c r="Q3676" t="s">
        <v>209</v>
      </c>
    </row>
    <row r="3677" spans="1:17" x14ac:dyDescent="0.3">
      <c r="A3677" t="s">
        <v>8013</v>
      </c>
      <c r="C3677" t="s">
        <v>8014</v>
      </c>
      <c r="D3677" t="s">
        <v>8015</v>
      </c>
      <c r="E3677" s="5">
        <v>46285</v>
      </c>
      <c r="F3677" t="s">
        <v>204</v>
      </c>
      <c r="G3677" t="s">
        <v>220</v>
      </c>
      <c r="H3677">
        <v>499</v>
      </c>
      <c r="I3677">
        <v>0</v>
      </c>
      <c r="J3677">
        <v>0</v>
      </c>
      <c r="K3677">
        <v>499</v>
      </c>
      <c r="L3677" s="5">
        <v>46287</v>
      </c>
      <c r="M3677" t="s">
        <v>7878</v>
      </c>
      <c r="N3677" t="s">
        <v>207</v>
      </c>
      <c r="O3677" t="s">
        <v>8015</v>
      </c>
      <c r="P3677" t="s">
        <v>208</v>
      </c>
      <c r="Q3677" t="s">
        <v>209</v>
      </c>
    </row>
    <row r="3678" spans="1:17" x14ac:dyDescent="0.3">
      <c r="A3678" t="s">
        <v>8016</v>
      </c>
      <c r="C3678" t="s">
        <v>8017</v>
      </c>
      <c r="D3678" t="s">
        <v>8017</v>
      </c>
      <c r="E3678" s="5">
        <v>46285</v>
      </c>
      <c r="F3678" t="s">
        <v>204</v>
      </c>
      <c r="G3678" t="s">
        <v>213</v>
      </c>
      <c r="H3678">
        <v>2797</v>
      </c>
      <c r="I3678">
        <v>44.75</v>
      </c>
      <c r="J3678">
        <v>8.06</v>
      </c>
      <c r="K3678">
        <v>2744.19</v>
      </c>
      <c r="L3678" s="5">
        <v>46287</v>
      </c>
      <c r="M3678" t="s">
        <v>7878</v>
      </c>
      <c r="N3678" t="s">
        <v>207</v>
      </c>
      <c r="O3678" t="s">
        <v>8017</v>
      </c>
      <c r="P3678" t="s">
        <v>208</v>
      </c>
      <c r="Q3678" t="s">
        <v>209</v>
      </c>
    </row>
    <row r="3679" spans="1:17" x14ac:dyDescent="0.3">
      <c r="A3679" t="s">
        <v>8018</v>
      </c>
      <c r="C3679" t="s">
        <v>8019</v>
      </c>
      <c r="D3679" t="s">
        <v>8019</v>
      </c>
      <c r="E3679" s="5">
        <v>46285</v>
      </c>
      <c r="F3679" t="s">
        <v>204</v>
      </c>
      <c r="G3679" t="s">
        <v>213</v>
      </c>
      <c r="H3679">
        <v>1799</v>
      </c>
      <c r="I3679">
        <v>32.380000000000003</v>
      </c>
      <c r="J3679">
        <v>5.83</v>
      </c>
      <c r="K3679">
        <v>1760.79</v>
      </c>
      <c r="L3679" s="5">
        <v>46287</v>
      </c>
      <c r="M3679" t="s">
        <v>7878</v>
      </c>
      <c r="N3679" t="s">
        <v>207</v>
      </c>
      <c r="O3679" t="s">
        <v>8019</v>
      </c>
      <c r="P3679" t="s">
        <v>208</v>
      </c>
      <c r="Q3679" t="s">
        <v>209</v>
      </c>
    </row>
    <row r="3680" spans="1:17" x14ac:dyDescent="0.3">
      <c r="A3680" t="s">
        <v>8020</v>
      </c>
      <c r="C3680" t="s">
        <v>8021</v>
      </c>
      <c r="D3680" t="s">
        <v>8021</v>
      </c>
      <c r="E3680" s="5">
        <v>46285</v>
      </c>
      <c r="F3680" t="s">
        <v>204</v>
      </c>
      <c r="G3680" t="s">
        <v>220</v>
      </c>
      <c r="H3680">
        <v>3499</v>
      </c>
      <c r="I3680">
        <v>10.5</v>
      </c>
      <c r="J3680">
        <v>1.89</v>
      </c>
      <c r="K3680">
        <v>3486.61</v>
      </c>
      <c r="L3680" s="5">
        <v>46287</v>
      </c>
      <c r="M3680" t="s">
        <v>7878</v>
      </c>
      <c r="N3680" t="s">
        <v>207</v>
      </c>
      <c r="O3680" t="s">
        <v>8021</v>
      </c>
      <c r="P3680" t="s">
        <v>208</v>
      </c>
      <c r="Q3680" t="s">
        <v>209</v>
      </c>
    </row>
    <row r="3681" spans="1:17" x14ac:dyDescent="0.3">
      <c r="A3681" t="s">
        <v>8022</v>
      </c>
      <c r="C3681" t="s">
        <v>8023</v>
      </c>
      <c r="D3681" t="s">
        <v>8023</v>
      </c>
      <c r="E3681" s="5">
        <v>46285</v>
      </c>
      <c r="F3681" t="s">
        <v>204</v>
      </c>
      <c r="G3681" t="s">
        <v>220</v>
      </c>
      <c r="H3681">
        <v>1299</v>
      </c>
      <c r="I3681">
        <v>0</v>
      </c>
      <c r="J3681">
        <v>0</v>
      </c>
      <c r="K3681">
        <v>1299</v>
      </c>
      <c r="L3681" s="5">
        <v>46287</v>
      </c>
      <c r="M3681" t="s">
        <v>7878</v>
      </c>
      <c r="N3681" t="s">
        <v>207</v>
      </c>
      <c r="O3681" t="s">
        <v>8023</v>
      </c>
      <c r="P3681" t="s">
        <v>208</v>
      </c>
      <c r="Q3681" t="s">
        <v>209</v>
      </c>
    </row>
    <row r="3682" spans="1:17" x14ac:dyDescent="0.3">
      <c r="A3682" t="s">
        <v>8024</v>
      </c>
      <c r="C3682" t="s">
        <v>8025</v>
      </c>
      <c r="D3682" t="s">
        <v>8025</v>
      </c>
      <c r="E3682" s="5">
        <v>46285</v>
      </c>
      <c r="F3682" t="s">
        <v>204</v>
      </c>
      <c r="G3682" t="s">
        <v>220</v>
      </c>
      <c r="H3682">
        <v>7997</v>
      </c>
      <c r="I3682">
        <v>23.99</v>
      </c>
      <c r="J3682">
        <v>4.32</v>
      </c>
      <c r="K3682">
        <v>7968.69</v>
      </c>
      <c r="L3682" s="5">
        <v>46287</v>
      </c>
      <c r="M3682" t="s">
        <v>7878</v>
      </c>
      <c r="N3682" t="s">
        <v>207</v>
      </c>
      <c r="O3682" t="s">
        <v>8025</v>
      </c>
      <c r="P3682" t="s">
        <v>208</v>
      </c>
      <c r="Q3682" t="s">
        <v>209</v>
      </c>
    </row>
    <row r="3683" spans="1:17" x14ac:dyDescent="0.3">
      <c r="A3683" t="s">
        <v>8026</v>
      </c>
      <c r="C3683" t="s">
        <v>8027</v>
      </c>
      <c r="D3683" t="s">
        <v>8027</v>
      </c>
      <c r="E3683" s="5">
        <v>46285</v>
      </c>
      <c r="F3683" t="s">
        <v>204</v>
      </c>
      <c r="G3683" t="s">
        <v>220</v>
      </c>
      <c r="H3683">
        <v>4797</v>
      </c>
      <c r="I3683">
        <v>14.39</v>
      </c>
      <c r="J3683">
        <v>2.59</v>
      </c>
      <c r="K3683">
        <v>4780.0200000000004</v>
      </c>
      <c r="L3683" s="5">
        <v>46287</v>
      </c>
      <c r="M3683" t="s">
        <v>7878</v>
      </c>
      <c r="N3683" t="s">
        <v>207</v>
      </c>
      <c r="O3683" t="s">
        <v>8027</v>
      </c>
      <c r="P3683" t="s">
        <v>208</v>
      </c>
      <c r="Q3683" t="s">
        <v>209</v>
      </c>
    </row>
    <row r="3684" spans="1:17" x14ac:dyDescent="0.3">
      <c r="A3684" t="s">
        <v>8028</v>
      </c>
      <c r="C3684" t="s">
        <v>8027</v>
      </c>
      <c r="D3684" t="s">
        <v>8027</v>
      </c>
      <c r="E3684" s="5">
        <v>46285</v>
      </c>
      <c r="F3684" t="s">
        <v>204</v>
      </c>
      <c r="G3684" t="s">
        <v>220</v>
      </c>
      <c r="H3684">
        <v>4797</v>
      </c>
      <c r="I3684">
        <v>14.39</v>
      </c>
      <c r="J3684">
        <v>2.59</v>
      </c>
      <c r="K3684">
        <v>4780.0200000000004</v>
      </c>
      <c r="L3684" s="5">
        <v>46287</v>
      </c>
      <c r="M3684" t="s">
        <v>7878</v>
      </c>
      <c r="N3684" t="s">
        <v>207</v>
      </c>
      <c r="O3684" t="s">
        <v>8027</v>
      </c>
      <c r="P3684" t="s">
        <v>208</v>
      </c>
      <c r="Q3684" t="s">
        <v>209</v>
      </c>
    </row>
    <row r="3685" spans="1:17" x14ac:dyDescent="0.3">
      <c r="A3685" t="s">
        <v>8029</v>
      </c>
      <c r="C3685" t="s">
        <v>8030</v>
      </c>
      <c r="D3685" t="s">
        <v>8030</v>
      </c>
      <c r="E3685" s="5">
        <v>46285</v>
      </c>
      <c r="F3685" t="s">
        <v>204</v>
      </c>
      <c r="G3685" t="s">
        <v>220</v>
      </c>
      <c r="H3685">
        <v>2098</v>
      </c>
      <c r="I3685">
        <v>6.29</v>
      </c>
      <c r="J3685">
        <v>1.1299999999999999</v>
      </c>
      <c r="K3685">
        <v>2090.58</v>
      </c>
      <c r="L3685" s="5">
        <v>46287</v>
      </c>
      <c r="M3685" t="s">
        <v>7878</v>
      </c>
      <c r="N3685" t="s">
        <v>207</v>
      </c>
      <c r="O3685" t="s">
        <v>8030</v>
      </c>
      <c r="P3685" t="s">
        <v>208</v>
      </c>
      <c r="Q3685" t="s">
        <v>209</v>
      </c>
    </row>
    <row r="3686" spans="1:17" x14ac:dyDescent="0.3">
      <c r="A3686" t="s">
        <v>8031</v>
      </c>
      <c r="C3686" t="s">
        <v>8032</v>
      </c>
      <c r="D3686" t="s">
        <v>8032</v>
      </c>
      <c r="E3686" s="5">
        <v>46285</v>
      </c>
      <c r="F3686" t="s">
        <v>204</v>
      </c>
      <c r="G3686" t="s">
        <v>220</v>
      </c>
      <c r="H3686">
        <v>4999</v>
      </c>
      <c r="I3686">
        <v>15</v>
      </c>
      <c r="J3686">
        <v>2.7</v>
      </c>
      <c r="K3686">
        <v>4981.3</v>
      </c>
      <c r="L3686" s="5">
        <v>46287</v>
      </c>
      <c r="M3686" t="s">
        <v>7878</v>
      </c>
      <c r="N3686" t="s">
        <v>207</v>
      </c>
      <c r="O3686" t="s">
        <v>8032</v>
      </c>
      <c r="P3686" t="s">
        <v>208</v>
      </c>
      <c r="Q3686" t="s">
        <v>209</v>
      </c>
    </row>
    <row r="3687" spans="1:17" x14ac:dyDescent="0.3">
      <c r="A3687" t="s">
        <v>8033</v>
      </c>
      <c r="C3687" t="s">
        <v>8034</v>
      </c>
      <c r="D3687" t="s">
        <v>8034</v>
      </c>
      <c r="E3687" s="5">
        <v>46285</v>
      </c>
      <c r="F3687" t="s">
        <v>204</v>
      </c>
      <c r="G3687" t="s">
        <v>220</v>
      </c>
      <c r="H3687">
        <v>8348</v>
      </c>
      <c r="I3687">
        <v>25.04</v>
      </c>
      <c r="J3687">
        <v>4.51</v>
      </c>
      <c r="K3687">
        <v>8318.4500000000007</v>
      </c>
      <c r="L3687" s="5">
        <v>46287</v>
      </c>
      <c r="M3687" t="s">
        <v>7878</v>
      </c>
      <c r="N3687" t="s">
        <v>207</v>
      </c>
      <c r="O3687" t="s">
        <v>8034</v>
      </c>
      <c r="P3687" t="s">
        <v>208</v>
      </c>
      <c r="Q3687" t="s">
        <v>209</v>
      </c>
    </row>
    <row r="3688" spans="1:17" x14ac:dyDescent="0.3">
      <c r="A3688" t="s">
        <v>8035</v>
      </c>
      <c r="C3688" t="s">
        <v>8036</v>
      </c>
      <c r="D3688" t="s">
        <v>8036</v>
      </c>
      <c r="E3688" s="5">
        <v>46285</v>
      </c>
      <c r="F3688" t="s">
        <v>204</v>
      </c>
      <c r="G3688" t="s">
        <v>220</v>
      </c>
      <c r="H3688">
        <v>9897</v>
      </c>
      <c r="I3688">
        <v>29.69</v>
      </c>
      <c r="J3688">
        <v>5.34</v>
      </c>
      <c r="K3688">
        <v>9861.9699999999993</v>
      </c>
      <c r="L3688" s="5">
        <v>46287</v>
      </c>
      <c r="M3688" t="s">
        <v>7878</v>
      </c>
      <c r="N3688" t="s">
        <v>207</v>
      </c>
      <c r="O3688" t="s">
        <v>8036</v>
      </c>
      <c r="P3688" t="s">
        <v>208</v>
      </c>
      <c r="Q3688" t="s">
        <v>209</v>
      </c>
    </row>
    <row r="3689" spans="1:17" x14ac:dyDescent="0.3">
      <c r="A3689" t="s">
        <v>8037</v>
      </c>
      <c r="C3689" t="s">
        <v>8038</v>
      </c>
      <c r="D3689" t="s">
        <v>8038</v>
      </c>
      <c r="E3689" s="5">
        <v>46285</v>
      </c>
      <c r="F3689" t="s">
        <v>204</v>
      </c>
      <c r="G3689" t="s">
        <v>213</v>
      </c>
      <c r="H3689">
        <v>3298</v>
      </c>
      <c r="I3689">
        <v>52.77</v>
      </c>
      <c r="J3689">
        <v>9.5</v>
      </c>
      <c r="K3689">
        <v>3235.73</v>
      </c>
      <c r="L3689" s="5">
        <v>46287</v>
      </c>
      <c r="M3689" t="s">
        <v>7878</v>
      </c>
      <c r="N3689" t="s">
        <v>207</v>
      </c>
      <c r="O3689" t="s">
        <v>8038</v>
      </c>
      <c r="P3689" t="s">
        <v>208</v>
      </c>
      <c r="Q3689" t="s">
        <v>209</v>
      </c>
    </row>
    <row r="3690" spans="1:17" x14ac:dyDescent="0.3">
      <c r="A3690" t="s">
        <v>8039</v>
      </c>
      <c r="C3690" t="s">
        <v>8040</v>
      </c>
      <c r="D3690" t="s">
        <v>8040</v>
      </c>
      <c r="E3690" s="5">
        <v>46285</v>
      </c>
      <c r="F3690" t="s">
        <v>204</v>
      </c>
      <c r="G3690" t="s">
        <v>213</v>
      </c>
      <c r="H3690">
        <v>3798</v>
      </c>
      <c r="I3690">
        <v>60.77</v>
      </c>
      <c r="J3690">
        <v>10.94</v>
      </c>
      <c r="K3690">
        <v>3726.29</v>
      </c>
      <c r="L3690" s="5">
        <v>46287</v>
      </c>
      <c r="M3690" t="s">
        <v>7878</v>
      </c>
      <c r="N3690" t="s">
        <v>207</v>
      </c>
      <c r="O3690" t="s">
        <v>8040</v>
      </c>
      <c r="P3690" t="s">
        <v>208</v>
      </c>
      <c r="Q3690" t="s">
        <v>209</v>
      </c>
    </row>
    <row r="3691" spans="1:17" x14ac:dyDescent="0.3">
      <c r="A3691" t="s">
        <v>8041</v>
      </c>
      <c r="C3691" t="s">
        <v>8042</v>
      </c>
      <c r="D3691" t="s">
        <v>8042</v>
      </c>
      <c r="E3691" s="5">
        <v>46285</v>
      </c>
      <c r="F3691" t="s">
        <v>204</v>
      </c>
      <c r="G3691" t="s">
        <v>213</v>
      </c>
      <c r="H3691">
        <v>7999</v>
      </c>
      <c r="I3691">
        <v>127.98</v>
      </c>
      <c r="J3691">
        <v>23.04</v>
      </c>
      <c r="K3691">
        <v>7847.98</v>
      </c>
      <c r="L3691" s="5">
        <v>46287</v>
      </c>
      <c r="M3691" t="s">
        <v>7878</v>
      </c>
      <c r="N3691" t="s">
        <v>207</v>
      </c>
      <c r="O3691" t="s">
        <v>8042</v>
      </c>
      <c r="P3691" t="s">
        <v>208</v>
      </c>
      <c r="Q3691" t="s">
        <v>209</v>
      </c>
    </row>
    <row r="3692" spans="1:17" x14ac:dyDescent="0.3">
      <c r="A3692" t="s">
        <v>8043</v>
      </c>
      <c r="C3692" t="s">
        <v>8044</v>
      </c>
      <c r="D3692" t="s">
        <v>8044</v>
      </c>
      <c r="E3692" s="5">
        <v>46285</v>
      </c>
      <c r="F3692" t="s">
        <v>204</v>
      </c>
      <c r="G3692" t="s">
        <v>255</v>
      </c>
      <c r="H3692">
        <v>1299</v>
      </c>
      <c r="I3692">
        <v>19.489999999999998</v>
      </c>
      <c r="J3692">
        <v>3.51</v>
      </c>
      <c r="K3692">
        <v>1276</v>
      </c>
      <c r="L3692" s="5">
        <v>46287</v>
      </c>
      <c r="M3692" t="s">
        <v>7878</v>
      </c>
      <c r="N3692" t="s">
        <v>207</v>
      </c>
      <c r="O3692" t="s">
        <v>8044</v>
      </c>
      <c r="P3692" t="s">
        <v>208</v>
      </c>
      <c r="Q3692" t="s">
        <v>209</v>
      </c>
    </row>
    <row r="3693" spans="1:17" x14ac:dyDescent="0.3">
      <c r="A3693" t="s">
        <v>8045</v>
      </c>
      <c r="C3693" t="s">
        <v>8046</v>
      </c>
      <c r="D3693" t="s">
        <v>8046</v>
      </c>
      <c r="E3693" s="5">
        <v>46285</v>
      </c>
      <c r="F3693" t="s">
        <v>204</v>
      </c>
      <c r="G3693" t="s">
        <v>220</v>
      </c>
      <c r="H3693">
        <v>799</v>
      </c>
      <c r="I3693">
        <v>0</v>
      </c>
      <c r="J3693">
        <v>0</v>
      </c>
      <c r="K3693">
        <v>799</v>
      </c>
      <c r="L3693" s="5">
        <v>46287</v>
      </c>
      <c r="M3693" t="s">
        <v>7878</v>
      </c>
      <c r="N3693" t="s">
        <v>207</v>
      </c>
      <c r="O3693" t="s">
        <v>8046</v>
      </c>
      <c r="P3693" t="s">
        <v>208</v>
      </c>
      <c r="Q3693" t="s">
        <v>209</v>
      </c>
    </row>
    <row r="3694" spans="1:17" x14ac:dyDescent="0.3">
      <c r="A3694" t="s">
        <v>8047</v>
      </c>
      <c r="C3694" t="s">
        <v>8048</v>
      </c>
      <c r="D3694" t="s">
        <v>8048</v>
      </c>
      <c r="E3694" s="5">
        <v>46285</v>
      </c>
      <c r="F3694" t="s">
        <v>204</v>
      </c>
      <c r="G3694" t="s">
        <v>220</v>
      </c>
      <c r="H3694">
        <v>5298</v>
      </c>
      <c r="I3694">
        <v>15.89</v>
      </c>
      <c r="J3694">
        <v>2.86</v>
      </c>
      <c r="K3694">
        <v>5279.25</v>
      </c>
      <c r="L3694" s="5">
        <v>46287</v>
      </c>
      <c r="M3694" t="s">
        <v>7878</v>
      </c>
      <c r="N3694" t="s">
        <v>207</v>
      </c>
      <c r="O3694" t="s">
        <v>8048</v>
      </c>
      <c r="P3694" t="s">
        <v>208</v>
      </c>
      <c r="Q3694" t="s">
        <v>209</v>
      </c>
    </row>
    <row r="3695" spans="1:17" x14ac:dyDescent="0.3">
      <c r="A3695" t="s">
        <v>8049</v>
      </c>
      <c r="C3695" t="s">
        <v>8050</v>
      </c>
      <c r="D3695" t="s">
        <v>8051</v>
      </c>
      <c r="E3695" s="5">
        <v>46285</v>
      </c>
      <c r="F3695" t="s">
        <v>204</v>
      </c>
      <c r="G3695" t="s">
        <v>213</v>
      </c>
      <c r="H3695">
        <v>1499</v>
      </c>
      <c r="I3695">
        <v>26.98</v>
      </c>
      <c r="J3695">
        <v>4.8600000000000003</v>
      </c>
      <c r="K3695">
        <v>1467.16</v>
      </c>
      <c r="L3695" s="5">
        <v>46287</v>
      </c>
      <c r="M3695" t="s">
        <v>7878</v>
      </c>
      <c r="N3695" t="s">
        <v>207</v>
      </c>
      <c r="O3695" t="s">
        <v>8051</v>
      </c>
      <c r="P3695" t="s">
        <v>208</v>
      </c>
      <c r="Q3695" t="s">
        <v>209</v>
      </c>
    </row>
    <row r="3696" spans="1:17" x14ac:dyDescent="0.3">
      <c r="A3696" t="s">
        <v>8052</v>
      </c>
      <c r="C3696" t="s">
        <v>8053</v>
      </c>
      <c r="D3696" t="s">
        <v>8053</v>
      </c>
      <c r="E3696" s="5">
        <v>46285</v>
      </c>
      <c r="F3696" t="s">
        <v>204</v>
      </c>
      <c r="G3696" t="s">
        <v>213</v>
      </c>
      <c r="H3696">
        <v>4397</v>
      </c>
      <c r="I3696">
        <v>70.349999999999994</v>
      </c>
      <c r="J3696">
        <v>12.66</v>
      </c>
      <c r="K3696">
        <v>4313.99</v>
      </c>
      <c r="L3696" s="5">
        <v>46287</v>
      </c>
      <c r="M3696" t="s">
        <v>7878</v>
      </c>
      <c r="N3696" t="s">
        <v>207</v>
      </c>
      <c r="O3696" t="s">
        <v>8053</v>
      </c>
      <c r="P3696" t="s">
        <v>208</v>
      </c>
      <c r="Q3696" t="s">
        <v>209</v>
      </c>
    </row>
    <row r="3697" spans="1:17" x14ac:dyDescent="0.3">
      <c r="A3697" t="s">
        <v>8054</v>
      </c>
      <c r="C3697" t="s">
        <v>8055</v>
      </c>
      <c r="D3697" t="s">
        <v>8055</v>
      </c>
      <c r="E3697" s="5">
        <v>46285</v>
      </c>
      <c r="F3697" t="s">
        <v>204</v>
      </c>
      <c r="G3697" t="s">
        <v>220</v>
      </c>
      <c r="H3697">
        <v>2098</v>
      </c>
      <c r="I3697">
        <v>6.29</v>
      </c>
      <c r="J3697">
        <v>1.1299999999999999</v>
      </c>
      <c r="K3697">
        <v>2090.58</v>
      </c>
      <c r="L3697" s="5">
        <v>46287</v>
      </c>
      <c r="M3697" t="s">
        <v>7878</v>
      </c>
      <c r="N3697" t="s">
        <v>207</v>
      </c>
      <c r="O3697" t="s">
        <v>8055</v>
      </c>
      <c r="P3697" t="s">
        <v>208</v>
      </c>
      <c r="Q3697" t="s">
        <v>209</v>
      </c>
    </row>
    <row r="3698" spans="1:17" x14ac:dyDescent="0.3">
      <c r="A3698" t="s">
        <v>8056</v>
      </c>
      <c r="C3698" t="s">
        <v>8057</v>
      </c>
      <c r="D3698" t="s">
        <v>8057</v>
      </c>
      <c r="E3698" s="5">
        <v>46285</v>
      </c>
      <c r="F3698" t="s">
        <v>204</v>
      </c>
      <c r="G3698" t="s">
        <v>220</v>
      </c>
      <c r="H3698">
        <v>4999</v>
      </c>
      <c r="I3698">
        <v>15</v>
      </c>
      <c r="J3698">
        <v>2.7</v>
      </c>
      <c r="K3698">
        <v>4981.3</v>
      </c>
      <c r="L3698" s="5">
        <v>46287</v>
      </c>
      <c r="M3698" t="s">
        <v>7878</v>
      </c>
      <c r="N3698" t="s">
        <v>207</v>
      </c>
      <c r="O3698" t="s">
        <v>8057</v>
      </c>
      <c r="P3698" t="s">
        <v>208</v>
      </c>
      <c r="Q3698" t="s">
        <v>209</v>
      </c>
    </row>
    <row r="3699" spans="1:17" x14ac:dyDescent="0.3">
      <c r="A3699" t="s">
        <v>8058</v>
      </c>
      <c r="C3699" t="s">
        <v>8059</v>
      </c>
      <c r="D3699" t="s">
        <v>8059</v>
      </c>
      <c r="E3699" s="5">
        <v>46285</v>
      </c>
      <c r="F3699" t="s">
        <v>204</v>
      </c>
      <c r="G3699" t="s">
        <v>205</v>
      </c>
      <c r="H3699">
        <v>999</v>
      </c>
      <c r="I3699">
        <v>18.98</v>
      </c>
      <c r="J3699">
        <v>3.42</v>
      </c>
      <c r="K3699">
        <v>976.6</v>
      </c>
      <c r="L3699" s="5">
        <v>46287</v>
      </c>
      <c r="M3699" t="s">
        <v>7878</v>
      </c>
      <c r="N3699" t="s">
        <v>207</v>
      </c>
      <c r="O3699" t="s">
        <v>8059</v>
      </c>
      <c r="P3699" t="s">
        <v>208</v>
      </c>
      <c r="Q3699" t="s">
        <v>209</v>
      </c>
    </row>
    <row r="3700" spans="1:17" x14ac:dyDescent="0.3">
      <c r="A3700" t="s">
        <v>8060</v>
      </c>
      <c r="C3700" t="s">
        <v>8061</v>
      </c>
      <c r="D3700" t="s">
        <v>8061</v>
      </c>
      <c r="E3700" s="5">
        <v>46285</v>
      </c>
      <c r="F3700" t="s">
        <v>204</v>
      </c>
      <c r="G3700" t="s">
        <v>205</v>
      </c>
      <c r="H3700">
        <v>349</v>
      </c>
      <c r="I3700">
        <v>6.63</v>
      </c>
      <c r="J3700">
        <v>1.19</v>
      </c>
      <c r="K3700">
        <v>341.18</v>
      </c>
      <c r="L3700" s="5">
        <v>46287</v>
      </c>
      <c r="M3700" t="s">
        <v>7878</v>
      </c>
      <c r="N3700" t="s">
        <v>207</v>
      </c>
      <c r="O3700" t="s">
        <v>8061</v>
      </c>
      <c r="P3700" t="s">
        <v>208</v>
      </c>
      <c r="Q3700" t="s">
        <v>209</v>
      </c>
    </row>
    <row r="3701" spans="1:17" x14ac:dyDescent="0.3">
      <c r="A3701" t="s">
        <v>8062</v>
      </c>
      <c r="C3701" t="s">
        <v>8063</v>
      </c>
      <c r="D3701" t="s">
        <v>8064</v>
      </c>
      <c r="E3701" s="5">
        <v>46285</v>
      </c>
      <c r="F3701" t="s">
        <v>204</v>
      </c>
      <c r="G3701" t="s">
        <v>220</v>
      </c>
      <c r="H3701">
        <v>2499</v>
      </c>
      <c r="I3701">
        <v>7.5</v>
      </c>
      <c r="J3701">
        <v>1.35</v>
      </c>
      <c r="K3701">
        <v>2490.15</v>
      </c>
      <c r="L3701" s="5">
        <v>46287</v>
      </c>
      <c r="M3701" t="s">
        <v>7878</v>
      </c>
      <c r="N3701" t="s">
        <v>207</v>
      </c>
      <c r="O3701" t="s">
        <v>8064</v>
      </c>
      <c r="P3701" t="s">
        <v>208</v>
      </c>
      <c r="Q3701" t="s">
        <v>209</v>
      </c>
    </row>
    <row r="3702" spans="1:17" x14ac:dyDescent="0.3">
      <c r="A3702" t="s">
        <v>8065</v>
      </c>
      <c r="C3702" t="s">
        <v>8066</v>
      </c>
      <c r="D3702" t="s">
        <v>8066</v>
      </c>
      <c r="E3702" s="5">
        <v>46285</v>
      </c>
      <c r="F3702" t="s">
        <v>204</v>
      </c>
      <c r="G3702" t="s">
        <v>205</v>
      </c>
      <c r="H3702">
        <v>1799</v>
      </c>
      <c r="I3702">
        <v>34.18</v>
      </c>
      <c r="J3702">
        <v>6.15</v>
      </c>
      <c r="K3702">
        <v>1758.67</v>
      </c>
      <c r="L3702" s="5">
        <v>46287</v>
      </c>
      <c r="M3702" t="s">
        <v>7878</v>
      </c>
      <c r="N3702" t="s">
        <v>207</v>
      </c>
      <c r="O3702" t="s">
        <v>8066</v>
      </c>
      <c r="P3702" t="s">
        <v>208</v>
      </c>
      <c r="Q3702" t="s">
        <v>209</v>
      </c>
    </row>
    <row r="3703" spans="1:17" x14ac:dyDescent="0.3">
      <c r="A3703" t="s">
        <v>8067</v>
      </c>
      <c r="C3703" t="s">
        <v>8068</v>
      </c>
      <c r="D3703" t="s">
        <v>8068</v>
      </c>
      <c r="E3703" s="5">
        <v>46285</v>
      </c>
      <c r="F3703" t="s">
        <v>204</v>
      </c>
      <c r="G3703" t="s">
        <v>213</v>
      </c>
      <c r="H3703">
        <v>4998</v>
      </c>
      <c r="I3703">
        <v>79.97</v>
      </c>
      <c r="J3703">
        <v>14.39</v>
      </c>
      <c r="K3703">
        <v>4903.6400000000003</v>
      </c>
      <c r="L3703" s="5">
        <v>46287</v>
      </c>
      <c r="M3703" t="s">
        <v>7878</v>
      </c>
      <c r="N3703" t="s">
        <v>207</v>
      </c>
      <c r="O3703" t="s">
        <v>8068</v>
      </c>
      <c r="P3703" t="s">
        <v>208</v>
      </c>
      <c r="Q3703" t="s">
        <v>209</v>
      </c>
    </row>
    <row r="3704" spans="1:17" x14ac:dyDescent="0.3">
      <c r="A3704" t="s">
        <v>8069</v>
      </c>
      <c r="C3704" t="s">
        <v>8070</v>
      </c>
      <c r="D3704" t="s">
        <v>8070</v>
      </c>
      <c r="E3704" s="5">
        <v>46285</v>
      </c>
      <c r="F3704" t="s">
        <v>204</v>
      </c>
      <c r="G3704" t="s">
        <v>220</v>
      </c>
      <c r="H3704">
        <v>7998</v>
      </c>
      <c r="I3704">
        <v>23.99</v>
      </c>
      <c r="J3704">
        <v>4.32</v>
      </c>
      <c r="K3704">
        <v>7969.69</v>
      </c>
      <c r="L3704" s="5">
        <v>46287</v>
      </c>
      <c r="M3704" t="s">
        <v>7878</v>
      </c>
      <c r="N3704" t="s">
        <v>207</v>
      </c>
      <c r="O3704" t="s">
        <v>8070</v>
      </c>
      <c r="P3704" t="s">
        <v>208</v>
      </c>
      <c r="Q3704" t="s">
        <v>209</v>
      </c>
    </row>
    <row r="3705" spans="1:17" x14ac:dyDescent="0.3">
      <c r="A3705" t="s">
        <v>8071</v>
      </c>
      <c r="C3705" t="s">
        <v>8072</v>
      </c>
      <c r="D3705" t="s">
        <v>8072</v>
      </c>
      <c r="E3705" s="5">
        <v>46285</v>
      </c>
      <c r="F3705" t="s">
        <v>204</v>
      </c>
      <c r="G3705" t="s">
        <v>220</v>
      </c>
      <c r="H3705">
        <v>299</v>
      </c>
      <c r="I3705">
        <v>0</v>
      </c>
      <c r="J3705">
        <v>0</v>
      </c>
      <c r="K3705">
        <v>299</v>
      </c>
      <c r="L3705" s="5">
        <v>46287</v>
      </c>
      <c r="M3705" t="s">
        <v>7878</v>
      </c>
      <c r="N3705" t="s">
        <v>207</v>
      </c>
      <c r="O3705" t="s">
        <v>8072</v>
      </c>
      <c r="P3705" t="s">
        <v>208</v>
      </c>
      <c r="Q3705" t="s">
        <v>209</v>
      </c>
    </row>
    <row r="3706" spans="1:17" x14ac:dyDescent="0.3">
      <c r="A3706" t="s">
        <v>8073</v>
      </c>
      <c r="C3706" t="s">
        <v>8074</v>
      </c>
      <c r="D3706" t="s">
        <v>8075</v>
      </c>
      <c r="E3706" s="5">
        <v>46285</v>
      </c>
      <c r="F3706" t="s">
        <v>204</v>
      </c>
      <c r="G3706" t="s">
        <v>205</v>
      </c>
      <c r="H3706">
        <v>3499</v>
      </c>
      <c r="I3706">
        <v>59.48</v>
      </c>
      <c r="J3706">
        <v>10.71</v>
      </c>
      <c r="K3706">
        <v>3428.81</v>
      </c>
      <c r="L3706" s="5">
        <v>46287</v>
      </c>
      <c r="M3706" t="s">
        <v>7878</v>
      </c>
      <c r="N3706" t="s">
        <v>207</v>
      </c>
      <c r="O3706" t="s">
        <v>8075</v>
      </c>
      <c r="P3706" t="s">
        <v>208</v>
      </c>
      <c r="Q3706" t="s">
        <v>209</v>
      </c>
    </row>
    <row r="3707" spans="1:17" x14ac:dyDescent="0.3">
      <c r="A3707" t="s">
        <v>8076</v>
      </c>
      <c r="C3707" t="s">
        <v>8077</v>
      </c>
      <c r="D3707" t="s">
        <v>8078</v>
      </c>
      <c r="E3707" s="5">
        <v>46285</v>
      </c>
      <c r="F3707" t="s">
        <v>204</v>
      </c>
      <c r="G3707" t="s">
        <v>220</v>
      </c>
      <c r="H3707">
        <v>10097</v>
      </c>
      <c r="I3707">
        <v>30.29</v>
      </c>
      <c r="J3707">
        <v>5.45</v>
      </c>
      <c r="K3707">
        <v>10061.26</v>
      </c>
      <c r="L3707" s="5">
        <v>46287</v>
      </c>
      <c r="M3707" t="s">
        <v>7878</v>
      </c>
      <c r="N3707" t="s">
        <v>207</v>
      </c>
      <c r="O3707" t="s">
        <v>8078</v>
      </c>
      <c r="P3707" t="s">
        <v>208</v>
      </c>
      <c r="Q3707" t="s">
        <v>209</v>
      </c>
    </row>
    <row r="3708" spans="1:17" x14ac:dyDescent="0.3">
      <c r="A3708" t="s">
        <v>8079</v>
      </c>
      <c r="C3708" t="s">
        <v>8080</v>
      </c>
      <c r="D3708" t="s">
        <v>8080</v>
      </c>
      <c r="E3708" s="5">
        <v>46285</v>
      </c>
      <c r="F3708" t="s">
        <v>204</v>
      </c>
      <c r="G3708" t="s">
        <v>213</v>
      </c>
      <c r="H3708">
        <v>6497</v>
      </c>
      <c r="I3708">
        <v>103.95</v>
      </c>
      <c r="J3708">
        <v>18.71</v>
      </c>
      <c r="K3708">
        <v>6374.34</v>
      </c>
      <c r="L3708" s="5">
        <v>46287</v>
      </c>
      <c r="M3708" t="s">
        <v>7878</v>
      </c>
      <c r="N3708" t="s">
        <v>207</v>
      </c>
      <c r="O3708" t="s">
        <v>8080</v>
      </c>
      <c r="P3708" t="s">
        <v>208</v>
      </c>
      <c r="Q3708" t="s">
        <v>209</v>
      </c>
    </row>
    <row r="3709" spans="1:17" x14ac:dyDescent="0.3">
      <c r="A3709" t="s">
        <v>8081</v>
      </c>
      <c r="C3709" t="s">
        <v>8082</v>
      </c>
      <c r="D3709" t="s">
        <v>8082</v>
      </c>
      <c r="E3709" s="5">
        <v>46285</v>
      </c>
      <c r="F3709" t="s">
        <v>204</v>
      </c>
      <c r="G3709" t="s">
        <v>220</v>
      </c>
      <c r="H3709">
        <v>3397</v>
      </c>
      <c r="I3709">
        <v>10.19</v>
      </c>
      <c r="J3709">
        <v>1.83</v>
      </c>
      <c r="K3709">
        <v>3384.98</v>
      </c>
      <c r="L3709" s="5">
        <v>46287</v>
      </c>
      <c r="M3709" t="s">
        <v>7878</v>
      </c>
      <c r="N3709" t="s">
        <v>207</v>
      </c>
      <c r="O3709" t="s">
        <v>8082</v>
      </c>
      <c r="P3709" t="s">
        <v>208</v>
      </c>
      <c r="Q3709" t="s">
        <v>209</v>
      </c>
    </row>
    <row r="3710" spans="1:17" x14ac:dyDescent="0.3">
      <c r="A3710" t="s">
        <v>8083</v>
      </c>
      <c r="C3710" t="s">
        <v>8084</v>
      </c>
      <c r="D3710" t="s">
        <v>8084</v>
      </c>
      <c r="E3710" s="5">
        <v>46285</v>
      </c>
      <c r="F3710" t="s">
        <v>204</v>
      </c>
      <c r="G3710" t="s">
        <v>255</v>
      </c>
      <c r="H3710">
        <v>1348</v>
      </c>
      <c r="I3710">
        <v>20.22</v>
      </c>
      <c r="J3710">
        <v>3.64</v>
      </c>
      <c r="K3710">
        <v>1324.14</v>
      </c>
      <c r="L3710" s="5">
        <v>46287</v>
      </c>
      <c r="M3710" t="s">
        <v>7878</v>
      </c>
      <c r="N3710" t="s">
        <v>207</v>
      </c>
      <c r="O3710" t="s">
        <v>8084</v>
      </c>
      <c r="P3710" t="s">
        <v>208</v>
      </c>
      <c r="Q3710" t="s">
        <v>209</v>
      </c>
    </row>
    <row r="3711" spans="1:17" x14ac:dyDescent="0.3">
      <c r="A3711" t="s">
        <v>8085</v>
      </c>
      <c r="C3711" t="s">
        <v>8086</v>
      </c>
      <c r="D3711" t="s">
        <v>8087</v>
      </c>
      <c r="E3711" s="5">
        <v>46285</v>
      </c>
      <c r="F3711" t="s">
        <v>204</v>
      </c>
      <c r="G3711" t="s">
        <v>220</v>
      </c>
      <c r="H3711">
        <v>1747</v>
      </c>
      <c r="I3711">
        <v>0</v>
      </c>
      <c r="J3711">
        <v>0</v>
      </c>
      <c r="K3711">
        <v>1747</v>
      </c>
      <c r="L3711" s="5">
        <v>46287</v>
      </c>
      <c r="M3711" t="s">
        <v>7878</v>
      </c>
      <c r="N3711" t="s">
        <v>207</v>
      </c>
      <c r="O3711" t="s">
        <v>8087</v>
      </c>
      <c r="P3711" t="s">
        <v>208</v>
      </c>
      <c r="Q3711" t="s">
        <v>209</v>
      </c>
    </row>
    <row r="3712" spans="1:17" x14ac:dyDescent="0.3">
      <c r="A3712" t="s">
        <v>8088</v>
      </c>
      <c r="C3712" t="s">
        <v>8089</v>
      </c>
      <c r="D3712" t="s">
        <v>8089</v>
      </c>
      <c r="E3712" s="5">
        <v>46285</v>
      </c>
      <c r="F3712" t="s">
        <v>204</v>
      </c>
      <c r="G3712" t="s">
        <v>255</v>
      </c>
      <c r="H3712">
        <v>349</v>
      </c>
      <c r="I3712">
        <v>5.24</v>
      </c>
      <c r="J3712">
        <v>0.94</v>
      </c>
      <c r="K3712">
        <v>342.82</v>
      </c>
      <c r="L3712" s="5">
        <v>46287</v>
      </c>
      <c r="M3712" t="s">
        <v>7878</v>
      </c>
      <c r="N3712" t="s">
        <v>207</v>
      </c>
      <c r="O3712" t="s">
        <v>8089</v>
      </c>
      <c r="P3712" t="s">
        <v>208</v>
      </c>
      <c r="Q3712" t="s">
        <v>209</v>
      </c>
    </row>
    <row r="3713" spans="1:17" x14ac:dyDescent="0.3">
      <c r="A3713" t="s">
        <v>8090</v>
      </c>
      <c r="C3713" t="s">
        <v>8091</v>
      </c>
      <c r="D3713" t="s">
        <v>8091</v>
      </c>
      <c r="E3713" s="5">
        <v>46285</v>
      </c>
      <c r="F3713" t="s">
        <v>204</v>
      </c>
      <c r="G3713" t="s">
        <v>213</v>
      </c>
      <c r="H3713">
        <v>1499</v>
      </c>
      <c r="I3713">
        <v>26.98</v>
      </c>
      <c r="J3713">
        <v>4.8600000000000003</v>
      </c>
      <c r="K3713">
        <v>1467.16</v>
      </c>
      <c r="L3713" s="5">
        <v>46287</v>
      </c>
      <c r="M3713" t="s">
        <v>7878</v>
      </c>
      <c r="N3713" t="s">
        <v>207</v>
      </c>
      <c r="O3713" t="s">
        <v>8091</v>
      </c>
      <c r="P3713" t="s">
        <v>208</v>
      </c>
      <c r="Q3713" t="s">
        <v>209</v>
      </c>
    </row>
    <row r="3714" spans="1:17" x14ac:dyDescent="0.3">
      <c r="A3714" t="s">
        <v>8092</v>
      </c>
      <c r="C3714" t="s">
        <v>8093</v>
      </c>
      <c r="D3714" t="s">
        <v>8093</v>
      </c>
      <c r="E3714" s="5">
        <v>46285</v>
      </c>
      <c r="F3714" t="s">
        <v>204</v>
      </c>
      <c r="G3714" t="s">
        <v>220</v>
      </c>
      <c r="H3714">
        <v>7998</v>
      </c>
      <c r="I3714">
        <v>23.99</v>
      </c>
      <c r="J3714">
        <v>4.32</v>
      </c>
      <c r="K3714">
        <v>7969.69</v>
      </c>
      <c r="L3714" s="5">
        <v>46287</v>
      </c>
      <c r="M3714" t="s">
        <v>7878</v>
      </c>
      <c r="N3714" t="s">
        <v>207</v>
      </c>
      <c r="O3714" t="s">
        <v>8093</v>
      </c>
      <c r="P3714" t="s">
        <v>208</v>
      </c>
      <c r="Q3714" t="s">
        <v>209</v>
      </c>
    </row>
    <row r="3715" spans="1:17" x14ac:dyDescent="0.3">
      <c r="A3715" t="s">
        <v>8094</v>
      </c>
      <c r="C3715" t="s">
        <v>8095</v>
      </c>
      <c r="D3715" t="s">
        <v>8095</v>
      </c>
      <c r="E3715" s="5">
        <v>46285</v>
      </c>
      <c r="F3715" t="s">
        <v>204</v>
      </c>
      <c r="G3715" t="s">
        <v>213</v>
      </c>
      <c r="H3715">
        <v>4298</v>
      </c>
      <c r="I3715">
        <v>68.77</v>
      </c>
      <c r="J3715">
        <v>12.38</v>
      </c>
      <c r="K3715">
        <v>4216.8500000000004</v>
      </c>
      <c r="L3715" s="5">
        <v>46287</v>
      </c>
      <c r="M3715" t="s">
        <v>7878</v>
      </c>
      <c r="N3715" t="s">
        <v>207</v>
      </c>
      <c r="O3715" t="s">
        <v>8095</v>
      </c>
      <c r="P3715" t="s">
        <v>208</v>
      </c>
      <c r="Q3715" t="s">
        <v>209</v>
      </c>
    </row>
    <row r="3716" spans="1:17" x14ac:dyDescent="0.3">
      <c r="A3716" t="s">
        <v>8096</v>
      </c>
      <c r="C3716" t="s">
        <v>8097</v>
      </c>
      <c r="D3716" t="s">
        <v>8097</v>
      </c>
      <c r="E3716" s="5">
        <v>46285</v>
      </c>
      <c r="F3716" t="s">
        <v>204</v>
      </c>
      <c r="G3716" t="s">
        <v>205</v>
      </c>
      <c r="H3716">
        <v>6298</v>
      </c>
      <c r="I3716">
        <v>107.07</v>
      </c>
      <c r="J3716">
        <v>19.27</v>
      </c>
      <c r="K3716">
        <v>6171.66</v>
      </c>
      <c r="L3716" s="5">
        <v>46287</v>
      </c>
      <c r="M3716" t="s">
        <v>7878</v>
      </c>
      <c r="N3716" t="s">
        <v>207</v>
      </c>
      <c r="O3716" t="s">
        <v>8097</v>
      </c>
      <c r="P3716" t="s">
        <v>208</v>
      </c>
      <c r="Q3716" t="s">
        <v>209</v>
      </c>
    </row>
    <row r="3717" spans="1:17" x14ac:dyDescent="0.3">
      <c r="A3717" t="s">
        <v>8098</v>
      </c>
      <c r="C3717" t="s">
        <v>8099</v>
      </c>
      <c r="D3717" t="s">
        <v>8099</v>
      </c>
      <c r="E3717" s="5">
        <v>46285</v>
      </c>
      <c r="F3717" t="s">
        <v>204</v>
      </c>
      <c r="G3717" t="s">
        <v>220</v>
      </c>
      <c r="H3717">
        <v>1299</v>
      </c>
      <c r="I3717">
        <v>0</v>
      </c>
      <c r="J3717">
        <v>0</v>
      </c>
      <c r="K3717">
        <v>1299</v>
      </c>
      <c r="L3717" s="5">
        <v>46287</v>
      </c>
      <c r="M3717" t="s">
        <v>7878</v>
      </c>
      <c r="N3717" t="s">
        <v>207</v>
      </c>
      <c r="O3717" t="s">
        <v>8099</v>
      </c>
      <c r="P3717" t="s">
        <v>208</v>
      </c>
      <c r="Q3717" t="s">
        <v>209</v>
      </c>
    </row>
    <row r="3718" spans="1:17" x14ac:dyDescent="0.3">
      <c r="A3718" t="s">
        <v>8100</v>
      </c>
      <c r="C3718" t="s">
        <v>8101</v>
      </c>
      <c r="D3718" t="s">
        <v>8101</v>
      </c>
      <c r="E3718" s="5">
        <v>46285</v>
      </c>
      <c r="F3718" t="s">
        <v>204</v>
      </c>
      <c r="G3718" t="s">
        <v>220</v>
      </c>
      <c r="H3718">
        <v>3498</v>
      </c>
      <c r="I3718">
        <v>10.49</v>
      </c>
      <c r="J3718">
        <v>1.89</v>
      </c>
      <c r="K3718">
        <v>3485.62</v>
      </c>
      <c r="L3718" s="5">
        <v>46287</v>
      </c>
      <c r="M3718" t="s">
        <v>7878</v>
      </c>
      <c r="N3718" t="s">
        <v>207</v>
      </c>
      <c r="O3718" t="s">
        <v>8101</v>
      </c>
      <c r="P3718" t="s">
        <v>208</v>
      </c>
      <c r="Q3718" t="s">
        <v>209</v>
      </c>
    </row>
    <row r="3719" spans="1:17" x14ac:dyDescent="0.3">
      <c r="A3719" t="s">
        <v>8102</v>
      </c>
      <c r="C3719" t="s">
        <v>8103</v>
      </c>
      <c r="D3719" t="s">
        <v>8103</v>
      </c>
      <c r="E3719" s="5">
        <v>46285</v>
      </c>
      <c r="F3719" t="s">
        <v>204</v>
      </c>
      <c r="G3719" t="s">
        <v>255</v>
      </c>
      <c r="H3719">
        <v>1098</v>
      </c>
      <c r="I3719">
        <v>16.47</v>
      </c>
      <c r="J3719">
        <v>2.96</v>
      </c>
      <c r="K3719">
        <v>1078.57</v>
      </c>
      <c r="L3719" s="5">
        <v>46287</v>
      </c>
      <c r="M3719" t="s">
        <v>7878</v>
      </c>
      <c r="N3719" t="s">
        <v>207</v>
      </c>
      <c r="O3719" t="s">
        <v>8103</v>
      </c>
      <c r="P3719" t="s">
        <v>208</v>
      </c>
      <c r="Q3719" t="s">
        <v>209</v>
      </c>
    </row>
    <row r="3720" spans="1:17" x14ac:dyDescent="0.3">
      <c r="A3720" t="s">
        <v>8104</v>
      </c>
      <c r="C3720" t="s">
        <v>8105</v>
      </c>
      <c r="D3720" t="s">
        <v>8105</v>
      </c>
      <c r="E3720" s="5">
        <v>46285</v>
      </c>
      <c r="F3720" t="s">
        <v>204</v>
      </c>
      <c r="G3720" t="s">
        <v>213</v>
      </c>
      <c r="H3720">
        <v>2697</v>
      </c>
      <c r="I3720">
        <v>43.15</v>
      </c>
      <c r="J3720">
        <v>7.77</v>
      </c>
      <c r="K3720">
        <v>2646.08</v>
      </c>
      <c r="L3720" s="5">
        <v>46287</v>
      </c>
      <c r="M3720" t="s">
        <v>7878</v>
      </c>
      <c r="N3720" t="s">
        <v>207</v>
      </c>
      <c r="O3720" t="s">
        <v>8105</v>
      </c>
      <c r="P3720" t="s">
        <v>208</v>
      </c>
      <c r="Q3720" t="s">
        <v>209</v>
      </c>
    </row>
    <row r="3721" spans="1:17" x14ac:dyDescent="0.3">
      <c r="A3721" t="s">
        <v>8106</v>
      </c>
      <c r="C3721" t="s">
        <v>8107</v>
      </c>
      <c r="D3721" t="s">
        <v>8107</v>
      </c>
      <c r="E3721" s="5">
        <v>46285</v>
      </c>
      <c r="F3721" t="s">
        <v>204</v>
      </c>
      <c r="G3721" t="s">
        <v>213</v>
      </c>
      <c r="H3721">
        <v>1299</v>
      </c>
      <c r="I3721">
        <v>23.38</v>
      </c>
      <c r="J3721">
        <v>4.21</v>
      </c>
      <c r="K3721">
        <v>1271.4100000000001</v>
      </c>
      <c r="L3721" s="5">
        <v>46287</v>
      </c>
      <c r="M3721" t="s">
        <v>7878</v>
      </c>
      <c r="N3721" t="s">
        <v>207</v>
      </c>
      <c r="O3721" t="s">
        <v>8107</v>
      </c>
      <c r="P3721" t="s">
        <v>208</v>
      </c>
      <c r="Q3721" t="s">
        <v>209</v>
      </c>
    </row>
    <row r="3722" spans="1:17" x14ac:dyDescent="0.3">
      <c r="A3722" t="s">
        <v>8108</v>
      </c>
      <c r="C3722" t="s">
        <v>8109</v>
      </c>
      <c r="D3722" t="s">
        <v>8109</v>
      </c>
      <c r="E3722" s="5">
        <v>46285</v>
      </c>
      <c r="F3722" t="s">
        <v>204</v>
      </c>
      <c r="G3722" t="s">
        <v>205</v>
      </c>
      <c r="H3722">
        <v>1798</v>
      </c>
      <c r="I3722">
        <v>34.159999999999997</v>
      </c>
      <c r="J3722">
        <v>6.15</v>
      </c>
      <c r="K3722">
        <v>1757.69</v>
      </c>
      <c r="L3722" s="5">
        <v>46287</v>
      </c>
      <c r="M3722" t="s">
        <v>7878</v>
      </c>
      <c r="N3722" t="s">
        <v>207</v>
      </c>
      <c r="O3722" t="s">
        <v>8109</v>
      </c>
      <c r="P3722" t="s">
        <v>208</v>
      </c>
      <c r="Q3722" t="s">
        <v>209</v>
      </c>
    </row>
    <row r="3723" spans="1:17" x14ac:dyDescent="0.3">
      <c r="A3723" t="s">
        <v>8110</v>
      </c>
      <c r="C3723" t="s">
        <v>8111</v>
      </c>
      <c r="D3723" t="s">
        <v>8111</v>
      </c>
      <c r="E3723" s="5">
        <v>46285</v>
      </c>
      <c r="F3723" t="s">
        <v>204</v>
      </c>
      <c r="G3723" t="s">
        <v>220</v>
      </c>
      <c r="H3723">
        <v>2498</v>
      </c>
      <c r="I3723">
        <v>7.49</v>
      </c>
      <c r="J3723">
        <v>1.35</v>
      </c>
      <c r="K3723">
        <v>2489.16</v>
      </c>
      <c r="L3723" s="5">
        <v>46287</v>
      </c>
      <c r="M3723" t="s">
        <v>7878</v>
      </c>
      <c r="N3723" t="s">
        <v>207</v>
      </c>
      <c r="O3723" t="s">
        <v>8111</v>
      </c>
      <c r="P3723" t="s">
        <v>208</v>
      </c>
      <c r="Q3723" t="s">
        <v>209</v>
      </c>
    </row>
    <row r="3724" spans="1:17" x14ac:dyDescent="0.3">
      <c r="A3724" t="s">
        <v>8112</v>
      </c>
      <c r="C3724" t="s">
        <v>8113</v>
      </c>
      <c r="D3724" t="s">
        <v>8113</v>
      </c>
      <c r="E3724" s="5">
        <v>46285</v>
      </c>
      <c r="F3724" t="s">
        <v>204</v>
      </c>
      <c r="G3724" t="s">
        <v>220</v>
      </c>
      <c r="H3724">
        <v>6298</v>
      </c>
      <c r="I3724">
        <v>18.89</v>
      </c>
      <c r="J3724">
        <v>3.4</v>
      </c>
      <c r="K3724">
        <v>6275.71</v>
      </c>
      <c r="L3724" s="5">
        <v>46287</v>
      </c>
      <c r="M3724" t="s">
        <v>7878</v>
      </c>
      <c r="N3724" t="s">
        <v>207</v>
      </c>
      <c r="O3724" t="s">
        <v>8113</v>
      </c>
      <c r="P3724" t="s">
        <v>208</v>
      </c>
      <c r="Q3724" t="s">
        <v>209</v>
      </c>
    </row>
    <row r="3725" spans="1:17" x14ac:dyDescent="0.3">
      <c r="A3725" t="s">
        <v>8114</v>
      </c>
      <c r="C3725" t="s">
        <v>8115</v>
      </c>
      <c r="D3725" t="s">
        <v>8115</v>
      </c>
      <c r="E3725" s="5">
        <v>46285</v>
      </c>
      <c r="F3725" t="s">
        <v>204</v>
      </c>
      <c r="G3725" t="s">
        <v>205</v>
      </c>
      <c r="H3725">
        <v>2848</v>
      </c>
      <c r="I3725">
        <v>48.42</v>
      </c>
      <c r="J3725">
        <v>8.7200000000000006</v>
      </c>
      <c r="K3725">
        <v>2790.86</v>
      </c>
      <c r="L3725" s="5">
        <v>46287</v>
      </c>
      <c r="M3725" t="s">
        <v>7878</v>
      </c>
      <c r="N3725" t="s">
        <v>207</v>
      </c>
      <c r="O3725" t="s">
        <v>8115</v>
      </c>
      <c r="P3725" t="s">
        <v>208</v>
      </c>
      <c r="Q3725" t="s">
        <v>209</v>
      </c>
    </row>
    <row r="3726" spans="1:17" x14ac:dyDescent="0.3">
      <c r="A3726" t="s">
        <v>8116</v>
      </c>
      <c r="C3726" t="s">
        <v>8117</v>
      </c>
      <c r="D3726" t="s">
        <v>8118</v>
      </c>
      <c r="E3726" s="5">
        <v>46285</v>
      </c>
      <c r="F3726" t="s">
        <v>204</v>
      </c>
      <c r="G3726" t="s">
        <v>220</v>
      </c>
      <c r="H3726">
        <v>599</v>
      </c>
      <c r="I3726">
        <v>0</v>
      </c>
      <c r="J3726">
        <v>0</v>
      </c>
      <c r="K3726">
        <v>599</v>
      </c>
      <c r="L3726" s="5">
        <v>46287</v>
      </c>
      <c r="M3726" t="s">
        <v>7878</v>
      </c>
      <c r="N3726" t="s">
        <v>207</v>
      </c>
      <c r="O3726" t="s">
        <v>8118</v>
      </c>
      <c r="P3726" t="s">
        <v>208</v>
      </c>
      <c r="Q3726" t="s">
        <v>209</v>
      </c>
    </row>
    <row r="3727" spans="1:17" x14ac:dyDescent="0.3">
      <c r="A3727" t="s">
        <v>8119</v>
      </c>
      <c r="C3727" t="s">
        <v>8120</v>
      </c>
      <c r="D3727" t="s">
        <v>8120</v>
      </c>
      <c r="E3727" s="5">
        <v>46285</v>
      </c>
      <c r="F3727" t="s">
        <v>204</v>
      </c>
      <c r="G3727" t="s">
        <v>205</v>
      </c>
      <c r="H3727">
        <v>599</v>
      </c>
      <c r="I3727">
        <v>11.38</v>
      </c>
      <c r="J3727">
        <v>2.0499999999999998</v>
      </c>
      <c r="K3727">
        <v>585.57000000000005</v>
      </c>
      <c r="L3727" s="5">
        <v>46287</v>
      </c>
      <c r="M3727" t="s">
        <v>7878</v>
      </c>
      <c r="N3727" t="s">
        <v>207</v>
      </c>
      <c r="O3727" t="s">
        <v>8120</v>
      </c>
      <c r="P3727" t="s">
        <v>208</v>
      </c>
      <c r="Q3727" t="s">
        <v>209</v>
      </c>
    </row>
    <row r="3728" spans="1:17" x14ac:dyDescent="0.3">
      <c r="A3728" t="s">
        <v>8121</v>
      </c>
      <c r="C3728" t="s">
        <v>8122</v>
      </c>
      <c r="D3728" t="s">
        <v>8122</v>
      </c>
      <c r="E3728" s="5">
        <v>46285</v>
      </c>
      <c r="F3728" t="s">
        <v>204</v>
      </c>
      <c r="G3728" t="s">
        <v>220</v>
      </c>
      <c r="H3728">
        <v>4797</v>
      </c>
      <c r="I3728">
        <v>14.39</v>
      </c>
      <c r="J3728">
        <v>2.59</v>
      </c>
      <c r="K3728">
        <v>4780.0200000000004</v>
      </c>
      <c r="L3728" s="5">
        <v>46287</v>
      </c>
      <c r="M3728" t="s">
        <v>7878</v>
      </c>
      <c r="N3728" t="s">
        <v>207</v>
      </c>
      <c r="O3728" t="s">
        <v>8122</v>
      </c>
      <c r="P3728" t="s">
        <v>208</v>
      </c>
      <c r="Q3728" t="s">
        <v>209</v>
      </c>
    </row>
    <row r="3729" spans="1:17" x14ac:dyDescent="0.3">
      <c r="A3729" t="s">
        <v>8123</v>
      </c>
      <c r="C3729" t="s">
        <v>8124</v>
      </c>
      <c r="D3729" t="s">
        <v>8124</v>
      </c>
      <c r="E3729" s="5">
        <v>46285</v>
      </c>
      <c r="F3729" t="s">
        <v>204</v>
      </c>
      <c r="G3729" t="s">
        <v>220</v>
      </c>
      <c r="H3729">
        <v>4298</v>
      </c>
      <c r="I3729">
        <v>12.89</v>
      </c>
      <c r="J3729">
        <v>2.3199999999999998</v>
      </c>
      <c r="K3729">
        <v>4282.79</v>
      </c>
      <c r="L3729" s="5">
        <v>46287</v>
      </c>
      <c r="M3729" t="s">
        <v>7878</v>
      </c>
      <c r="N3729" t="s">
        <v>207</v>
      </c>
      <c r="O3729" t="s">
        <v>8124</v>
      </c>
      <c r="P3729" t="s">
        <v>208</v>
      </c>
      <c r="Q3729" t="s">
        <v>209</v>
      </c>
    </row>
    <row r="3730" spans="1:17" x14ac:dyDescent="0.3">
      <c r="A3730" t="s">
        <v>8125</v>
      </c>
      <c r="C3730" t="s">
        <v>8126</v>
      </c>
      <c r="D3730" t="s">
        <v>8126</v>
      </c>
      <c r="E3730" s="5">
        <v>46285</v>
      </c>
      <c r="F3730" t="s">
        <v>204</v>
      </c>
      <c r="G3730" t="s">
        <v>220</v>
      </c>
      <c r="H3730">
        <v>9597</v>
      </c>
      <c r="I3730">
        <v>28.79</v>
      </c>
      <c r="J3730">
        <v>5.18</v>
      </c>
      <c r="K3730">
        <v>9563.0300000000007</v>
      </c>
      <c r="L3730" s="5">
        <v>46287</v>
      </c>
      <c r="M3730" t="s">
        <v>7878</v>
      </c>
      <c r="N3730" t="s">
        <v>207</v>
      </c>
      <c r="O3730" t="s">
        <v>8126</v>
      </c>
      <c r="P3730" t="s">
        <v>208</v>
      </c>
      <c r="Q3730" t="s">
        <v>209</v>
      </c>
    </row>
    <row r="3731" spans="1:17" x14ac:dyDescent="0.3">
      <c r="A3731" t="s">
        <v>8127</v>
      </c>
      <c r="C3731" t="s">
        <v>8128</v>
      </c>
      <c r="D3731" t="s">
        <v>8128</v>
      </c>
      <c r="E3731" s="5">
        <v>46285</v>
      </c>
      <c r="F3731" t="s">
        <v>204</v>
      </c>
      <c r="G3731" t="s">
        <v>220</v>
      </c>
      <c r="H3731">
        <v>2999</v>
      </c>
      <c r="I3731">
        <v>9</v>
      </c>
      <c r="J3731">
        <v>1.62</v>
      </c>
      <c r="K3731">
        <v>2988.38</v>
      </c>
      <c r="L3731" s="5">
        <v>46287</v>
      </c>
      <c r="M3731" t="s">
        <v>7878</v>
      </c>
      <c r="N3731" t="s">
        <v>207</v>
      </c>
      <c r="O3731" t="s">
        <v>8128</v>
      </c>
      <c r="P3731" t="s">
        <v>208</v>
      </c>
      <c r="Q3731" t="s">
        <v>209</v>
      </c>
    </row>
    <row r="3732" spans="1:17" x14ac:dyDescent="0.3">
      <c r="A3732" t="s">
        <v>8129</v>
      </c>
      <c r="C3732" t="s">
        <v>8130</v>
      </c>
      <c r="D3732" t="s">
        <v>8130</v>
      </c>
      <c r="E3732" s="5">
        <v>46285</v>
      </c>
      <c r="F3732" t="s">
        <v>204</v>
      </c>
      <c r="G3732" t="s">
        <v>213</v>
      </c>
      <c r="H3732">
        <v>299</v>
      </c>
      <c r="I3732">
        <v>5.38</v>
      </c>
      <c r="J3732">
        <v>0.97</v>
      </c>
      <c r="K3732">
        <v>292.64999999999998</v>
      </c>
      <c r="L3732" s="5">
        <v>46287</v>
      </c>
      <c r="M3732" t="s">
        <v>7878</v>
      </c>
      <c r="N3732" t="s">
        <v>207</v>
      </c>
      <c r="O3732" t="s">
        <v>8130</v>
      </c>
      <c r="P3732" t="s">
        <v>208</v>
      </c>
      <c r="Q3732" t="s">
        <v>209</v>
      </c>
    </row>
    <row r="3733" spans="1:17" x14ac:dyDescent="0.3">
      <c r="A3733" t="s">
        <v>8131</v>
      </c>
      <c r="C3733" t="s">
        <v>8132</v>
      </c>
      <c r="D3733" t="s">
        <v>8132</v>
      </c>
      <c r="E3733" s="5">
        <v>46285</v>
      </c>
      <c r="F3733" t="s">
        <v>204</v>
      </c>
      <c r="G3733" t="s">
        <v>213</v>
      </c>
      <c r="H3733">
        <v>499</v>
      </c>
      <c r="I3733">
        <v>8.98</v>
      </c>
      <c r="J3733">
        <v>1.62</v>
      </c>
      <c r="K3733">
        <v>488.4</v>
      </c>
      <c r="L3733" s="5">
        <v>46287</v>
      </c>
      <c r="M3733" t="s">
        <v>7878</v>
      </c>
      <c r="N3733" t="s">
        <v>207</v>
      </c>
      <c r="O3733" t="s">
        <v>8132</v>
      </c>
      <c r="P3733" t="s">
        <v>208</v>
      </c>
      <c r="Q3733" t="s">
        <v>209</v>
      </c>
    </row>
    <row r="3734" spans="1:17" x14ac:dyDescent="0.3">
      <c r="A3734" t="s">
        <v>8133</v>
      </c>
      <c r="C3734" t="s">
        <v>8134</v>
      </c>
      <c r="D3734" t="s">
        <v>8134</v>
      </c>
      <c r="E3734" s="5">
        <v>46285</v>
      </c>
      <c r="F3734" t="s">
        <v>204</v>
      </c>
      <c r="G3734" t="s">
        <v>220</v>
      </c>
      <c r="H3734">
        <v>3499</v>
      </c>
      <c r="I3734">
        <v>10.5</v>
      </c>
      <c r="J3734">
        <v>1.89</v>
      </c>
      <c r="K3734">
        <v>3486.61</v>
      </c>
      <c r="L3734" s="5">
        <v>46287</v>
      </c>
      <c r="M3734" t="s">
        <v>7878</v>
      </c>
      <c r="N3734" t="s">
        <v>207</v>
      </c>
      <c r="O3734" t="s">
        <v>8134</v>
      </c>
      <c r="P3734" t="s">
        <v>208</v>
      </c>
      <c r="Q3734" t="s">
        <v>209</v>
      </c>
    </row>
    <row r="3735" spans="1:17" x14ac:dyDescent="0.3">
      <c r="A3735" t="s">
        <v>8135</v>
      </c>
      <c r="C3735" t="s">
        <v>8136</v>
      </c>
      <c r="D3735" t="s">
        <v>8136</v>
      </c>
      <c r="E3735" s="5">
        <v>46285</v>
      </c>
      <c r="F3735" t="s">
        <v>204</v>
      </c>
      <c r="G3735" t="s">
        <v>220</v>
      </c>
      <c r="H3735">
        <v>8647</v>
      </c>
      <c r="I3735">
        <v>25.94</v>
      </c>
      <c r="J3735">
        <v>4.67</v>
      </c>
      <c r="K3735">
        <v>8616.39</v>
      </c>
      <c r="L3735" s="5">
        <v>46287</v>
      </c>
      <c r="M3735" t="s">
        <v>7878</v>
      </c>
      <c r="N3735" t="s">
        <v>207</v>
      </c>
      <c r="O3735" t="s">
        <v>8136</v>
      </c>
      <c r="P3735" t="s">
        <v>208</v>
      </c>
      <c r="Q3735" t="s">
        <v>209</v>
      </c>
    </row>
    <row r="3736" spans="1:17" x14ac:dyDescent="0.3">
      <c r="A3736" t="s">
        <v>8137</v>
      </c>
      <c r="C3736" t="s">
        <v>8138</v>
      </c>
      <c r="D3736" t="s">
        <v>8138</v>
      </c>
      <c r="E3736" s="5">
        <v>46285</v>
      </c>
      <c r="F3736" t="s">
        <v>204</v>
      </c>
      <c r="G3736" t="s">
        <v>220</v>
      </c>
      <c r="H3736">
        <v>2097</v>
      </c>
      <c r="I3736">
        <v>6.29</v>
      </c>
      <c r="J3736">
        <v>1.1299999999999999</v>
      </c>
      <c r="K3736">
        <v>2089.58</v>
      </c>
      <c r="L3736" s="5">
        <v>46287</v>
      </c>
      <c r="M3736" t="s">
        <v>7878</v>
      </c>
      <c r="N3736" t="s">
        <v>207</v>
      </c>
      <c r="O3736" t="s">
        <v>8138</v>
      </c>
      <c r="P3736" t="s">
        <v>208</v>
      </c>
      <c r="Q3736" t="s">
        <v>209</v>
      </c>
    </row>
    <row r="3737" spans="1:17" x14ac:dyDescent="0.3">
      <c r="A3737" t="s">
        <v>8139</v>
      </c>
      <c r="C3737" t="s">
        <v>8140</v>
      </c>
      <c r="D3737" t="s">
        <v>8141</v>
      </c>
      <c r="E3737" s="5">
        <v>46285</v>
      </c>
      <c r="F3737" t="s">
        <v>204</v>
      </c>
      <c r="G3737" t="s">
        <v>205</v>
      </c>
      <c r="H3737">
        <v>6297</v>
      </c>
      <c r="I3737">
        <v>151.13</v>
      </c>
      <c r="J3737">
        <v>27.2</v>
      </c>
      <c r="K3737">
        <v>6118.67</v>
      </c>
      <c r="L3737" s="5">
        <v>46287</v>
      </c>
      <c r="M3737" t="s">
        <v>7878</v>
      </c>
      <c r="N3737" t="s">
        <v>207</v>
      </c>
      <c r="O3737" t="s">
        <v>8141</v>
      </c>
      <c r="P3737" t="s">
        <v>208</v>
      </c>
      <c r="Q3737" t="s">
        <v>209</v>
      </c>
    </row>
    <row r="3738" spans="1:17" x14ac:dyDescent="0.3">
      <c r="A3738" t="s">
        <v>8142</v>
      </c>
      <c r="C3738" t="s">
        <v>8143</v>
      </c>
      <c r="D3738" t="s">
        <v>8144</v>
      </c>
      <c r="E3738" s="5">
        <v>46285</v>
      </c>
      <c r="F3738" t="s">
        <v>204</v>
      </c>
      <c r="G3738" t="s">
        <v>213</v>
      </c>
      <c r="H3738">
        <v>848</v>
      </c>
      <c r="I3738">
        <v>15.26</v>
      </c>
      <c r="J3738">
        <v>2.75</v>
      </c>
      <c r="K3738">
        <v>829.99</v>
      </c>
      <c r="L3738" s="5">
        <v>46287</v>
      </c>
      <c r="M3738" t="s">
        <v>7878</v>
      </c>
      <c r="N3738" t="s">
        <v>207</v>
      </c>
      <c r="O3738" t="s">
        <v>8144</v>
      </c>
      <c r="P3738" t="s">
        <v>208</v>
      </c>
      <c r="Q3738" t="s">
        <v>209</v>
      </c>
    </row>
    <row r="3739" spans="1:17" x14ac:dyDescent="0.3">
      <c r="A3739" t="s">
        <v>8145</v>
      </c>
      <c r="C3739" t="s">
        <v>8146</v>
      </c>
      <c r="D3739" t="s">
        <v>8146</v>
      </c>
      <c r="E3739" s="5">
        <v>46285</v>
      </c>
      <c r="F3739" t="s">
        <v>204</v>
      </c>
      <c r="G3739" t="s">
        <v>220</v>
      </c>
      <c r="H3739">
        <v>3499</v>
      </c>
      <c r="I3739">
        <v>10.5</v>
      </c>
      <c r="J3739">
        <v>1.89</v>
      </c>
      <c r="K3739">
        <v>3486.61</v>
      </c>
      <c r="L3739" s="5">
        <v>46287</v>
      </c>
      <c r="M3739" t="s">
        <v>7878</v>
      </c>
      <c r="N3739" t="s">
        <v>207</v>
      </c>
      <c r="O3739" t="s">
        <v>8146</v>
      </c>
      <c r="P3739" t="s">
        <v>208</v>
      </c>
      <c r="Q3739" t="s">
        <v>209</v>
      </c>
    </row>
    <row r="3740" spans="1:17" x14ac:dyDescent="0.3">
      <c r="A3740" t="s">
        <v>8147</v>
      </c>
      <c r="C3740" t="s">
        <v>8148</v>
      </c>
      <c r="D3740" t="s">
        <v>8148</v>
      </c>
      <c r="E3740" s="5">
        <v>46285</v>
      </c>
      <c r="F3740" t="s">
        <v>204</v>
      </c>
      <c r="G3740" t="s">
        <v>205</v>
      </c>
      <c r="H3740">
        <v>3348</v>
      </c>
      <c r="I3740">
        <v>56.92</v>
      </c>
      <c r="J3740">
        <v>10.25</v>
      </c>
      <c r="K3740">
        <v>3280.83</v>
      </c>
      <c r="L3740" s="5">
        <v>46287</v>
      </c>
      <c r="M3740" t="s">
        <v>7878</v>
      </c>
      <c r="N3740" t="s">
        <v>207</v>
      </c>
      <c r="O3740" t="s">
        <v>8148</v>
      </c>
      <c r="P3740" t="s">
        <v>208</v>
      </c>
      <c r="Q3740" t="s">
        <v>209</v>
      </c>
    </row>
    <row r="3741" spans="1:17" x14ac:dyDescent="0.3">
      <c r="A3741" t="s">
        <v>8149</v>
      </c>
      <c r="C3741" t="s">
        <v>8150</v>
      </c>
      <c r="D3741" t="s">
        <v>8150</v>
      </c>
      <c r="E3741" s="5">
        <v>46285</v>
      </c>
      <c r="F3741" t="s">
        <v>204</v>
      </c>
      <c r="G3741" t="s">
        <v>220</v>
      </c>
      <c r="H3741">
        <v>1898</v>
      </c>
      <c r="I3741">
        <v>0</v>
      </c>
      <c r="J3741">
        <v>0</v>
      </c>
      <c r="K3741">
        <v>1898</v>
      </c>
      <c r="L3741" s="5">
        <v>46287</v>
      </c>
      <c r="M3741" t="s">
        <v>7878</v>
      </c>
      <c r="N3741" t="s">
        <v>207</v>
      </c>
      <c r="O3741" t="s">
        <v>8150</v>
      </c>
      <c r="P3741" t="s">
        <v>208</v>
      </c>
      <c r="Q3741" t="s">
        <v>209</v>
      </c>
    </row>
    <row r="3742" spans="1:17" x14ac:dyDescent="0.3">
      <c r="A3742" t="s">
        <v>8151</v>
      </c>
      <c r="C3742" t="s">
        <v>8152</v>
      </c>
      <c r="D3742" t="s">
        <v>8152</v>
      </c>
      <c r="E3742" s="5">
        <v>46285</v>
      </c>
      <c r="F3742" t="s">
        <v>204</v>
      </c>
      <c r="G3742" t="s">
        <v>220</v>
      </c>
      <c r="H3742">
        <v>1148</v>
      </c>
      <c r="I3742">
        <v>0</v>
      </c>
      <c r="J3742">
        <v>0</v>
      </c>
      <c r="K3742">
        <v>1148</v>
      </c>
      <c r="L3742" s="5">
        <v>46287</v>
      </c>
      <c r="M3742" t="s">
        <v>7878</v>
      </c>
      <c r="N3742" t="s">
        <v>207</v>
      </c>
      <c r="O3742" t="s">
        <v>8152</v>
      </c>
      <c r="P3742" t="s">
        <v>208</v>
      </c>
      <c r="Q3742" t="s">
        <v>209</v>
      </c>
    </row>
    <row r="3743" spans="1:17" x14ac:dyDescent="0.3">
      <c r="A3743" t="s">
        <v>8153</v>
      </c>
      <c r="C3743" t="s">
        <v>8154</v>
      </c>
      <c r="D3743" t="s">
        <v>8154</v>
      </c>
      <c r="E3743" s="5">
        <v>46285</v>
      </c>
      <c r="F3743" t="s">
        <v>204</v>
      </c>
      <c r="G3743" t="s">
        <v>220</v>
      </c>
      <c r="H3743">
        <v>2447</v>
      </c>
      <c r="I3743">
        <v>7.34</v>
      </c>
      <c r="J3743">
        <v>1.32</v>
      </c>
      <c r="K3743">
        <v>2438.34</v>
      </c>
      <c r="L3743" s="5">
        <v>46287</v>
      </c>
      <c r="M3743" t="s">
        <v>7878</v>
      </c>
      <c r="N3743" t="s">
        <v>207</v>
      </c>
      <c r="O3743" t="s">
        <v>8154</v>
      </c>
      <c r="P3743" t="s">
        <v>208</v>
      </c>
      <c r="Q3743" t="s">
        <v>209</v>
      </c>
    </row>
    <row r="3744" spans="1:17" x14ac:dyDescent="0.3">
      <c r="A3744" t="s">
        <v>8155</v>
      </c>
      <c r="C3744" t="s">
        <v>8156</v>
      </c>
      <c r="D3744" t="s">
        <v>8156</v>
      </c>
      <c r="E3744" s="5">
        <v>46285</v>
      </c>
      <c r="F3744" t="s">
        <v>204</v>
      </c>
      <c r="G3744" t="s">
        <v>213</v>
      </c>
      <c r="H3744">
        <v>7999</v>
      </c>
      <c r="I3744">
        <v>127.98</v>
      </c>
      <c r="J3744">
        <v>23.04</v>
      </c>
      <c r="K3744">
        <v>7847.98</v>
      </c>
      <c r="L3744" s="5">
        <v>46287</v>
      </c>
      <c r="M3744" t="s">
        <v>7878</v>
      </c>
      <c r="N3744" t="s">
        <v>207</v>
      </c>
      <c r="O3744" t="s">
        <v>8156</v>
      </c>
      <c r="P3744" t="s">
        <v>208</v>
      </c>
      <c r="Q3744" t="s">
        <v>209</v>
      </c>
    </row>
    <row r="3745" spans="1:17" x14ac:dyDescent="0.3">
      <c r="A3745" t="s">
        <v>8157</v>
      </c>
      <c r="C3745" t="s">
        <v>8158</v>
      </c>
      <c r="D3745" t="s">
        <v>8158</v>
      </c>
      <c r="E3745" s="5">
        <v>46285</v>
      </c>
      <c r="F3745" t="s">
        <v>204</v>
      </c>
      <c r="G3745" t="s">
        <v>220</v>
      </c>
      <c r="H3745">
        <v>3798</v>
      </c>
      <c r="I3745">
        <v>11.39</v>
      </c>
      <c r="J3745">
        <v>2.0499999999999998</v>
      </c>
      <c r="K3745">
        <v>3784.56</v>
      </c>
      <c r="L3745" s="5">
        <v>46287</v>
      </c>
      <c r="M3745" t="s">
        <v>7878</v>
      </c>
      <c r="N3745" t="s">
        <v>207</v>
      </c>
      <c r="O3745" t="s">
        <v>8158</v>
      </c>
      <c r="P3745" t="s">
        <v>208</v>
      </c>
      <c r="Q3745" t="s">
        <v>209</v>
      </c>
    </row>
    <row r="3746" spans="1:17" x14ac:dyDescent="0.3">
      <c r="A3746" t="s">
        <v>8159</v>
      </c>
      <c r="C3746" t="s">
        <v>8160</v>
      </c>
      <c r="D3746" t="s">
        <v>8160</v>
      </c>
      <c r="E3746" s="5">
        <v>46285</v>
      </c>
      <c r="F3746" t="s">
        <v>204</v>
      </c>
      <c r="G3746" t="s">
        <v>220</v>
      </c>
      <c r="H3746">
        <v>5097</v>
      </c>
      <c r="I3746">
        <v>15.29</v>
      </c>
      <c r="J3746">
        <v>2.75</v>
      </c>
      <c r="K3746">
        <v>5078.96</v>
      </c>
      <c r="L3746" s="5">
        <v>46287</v>
      </c>
      <c r="M3746" t="s">
        <v>7878</v>
      </c>
      <c r="N3746" t="s">
        <v>207</v>
      </c>
      <c r="O3746" t="s">
        <v>8160</v>
      </c>
      <c r="P3746" t="s">
        <v>208</v>
      </c>
      <c r="Q3746" t="s">
        <v>209</v>
      </c>
    </row>
    <row r="3747" spans="1:17" x14ac:dyDescent="0.3">
      <c r="A3747" t="s">
        <v>8161</v>
      </c>
      <c r="C3747" t="s">
        <v>8162</v>
      </c>
      <c r="D3747" t="s">
        <v>8162</v>
      </c>
      <c r="E3747" s="5">
        <v>46285</v>
      </c>
      <c r="F3747" t="s">
        <v>204</v>
      </c>
      <c r="G3747" t="s">
        <v>213</v>
      </c>
      <c r="H3747">
        <v>1848</v>
      </c>
      <c r="I3747">
        <v>33.26</v>
      </c>
      <c r="J3747">
        <v>5.99</v>
      </c>
      <c r="K3747">
        <v>1808.75</v>
      </c>
      <c r="L3747" s="5">
        <v>46287</v>
      </c>
      <c r="M3747" t="s">
        <v>7878</v>
      </c>
      <c r="N3747" t="s">
        <v>207</v>
      </c>
      <c r="O3747" t="s">
        <v>8162</v>
      </c>
      <c r="P3747" t="s">
        <v>208</v>
      </c>
      <c r="Q3747" t="s">
        <v>209</v>
      </c>
    </row>
    <row r="3748" spans="1:17" x14ac:dyDescent="0.3">
      <c r="A3748" t="s">
        <v>8163</v>
      </c>
      <c r="C3748" t="s">
        <v>8164</v>
      </c>
      <c r="D3748" t="s">
        <v>8164</v>
      </c>
      <c r="E3748" s="5">
        <v>46285</v>
      </c>
      <c r="F3748" t="s">
        <v>204</v>
      </c>
      <c r="G3748" t="s">
        <v>220</v>
      </c>
      <c r="H3748">
        <v>349</v>
      </c>
      <c r="I3748">
        <v>0</v>
      </c>
      <c r="J3748">
        <v>0</v>
      </c>
      <c r="K3748">
        <v>349</v>
      </c>
      <c r="L3748" s="5">
        <v>46287</v>
      </c>
      <c r="M3748" t="s">
        <v>7878</v>
      </c>
      <c r="N3748" t="s">
        <v>207</v>
      </c>
      <c r="O3748" t="s">
        <v>8164</v>
      </c>
      <c r="P3748" t="s">
        <v>208</v>
      </c>
      <c r="Q3748" t="s">
        <v>209</v>
      </c>
    </row>
    <row r="3749" spans="1:17" x14ac:dyDescent="0.3">
      <c r="A3749" t="s">
        <v>8165</v>
      </c>
      <c r="C3749" t="s">
        <v>8166</v>
      </c>
      <c r="D3749" t="s">
        <v>8166</v>
      </c>
      <c r="E3749" s="5">
        <v>46285</v>
      </c>
      <c r="F3749" t="s">
        <v>204</v>
      </c>
      <c r="G3749" t="s">
        <v>213</v>
      </c>
      <c r="H3749">
        <v>2298</v>
      </c>
      <c r="I3749">
        <v>36.770000000000003</v>
      </c>
      <c r="J3749">
        <v>6.62</v>
      </c>
      <c r="K3749">
        <v>2254.61</v>
      </c>
      <c r="L3749" s="5">
        <v>46287</v>
      </c>
      <c r="M3749" t="s">
        <v>7878</v>
      </c>
      <c r="N3749" t="s">
        <v>207</v>
      </c>
      <c r="O3749" t="s">
        <v>8166</v>
      </c>
      <c r="P3749" t="s">
        <v>208</v>
      </c>
      <c r="Q3749" t="s">
        <v>209</v>
      </c>
    </row>
    <row r="3750" spans="1:17" x14ac:dyDescent="0.3">
      <c r="A3750" t="s">
        <v>8167</v>
      </c>
      <c r="C3750" t="s">
        <v>8168</v>
      </c>
      <c r="D3750" t="s">
        <v>8168</v>
      </c>
      <c r="E3750" s="5">
        <v>46285</v>
      </c>
      <c r="F3750" t="s">
        <v>204</v>
      </c>
      <c r="G3750" t="s">
        <v>220</v>
      </c>
      <c r="H3750">
        <v>349</v>
      </c>
      <c r="I3750">
        <v>0</v>
      </c>
      <c r="J3750">
        <v>0</v>
      </c>
      <c r="K3750">
        <v>349</v>
      </c>
      <c r="L3750" s="5">
        <v>46287</v>
      </c>
      <c r="M3750" t="s">
        <v>7878</v>
      </c>
      <c r="N3750" t="s">
        <v>207</v>
      </c>
      <c r="O3750" t="s">
        <v>8168</v>
      </c>
      <c r="P3750" t="s">
        <v>208</v>
      </c>
      <c r="Q3750" t="s">
        <v>209</v>
      </c>
    </row>
    <row r="3751" spans="1:17" x14ac:dyDescent="0.3">
      <c r="A3751" t="s">
        <v>8169</v>
      </c>
      <c r="C3751" t="s">
        <v>8170</v>
      </c>
      <c r="D3751" t="s">
        <v>8170</v>
      </c>
      <c r="E3751" s="5">
        <v>46285</v>
      </c>
      <c r="F3751" t="s">
        <v>204</v>
      </c>
      <c r="G3751" t="s">
        <v>205</v>
      </c>
      <c r="H3751">
        <v>6498</v>
      </c>
      <c r="I3751">
        <v>110.47</v>
      </c>
      <c r="J3751">
        <v>19.88</v>
      </c>
      <c r="K3751">
        <v>6367.65</v>
      </c>
      <c r="L3751" s="5">
        <v>46287</v>
      </c>
      <c r="M3751" t="s">
        <v>7878</v>
      </c>
      <c r="N3751" t="s">
        <v>207</v>
      </c>
      <c r="O3751" t="s">
        <v>8170</v>
      </c>
      <c r="P3751" t="s">
        <v>208</v>
      </c>
      <c r="Q3751" t="s">
        <v>209</v>
      </c>
    </row>
    <row r="3752" spans="1:17" x14ac:dyDescent="0.3">
      <c r="A3752" t="s">
        <v>8171</v>
      </c>
      <c r="C3752" t="s">
        <v>8172</v>
      </c>
      <c r="D3752" t="s">
        <v>8172</v>
      </c>
      <c r="E3752" s="5">
        <v>46285</v>
      </c>
      <c r="F3752" t="s">
        <v>204</v>
      </c>
      <c r="G3752" t="s">
        <v>220</v>
      </c>
      <c r="H3752">
        <v>1299</v>
      </c>
      <c r="I3752">
        <v>0</v>
      </c>
      <c r="J3752">
        <v>0</v>
      </c>
      <c r="K3752">
        <v>1299</v>
      </c>
      <c r="L3752" s="5">
        <v>46287</v>
      </c>
      <c r="M3752" t="s">
        <v>7878</v>
      </c>
      <c r="N3752" t="s">
        <v>207</v>
      </c>
      <c r="O3752" t="s">
        <v>8172</v>
      </c>
      <c r="P3752" t="s">
        <v>208</v>
      </c>
      <c r="Q3752" t="s">
        <v>209</v>
      </c>
    </row>
    <row r="3753" spans="1:17" x14ac:dyDescent="0.3">
      <c r="A3753" t="s">
        <v>8173</v>
      </c>
      <c r="C3753" t="s">
        <v>8174</v>
      </c>
      <c r="D3753" t="s">
        <v>8174</v>
      </c>
      <c r="E3753" s="5">
        <v>46285</v>
      </c>
      <c r="F3753" t="s">
        <v>204</v>
      </c>
      <c r="G3753" t="s">
        <v>220</v>
      </c>
      <c r="H3753">
        <v>4298</v>
      </c>
      <c r="I3753">
        <v>12.89</v>
      </c>
      <c r="J3753">
        <v>2.3199999999999998</v>
      </c>
      <c r="K3753">
        <v>4282.79</v>
      </c>
      <c r="L3753" s="5">
        <v>46287</v>
      </c>
      <c r="M3753" t="s">
        <v>7878</v>
      </c>
      <c r="N3753" t="s">
        <v>207</v>
      </c>
      <c r="O3753" t="s">
        <v>8174</v>
      </c>
      <c r="P3753" t="s">
        <v>208</v>
      </c>
      <c r="Q3753" t="s">
        <v>209</v>
      </c>
    </row>
    <row r="3754" spans="1:17" x14ac:dyDescent="0.3">
      <c r="A3754" t="s">
        <v>8175</v>
      </c>
      <c r="C3754" t="s">
        <v>8176</v>
      </c>
      <c r="D3754" t="s">
        <v>8176</v>
      </c>
      <c r="E3754" s="5">
        <v>46285</v>
      </c>
      <c r="F3754" t="s">
        <v>204</v>
      </c>
      <c r="G3754" t="s">
        <v>205</v>
      </c>
      <c r="H3754">
        <v>2798</v>
      </c>
      <c r="I3754">
        <v>47.57</v>
      </c>
      <c r="J3754">
        <v>8.56</v>
      </c>
      <c r="K3754">
        <v>2741.87</v>
      </c>
      <c r="L3754" s="5">
        <v>46287</v>
      </c>
      <c r="M3754" t="s">
        <v>7878</v>
      </c>
      <c r="N3754" t="s">
        <v>207</v>
      </c>
      <c r="O3754" t="s">
        <v>8176</v>
      </c>
      <c r="P3754" t="s">
        <v>208</v>
      </c>
      <c r="Q3754" t="s">
        <v>209</v>
      </c>
    </row>
    <row r="3755" spans="1:17" x14ac:dyDescent="0.3">
      <c r="A3755" t="s">
        <v>8177</v>
      </c>
      <c r="C3755" t="s">
        <v>8178</v>
      </c>
      <c r="D3755" t="s">
        <v>8178</v>
      </c>
      <c r="E3755" s="5">
        <v>46285</v>
      </c>
      <c r="F3755" t="s">
        <v>204</v>
      </c>
      <c r="G3755" t="s">
        <v>220</v>
      </c>
      <c r="H3755">
        <v>9847</v>
      </c>
      <c r="I3755">
        <v>29.54</v>
      </c>
      <c r="J3755">
        <v>5.32</v>
      </c>
      <c r="K3755">
        <v>9812.14</v>
      </c>
      <c r="L3755" s="5">
        <v>46287</v>
      </c>
      <c r="M3755" t="s">
        <v>7878</v>
      </c>
      <c r="N3755" t="s">
        <v>207</v>
      </c>
      <c r="O3755" t="s">
        <v>8178</v>
      </c>
      <c r="P3755" t="s">
        <v>208</v>
      </c>
      <c r="Q3755" t="s">
        <v>209</v>
      </c>
    </row>
    <row r="3756" spans="1:17" x14ac:dyDescent="0.3">
      <c r="A3756" t="s">
        <v>8179</v>
      </c>
      <c r="C3756" t="s">
        <v>8180</v>
      </c>
      <c r="D3756" t="s">
        <v>8180</v>
      </c>
      <c r="E3756" s="5">
        <v>46285</v>
      </c>
      <c r="F3756" t="s">
        <v>204</v>
      </c>
      <c r="G3756" t="s">
        <v>220</v>
      </c>
      <c r="H3756">
        <v>1499</v>
      </c>
      <c r="I3756">
        <v>0</v>
      </c>
      <c r="J3756">
        <v>0</v>
      </c>
      <c r="K3756">
        <v>1499</v>
      </c>
      <c r="L3756" s="5">
        <v>46287</v>
      </c>
      <c r="M3756" t="s">
        <v>7878</v>
      </c>
      <c r="N3756" t="s">
        <v>207</v>
      </c>
      <c r="O3756" t="s">
        <v>8180</v>
      </c>
      <c r="P3756" t="s">
        <v>208</v>
      </c>
      <c r="Q3756" t="s">
        <v>209</v>
      </c>
    </row>
    <row r="3757" spans="1:17" x14ac:dyDescent="0.3">
      <c r="A3757" t="s">
        <v>8181</v>
      </c>
      <c r="C3757" t="s">
        <v>8182</v>
      </c>
      <c r="D3757" t="s">
        <v>8183</v>
      </c>
      <c r="E3757" s="5">
        <v>46285</v>
      </c>
      <c r="F3757" t="s">
        <v>204</v>
      </c>
      <c r="G3757" t="s">
        <v>220</v>
      </c>
      <c r="H3757">
        <v>3847</v>
      </c>
      <c r="I3757">
        <v>11.54</v>
      </c>
      <c r="J3757">
        <v>2.08</v>
      </c>
      <c r="K3757">
        <v>3833.38</v>
      </c>
      <c r="L3757" s="5">
        <v>46287</v>
      </c>
      <c r="M3757" t="s">
        <v>7878</v>
      </c>
      <c r="N3757" t="s">
        <v>207</v>
      </c>
      <c r="O3757" t="s">
        <v>8183</v>
      </c>
      <c r="P3757" t="s">
        <v>208</v>
      </c>
      <c r="Q3757" t="s">
        <v>209</v>
      </c>
    </row>
    <row r="3758" spans="1:17" x14ac:dyDescent="0.3">
      <c r="A3758" t="s">
        <v>8184</v>
      </c>
      <c r="C3758" t="s">
        <v>8185</v>
      </c>
      <c r="D3758" t="s">
        <v>8185</v>
      </c>
      <c r="E3758" s="5">
        <v>46285</v>
      </c>
      <c r="F3758" t="s">
        <v>204</v>
      </c>
      <c r="G3758" t="s">
        <v>220</v>
      </c>
      <c r="H3758">
        <v>1799</v>
      </c>
      <c r="I3758">
        <v>0</v>
      </c>
      <c r="J3758">
        <v>0</v>
      </c>
      <c r="K3758">
        <v>1799</v>
      </c>
      <c r="L3758" s="5">
        <v>46287</v>
      </c>
      <c r="M3758" t="s">
        <v>7878</v>
      </c>
      <c r="N3758" t="s">
        <v>207</v>
      </c>
      <c r="O3758" t="s">
        <v>8185</v>
      </c>
      <c r="P3758" t="s">
        <v>208</v>
      </c>
      <c r="Q3758" t="s">
        <v>209</v>
      </c>
    </row>
    <row r="3759" spans="1:17" x14ac:dyDescent="0.3">
      <c r="A3759" t="s">
        <v>8186</v>
      </c>
      <c r="C3759" t="s">
        <v>8187</v>
      </c>
      <c r="D3759" t="s">
        <v>8187</v>
      </c>
      <c r="E3759" s="5">
        <v>46285</v>
      </c>
      <c r="F3759" t="s">
        <v>204</v>
      </c>
      <c r="G3759" t="s">
        <v>220</v>
      </c>
      <c r="H3759">
        <v>999</v>
      </c>
      <c r="I3759">
        <v>0</v>
      </c>
      <c r="J3759">
        <v>0</v>
      </c>
      <c r="K3759">
        <v>999</v>
      </c>
      <c r="L3759" s="5">
        <v>46287</v>
      </c>
      <c r="M3759" t="s">
        <v>7878</v>
      </c>
      <c r="N3759" t="s">
        <v>207</v>
      </c>
      <c r="O3759" t="s">
        <v>8187</v>
      </c>
      <c r="P3759" t="s">
        <v>208</v>
      </c>
      <c r="Q3759" t="s">
        <v>209</v>
      </c>
    </row>
    <row r="3760" spans="1:17" x14ac:dyDescent="0.3">
      <c r="A3760" t="s">
        <v>8188</v>
      </c>
      <c r="C3760" t="s">
        <v>8189</v>
      </c>
      <c r="D3760" t="s">
        <v>8190</v>
      </c>
      <c r="E3760" s="5">
        <v>46285</v>
      </c>
      <c r="F3760" t="s">
        <v>204</v>
      </c>
      <c r="G3760" t="s">
        <v>220</v>
      </c>
      <c r="H3760">
        <v>1299</v>
      </c>
      <c r="I3760">
        <v>0</v>
      </c>
      <c r="J3760">
        <v>0</v>
      </c>
      <c r="K3760">
        <v>1299</v>
      </c>
      <c r="L3760" s="5">
        <v>46287</v>
      </c>
      <c r="M3760" t="s">
        <v>7878</v>
      </c>
      <c r="N3760" t="s">
        <v>207</v>
      </c>
      <c r="O3760" t="s">
        <v>8190</v>
      </c>
      <c r="P3760" t="s">
        <v>208</v>
      </c>
      <c r="Q3760" t="s">
        <v>209</v>
      </c>
    </row>
    <row r="3761" spans="1:17" x14ac:dyDescent="0.3">
      <c r="A3761" t="s">
        <v>8191</v>
      </c>
      <c r="C3761" t="s">
        <v>8192</v>
      </c>
      <c r="D3761" t="s">
        <v>8192</v>
      </c>
      <c r="E3761" s="5">
        <v>46285</v>
      </c>
      <c r="F3761" t="s">
        <v>204</v>
      </c>
      <c r="G3761" t="s">
        <v>220</v>
      </c>
      <c r="H3761">
        <v>3897</v>
      </c>
      <c r="I3761">
        <v>11.69</v>
      </c>
      <c r="J3761">
        <v>2.1</v>
      </c>
      <c r="K3761">
        <v>3883.21</v>
      </c>
      <c r="L3761" s="5">
        <v>46287</v>
      </c>
      <c r="M3761" t="s">
        <v>7878</v>
      </c>
      <c r="N3761" t="s">
        <v>207</v>
      </c>
      <c r="O3761" t="s">
        <v>8192</v>
      </c>
      <c r="P3761" t="s">
        <v>208</v>
      </c>
      <c r="Q3761" t="s">
        <v>209</v>
      </c>
    </row>
    <row r="3762" spans="1:17" x14ac:dyDescent="0.3">
      <c r="A3762" t="s">
        <v>8193</v>
      </c>
      <c r="C3762" t="s">
        <v>8194</v>
      </c>
      <c r="D3762" t="s">
        <v>8195</v>
      </c>
      <c r="E3762" s="5">
        <v>46285</v>
      </c>
      <c r="F3762" t="s">
        <v>204</v>
      </c>
      <c r="G3762" t="s">
        <v>205</v>
      </c>
      <c r="H3762">
        <v>1998</v>
      </c>
      <c r="I3762">
        <v>37.96</v>
      </c>
      <c r="J3762">
        <v>6.83</v>
      </c>
      <c r="K3762">
        <v>1953.21</v>
      </c>
      <c r="L3762" s="5">
        <v>46287</v>
      </c>
      <c r="M3762" t="s">
        <v>7878</v>
      </c>
      <c r="N3762" t="s">
        <v>207</v>
      </c>
      <c r="O3762" t="s">
        <v>8195</v>
      </c>
      <c r="P3762" t="s">
        <v>208</v>
      </c>
      <c r="Q3762" t="s">
        <v>209</v>
      </c>
    </row>
    <row r="3763" spans="1:17" x14ac:dyDescent="0.3">
      <c r="A3763" t="s">
        <v>8196</v>
      </c>
      <c r="C3763" t="s">
        <v>8197</v>
      </c>
      <c r="D3763" t="s">
        <v>8197</v>
      </c>
      <c r="E3763" s="5">
        <v>46285</v>
      </c>
      <c r="F3763" t="s">
        <v>204</v>
      </c>
      <c r="G3763" t="s">
        <v>213</v>
      </c>
      <c r="H3763">
        <v>10498</v>
      </c>
      <c r="I3763">
        <v>167.97</v>
      </c>
      <c r="J3763">
        <v>30.23</v>
      </c>
      <c r="K3763">
        <v>10299.799999999999</v>
      </c>
      <c r="L3763" s="5">
        <v>46287</v>
      </c>
      <c r="M3763" t="s">
        <v>7878</v>
      </c>
      <c r="N3763" t="s">
        <v>207</v>
      </c>
      <c r="O3763" t="s">
        <v>8197</v>
      </c>
      <c r="P3763" t="s">
        <v>208</v>
      </c>
      <c r="Q3763" t="s">
        <v>209</v>
      </c>
    </row>
    <row r="3764" spans="1:17" x14ac:dyDescent="0.3">
      <c r="A3764" t="s">
        <v>8198</v>
      </c>
      <c r="C3764" t="s">
        <v>8199</v>
      </c>
      <c r="D3764" t="s">
        <v>8199</v>
      </c>
      <c r="E3764" s="5">
        <v>46285</v>
      </c>
      <c r="F3764" t="s">
        <v>204</v>
      </c>
      <c r="G3764" t="s">
        <v>213</v>
      </c>
      <c r="H3764">
        <v>3498</v>
      </c>
      <c r="I3764">
        <v>55.97</v>
      </c>
      <c r="J3764">
        <v>10.07</v>
      </c>
      <c r="K3764">
        <v>3431.96</v>
      </c>
      <c r="L3764" s="5">
        <v>46287</v>
      </c>
      <c r="M3764" t="s">
        <v>7878</v>
      </c>
      <c r="N3764" t="s">
        <v>207</v>
      </c>
      <c r="O3764" t="s">
        <v>8199</v>
      </c>
      <c r="P3764" t="s">
        <v>208</v>
      </c>
      <c r="Q3764" t="s">
        <v>209</v>
      </c>
    </row>
    <row r="3765" spans="1:17" x14ac:dyDescent="0.3">
      <c r="A3765" t="s">
        <v>8200</v>
      </c>
      <c r="C3765" t="s">
        <v>8201</v>
      </c>
      <c r="D3765" t="s">
        <v>8201</v>
      </c>
      <c r="E3765" s="5">
        <v>46285</v>
      </c>
      <c r="F3765" t="s">
        <v>204</v>
      </c>
      <c r="G3765" t="s">
        <v>213</v>
      </c>
      <c r="H3765">
        <v>6297</v>
      </c>
      <c r="I3765">
        <v>100.75</v>
      </c>
      <c r="J3765">
        <v>18.14</v>
      </c>
      <c r="K3765">
        <v>6178.11</v>
      </c>
      <c r="L3765" s="5">
        <v>46287</v>
      </c>
      <c r="M3765" t="s">
        <v>7878</v>
      </c>
      <c r="N3765" t="s">
        <v>207</v>
      </c>
      <c r="O3765" t="s">
        <v>8201</v>
      </c>
      <c r="P3765" t="s">
        <v>208</v>
      </c>
      <c r="Q3765" t="s">
        <v>209</v>
      </c>
    </row>
    <row r="3766" spans="1:17" x14ac:dyDescent="0.3">
      <c r="A3766" t="s">
        <v>8202</v>
      </c>
      <c r="C3766" t="s">
        <v>8203</v>
      </c>
      <c r="D3766" t="s">
        <v>8203</v>
      </c>
      <c r="E3766" s="5">
        <v>46285</v>
      </c>
      <c r="F3766" t="s">
        <v>204</v>
      </c>
      <c r="G3766" t="s">
        <v>255</v>
      </c>
      <c r="H3766">
        <v>3498</v>
      </c>
      <c r="I3766">
        <v>41.98</v>
      </c>
      <c r="J3766">
        <v>7.56</v>
      </c>
      <c r="K3766">
        <v>3448.46</v>
      </c>
      <c r="L3766" s="5">
        <v>46287</v>
      </c>
      <c r="M3766" t="s">
        <v>7878</v>
      </c>
      <c r="N3766" t="s">
        <v>207</v>
      </c>
      <c r="O3766" t="s">
        <v>8203</v>
      </c>
      <c r="P3766" t="s">
        <v>208</v>
      </c>
      <c r="Q3766" t="s">
        <v>209</v>
      </c>
    </row>
    <row r="3767" spans="1:17" x14ac:dyDescent="0.3">
      <c r="A3767" t="s">
        <v>8204</v>
      </c>
      <c r="C3767" t="s">
        <v>8205</v>
      </c>
      <c r="D3767" t="s">
        <v>8205</v>
      </c>
      <c r="E3767" s="5">
        <v>46285</v>
      </c>
      <c r="F3767" t="s">
        <v>204</v>
      </c>
      <c r="G3767" t="s">
        <v>213</v>
      </c>
      <c r="H3767">
        <v>4798</v>
      </c>
      <c r="I3767">
        <v>76.77</v>
      </c>
      <c r="J3767">
        <v>13.82</v>
      </c>
      <c r="K3767">
        <v>4707.41</v>
      </c>
      <c r="L3767" s="5">
        <v>46287</v>
      </c>
      <c r="M3767" t="s">
        <v>7878</v>
      </c>
      <c r="N3767" t="s">
        <v>207</v>
      </c>
      <c r="O3767" t="s">
        <v>8205</v>
      </c>
      <c r="P3767" t="s">
        <v>208</v>
      </c>
      <c r="Q3767" t="s">
        <v>209</v>
      </c>
    </row>
    <row r="3768" spans="1:17" x14ac:dyDescent="0.3">
      <c r="A3768" t="s">
        <v>8206</v>
      </c>
      <c r="C3768" t="s">
        <v>8207</v>
      </c>
      <c r="D3768" t="s">
        <v>8208</v>
      </c>
      <c r="E3768" s="5">
        <v>46285</v>
      </c>
      <c r="F3768" t="s">
        <v>204</v>
      </c>
      <c r="G3768" t="s">
        <v>213</v>
      </c>
      <c r="H3768">
        <v>1299</v>
      </c>
      <c r="I3768">
        <v>23.38</v>
      </c>
      <c r="J3768">
        <v>4.21</v>
      </c>
      <c r="K3768">
        <v>1271.4100000000001</v>
      </c>
      <c r="L3768" s="5">
        <v>46287</v>
      </c>
      <c r="M3768" t="s">
        <v>7878</v>
      </c>
      <c r="N3768" t="s">
        <v>207</v>
      </c>
      <c r="O3768" t="s">
        <v>8208</v>
      </c>
      <c r="P3768" t="s">
        <v>208</v>
      </c>
      <c r="Q3768" t="s">
        <v>209</v>
      </c>
    </row>
    <row r="3769" spans="1:17" x14ac:dyDescent="0.3">
      <c r="A3769" t="s">
        <v>8209</v>
      </c>
      <c r="C3769" t="s">
        <v>8210</v>
      </c>
      <c r="D3769" t="s">
        <v>8210</v>
      </c>
      <c r="E3769" s="5">
        <v>46285</v>
      </c>
      <c r="F3769" t="s">
        <v>204</v>
      </c>
      <c r="G3769" t="s">
        <v>220</v>
      </c>
      <c r="H3769">
        <v>2798</v>
      </c>
      <c r="I3769">
        <v>8.39</v>
      </c>
      <c r="J3769">
        <v>1.51</v>
      </c>
      <c r="K3769">
        <v>2788.1</v>
      </c>
      <c r="L3769" s="5">
        <v>46287</v>
      </c>
      <c r="M3769" t="s">
        <v>7878</v>
      </c>
      <c r="N3769" t="s">
        <v>207</v>
      </c>
      <c r="O3769" t="s">
        <v>8210</v>
      </c>
      <c r="P3769" t="s">
        <v>208</v>
      </c>
      <c r="Q3769" t="s">
        <v>209</v>
      </c>
    </row>
    <row r="3770" spans="1:17" x14ac:dyDescent="0.3">
      <c r="A3770" t="s">
        <v>8211</v>
      </c>
      <c r="C3770" t="s">
        <v>8212</v>
      </c>
      <c r="D3770" t="s">
        <v>8212</v>
      </c>
      <c r="E3770" s="5">
        <v>46285</v>
      </c>
      <c r="F3770" t="s">
        <v>204</v>
      </c>
      <c r="G3770" t="s">
        <v>220</v>
      </c>
      <c r="H3770">
        <v>799</v>
      </c>
      <c r="I3770">
        <v>0</v>
      </c>
      <c r="J3770">
        <v>0</v>
      </c>
      <c r="K3770">
        <v>799</v>
      </c>
      <c r="L3770" s="5">
        <v>46287</v>
      </c>
      <c r="M3770" t="s">
        <v>7878</v>
      </c>
      <c r="N3770" t="s">
        <v>207</v>
      </c>
      <c r="O3770" t="s">
        <v>8212</v>
      </c>
      <c r="P3770" t="s">
        <v>208</v>
      </c>
      <c r="Q3770" t="s">
        <v>209</v>
      </c>
    </row>
    <row r="3771" spans="1:17" x14ac:dyDescent="0.3">
      <c r="A3771" t="s">
        <v>8213</v>
      </c>
      <c r="C3771" t="s">
        <v>8214</v>
      </c>
      <c r="D3771" t="s">
        <v>8214</v>
      </c>
      <c r="E3771" s="5">
        <v>46285</v>
      </c>
      <c r="F3771" t="s">
        <v>204</v>
      </c>
      <c r="G3771" t="s">
        <v>220</v>
      </c>
      <c r="H3771">
        <v>999</v>
      </c>
      <c r="I3771">
        <v>0</v>
      </c>
      <c r="J3771">
        <v>0</v>
      </c>
      <c r="K3771">
        <v>999</v>
      </c>
      <c r="L3771" s="5">
        <v>46287</v>
      </c>
      <c r="M3771" t="s">
        <v>7878</v>
      </c>
      <c r="N3771" t="s">
        <v>207</v>
      </c>
      <c r="O3771" t="s">
        <v>8214</v>
      </c>
      <c r="P3771" t="s">
        <v>208</v>
      </c>
      <c r="Q3771" t="s">
        <v>209</v>
      </c>
    </row>
    <row r="3772" spans="1:17" x14ac:dyDescent="0.3">
      <c r="A3772" t="s">
        <v>8215</v>
      </c>
      <c r="C3772" t="s">
        <v>8216</v>
      </c>
      <c r="D3772" t="s">
        <v>8216</v>
      </c>
      <c r="E3772" s="5">
        <v>46285</v>
      </c>
      <c r="F3772" t="s">
        <v>204</v>
      </c>
      <c r="G3772" t="s">
        <v>213</v>
      </c>
      <c r="H3772">
        <v>349</v>
      </c>
      <c r="I3772">
        <v>6.28</v>
      </c>
      <c r="J3772">
        <v>1.1299999999999999</v>
      </c>
      <c r="K3772">
        <v>341.59</v>
      </c>
      <c r="L3772" s="5">
        <v>46287</v>
      </c>
      <c r="M3772" t="s">
        <v>7878</v>
      </c>
      <c r="N3772" t="s">
        <v>207</v>
      </c>
      <c r="O3772" t="s">
        <v>8216</v>
      </c>
      <c r="P3772" t="s">
        <v>208</v>
      </c>
      <c r="Q3772" t="s">
        <v>209</v>
      </c>
    </row>
    <row r="3773" spans="1:17" x14ac:dyDescent="0.3">
      <c r="A3773" t="s">
        <v>8217</v>
      </c>
      <c r="C3773" t="s">
        <v>8218</v>
      </c>
      <c r="D3773" t="s">
        <v>8219</v>
      </c>
      <c r="E3773" s="5">
        <v>46285</v>
      </c>
      <c r="F3773" t="s">
        <v>204</v>
      </c>
      <c r="G3773" t="s">
        <v>213</v>
      </c>
      <c r="H3773">
        <v>1799</v>
      </c>
      <c r="I3773">
        <v>32.380000000000003</v>
      </c>
      <c r="J3773">
        <v>5.83</v>
      </c>
      <c r="K3773">
        <v>1760.79</v>
      </c>
      <c r="L3773" s="5">
        <v>46287</v>
      </c>
      <c r="M3773" t="s">
        <v>7878</v>
      </c>
      <c r="N3773" t="s">
        <v>207</v>
      </c>
      <c r="O3773" t="s">
        <v>8219</v>
      </c>
      <c r="P3773" t="s">
        <v>208</v>
      </c>
      <c r="Q3773" t="s">
        <v>209</v>
      </c>
    </row>
    <row r="3774" spans="1:17" x14ac:dyDescent="0.3">
      <c r="A3774" t="s">
        <v>8220</v>
      </c>
      <c r="C3774" t="s">
        <v>8221</v>
      </c>
      <c r="D3774" t="s">
        <v>8221</v>
      </c>
      <c r="E3774" s="5">
        <v>46285</v>
      </c>
      <c r="F3774" t="s">
        <v>204</v>
      </c>
      <c r="G3774" t="s">
        <v>220</v>
      </c>
      <c r="H3774">
        <v>7999</v>
      </c>
      <c r="I3774">
        <v>24</v>
      </c>
      <c r="J3774">
        <v>4.32</v>
      </c>
      <c r="K3774">
        <v>7970.68</v>
      </c>
      <c r="L3774" s="5">
        <v>46287</v>
      </c>
      <c r="M3774" t="s">
        <v>7878</v>
      </c>
      <c r="N3774" t="s">
        <v>207</v>
      </c>
      <c r="O3774" t="s">
        <v>8221</v>
      </c>
      <c r="P3774" t="s">
        <v>208</v>
      </c>
      <c r="Q3774" t="s">
        <v>209</v>
      </c>
    </row>
    <row r="3775" spans="1:17" x14ac:dyDescent="0.3">
      <c r="A3775" t="s">
        <v>8222</v>
      </c>
      <c r="C3775" t="s">
        <v>8223</v>
      </c>
      <c r="D3775" t="s">
        <v>8223</v>
      </c>
      <c r="E3775" s="5">
        <v>46285</v>
      </c>
      <c r="F3775" t="s">
        <v>204</v>
      </c>
      <c r="G3775" t="s">
        <v>220</v>
      </c>
      <c r="H3775">
        <v>2597</v>
      </c>
      <c r="I3775">
        <v>7.79</v>
      </c>
      <c r="J3775">
        <v>1.4</v>
      </c>
      <c r="K3775">
        <v>2587.81</v>
      </c>
      <c r="L3775" s="5">
        <v>46287</v>
      </c>
      <c r="M3775" t="s">
        <v>7878</v>
      </c>
      <c r="N3775" t="s">
        <v>207</v>
      </c>
      <c r="O3775" t="s">
        <v>8223</v>
      </c>
      <c r="P3775" t="s">
        <v>208</v>
      </c>
      <c r="Q3775" t="s">
        <v>209</v>
      </c>
    </row>
    <row r="3776" spans="1:17" x14ac:dyDescent="0.3">
      <c r="A3776" t="s">
        <v>8224</v>
      </c>
      <c r="C3776" t="s">
        <v>8225</v>
      </c>
      <c r="D3776" t="s">
        <v>8225</v>
      </c>
      <c r="E3776" s="5">
        <v>46285</v>
      </c>
      <c r="F3776" t="s">
        <v>204</v>
      </c>
      <c r="G3776" t="s">
        <v>255</v>
      </c>
      <c r="H3776">
        <v>4498</v>
      </c>
      <c r="I3776">
        <v>53.98</v>
      </c>
      <c r="J3776">
        <v>9.7200000000000006</v>
      </c>
      <c r="K3776">
        <v>4434.3</v>
      </c>
      <c r="L3776" s="5">
        <v>46287</v>
      </c>
      <c r="M3776" t="s">
        <v>7878</v>
      </c>
      <c r="N3776" t="s">
        <v>207</v>
      </c>
      <c r="O3776" t="s">
        <v>8225</v>
      </c>
      <c r="P3776" t="s">
        <v>208</v>
      </c>
      <c r="Q3776" t="s">
        <v>209</v>
      </c>
    </row>
    <row r="3777" spans="1:17" x14ac:dyDescent="0.3">
      <c r="A3777" t="s">
        <v>8226</v>
      </c>
      <c r="C3777" t="s">
        <v>8227</v>
      </c>
      <c r="D3777" t="s">
        <v>8227</v>
      </c>
      <c r="E3777" s="5">
        <v>46285</v>
      </c>
      <c r="F3777" t="s">
        <v>204</v>
      </c>
      <c r="G3777" t="s">
        <v>213</v>
      </c>
      <c r="H3777">
        <v>2499</v>
      </c>
      <c r="I3777">
        <v>39.979999999999997</v>
      </c>
      <c r="J3777">
        <v>7.2</v>
      </c>
      <c r="K3777">
        <v>2451.8200000000002</v>
      </c>
      <c r="L3777" s="5">
        <v>46287</v>
      </c>
      <c r="M3777" t="s">
        <v>7878</v>
      </c>
      <c r="N3777" t="s">
        <v>207</v>
      </c>
      <c r="O3777" t="s">
        <v>8227</v>
      </c>
      <c r="P3777" t="s">
        <v>208</v>
      </c>
      <c r="Q3777" t="s">
        <v>209</v>
      </c>
    </row>
    <row r="3778" spans="1:17" x14ac:dyDescent="0.3">
      <c r="A3778" t="s">
        <v>8228</v>
      </c>
      <c r="C3778" t="s">
        <v>8229</v>
      </c>
      <c r="D3778" t="s">
        <v>8229</v>
      </c>
      <c r="E3778" s="5">
        <v>46285</v>
      </c>
      <c r="F3778" t="s">
        <v>204</v>
      </c>
      <c r="G3778" t="s">
        <v>220</v>
      </c>
      <c r="H3778">
        <v>1799</v>
      </c>
      <c r="I3778">
        <v>0</v>
      </c>
      <c r="J3778">
        <v>0</v>
      </c>
      <c r="K3778">
        <v>1799</v>
      </c>
      <c r="L3778" s="5">
        <v>46287</v>
      </c>
      <c r="M3778" t="s">
        <v>7878</v>
      </c>
      <c r="N3778" t="s">
        <v>207</v>
      </c>
      <c r="O3778" t="s">
        <v>8229</v>
      </c>
      <c r="P3778" t="s">
        <v>208</v>
      </c>
      <c r="Q3778" t="s">
        <v>209</v>
      </c>
    </row>
    <row r="3779" spans="1:17" x14ac:dyDescent="0.3">
      <c r="A3779" t="s">
        <v>8230</v>
      </c>
      <c r="C3779" t="s">
        <v>8231</v>
      </c>
      <c r="D3779" t="s">
        <v>8231</v>
      </c>
      <c r="E3779" s="5">
        <v>46285</v>
      </c>
      <c r="F3779" t="s">
        <v>204</v>
      </c>
      <c r="G3779" t="s">
        <v>213</v>
      </c>
      <c r="H3779">
        <v>2499</v>
      </c>
      <c r="I3779">
        <v>39.979999999999997</v>
      </c>
      <c r="J3779">
        <v>7.2</v>
      </c>
      <c r="K3779">
        <v>2451.8200000000002</v>
      </c>
      <c r="L3779" s="5">
        <v>46287</v>
      </c>
      <c r="M3779" t="s">
        <v>7878</v>
      </c>
      <c r="N3779" t="s">
        <v>207</v>
      </c>
      <c r="O3779" t="s">
        <v>8231</v>
      </c>
      <c r="P3779" t="s">
        <v>208</v>
      </c>
      <c r="Q3779" t="s">
        <v>209</v>
      </c>
    </row>
    <row r="3780" spans="1:17" x14ac:dyDescent="0.3">
      <c r="A3780" t="s">
        <v>8232</v>
      </c>
      <c r="C3780" t="s">
        <v>8233</v>
      </c>
      <c r="D3780" t="s">
        <v>8233</v>
      </c>
      <c r="E3780" s="5">
        <v>46285</v>
      </c>
      <c r="F3780" t="s">
        <v>204</v>
      </c>
      <c r="G3780" t="s">
        <v>213</v>
      </c>
      <c r="H3780">
        <v>4798</v>
      </c>
      <c r="I3780">
        <v>76.77</v>
      </c>
      <c r="J3780">
        <v>13.82</v>
      </c>
      <c r="K3780">
        <v>4707.41</v>
      </c>
      <c r="L3780" s="5">
        <v>46287</v>
      </c>
      <c r="M3780" t="s">
        <v>7878</v>
      </c>
      <c r="N3780" t="s">
        <v>207</v>
      </c>
      <c r="O3780" t="s">
        <v>8233</v>
      </c>
      <c r="P3780" t="s">
        <v>208</v>
      </c>
      <c r="Q3780" t="s">
        <v>209</v>
      </c>
    </row>
    <row r="3781" spans="1:17" x14ac:dyDescent="0.3">
      <c r="A3781" t="s">
        <v>8234</v>
      </c>
      <c r="C3781" t="s">
        <v>8235</v>
      </c>
      <c r="D3781" t="s">
        <v>8235</v>
      </c>
      <c r="E3781" s="5">
        <v>46285</v>
      </c>
      <c r="F3781" t="s">
        <v>204</v>
      </c>
      <c r="G3781" t="s">
        <v>220</v>
      </c>
      <c r="H3781">
        <v>299</v>
      </c>
      <c r="I3781">
        <v>0</v>
      </c>
      <c r="J3781">
        <v>0</v>
      </c>
      <c r="K3781">
        <v>299</v>
      </c>
      <c r="L3781" s="5">
        <v>46287</v>
      </c>
      <c r="M3781" t="s">
        <v>7878</v>
      </c>
      <c r="N3781" t="s">
        <v>207</v>
      </c>
      <c r="O3781" t="s">
        <v>8235</v>
      </c>
      <c r="P3781" t="s">
        <v>208</v>
      </c>
      <c r="Q3781" t="s">
        <v>209</v>
      </c>
    </row>
    <row r="3782" spans="1:17" x14ac:dyDescent="0.3">
      <c r="A3782" t="s">
        <v>8236</v>
      </c>
      <c r="C3782" t="s">
        <v>8237</v>
      </c>
      <c r="D3782" t="s">
        <v>8238</v>
      </c>
      <c r="E3782" s="5">
        <v>46285</v>
      </c>
      <c r="F3782" t="s">
        <v>204</v>
      </c>
      <c r="G3782" t="s">
        <v>220</v>
      </c>
      <c r="H3782">
        <v>1648</v>
      </c>
      <c r="I3782">
        <v>4.9400000000000004</v>
      </c>
      <c r="J3782">
        <v>0.89</v>
      </c>
      <c r="K3782">
        <v>1642.17</v>
      </c>
      <c r="L3782" s="5">
        <v>46287</v>
      </c>
      <c r="M3782" t="s">
        <v>7878</v>
      </c>
      <c r="N3782" t="s">
        <v>207</v>
      </c>
      <c r="O3782" t="s">
        <v>8238</v>
      </c>
      <c r="P3782" t="s">
        <v>208</v>
      </c>
      <c r="Q3782" t="s">
        <v>209</v>
      </c>
    </row>
    <row r="3783" spans="1:17" x14ac:dyDescent="0.3">
      <c r="A3783" t="s">
        <v>8239</v>
      </c>
      <c r="C3783" t="s">
        <v>8240</v>
      </c>
      <c r="D3783" t="s">
        <v>8240</v>
      </c>
      <c r="E3783" s="5">
        <v>46285</v>
      </c>
      <c r="F3783" t="s">
        <v>204</v>
      </c>
      <c r="G3783" t="s">
        <v>213</v>
      </c>
      <c r="H3783">
        <v>4498</v>
      </c>
      <c r="I3783">
        <v>71.97</v>
      </c>
      <c r="J3783">
        <v>12.95</v>
      </c>
      <c r="K3783">
        <v>4413.08</v>
      </c>
      <c r="L3783" s="5">
        <v>46287</v>
      </c>
      <c r="M3783" t="s">
        <v>7878</v>
      </c>
      <c r="N3783" t="s">
        <v>207</v>
      </c>
      <c r="O3783" t="s">
        <v>8240</v>
      </c>
      <c r="P3783" t="s">
        <v>208</v>
      </c>
      <c r="Q3783" t="s">
        <v>209</v>
      </c>
    </row>
    <row r="3784" spans="1:17" x14ac:dyDescent="0.3">
      <c r="A3784" t="s">
        <v>8241</v>
      </c>
      <c r="C3784" t="s">
        <v>8242</v>
      </c>
      <c r="D3784" t="s">
        <v>8243</v>
      </c>
      <c r="E3784" s="5">
        <v>46285</v>
      </c>
      <c r="F3784" t="s">
        <v>204</v>
      </c>
      <c r="G3784" t="s">
        <v>220</v>
      </c>
      <c r="H3784">
        <v>1998</v>
      </c>
      <c r="I3784">
        <v>0</v>
      </c>
      <c r="J3784">
        <v>0</v>
      </c>
      <c r="K3784">
        <v>1998</v>
      </c>
      <c r="L3784" s="5">
        <v>46287</v>
      </c>
      <c r="M3784" t="s">
        <v>7878</v>
      </c>
      <c r="N3784" t="s">
        <v>207</v>
      </c>
      <c r="O3784" t="s">
        <v>8243</v>
      </c>
      <c r="P3784" t="s">
        <v>208</v>
      </c>
      <c r="Q3784" t="s">
        <v>209</v>
      </c>
    </row>
    <row r="3785" spans="1:17" x14ac:dyDescent="0.3">
      <c r="A3785" t="s">
        <v>8244</v>
      </c>
      <c r="C3785" t="s">
        <v>8245</v>
      </c>
      <c r="D3785" t="s">
        <v>8246</v>
      </c>
      <c r="E3785" s="5">
        <v>46285</v>
      </c>
      <c r="F3785" t="s">
        <v>204</v>
      </c>
      <c r="G3785" t="s">
        <v>213</v>
      </c>
      <c r="H3785">
        <v>349</v>
      </c>
      <c r="I3785">
        <v>6.28</v>
      </c>
      <c r="J3785">
        <v>1.1299999999999999</v>
      </c>
      <c r="K3785">
        <v>341.59</v>
      </c>
      <c r="L3785" s="5">
        <v>46287</v>
      </c>
      <c r="M3785" t="s">
        <v>7878</v>
      </c>
      <c r="N3785" t="s">
        <v>207</v>
      </c>
      <c r="O3785" t="s">
        <v>8246</v>
      </c>
      <c r="P3785" t="s">
        <v>208</v>
      </c>
      <c r="Q3785" t="s">
        <v>209</v>
      </c>
    </row>
    <row r="3786" spans="1:17" x14ac:dyDescent="0.3">
      <c r="A3786" t="s">
        <v>8247</v>
      </c>
      <c r="C3786" t="s">
        <v>8248</v>
      </c>
      <c r="D3786" t="s">
        <v>8248</v>
      </c>
      <c r="E3786" s="5">
        <v>46285</v>
      </c>
      <c r="F3786" t="s">
        <v>204</v>
      </c>
      <c r="G3786" t="s">
        <v>213</v>
      </c>
      <c r="H3786">
        <v>4298</v>
      </c>
      <c r="I3786">
        <v>68.77</v>
      </c>
      <c r="J3786">
        <v>12.38</v>
      </c>
      <c r="K3786">
        <v>4216.8500000000004</v>
      </c>
      <c r="L3786" s="5">
        <v>46287</v>
      </c>
      <c r="M3786" t="s">
        <v>7878</v>
      </c>
      <c r="N3786" t="s">
        <v>207</v>
      </c>
      <c r="O3786" t="s">
        <v>8248</v>
      </c>
      <c r="P3786" t="s">
        <v>208</v>
      </c>
      <c r="Q3786" t="s">
        <v>209</v>
      </c>
    </row>
    <row r="3787" spans="1:17" x14ac:dyDescent="0.3">
      <c r="A3787" t="s">
        <v>8249</v>
      </c>
      <c r="C3787" t="s">
        <v>8250</v>
      </c>
      <c r="D3787" t="s">
        <v>8251</v>
      </c>
      <c r="E3787" s="5">
        <v>46285</v>
      </c>
      <c r="F3787" t="s">
        <v>204</v>
      </c>
      <c r="G3787" t="s">
        <v>255</v>
      </c>
      <c r="H3787">
        <v>7847</v>
      </c>
      <c r="I3787">
        <v>94.16</v>
      </c>
      <c r="J3787">
        <v>16.95</v>
      </c>
      <c r="K3787">
        <v>7735.89</v>
      </c>
      <c r="L3787" s="5">
        <v>46287</v>
      </c>
      <c r="M3787" t="s">
        <v>7878</v>
      </c>
      <c r="N3787" t="s">
        <v>207</v>
      </c>
      <c r="O3787" t="s">
        <v>8251</v>
      </c>
      <c r="P3787" t="s">
        <v>208</v>
      </c>
      <c r="Q3787" t="s">
        <v>209</v>
      </c>
    </row>
    <row r="3788" spans="1:17" x14ac:dyDescent="0.3">
      <c r="A3788" t="s">
        <v>8252</v>
      </c>
      <c r="C3788" t="s">
        <v>8253</v>
      </c>
      <c r="D3788" t="s">
        <v>8253</v>
      </c>
      <c r="E3788" s="5">
        <v>46285</v>
      </c>
      <c r="F3788" t="s">
        <v>204</v>
      </c>
      <c r="G3788" t="s">
        <v>220</v>
      </c>
      <c r="H3788">
        <v>3499</v>
      </c>
      <c r="I3788">
        <v>10.5</v>
      </c>
      <c r="J3788">
        <v>1.89</v>
      </c>
      <c r="K3788">
        <v>3486.61</v>
      </c>
      <c r="L3788" s="5">
        <v>46287</v>
      </c>
      <c r="M3788" t="s">
        <v>7878</v>
      </c>
      <c r="N3788" t="s">
        <v>207</v>
      </c>
      <c r="O3788" t="s">
        <v>8253</v>
      </c>
      <c r="P3788" t="s">
        <v>208</v>
      </c>
      <c r="Q3788" t="s">
        <v>209</v>
      </c>
    </row>
    <row r="3789" spans="1:17" x14ac:dyDescent="0.3">
      <c r="A3789" t="s">
        <v>8254</v>
      </c>
      <c r="C3789" t="s">
        <v>8255</v>
      </c>
      <c r="D3789" t="s">
        <v>8255</v>
      </c>
      <c r="E3789" s="5">
        <v>46285</v>
      </c>
      <c r="F3789" t="s">
        <v>204</v>
      </c>
      <c r="G3789" t="s">
        <v>220</v>
      </c>
      <c r="H3789">
        <v>499</v>
      </c>
      <c r="I3789">
        <v>0</v>
      </c>
      <c r="J3789">
        <v>0</v>
      </c>
      <c r="K3789">
        <v>499</v>
      </c>
      <c r="L3789" s="5">
        <v>46287</v>
      </c>
      <c r="M3789" t="s">
        <v>7878</v>
      </c>
      <c r="N3789" t="s">
        <v>207</v>
      </c>
      <c r="O3789" t="s">
        <v>8255</v>
      </c>
      <c r="P3789" t="s">
        <v>208</v>
      </c>
      <c r="Q3789" t="s">
        <v>209</v>
      </c>
    </row>
    <row r="3790" spans="1:17" x14ac:dyDescent="0.3">
      <c r="A3790" t="s">
        <v>8256</v>
      </c>
      <c r="C3790" t="s">
        <v>8257</v>
      </c>
      <c r="D3790" t="s">
        <v>8258</v>
      </c>
      <c r="E3790" s="5">
        <v>46285</v>
      </c>
      <c r="F3790" t="s">
        <v>204</v>
      </c>
      <c r="G3790" t="s">
        <v>213</v>
      </c>
      <c r="H3790">
        <v>1299</v>
      </c>
      <c r="I3790">
        <v>23.38</v>
      </c>
      <c r="J3790">
        <v>4.21</v>
      </c>
      <c r="K3790">
        <v>1271.4100000000001</v>
      </c>
      <c r="L3790" s="5">
        <v>46287</v>
      </c>
      <c r="M3790" t="s">
        <v>7878</v>
      </c>
      <c r="N3790" t="s">
        <v>207</v>
      </c>
      <c r="O3790" t="s">
        <v>8258</v>
      </c>
      <c r="P3790" t="s">
        <v>208</v>
      </c>
      <c r="Q3790" t="s">
        <v>209</v>
      </c>
    </row>
    <row r="3791" spans="1:17" x14ac:dyDescent="0.3">
      <c r="A3791" t="s">
        <v>8259</v>
      </c>
      <c r="C3791" t="s">
        <v>8260</v>
      </c>
      <c r="D3791" t="s">
        <v>8260</v>
      </c>
      <c r="E3791" s="5">
        <v>46285</v>
      </c>
      <c r="F3791" t="s">
        <v>204</v>
      </c>
      <c r="G3791" t="s">
        <v>220</v>
      </c>
      <c r="H3791">
        <v>5348</v>
      </c>
      <c r="I3791">
        <v>16.04</v>
      </c>
      <c r="J3791">
        <v>2.89</v>
      </c>
      <c r="K3791">
        <v>5329.07</v>
      </c>
      <c r="L3791" s="5">
        <v>46287</v>
      </c>
      <c r="M3791" t="s">
        <v>7878</v>
      </c>
      <c r="N3791" t="s">
        <v>207</v>
      </c>
      <c r="O3791" t="s">
        <v>8260</v>
      </c>
      <c r="P3791" t="s">
        <v>208</v>
      </c>
      <c r="Q3791" t="s">
        <v>209</v>
      </c>
    </row>
    <row r="3792" spans="1:17" x14ac:dyDescent="0.3">
      <c r="A3792" t="s">
        <v>8261</v>
      </c>
      <c r="C3792" t="s">
        <v>8262</v>
      </c>
      <c r="D3792" t="s">
        <v>8263</v>
      </c>
      <c r="E3792" s="5">
        <v>46285</v>
      </c>
      <c r="F3792" t="s">
        <v>204</v>
      </c>
      <c r="G3792" t="s">
        <v>205</v>
      </c>
      <c r="H3792">
        <v>299</v>
      </c>
      <c r="I3792">
        <v>5.68</v>
      </c>
      <c r="J3792">
        <v>1.02</v>
      </c>
      <c r="K3792">
        <v>292.3</v>
      </c>
      <c r="L3792" s="5">
        <v>46287</v>
      </c>
      <c r="M3792" t="s">
        <v>7878</v>
      </c>
      <c r="N3792" t="s">
        <v>207</v>
      </c>
      <c r="O3792" t="s">
        <v>8263</v>
      </c>
      <c r="P3792" t="s">
        <v>208</v>
      </c>
      <c r="Q3792" t="s">
        <v>209</v>
      </c>
    </row>
    <row r="3793" spans="1:17" x14ac:dyDescent="0.3">
      <c r="A3793" t="s">
        <v>8264</v>
      </c>
      <c r="C3793" t="s">
        <v>8265</v>
      </c>
      <c r="D3793" t="s">
        <v>8265</v>
      </c>
      <c r="E3793" s="5">
        <v>46285</v>
      </c>
      <c r="F3793" t="s">
        <v>204</v>
      </c>
      <c r="G3793" t="s">
        <v>213</v>
      </c>
      <c r="H3793">
        <v>999</v>
      </c>
      <c r="I3793">
        <v>17.98</v>
      </c>
      <c r="J3793">
        <v>3.24</v>
      </c>
      <c r="K3793">
        <v>977.78</v>
      </c>
      <c r="L3793" s="5">
        <v>46287</v>
      </c>
      <c r="M3793" t="s">
        <v>7878</v>
      </c>
      <c r="N3793" t="s">
        <v>207</v>
      </c>
      <c r="O3793" t="s">
        <v>8265</v>
      </c>
      <c r="P3793" t="s">
        <v>208</v>
      </c>
      <c r="Q3793" t="s">
        <v>209</v>
      </c>
    </row>
    <row r="3794" spans="1:17" x14ac:dyDescent="0.3">
      <c r="A3794" t="s">
        <v>8266</v>
      </c>
      <c r="C3794" t="s">
        <v>8267</v>
      </c>
      <c r="D3794" t="s">
        <v>8267</v>
      </c>
      <c r="E3794" s="5">
        <v>46285</v>
      </c>
      <c r="F3794" t="s">
        <v>204</v>
      </c>
      <c r="G3794" t="s">
        <v>220</v>
      </c>
      <c r="H3794">
        <v>3348</v>
      </c>
      <c r="I3794">
        <v>10.039999999999999</v>
      </c>
      <c r="J3794">
        <v>1.81</v>
      </c>
      <c r="K3794">
        <v>3336.15</v>
      </c>
      <c r="L3794" s="5">
        <v>46287</v>
      </c>
      <c r="M3794" t="s">
        <v>7878</v>
      </c>
      <c r="N3794" t="s">
        <v>207</v>
      </c>
      <c r="O3794" t="s">
        <v>8267</v>
      </c>
      <c r="P3794" t="s">
        <v>208</v>
      </c>
      <c r="Q3794" t="s">
        <v>209</v>
      </c>
    </row>
    <row r="3795" spans="1:17" x14ac:dyDescent="0.3">
      <c r="A3795" t="s">
        <v>8268</v>
      </c>
      <c r="C3795" t="s">
        <v>8269</v>
      </c>
      <c r="D3795" t="s">
        <v>8270</v>
      </c>
      <c r="E3795" s="5">
        <v>46285</v>
      </c>
      <c r="F3795" t="s">
        <v>204</v>
      </c>
      <c r="G3795" t="s">
        <v>255</v>
      </c>
      <c r="H3795">
        <v>2499</v>
      </c>
      <c r="I3795">
        <v>29.99</v>
      </c>
      <c r="J3795">
        <v>5.4</v>
      </c>
      <c r="K3795">
        <v>2463.61</v>
      </c>
      <c r="L3795" s="5">
        <v>46287</v>
      </c>
      <c r="M3795" t="s">
        <v>7878</v>
      </c>
      <c r="N3795" t="s">
        <v>207</v>
      </c>
      <c r="O3795" t="s">
        <v>8270</v>
      </c>
      <c r="P3795" t="s">
        <v>208</v>
      </c>
      <c r="Q3795" t="s">
        <v>209</v>
      </c>
    </row>
    <row r="3796" spans="1:17" x14ac:dyDescent="0.3">
      <c r="A3796" t="s">
        <v>8271</v>
      </c>
      <c r="C3796" t="s">
        <v>8272</v>
      </c>
      <c r="D3796" t="s">
        <v>8272</v>
      </c>
      <c r="E3796" s="5">
        <v>46285</v>
      </c>
      <c r="F3796" t="s">
        <v>204</v>
      </c>
      <c r="G3796" t="s">
        <v>220</v>
      </c>
      <c r="H3796">
        <v>2999</v>
      </c>
      <c r="I3796">
        <v>9</v>
      </c>
      <c r="J3796">
        <v>1.62</v>
      </c>
      <c r="K3796">
        <v>2988.38</v>
      </c>
      <c r="L3796" s="5">
        <v>46287</v>
      </c>
      <c r="M3796" t="s">
        <v>7878</v>
      </c>
      <c r="N3796" t="s">
        <v>207</v>
      </c>
      <c r="O3796" t="s">
        <v>8272</v>
      </c>
      <c r="P3796" t="s">
        <v>208</v>
      </c>
      <c r="Q3796" t="s">
        <v>209</v>
      </c>
    </row>
    <row r="3797" spans="1:17" x14ac:dyDescent="0.3">
      <c r="A3797" t="s">
        <v>8273</v>
      </c>
      <c r="C3797" t="s">
        <v>8274</v>
      </c>
      <c r="D3797" t="s">
        <v>8274</v>
      </c>
      <c r="E3797" s="5">
        <v>46285</v>
      </c>
      <c r="F3797" t="s">
        <v>204</v>
      </c>
      <c r="G3797" t="s">
        <v>213</v>
      </c>
      <c r="H3797">
        <v>2298</v>
      </c>
      <c r="I3797">
        <v>36.770000000000003</v>
      </c>
      <c r="J3797">
        <v>6.62</v>
      </c>
      <c r="K3797">
        <v>2254.61</v>
      </c>
      <c r="L3797" s="5">
        <v>46287</v>
      </c>
      <c r="M3797" t="s">
        <v>7878</v>
      </c>
      <c r="N3797" t="s">
        <v>207</v>
      </c>
      <c r="O3797" t="s">
        <v>8274</v>
      </c>
      <c r="P3797" t="s">
        <v>208</v>
      </c>
      <c r="Q3797" t="s">
        <v>209</v>
      </c>
    </row>
    <row r="3798" spans="1:17" x14ac:dyDescent="0.3">
      <c r="A3798" t="s">
        <v>8275</v>
      </c>
      <c r="C3798" t="s">
        <v>8276</v>
      </c>
      <c r="D3798" t="s">
        <v>8276</v>
      </c>
      <c r="E3798" s="5">
        <v>46285</v>
      </c>
      <c r="F3798" t="s">
        <v>204</v>
      </c>
      <c r="G3798" t="s">
        <v>255</v>
      </c>
      <c r="H3798">
        <v>3798</v>
      </c>
      <c r="I3798">
        <v>45.58</v>
      </c>
      <c r="J3798">
        <v>8.1999999999999993</v>
      </c>
      <c r="K3798">
        <v>3744.22</v>
      </c>
      <c r="L3798" s="5">
        <v>46287</v>
      </c>
      <c r="M3798" t="s">
        <v>7878</v>
      </c>
      <c r="N3798" t="s">
        <v>207</v>
      </c>
      <c r="O3798" t="s">
        <v>8276</v>
      </c>
      <c r="P3798" t="s">
        <v>208</v>
      </c>
      <c r="Q3798" t="s">
        <v>209</v>
      </c>
    </row>
    <row r="3799" spans="1:17" x14ac:dyDescent="0.3">
      <c r="A3799" t="s">
        <v>8277</v>
      </c>
      <c r="C3799" t="s">
        <v>8278</v>
      </c>
      <c r="D3799" t="s">
        <v>8278</v>
      </c>
      <c r="E3799" s="5">
        <v>46285</v>
      </c>
      <c r="F3799" t="s">
        <v>204</v>
      </c>
      <c r="G3799" t="s">
        <v>205</v>
      </c>
      <c r="H3799">
        <v>499</v>
      </c>
      <c r="I3799">
        <v>9.48</v>
      </c>
      <c r="J3799">
        <v>1.71</v>
      </c>
      <c r="K3799">
        <v>487.81</v>
      </c>
      <c r="L3799" s="5">
        <v>46287</v>
      </c>
      <c r="M3799" t="s">
        <v>7878</v>
      </c>
      <c r="N3799" t="s">
        <v>207</v>
      </c>
      <c r="O3799" t="s">
        <v>8278</v>
      </c>
      <c r="P3799" t="s">
        <v>208</v>
      </c>
      <c r="Q3799" t="s">
        <v>209</v>
      </c>
    </row>
    <row r="3800" spans="1:17" x14ac:dyDescent="0.3">
      <c r="A3800" t="s">
        <v>8279</v>
      </c>
      <c r="C3800" t="s">
        <v>8280</v>
      </c>
      <c r="D3800" t="s">
        <v>8280</v>
      </c>
      <c r="E3800" s="5">
        <v>46285</v>
      </c>
      <c r="F3800" t="s">
        <v>204</v>
      </c>
      <c r="G3800" t="s">
        <v>213</v>
      </c>
      <c r="H3800">
        <v>2999</v>
      </c>
      <c r="I3800">
        <v>47.98</v>
      </c>
      <c r="J3800">
        <v>8.64</v>
      </c>
      <c r="K3800">
        <v>2942.38</v>
      </c>
      <c r="L3800" s="5">
        <v>46287</v>
      </c>
      <c r="M3800" t="s">
        <v>7878</v>
      </c>
      <c r="N3800" t="s">
        <v>207</v>
      </c>
      <c r="O3800" t="s">
        <v>8280</v>
      </c>
      <c r="P3800" t="s">
        <v>208</v>
      </c>
      <c r="Q3800" t="s">
        <v>209</v>
      </c>
    </row>
    <row r="3801" spans="1:17" x14ac:dyDescent="0.3">
      <c r="A3801" t="s">
        <v>8281</v>
      </c>
      <c r="C3801" t="s">
        <v>8282</v>
      </c>
      <c r="D3801" t="s">
        <v>8282</v>
      </c>
      <c r="E3801" s="5">
        <v>46285</v>
      </c>
      <c r="F3801" t="s">
        <v>204</v>
      </c>
      <c r="G3801" t="s">
        <v>220</v>
      </c>
      <c r="H3801">
        <v>2999</v>
      </c>
      <c r="I3801">
        <v>9</v>
      </c>
      <c r="J3801">
        <v>1.62</v>
      </c>
      <c r="K3801">
        <v>2988.38</v>
      </c>
      <c r="L3801" s="5">
        <v>46287</v>
      </c>
      <c r="M3801" t="s">
        <v>7878</v>
      </c>
      <c r="N3801" t="s">
        <v>207</v>
      </c>
      <c r="O3801" t="s">
        <v>8282</v>
      </c>
      <c r="P3801" t="s">
        <v>208</v>
      </c>
      <c r="Q3801" t="s">
        <v>209</v>
      </c>
    </row>
    <row r="3802" spans="1:17" x14ac:dyDescent="0.3">
      <c r="A3802" t="s">
        <v>8283</v>
      </c>
      <c r="C3802" t="s">
        <v>8284</v>
      </c>
      <c r="D3802" t="s">
        <v>8284</v>
      </c>
      <c r="E3802" s="5">
        <v>46285</v>
      </c>
      <c r="F3802" t="s">
        <v>204</v>
      </c>
      <c r="G3802" t="s">
        <v>220</v>
      </c>
      <c r="H3802">
        <v>798</v>
      </c>
      <c r="I3802">
        <v>0</v>
      </c>
      <c r="J3802">
        <v>0</v>
      </c>
      <c r="K3802">
        <v>798</v>
      </c>
      <c r="L3802" s="5">
        <v>46287</v>
      </c>
      <c r="M3802" t="s">
        <v>7878</v>
      </c>
      <c r="N3802" t="s">
        <v>207</v>
      </c>
      <c r="O3802" t="s">
        <v>8284</v>
      </c>
      <c r="P3802" t="s">
        <v>208</v>
      </c>
      <c r="Q3802" t="s">
        <v>209</v>
      </c>
    </row>
    <row r="3803" spans="1:17" x14ac:dyDescent="0.3">
      <c r="A3803" t="s">
        <v>8285</v>
      </c>
      <c r="C3803" t="s">
        <v>8286</v>
      </c>
      <c r="D3803" t="s">
        <v>8286</v>
      </c>
      <c r="E3803" s="5">
        <v>46285</v>
      </c>
      <c r="F3803" t="s">
        <v>204</v>
      </c>
      <c r="G3803" t="s">
        <v>220</v>
      </c>
      <c r="H3803">
        <v>2499</v>
      </c>
      <c r="I3803">
        <v>7.5</v>
      </c>
      <c r="J3803">
        <v>1.35</v>
      </c>
      <c r="K3803">
        <v>2490.15</v>
      </c>
      <c r="L3803" s="5">
        <v>46287</v>
      </c>
      <c r="M3803" t="s">
        <v>7878</v>
      </c>
      <c r="N3803" t="s">
        <v>207</v>
      </c>
      <c r="O3803" t="s">
        <v>8286</v>
      </c>
      <c r="P3803" t="s">
        <v>208</v>
      </c>
      <c r="Q3803" t="s">
        <v>209</v>
      </c>
    </row>
    <row r="3804" spans="1:17" x14ac:dyDescent="0.3">
      <c r="A3804" t="s">
        <v>8287</v>
      </c>
      <c r="C3804" t="s">
        <v>8288</v>
      </c>
      <c r="D3804" t="s">
        <v>8288</v>
      </c>
      <c r="E3804" s="5">
        <v>46285</v>
      </c>
      <c r="F3804" t="s">
        <v>204</v>
      </c>
      <c r="G3804" t="s">
        <v>213</v>
      </c>
      <c r="H3804">
        <v>349</v>
      </c>
      <c r="I3804">
        <v>6.28</v>
      </c>
      <c r="J3804">
        <v>1.1299999999999999</v>
      </c>
      <c r="K3804">
        <v>341.59</v>
      </c>
      <c r="L3804" s="5">
        <v>46287</v>
      </c>
      <c r="M3804" t="s">
        <v>7878</v>
      </c>
      <c r="N3804" t="s">
        <v>207</v>
      </c>
      <c r="O3804" t="s">
        <v>8288</v>
      </c>
      <c r="P3804" t="s">
        <v>208</v>
      </c>
      <c r="Q3804" t="s">
        <v>209</v>
      </c>
    </row>
    <row r="3805" spans="1:17" x14ac:dyDescent="0.3">
      <c r="A3805" t="s">
        <v>8289</v>
      </c>
      <c r="C3805" t="s">
        <v>8290</v>
      </c>
      <c r="D3805" t="s">
        <v>8290</v>
      </c>
      <c r="E3805" s="5">
        <v>46285</v>
      </c>
      <c r="F3805" t="s">
        <v>204</v>
      </c>
      <c r="G3805" t="s">
        <v>213</v>
      </c>
      <c r="H3805">
        <v>5798</v>
      </c>
      <c r="I3805">
        <v>92.77</v>
      </c>
      <c r="J3805">
        <v>16.7</v>
      </c>
      <c r="K3805">
        <v>5688.53</v>
      </c>
      <c r="L3805" s="5">
        <v>46287</v>
      </c>
      <c r="M3805" t="s">
        <v>7878</v>
      </c>
      <c r="N3805" t="s">
        <v>207</v>
      </c>
      <c r="O3805" t="s">
        <v>8290</v>
      </c>
      <c r="P3805" t="s">
        <v>208</v>
      </c>
      <c r="Q3805" t="s">
        <v>209</v>
      </c>
    </row>
    <row r="3806" spans="1:17" x14ac:dyDescent="0.3">
      <c r="A3806" t="s">
        <v>8291</v>
      </c>
      <c r="B3806" t="s">
        <v>5653</v>
      </c>
      <c r="E3806" s="5">
        <v>46285</v>
      </c>
      <c r="F3806" t="s">
        <v>921</v>
      </c>
      <c r="G3806" t="s">
        <v>213</v>
      </c>
      <c r="H3806">
        <v>3797</v>
      </c>
      <c r="I3806">
        <v>0</v>
      </c>
      <c r="J3806">
        <v>0</v>
      </c>
      <c r="K3806">
        <v>-3797</v>
      </c>
      <c r="L3806" s="5">
        <v>46287</v>
      </c>
      <c r="M3806" t="s">
        <v>7878</v>
      </c>
      <c r="N3806" t="s">
        <v>207</v>
      </c>
      <c r="O3806" t="s">
        <v>5654</v>
      </c>
      <c r="P3806" t="s">
        <v>208</v>
      </c>
    </row>
    <row r="3807" spans="1:17" x14ac:dyDescent="0.3">
      <c r="A3807" t="s">
        <v>8292</v>
      </c>
      <c r="B3807" t="s">
        <v>6926</v>
      </c>
      <c r="E3807" s="5">
        <v>46285</v>
      </c>
      <c r="F3807" t="s">
        <v>921</v>
      </c>
      <c r="G3807" t="s">
        <v>220</v>
      </c>
      <c r="H3807">
        <v>648</v>
      </c>
      <c r="I3807">
        <v>0</v>
      </c>
      <c r="J3807">
        <v>0</v>
      </c>
      <c r="K3807">
        <v>-648</v>
      </c>
      <c r="L3807" s="5">
        <v>46287</v>
      </c>
      <c r="M3807" t="s">
        <v>7878</v>
      </c>
      <c r="N3807" t="s">
        <v>207</v>
      </c>
      <c r="O3807" t="s">
        <v>6927</v>
      </c>
      <c r="P3807" t="s">
        <v>208</v>
      </c>
    </row>
    <row r="3808" spans="1:17" x14ac:dyDescent="0.3">
      <c r="A3808" t="s">
        <v>8293</v>
      </c>
      <c r="B3808" t="s">
        <v>7619</v>
      </c>
      <c r="E3808" s="5">
        <v>46285</v>
      </c>
      <c r="F3808" t="s">
        <v>921</v>
      </c>
      <c r="G3808" t="s">
        <v>213</v>
      </c>
      <c r="H3808">
        <v>2498</v>
      </c>
      <c r="I3808">
        <v>0</v>
      </c>
      <c r="J3808">
        <v>0</v>
      </c>
      <c r="K3808">
        <v>-2498</v>
      </c>
      <c r="L3808" s="5">
        <v>46287</v>
      </c>
      <c r="M3808" t="s">
        <v>7878</v>
      </c>
      <c r="N3808" t="s">
        <v>207</v>
      </c>
      <c r="O3808" t="s">
        <v>7620</v>
      </c>
      <c r="P3808" t="s">
        <v>208</v>
      </c>
    </row>
    <row r="3809" spans="1:17" x14ac:dyDescent="0.3">
      <c r="A3809" t="s">
        <v>8294</v>
      </c>
      <c r="B3809" t="s">
        <v>6399</v>
      </c>
      <c r="E3809" s="5">
        <v>46285</v>
      </c>
      <c r="F3809" t="s">
        <v>921</v>
      </c>
      <c r="G3809" t="s">
        <v>213</v>
      </c>
      <c r="H3809">
        <v>999</v>
      </c>
      <c r="I3809">
        <v>0</v>
      </c>
      <c r="J3809">
        <v>0</v>
      </c>
      <c r="K3809">
        <v>-999</v>
      </c>
      <c r="L3809" s="5">
        <v>46287</v>
      </c>
      <c r="M3809" t="s">
        <v>7878</v>
      </c>
      <c r="N3809" t="s">
        <v>207</v>
      </c>
      <c r="O3809" t="s">
        <v>6400</v>
      </c>
      <c r="P3809" t="s">
        <v>208</v>
      </c>
    </row>
    <row r="3810" spans="1:17" x14ac:dyDescent="0.3">
      <c r="A3810" t="s">
        <v>8295</v>
      </c>
      <c r="B3810" t="s">
        <v>7180</v>
      </c>
      <c r="E3810" s="5">
        <v>46285</v>
      </c>
      <c r="F3810" t="s">
        <v>921</v>
      </c>
      <c r="G3810" t="s">
        <v>255</v>
      </c>
      <c r="H3810">
        <v>2999</v>
      </c>
      <c r="I3810">
        <v>0</v>
      </c>
      <c r="J3810">
        <v>0</v>
      </c>
      <c r="K3810">
        <v>-2999</v>
      </c>
      <c r="L3810" s="5">
        <v>46287</v>
      </c>
      <c r="M3810" t="s">
        <v>7878</v>
      </c>
      <c r="N3810" t="s">
        <v>207</v>
      </c>
      <c r="O3810" t="s">
        <v>7181</v>
      </c>
      <c r="P3810" t="s">
        <v>208</v>
      </c>
    </row>
    <row r="3811" spans="1:17" x14ac:dyDescent="0.3">
      <c r="A3811" t="s">
        <v>8296</v>
      </c>
      <c r="B3811" t="s">
        <v>6615</v>
      </c>
      <c r="E3811" s="5">
        <v>46285</v>
      </c>
      <c r="F3811" t="s">
        <v>921</v>
      </c>
      <c r="G3811" t="s">
        <v>213</v>
      </c>
      <c r="H3811">
        <v>4897</v>
      </c>
      <c r="I3811">
        <v>0</v>
      </c>
      <c r="J3811">
        <v>0</v>
      </c>
      <c r="K3811">
        <v>-4897</v>
      </c>
      <c r="L3811" s="5">
        <v>46287</v>
      </c>
      <c r="M3811" t="s">
        <v>7878</v>
      </c>
      <c r="N3811" t="s">
        <v>207</v>
      </c>
      <c r="O3811" t="s">
        <v>6616</v>
      </c>
      <c r="P3811" t="s">
        <v>208</v>
      </c>
    </row>
    <row r="3812" spans="1:17" x14ac:dyDescent="0.3">
      <c r="A3812" t="s">
        <v>8297</v>
      </c>
      <c r="B3812" t="s">
        <v>5746</v>
      </c>
      <c r="E3812" s="5">
        <v>46285</v>
      </c>
      <c r="F3812" t="s">
        <v>921</v>
      </c>
      <c r="G3812" t="s">
        <v>220</v>
      </c>
      <c r="H3812">
        <v>1499</v>
      </c>
      <c r="I3812">
        <v>0</v>
      </c>
      <c r="J3812">
        <v>0</v>
      </c>
      <c r="K3812">
        <v>-1499</v>
      </c>
      <c r="L3812" s="5">
        <v>46287</v>
      </c>
      <c r="M3812" t="s">
        <v>7878</v>
      </c>
      <c r="N3812" t="s">
        <v>207</v>
      </c>
      <c r="O3812" t="s">
        <v>5747</v>
      </c>
      <c r="P3812" t="s">
        <v>208</v>
      </c>
    </row>
    <row r="3813" spans="1:17" x14ac:dyDescent="0.3">
      <c r="A3813" t="s">
        <v>8298</v>
      </c>
      <c r="B3813" t="s">
        <v>7382</v>
      </c>
      <c r="E3813" s="5">
        <v>46285</v>
      </c>
      <c r="F3813" t="s">
        <v>921</v>
      </c>
      <c r="G3813" t="s">
        <v>220</v>
      </c>
      <c r="H3813">
        <v>7999</v>
      </c>
      <c r="I3813">
        <v>0</v>
      </c>
      <c r="J3813">
        <v>0</v>
      </c>
      <c r="K3813">
        <v>-7999</v>
      </c>
      <c r="L3813" s="5">
        <v>46287</v>
      </c>
      <c r="M3813" t="s">
        <v>7878</v>
      </c>
      <c r="N3813" t="s">
        <v>207</v>
      </c>
      <c r="O3813" t="s">
        <v>7384</v>
      </c>
      <c r="P3813" t="s">
        <v>208</v>
      </c>
    </row>
    <row r="3814" spans="1:17" x14ac:dyDescent="0.3">
      <c r="A3814" t="s">
        <v>8299</v>
      </c>
      <c r="B3814" t="s">
        <v>5610</v>
      </c>
      <c r="E3814" s="5">
        <v>46285</v>
      </c>
      <c r="F3814" t="s">
        <v>921</v>
      </c>
      <c r="G3814" t="s">
        <v>220</v>
      </c>
      <c r="H3814">
        <v>7999</v>
      </c>
      <c r="I3814">
        <v>0</v>
      </c>
      <c r="J3814">
        <v>0</v>
      </c>
      <c r="K3814">
        <v>-7999</v>
      </c>
      <c r="L3814" s="5">
        <v>46287</v>
      </c>
      <c r="M3814" t="s">
        <v>7878</v>
      </c>
      <c r="N3814" t="s">
        <v>207</v>
      </c>
      <c r="O3814" t="s">
        <v>5611</v>
      </c>
      <c r="P3814" t="s">
        <v>208</v>
      </c>
    </row>
    <row r="3815" spans="1:17" x14ac:dyDescent="0.3">
      <c r="A3815" t="s">
        <v>8300</v>
      </c>
      <c r="C3815" t="s">
        <v>8301</v>
      </c>
      <c r="D3815" t="s">
        <v>8301</v>
      </c>
      <c r="E3815" s="5">
        <v>46286</v>
      </c>
      <c r="F3815" t="s">
        <v>204</v>
      </c>
      <c r="G3815" t="s">
        <v>220</v>
      </c>
      <c r="H3815">
        <v>299</v>
      </c>
      <c r="I3815">
        <v>0</v>
      </c>
      <c r="J3815">
        <v>0</v>
      </c>
      <c r="K3815">
        <v>299</v>
      </c>
      <c r="L3815" s="5">
        <v>46288</v>
      </c>
      <c r="M3815" t="s">
        <v>8302</v>
      </c>
      <c r="N3815" t="s">
        <v>207</v>
      </c>
      <c r="O3815" t="s">
        <v>8301</v>
      </c>
      <c r="P3815" t="s">
        <v>208</v>
      </c>
      <c r="Q3815" t="s">
        <v>209</v>
      </c>
    </row>
    <row r="3816" spans="1:17" x14ac:dyDescent="0.3">
      <c r="A3816" t="s">
        <v>8303</v>
      </c>
      <c r="C3816" t="s">
        <v>8304</v>
      </c>
      <c r="D3816" t="s">
        <v>8304</v>
      </c>
      <c r="E3816" s="5">
        <v>46286</v>
      </c>
      <c r="F3816" t="s">
        <v>204</v>
      </c>
      <c r="G3816" t="s">
        <v>220</v>
      </c>
      <c r="H3816">
        <v>4298</v>
      </c>
      <c r="I3816">
        <v>12.89</v>
      </c>
      <c r="J3816">
        <v>2.3199999999999998</v>
      </c>
      <c r="K3816">
        <v>4282.79</v>
      </c>
      <c r="L3816" s="5">
        <v>46288</v>
      </c>
      <c r="M3816" t="s">
        <v>8302</v>
      </c>
      <c r="N3816" t="s">
        <v>207</v>
      </c>
      <c r="O3816" t="s">
        <v>8304</v>
      </c>
      <c r="P3816" t="s">
        <v>208</v>
      </c>
      <c r="Q3816" t="s">
        <v>209</v>
      </c>
    </row>
    <row r="3817" spans="1:17" x14ac:dyDescent="0.3">
      <c r="A3817" t="s">
        <v>8305</v>
      </c>
      <c r="C3817" t="s">
        <v>8306</v>
      </c>
      <c r="D3817" t="s">
        <v>8306</v>
      </c>
      <c r="E3817" s="5">
        <v>46286</v>
      </c>
      <c r="F3817" t="s">
        <v>204</v>
      </c>
      <c r="G3817" t="s">
        <v>213</v>
      </c>
      <c r="H3817">
        <v>4999</v>
      </c>
      <c r="I3817">
        <v>79.98</v>
      </c>
      <c r="J3817">
        <v>14.4</v>
      </c>
      <c r="K3817">
        <v>4904.62</v>
      </c>
      <c r="L3817" s="5">
        <v>46288</v>
      </c>
      <c r="M3817" t="s">
        <v>8302</v>
      </c>
      <c r="N3817" t="s">
        <v>207</v>
      </c>
      <c r="O3817" t="s">
        <v>8306</v>
      </c>
      <c r="P3817" t="s">
        <v>208</v>
      </c>
      <c r="Q3817" t="s">
        <v>209</v>
      </c>
    </row>
    <row r="3818" spans="1:17" x14ac:dyDescent="0.3">
      <c r="A3818" t="s">
        <v>8307</v>
      </c>
      <c r="C3818" t="s">
        <v>8308</v>
      </c>
      <c r="D3818" t="s">
        <v>8308</v>
      </c>
      <c r="E3818" s="5">
        <v>46286</v>
      </c>
      <c r="F3818" t="s">
        <v>204</v>
      </c>
      <c r="G3818" t="s">
        <v>255</v>
      </c>
      <c r="H3818">
        <v>2598</v>
      </c>
      <c r="I3818">
        <v>31.18</v>
      </c>
      <c r="J3818">
        <v>5.61</v>
      </c>
      <c r="K3818">
        <v>2561.21</v>
      </c>
      <c r="L3818" s="5">
        <v>46288</v>
      </c>
      <c r="M3818" t="s">
        <v>8302</v>
      </c>
      <c r="N3818" t="s">
        <v>207</v>
      </c>
      <c r="O3818" t="s">
        <v>8308</v>
      </c>
      <c r="P3818" t="s">
        <v>208</v>
      </c>
      <c r="Q3818" t="s">
        <v>209</v>
      </c>
    </row>
    <row r="3819" spans="1:17" x14ac:dyDescent="0.3">
      <c r="A3819" t="s">
        <v>8309</v>
      </c>
      <c r="C3819" t="s">
        <v>8310</v>
      </c>
      <c r="D3819" t="s">
        <v>8311</v>
      </c>
      <c r="E3819" s="5">
        <v>46286</v>
      </c>
      <c r="F3819" t="s">
        <v>204</v>
      </c>
      <c r="G3819" t="s">
        <v>205</v>
      </c>
      <c r="H3819">
        <v>1499</v>
      </c>
      <c r="I3819">
        <v>28.48</v>
      </c>
      <c r="J3819">
        <v>5.13</v>
      </c>
      <c r="K3819">
        <v>1465.39</v>
      </c>
      <c r="L3819" s="5">
        <v>46288</v>
      </c>
      <c r="M3819" t="s">
        <v>8302</v>
      </c>
      <c r="N3819" t="s">
        <v>207</v>
      </c>
      <c r="O3819" t="s">
        <v>8311</v>
      </c>
      <c r="P3819" t="s">
        <v>208</v>
      </c>
      <c r="Q3819" t="s">
        <v>209</v>
      </c>
    </row>
    <row r="3820" spans="1:17" x14ac:dyDescent="0.3">
      <c r="A3820" t="s">
        <v>8312</v>
      </c>
      <c r="C3820" t="s">
        <v>8313</v>
      </c>
      <c r="D3820" t="s">
        <v>8314</v>
      </c>
      <c r="E3820" s="5">
        <v>46286</v>
      </c>
      <c r="F3820" t="s">
        <v>204</v>
      </c>
      <c r="G3820" t="s">
        <v>220</v>
      </c>
      <c r="H3820">
        <v>1298</v>
      </c>
      <c r="I3820">
        <v>0</v>
      </c>
      <c r="J3820">
        <v>0</v>
      </c>
      <c r="K3820">
        <v>1298</v>
      </c>
      <c r="L3820" s="5">
        <v>46288</v>
      </c>
      <c r="M3820" t="s">
        <v>8302</v>
      </c>
      <c r="N3820" t="s">
        <v>207</v>
      </c>
      <c r="O3820" t="s">
        <v>8314</v>
      </c>
      <c r="P3820" t="s">
        <v>208</v>
      </c>
      <c r="Q3820" t="s">
        <v>209</v>
      </c>
    </row>
    <row r="3821" spans="1:17" x14ac:dyDescent="0.3">
      <c r="A3821" t="s">
        <v>8315</v>
      </c>
      <c r="C3821" t="s">
        <v>8316</v>
      </c>
      <c r="D3821" t="s">
        <v>8316</v>
      </c>
      <c r="E3821" s="5">
        <v>46286</v>
      </c>
      <c r="F3821" t="s">
        <v>204</v>
      </c>
      <c r="G3821" t="s">
        <v>220</v>
      </c>
      <c r="H3821">
        <v>5598</v>
      </c>
      <c r="I3821">
        <v>16.79</v>
      </c>
      <c r="J3821">
        <v>3.02</v>
      </c>
      <c r="K3821">
        <v>5578.19</v>
      </c>
      <c r="L3821" s="5">
        <v>46288</v>
      </c>
      <c r="M3821" t="s">
        <v>8302</v>
      </c>
      <c r="N3821" t="s">
        <v>207</v>
      </c>
      <c r="O3821" t="s">
        <v>8316</v>
      </c>
      <c r="P3821" t="s">
        <v>208</v>
      </c>
      <c r="Q3821" t="s">
        <v>209</v>
      </c>
    </row>
    <row r="3822" spans="1:17" x14ac:dyDescent="0.3">
      <c r="A3822" t="s">
        <v>8317</v>
      </c>
      <c r="C3822" t="s">
        <v>8318</v>
      </c>
      <c r="D3822" t="s">
        <v>8318</v>
      </c>
      <c r="E3822" s="5">
        <v>46286</v>
      </c>
      <c r="F3822" t="s">
        <v>204</v>
      </c>
      <c r="G3822" t="s">
        <v>220</v>
      </c>
      <c r="H3822">
        <v>2999</v>
      </c>
      <c r="I3822">
        <v>9</v>
      </c>
      <c r="J3822">
        <v>1.62</v>
      </c>
      <c r="K3822">
        <v>2988.38</v>
      </c>
      <c r="L3822" s="5">
        <v>46288</v>
      </c>
      <c r="M3822" t="s">
        <v>8302</v>
      </c>
      <c r="N3822" t="s">
        <v>207</v>
      </c>
      <c r="O3822" t="s">
        <v>8318</v>
      </c>
      <c r="P3822" t="s">
        <v>208</v>
      </c>
      <c r="Q3822" t="s">
        <v>209</v>
      </c>
    </row>
    <row r="3823" spans="1:17" x14ac:dyDescent="0.3">
      <c r="A3823" t="s">
        <v>8319</v>
      </c>
      <c r="C3823" t="s">
        <v>8320</v>
      </c>
      <c r="D3823" t="s">
        <v>8320</v>
      </c>
      <c r="E3823" s="5">
        <v>46286</v>
      </c>
      <c r="F3823" t="s">
        <v>204</v>
      </c>
      <c r="G3823" t="s">
        <v>220</v>
      </c>
      <c r="H3823">
        <v>3097</v>
      </c>
      <c r="I3823">
        <v>9.2899999999999991</v>
      </c>
      <c r="J3823">
        <v>1.67</v>
      </c>
      <c r="K3823">
        <v>3086.04</v>
      </c>
      <c r="L3823" s="5">
        <v>46288</v>
      </c>
      <c r="M3823" t="s">
        <v>8302</v>
      </c>
      <c r="N3823" t="s">
        <v>207</v>
      </c>
      <c r="O3823" t="s">
        <v>8320</v>
      </c>
      <c r="P3823" t="s">
        <v>208</v>
      </c>
      <c r="Q3823" t="s">
        <v>209</v>
      </c>
    </row>
    <row r="3824" spans="1:17" x14ac:dyDescent="0.3">
      <c r="A3824" t="s">
        <v>8321</v>
      </c>
      <c r="C3824" t="s">
        <v>8322</v>
      </c>
      <c r="D3824" t="s">
        <v>8322</v>
      </c>
      <c r="E3824" s="5">
        <v>46286</v>
      </c>
      <c r="F3824" t="s">
        <v>204</v>
      </c>
      <c r="G3824" t="s">
        <v>205</v>
      </c>
      <c r="H3824">
        <v>5298</v>
      </c>
      <c r="I3824">
        <v>127.15</v>
      </c>
      <c r="J3824">
        <v>22.89</v>
      </c>
      <c r="K3824">
        <v>5147.96</v>
      </c>
      <c r="L3824" s="5">
        <v>46288</v>
      </c>
      <c r="M3824" t="s">
        <v>8302</v>
      </c>
      <c r="N3824" t="s">
        <v>207</v>
      </c>
      <c r="O3824" t="s">
        <v>8322</v>
      </c>
      <c r="P3824" t="s">
        <v>208</v>
      </c>
      <c r="Q3824" t="s">
        <v>209</v>
      </c>
    </row>
    <row r="3825" spans="1:17" x14ac:dyDescent="0.3">
      <c r="A3825" t="s">
        <v>8323</v>
      </c>
      <c r="C3825" t="s">
        <v>8324</v>
      </c>
      <c r="D3825" t="s">
        <v>8324</v>
      </c>
      <c r="E3825" s="5">
        <v>46286</v>
      </c>
      <c r="F3825" t="s">
        <v>204</v>
      </c>
      <c r="G3825" t="s">
        <v>220</v>
      </c>
      <c r="H3825">
        <v>11497</v>
      </c>
      <c r="I3825">
        <v>34.49</v>
      </c>
      <c r="J3825">
        <v>6.21</v>
      </c>
      <c r="K3825">
        <v>11456.3</v>
      </c>
      <c r="L3825" s="5">
        <v>46288</v>
      </c>
      <c r="M3825" t="s">
        <v>8302</v>
      </c>
      <c r="N3825" t="s">
        <v>207</v>
      </c>
      <c r="O3825" t="s">
        <v>8324</v>
      </c>
      <c r="P3825" t="s">
        <v>208</v>
      </c>
      <c r="Q3825" t="s">
        <v>209</v>
      </c>
    </row>
    <row r="3826" spans="1:17" x14ac:dyDescent="0.3">
      <c r="A3826" t="s">
        <v>8325</v>
      </c>
      <c r="C3826" t="s">
        <v>8326</v>
      </c>
      <c r="D3826" t="s">
        <v>8327</v>
      </c>
      <c r="E3826" s="5">
        <v>46286</v>
      </c>
      <c r="F3826" t="s">
        <v>204</v>
      </c>
      <c r="G3826" t="s">
        <v>220</v>
      </c>
      <c r="H3826">
        <v>2499</v>
      </c>
      <c r="I3826">
        <v>7.5</v>
      </c>
      <c r="J3826">
        <v>1.35</v>
      </c>
      <c r="K3826">
        <v>2490.15</v>
      </c>
      <c r="L3826" s="5">
        <v>46288</v>
      </c>
      <c r="M3826" t="s">
        <v>8302</v>
      </c>
      <c r="N3826" t="s">
        <v>207</v>
      </c>
      <c r="O3826" t="s">
        <v>8327</v>
      </c>
      <c r="P3826" t="s">
        <v>208</v>
      </c>
      <c r="Q3826" t="s">
        <v>209</v>
      </c>
    </row>
    <row r="3827" spans="1:17" x14ac:dyDescent="0.3">
      <c r="A3827" t="s">
        <v>8328</v>
      </c>
      <c r="C3827" t="s">
        <v>8329</v>
      </c>
      <c r="D3827" t="s">
        <v>8329</v>
      </c>
      <c r="E3827" s="5">
        <v>46286</v>
      </c>
      <c r="F3827" t="s">
        <v>204</v>
      </c>
      <c r="G3827" t="s">
        <v>220</v>
      </c>
      <c r="H3827">
        <v>8998</v>
      </c>
      <c r="I3827">
        <v>26.99</v>
      </c>
      <c r="J3827">
        <v>4.8600000000000003</v>
      </c>
      <c r="K3827">
        <v>8966.15</v>
      </c>
      <c r="L3827" s="5">
        <v>46288</v>
      </c>
      <c r="M3827" t="s">
        <v>8302</v>
      </c>
      <c r="N3827" t="s">
        <v>207</v>
      </c>
      <c r="O3827" t="s">
        <v>8329</v>
      </c>
      <c r="P3827" t="s">
        <v>208</v>
      </c>
      <c r="Q3827" t="s">
        <v>209</v>
      </c>
    </row>
    <row r="3828" spans="1:17" x14ac:dyDescent="0.3">
      <c r="A3828" t="s">
        <v>8330</v>
      </c>
      <c r="C3828" t="s">
        <v>8331</v>
      </c>
      <c r="D3828" t="s">
        <v>8332</v>
      </c>
      <c r="E3828" s="5">
        <v>46286</v>
      </c>
      <c r="F3828" t="s">
        <v>204</v>
      </c>
      <c r="G3828" t="s">
        <v>220</v>
      </c>
      <c r="H3828">
        <v>349</v>
      </c>
      <c r="I3828">
        <v>0</v>
      </c>
      <c r="J3828">
        <v>0</v>
      </c>
      <c r="K3828">
        <v>349</v>
      </c>
      <c r="L3828" s="5">
        <v>46288</v>
      </c>
      <c r="M3828" t="s">
        <v>8302</v>
      </c>
      <c r="N3828" t="s">
        <v>207</v>
      </c>
      <c r="O3828" t="s">
        <v>8332</v>
      </c>
      <c r="P3828" t="s">
        <v>208</v>
      </c>
      <c r="Q3828" t="s">
        <v>209</v>
      </c>
    </row>
    <row r="3829" spans="1:17" x14ac:dyDescent="0.3">
      <c r="A3829" t="s">
        <v>8333</v>
      </c>
      <c r="C3829" t="s">
        <v>8334</v>
      </c>
      <c r="D3829" t="s">
        <v>8334</v>
      </c>
      <c r="E3829" s="5">
        <v>46286</v>
      </c>
      <c r="F3829" t="s">
        <v>204</v>
      </c>
      <c r="G3829" t="s">
        <v>205</v>
      </c>
      <c r="H3829">
        <v>349</v>
      </c>
      <c r="I3829">
        <v>6.63</v>
      </c>
      <c r="J3829">
        <v>1.19</v>
      </c>
      <c r="K3829">
        <v>341.18</v>
      </c>
      <c r="L3829" s="5">
        <v>46288</v>
      </c>
      <c r="M3829" t="s">
        <v>8302</v>
      </c>
      <c r="N3829" t="s">
        <v>207</v>
      </c>
      <c r="O3829" t="s">
        <v>8334</v>
      </c>
      <c r="P3829" t="s">
        <v>208</v>
      </c>
      <c r="Q3829" t="s">
        <v>209</v>
      </c>
    </row>
    <row r="3830" spans="1:17" x14ac:dyDescent="0.3">
      <c r="A3830" t="s">
        <v>8335</v>
      </c>
      <c r="C3830" t="s">
        <v>8336</v>
      </c>
      <c r="D3830" t="s">
        <v>8336</v>
      </c>
      <c r="E3830" s="5">
        <v>46286</v>
      </c>
      <c r="F3830" t="s">
        <v>204</v>
      </c>
      <c r="G3830" t="s">
        <v>213</v>
      </c>
      <c r="H3830">
        <v>4999</v>
      </c>
      <c r="I3830">
        <v>79.98</v>
      </c>
      <c r="J3830">
        <v>14.4</v>
      </c>
      <c r="K3830">
        <v>4904.62</v>
      </c>
      <c r="L3830" s="5">
        <v>46288</v>
      </c>
      <c r="M3830" t="s">
        <v>8302</v>
      </c>
      <c r="N3830" t="s">
        <v>207</v>
      </c>
      <c r="O3830" t="s">
        <v>8336</v>
      </c>
      <c r="P3830" t="s">
        <v>208</v>
      </c>
      <c r="Q3830" t="s">
        <v>209</v>
      </c>
    </row>
    <row r="3831" spans="1:17" x14ac:dyDescent="0.3">
      <c r="A3831" t="s">
        <v>8337</v>
      </c>
      <c r="C3831" t="s">
        <v>8338</v>
      </c>
      <c r="D3831" t="s">
        <v>8338</v>
      </c>
      <c r="E3831" s="5">
        <v>46286</v>
      </c>
      <c r="F3831" t="s">
        <v>204</v>
      </c>
      <c r="G3831" t="s">
        <v>220</v>
      </c>
      <c r="H3831">
        <v>4999</v>
      </c>
      <c r="I3831">
        <v>15</v>
      </c>
      <c r="J3831">
        <v>2.7</v>
      </c>
      <c r="K3831">
        <v>4981.3</v>
      </c>
      <c r="L3831" s="5">
        <v>46288</v>
      </c>
      <c r="M3831" t="s">
        <v>8302</v>
      </c>
      <c r="N3831" t="s">
        <v>207</v>
      </c>
      <c r="O3831" t="s">
        <v>8338</v>
      </c>
      <c r="P3831" t="s">
        <v>208</v>
      </c>
      <c r="Q3831" t="s">
        <v>209</v>
      </c>
    </row>
    <row r="3832" spans="1:17" x14ac:dyDescent="0.3">
      <c r="A3832" t="s">
        <v>8339</v>
      </c>
      <c r="C3832" t="s">
        <v>8340</v>
      </c>
      <c r="D3832" t="s">
        <v>8341</v>
      </c>
      <c r="E3832" s="5">
        <v>46286</v>
      </c>
      <c r="F3832" t="s">
        <v>204</v>
      </c>
      <c r="G3832" t="s">
        <v>220</v>
      </c>
      <c r="H3832">
        <v>9597</v>
      </c>
      <c r="I3832">
        <v>28.79</v>
      </c>
      <c r="J3832">
        <v>5.18</v>
      </c>
      <c r="K3832">
        <v>9563.0300000000007</v>
      </c>
      <c r="L3832" s="5">
        <v>46288</v>
      </c>
      <c r="M3832" t="s">
        <v>8302</v>
      </c>
      <c r="N3832" t="s">
        <v>207</v>
      </c>
      <c r="O3832" t="s">
        <v>8341</v>
      </c>
      <c r="P3832" t="s">
        <v>208</v>
      </c>
      <c r="Q3832" t="s">
        <v>209</v>
      </c>
    </row>
    <row r="3833" spans="1:17" x14ac:dyDescent="0.3">
      <c r="A3833" t="s">
        <v>8342</v>
      </c>
      <c r="C3833" t="s">
        <v>8343</v>
      </c>
      <c r="D3833" t="s">
        <v>8343</v>
      </c>
      <c r="E3833" s="5">
        <v>46286</v>
      </c>
      <c r="F3833" t="s">
        <v>204</v>
      </c>
      <c r="G3833" t="s">
        <v>213</v>
      </c>
      <c r="H3833">
        <v>8798</v>
      </c>
      <c r="I3833">
        <v>140.77000000000001</v>
      </c>
      <c r="J3833">
        <v>25.34</v>
      </c>
      <c r="K3833">
        <v>8631.89</v>
      </c>
      <c r="L3833" s="5">
        <v>46288</v>
      </c>
      <c r="M3833" t="s">
        <v>8302</v>
      </c>
      <c r="N3833" t="s">
        <v>207</v>
      </c>
      <c r="O3833" t="s">
        <v>8343</v>
      </c>
      <c r="P3833" t="s">
        <v>208</v>
      </c>
      <c r="Q3833" t="s">
        <v>209</v>
      </c>
    </row>
    <row r="3834" spans="1:17" x14ac:dyDescent="0.3">
      <c r="A3834" t="s">
        <v>8344</v>
      </c>
      <c r="C3834" t="s">
        <v>8345</v>
      </c>
      <c r="D3834" t="s">
        <v>8345</v>
      </c>
      <c r="E3834" s="5">
        <v>46286</v>
      </c>
      <c r="F3834" t="s">
        <v>204</v>
      </c>
      <c r="G3834" t="s">
        <v>220</v>
      </c>
      <c r="H3834">
        <v>3499</v>
      </c>
      <c r="I3834">
        <v>10.5</v>
      </c>
      <c r="J3834">
        <v>1.89</v>
      </c>
      <c r="K3834">
        <v>3486.61</v>
      </c>
      <c r="L3834" s="5">
        <v>46288</v>
      </c>
      <c r="M3834" t="s">
        <v>8302</v>
      </c>
      <c r="N3834" t="s">
        <v>207</v>
      </c>
      <c r="O3834" t="s">
        <v>8345</v>
      </c>
      <c r="P3834" t="s">
        <v>208</v>
      </c>
      <c r="Q3834" t="s">
        <v>209</v>
      </c>
    </row>
    <row r="3835" spans="1:17" x14ac:dyDescent="0.3">
      <c r="A3835" t="s">
        <v>8346</v>
      </c>
      <c r="C3835" t="s">
        <v>8347</v>
      </c>
      <c r="D3835" t="s">
        <v>8347</v>
      </c>
      <c r="E3835" s="5">
        <v>46286</v>
      </c>
      <c r="F3835" t="s">
        <v>204</v>
      </c>
      <c r="G3835" t="s">
        <v>220</v>
      </c>
      <c r="H3835">
        <v>499</v>
      </c>
      <c r="I3835">
        <v>0</v>
      </c>
      <c r="J3835">
        <v>0</v>
      </c>
      <c r="K3835">
        <v>499</v>
      </c>
      <c r="L3835" s="5">
        <v>46288</v>
      </c>
      <c r="M3835" t="s">
        <v>8302</v>
      </c>
      <c r="N3835" t="s">
        <v>207</v>
      </c>
      <c r="O3835" t="s">
        <v>8347</v>
      </c>
      <c r="P3835" t="s">
        <v>208</v>
      </c>
      <c r="Q3835" t="s">
        <v>209</v>
      </c>
    </row>
    <row r="3836" spans="1:17" x14ac:dyDescent="0.3">
      <c r="A3836" t="s">
        <v>8348</v>
      </c>
      <c r="C3836" t="s">
        <v>8349</v>
      </c>
      <c r="D3836" t="s">
        <v>8349</v>
      </c>
      <c r="E3836" s="5">
        <v>46286</v>
      </c>
      <c r="F3836" t="s">
        <v>204</v>
      </c>
      <c r="G3836" t="s">
        <v>220</v>
      </c>
      <c r="H3836">
        <v>2499</v>
      </c>
      <c r="I3836">
        <v>7.5</v>
      </c>
      <c r="J3836">
        <v>1.35</v>
      </c>
      <c r="K3836">
        <v>2490.15</v>
      </c>
      <c r="L3836" s="5">
        <v>46288</v>
      </c>
      <c r="M3836" t="s">
        <v>8302</v>
      </c>
      <c r="N3836" t="s">
        <v>207</v>
      </c>
      <c r="O3836" t="s">
        <v>8349</v>
      </c>
      <c r="P3836" t="s">
        <v>208</v>
      </c>
      <c r="Q3836" t="s">
        <v>209</v>
      </c>
    </row>
    <row r="3837" spans="1:17" x14ac:dyDescent="0.3">
      <c r="A3837" t="s">
        <v>8350</v>
      </c>
      <c r="C3837" t="s">
        <v>8351</v>
      </c>
      <c r="D3837" t="s">
        <v>8351</v>
      </c>
      <c r="E3837" s="5">
        <v>46286</v>
      </c>
      <c r="F3837" t="s">
        <v>204</v>
      </c>
      <c r="G3837" t="s">
        <v>255</v>
      </c>
      <c r="H3837">
        <v>4297</v>
      </c>
      <c r="I3837">
        <v>51.56</v>
      </c>
      <c r="J3837">
        <v>9.2799999999999994</v>
      </c>
      <c r="K3837">
        <v>4236.16</v>
      </c>
      <c r="L3837" s="5">
        <v>46288</v>
      </c>
      <c r="M3837" t="s">
        <v>8302</v>
      </c>
      <c r="N3837" t="s">
        <v>207</v>
      </c>
      <c r="O3837" t="s">
        <v>8351</v>
      </c>
      <c r="P3837" t="s">
        <v>208</v>
      </c>
      <c r="Q3837" t="s">
        <v>209</v>
      </c>
    </row>
    <row r="3838" spans="1:17" x14ac:dyDescent="0.3">
      <c r="A3838" t="s">
        <v>8352</v>
      </c>
      <c r="C3838" t="s">
        <v>8353</v>
      </c>
      <c r="D3838" t="s">
        <v>8353</v>
      </c>
      <c r="E3838" s="5">
        <v>46286</v>
      </c>
      <c r="F3838" t="s">
        <v>204</v>
      </c>
      <c r="G3838" t="s">
        <v>213</v>
      </c>
      <c r="H3838">
        <v>7999</v>
      </c>
      <c r="I3838">
        <v>127.98</v>
      </c>
      <c r="J3838">
        <v>23.04</v>
      </c>
      <c r="K3838">
        <v>7847.98</v>
      </c>
      <c r="L3838" s="5">
        <v>46288</v>
      </c>
      <c r="M3838" t="s">
        <v>8302</v>
      </c>
      <c r="N3838" t="s">
        <v>207</v>
      </c>
      <c r="O3838" t="s">
        <v>8353</v>
      </c>
      <c r="P3838" t="s">
        <v>208</v>
      </c>
      <c r="Q3838" t="s">
        <v>209</v>
      </c>
    </row>
    <row r="3839" spans="1:17" x14ac:dyDescent="0.3">
      <c r="A3839" t="s">
        <v>8354</v>
      </c>
      <c r="C3839" t="s">
        <v>8355</v>
      </c>
      <c r="D3839" t="s">
        <v>8355</v>
      </c>
      <c r="E3839" s="5">
        <v>46286</v>
      </c>
      <c r="F3839" t="s">
        <v>204</v>
      </c>
      <c r="G3839" t="s">
        <v>213</v>
      </c>
      <c r="H3839">
        <v>2999</v>
      </c>
      <c r="I3839">
        <v>47.98</v>
      </c>
      <c r="J3839">
        <v>8.64</v>
      </c>
      <c r="K3839">
        <v>2942.38</v>
      </c>
      <c r="L3839" s="5">
        <v>46288</v>
      </c>
      <c r="M3839" t="s">
        <v>8302</v>
      </c>
      <c r="N3839" t="s">
        <v>207</v>
      </c>
      <c r="O3839" t="s">
        <v>8355</v>
      </c>
      <c r="P3839" t="s">
        <v>208</v>
      </c>
      <c r="Q3839" t="s">
        <v>209</v>
      </c>
    </row>
    <row r="3840" spans="1:17" x14ac:dyDescent="0.3">
      <c r="A3840" t="s">
        <v>8356</v>
      </c>
      <c r="C3840" t="s">
        <v>8357</v>
      </c>
      <c r="D3840" t="s">
        <v>8357</v>
      </c>
      <c r="E3840" s="5">
        <v>46286</v>
      </c>
      <c r="F3840" t="s">
        <v>204</v>
      </c>
      <c r="G3840" t="s">
        <v>220</v>
      </c>
      <c r="H3840">
        <v>299</v>
      </c>
      <c r="I3840">
        <v>0</v>
      </c>
      <c r="J3840">
        <v>0</v>
      </c>
      <c r="K3840">
        <v>299</v>
      </c>
      <c r="L3840" s="5">
        <v>46288</v>
      </c>
      <c r="M3840" t="s">
        <v>8302</v>
      </c>
      <c r="N3840" t="s">
        <v>207</v>
      </c>
      <c r="O3840" t="s">
        <v>8357</v>
      </c>
      <c r="P3840" t="s">
        <v>208</v>
      </c>
      <c r="Q3840" t="s">
        <v>209</v>
      </c>
    </row>
    <row r="3841" spans="1:17" x14ac:dyDescent="0.3">
      <c r="A3841" t="s">
        <v>8358</v>
      </c>
      <c r="C3841" t="s">
        <v>8359</v>
      </c>
      <c r="D3841" t="s">
        <v>8359</v>
      </c>
      <c r="E3841" s="5">
        <v>46286</v>
      </c>
      <c r="F3841" t="s">
        <v>204</v>
      </c>
      <c r="G3841" t="s">
        <v>220</v>
      </c>
      <c r="H3841">
        <v>4697</v>
      </c>
      <c r="I3841">
        <v>14.09</v>
      </c>
      <c r="J3841">
        <v>2.54</v>
      </c>
      <c r="K3841">
        <v>4680.37</v>
      </c>
      <c r="L3841" s="5">
        <v>46288</v>
      </c>
      <c r="M3841" t="s">
        <v>8302</v>
      </c>
      <c r="N3841" t="s">
        <v>207</v>
      </c>
      <c r="O3841" t="s">
        <v>8359</v>
      </c>
      <c r="P3841" t="s">
        <v>208</v>
      </c>
      <c r="Q3841" t="s">
        <v>209</v>
      </c>
    </row>
    <row r="3842" spans="1:17" x14ac:dyDescent="0.3">
      <c r="A3842" t="s">
        <v>8360</v>
      </c>
      <c r="C3842" t="s">
        <v>8361</v>
      </c>
      <c r="D3842" t="s">
        <v>8361</v>
      </c>
      <c r="E3842" s="5">
        <v>46286</v>
      </c>
      <c r="F3842" t="s">
        <v>204</v>
      </c>
      <c r="G3842" t="s">
        <v>220</v>
      </c>
      <c r="H3842">
        <v>299</v>
      </c>
      <c r="I3842">
        <v>0</v>
      </c>
      <c r="J3842">
        <v>0</v>
      </c>
      <c r="K3842">
        <v>299</v>
      </c>
      <c r="L3842" s="5">
        <v>46288</v>
      </c>
      <c r="M3842" t="s">
        <v>8302</v>
      </c>
      <c r="N3842" t="s">
        <v>207</v>
      </c>
      <c r="O3842" t="s">
        <v>8361</v>
      </c>
      <c r="P3842" t="s">
        <v>208</v>
      </c>
      <c r="Q3842" t="s">
        <v>209</v>
      </c>
    </row>
    <row r="3843" spans="1:17" x14ac:dyDescent="0.3">
      <c r="A3843" t="s">
        <v>8362</v>
      </c>
      <c r="C3843" t="s">
        <v>8363</v>
      </c>
      <c r="D3843" t="s">
        <v>8363</v>
      </c>
      <c r="E3843" s="5">
        <v>46286</v>
      </c>
      <c r="F3843" t="s">
        <v>204</v>
      </c>
      <c r="G3843" t="s">
        <v>220</v>
      </c>
      <c r="H3843">
        <v>1499</v>
      </c>
      <c r="I3843">
        <v>0</v>
      </c>
      <c r="J3843">
        <v>0</v>
      </c>
      <c r="K3843">
        <v>1499</v>
      </c>
      <c r="L3843" s="5">
        <v>46288</v>
      </c>
      <c r="M3843" t="s">
        <v>8302</v>
      </c>
      <c r="N3843" t="s">
        <v>207</v>
      </c>
      <c r="O3843" t="s">
        <v>8363</v>
      </c>
      <c r="P3843" t="s">
        <v>208</v>
      </c>
      <c r="Q3843" t="s">
        <v>209</v>
      </c>
    </row>
    <row r="3844" spans="1:17" x14ac:dyDescent="0.3">
      <c r="A3844" t="s">
        <v>8364</v>
      </c>
      <c r="C3844" t="s">
        <v>8365</v>
      </c>
      <c r="D3844" t="s">
        <v>8365</v>
      </c>
      <c r="E3844" s="5">
        <v>46286</v>
      </c>
      <c r="F3844" t="s">
        <v>204</v>
      </c>
      <c r="G3844" t="s">
        <v>205</v>
      </c>
      <c r="H3844">
        <v>799</v>
      </c>
      <c r="I3844">
        <v>15.18</v>
      </c>
      <c r="J3844">
        <v>2.73</v>
      </c>
      <c r="K3844">
        <v>781.09</v>
      </c>
      <c r="L3844" s="5">
        <v>46288</v>
      </c>
      <c r="M3844" t="s">
        <v>8302</v>
      </c>
      <c r="N3844" t="s">
        <v>207</v>
      </c>
      <c r="O3844" t="s">
        <v>8365</v>
      </c>
      <c r="P3844" t="s">
        <v>208</v>
      </c>
      <c r="Q3844" t="s">
        <v>209</v>
      </c>
    </row>
    <row r="3845" spans="1:17" x14ac:dyDescent="0.3">
      <c r="A3845" t="s">
        <v>8366</v>
      </c>
      <c r="C3845" t="s">
        <v>8367</v>
      </c>
      <c r="D3845" t="s">
        <v>8367</v>
      </c>
      <c r="E3845" s="5">
        <v>46286</v>
      </c>
      <c r="F3845" t="s">
        <v>204</v>
      </c>
      <c r="G3845" t="s">
        <v>255</v>
      </c>
      <c r="H3845">
        <v>2999</v>
      </c>
      <c r="I3845">
        <v>35.99</v>
      </c>
      <c r="J3845">
        <v>6.48</v>
      </c>
      <c r="K3845">
        <v>2956.53</v>
      </c>
      <c r="L3845" s="5">
        <v>46288</v>
      </c>
      <c r="M3845" t="s">
        <v>8302</v>
      </c>
      <c r="N3845" t="s">
        <v>207</v>
      </c>
      <c r="O3845" t="s">
        <v>8367</v>
      </c>
      <c r="P3845" t="s">
        <v>208</v>
      </c>
      <c r="Q3845" t="s">
        <v>209</v>
      </c>
    </row>
    <row r="3846" spans="1:17" x14ac:dyDescent="0.3">
      <c r="A3846" t="s">
        <v>8368</v>
      </c>
      <c r="C3846" t="s">
        <v>8369</v>
      </c>
      <c r="D3846" t="s">
        <v>8369</v>
      </c>
      <c r="E3846" s="5">
        <v>46286</v>
      </c>
      <c r="F3846" t="s">
        <v>204</v>
      </c>
      <c r="G3846" t="s">
        <v>220</v>
      </c>
      <c r="H3846">
        <v>3798</v>
      </c>
      <c r="I3846">
        <v>11.39</v>
      </c>
      <c r="J3846">
        <v>2.0499999999999998</v>
      </c>
      <c r="K3846">
        <v>3784.56</v>
      </c>
      <c r="L3846" s="5">
        <v>46288</v>
      </c>
      <c r="M3846" t="s">
        <v>8302</v>
      </c>
      <c r="N3846" t="s">
        <v>207</v>
      </c>
      <c r="O3846" t="s">
        <v>8369</v>
      </c>
      <c r="P3846" t="s">
        <v>208</v>
      </c>
      <c r="Q3846" t="s">
        <v>209</v>
      </c>
    </row>
    <row r="3847" spans="1:17" x14ac:dyDescent="0.3">
      <c r="A3847" t="s">
        <v>8370</v>
      </c>
      <c r="C3847" t="s">
        <v>8371</v>
      </c>
      <c r="D3847" t="s">
        <v>8371</v>
      </c>
      <c r="E3847" s="5">
        <v>46286</v>
      </c>
      <c r="F3847" t="s">
        <v>204</v>
      </c>
      <c r="G3847" t="s">
        <v>220</v>
      </c>
      <c r="H3847">
        <v>2499</v>
      </c>
      <c r="I3847">
        <v>7.5</v>
      </c>
      <c r="J3847">
        <v>1.35</v>
      </c>
      <c r="K3847">
        <v>2490.15</v>
      </c>
      <c r="L3847" s="5">
        <v>46288</v>
      </c>
      <c r="M3847" t="s">
        <v>8302</v>
      </c>
      <c r="N3847" t="s">
        <v>207</v>
      </c>
      <c r="O3847" t="s">
        <v>8371</v>
      </c>
      <c r="P3847" t="s">
        <v>208</v>
      </c>
      <c r="Q3847" t="s">
        <v>209</v>
      </c>
    </row>
    <row r="3848" spans="1:17" x14ac:dyDescent="0.3">
      <c r="A3848" t="s">
        <v>8372</v>
      </c>
      <c r="C3848" t="s">
        <v>8373</v>
      </c>
      <c r="D3848" t="s">
        <v>8373</v>
      </c>
      <c r="E3848" s="5">
        <v>46286</v>
      </c>
      <c r="F3848" t="s">
        <v>204</v>
      </c>
      <c r="G3848" t="s">
        <v>220</v>
      </c>
      <c r="H3848">
        <v>3298</v>
      </c>
      <c r="I3848">
        <v>9.89</v>
      </c>
      <c r="J3848">
        <v>1.78</v>
      </c>
      <c r="K3848">
        <v>3286.33</v>
      </c>
      <c r="L3848" s="5">
        <v>46288</v>
      </c>
      <c r="M3848" t="s">
        <v>8302</v>
      </c>
      <c r="N3848" t="s">
        <v>207</v>
      </c>
      <c r="O3848" t="s">
        <v>8373</v>
      </c>
      <c r="P3848" t="s">
        <v>208</v>
      </c>
      <c r="Q3848" t="s">
        <v>209</v>
      </c>
    </row>
    <row r="3849" spans="1:17" x14ac:dyDescent="0.3">
      <c r="A3849" t="s">
        <v>8374</v>
      </c>
      <c r="C3849" t="s">
        <v>8375</v>
      </c>
      <c r="D3849" t="s">
        <v>8375</v>
      </c>
      <c r="E3849" s="5">
        <v>46286</v>
      </c>
      <c r="F3849" t="s">
        <v>204</v>
      </c>
      <c r="G3849" t="s">
        <v>213</v>
      </c>
      <c r="H3849">
        <v>2998</v>
      </c>
      <c r="I3849">
        <v>47.97</v>
      </c>
      <c r="J3849">
        <v>8.6300000000000008</v>
      </c>
      <c r="K3849">
        <v>2941.4</v>
      </c>
      <c r="L3849" s="5">
        <v>46288</v>
      </c>
      <c r="M3849" t="s">
        <v>8302</v>
      </c>
      <c r="N3849" t="s">
        <v>207</v>
      </c>
      <c r="O3849" t="s">
        <v>8375</v>
      </c>
      <c r="P3849" t="s">
        <v>208</v>
      </c>
      <c r="Q3849" t="s">
        <v>209</v>
      </c>
    </row>
    <row r="3850" spans="1:17" x14ac:dyDescent="0.3">
      <c r="A3850" t="s">
        <v>8376</v>
      </c>
      <c r="C3850" t="s">
        <v>8377</v>
      </c>
      <c r="D3850" t="s">
        <v>8377</v>
      </c>
      <c r="E3850" s="5">
        <v>46286</v>
      </c>
      <c r="F3850" t="s">
        <v>204</v>
      </c>
      <c r="G3850" t="s">
        <v>220</v>
      </c>
      <c r="H3850">
        <v>799</v>
      </c>
      <c r="I3850">
        <v>0</v>
      </c>
      <c r="J3850">
        <v>0</v>
      </c>
      <c r="K3850">
        <v>799</v>
      </c>
      <c r="L3850" s="5">
        <v>46288</v>
      </c>
      <c r="M3850" t="s">
        <v>8302</v>
      </c>
      <c r="N3850" t="s">
        <v>207</v>
      </c>
      <c r="O3850" t="s">
        <v>8377</v>
      </c>
      <c r="P3850" t="s">
        <v>208</v>
      </c>
      <c r="Q3850" t="s">
        <v>209</v>
      </c>
    </row>
    <row r="3851" spans="1:17" x14ac:dyDescent="0.3">
      <c r="A3851" t="s">
        <v>8378</v>
      </c>
      <c r="C3851" t="s">
        <v>8379</v>
      </c>
      <c r="D3851" t="s">
        <v>8379</v>
      </c>
      <c r="E3851" s="5">
        <v>46286</v>
      </c>
      <c r="F3851" t="s">
        <v>204</v>
      </c>
      <c r="G3851" t="s">
        <v>220</v>
      </c>
      <c r="H3851">
        <v>1799</v>
      </c>
      <c r="I3851">
        <v>0</v>
      </c>
      <c r="J3851">
        <v>0</v>
      </c>
      <c r="K3851">
        <v>1799</v>
      </c>
      <c r="L3851" s="5">
        <v>46288</v>
      </c>
      <c r="M3851" t="s">
        <v>8302</v>
      </c>
      <c r="N3851" t="s">
        <v>207</v>
      </c>
      <c r="O3851" t="s">
        <v>8379</v>
      </c>
      <c r="P3851" t="s">
        <v>208</v>
      </c>
      <c r="Q3851" t="s">
        <v>209</v>
      </c>
    </row>
    <row r="3852" spans="1:17" x14ac:dyDescent="0.3">
      <c r="A3852" t="s">
        <v>8380</v>
      </c>
      <c r="C3852" t="s">
        <v>8381</v>
      </c>
      <c r="D3852" t="s">
        <v>8381</v>
      </c>
      <c r="E3852" s="5">
        <v>46286</v>
      </c>
      <c r="F3852" t="s">
        <v>204</v>
      </c>
      <c r="G3852" t="s">
        <v>213</v>
      </c>
      <c r="H3852">
        <v>4197</v>
      </c>
      <c r="I3852">
        <v>67.150000000000006</v>
      </c>
      <c r="J3852">
        <v>12.09</v>
      </c>
      <c r="K3852">
        <v>4117.76</v>
      </c>
      <c r="L3852" s="5">
        <v>46288</v>
      </c>
      <c r="M3852" t="s">
        <v>8302</v>
      </c>
      <c r="N3852" t="s">
        <v>207</v>
      </c>
      <c r="O3852" t="s">
        <v>8381</v>
      </c>
      <c r="P3852" t="s">
        <v>208</v>
      </c>
      <c r="Q3852" t="s">
        <v>209</v>
      </c>
    </row>
    <row r="3853" spans="1:17" x14ac:dyDescent="0.3">
      <c r="A3853" t="s">
        <v>8382</v>
      </c>
      <c r="C3853" t="s">
        <v>8383</v>
      </c>
      <c r="D3853" t="s">
        <v>8383</v>
      </c>
      <c r="E3853" s="5">
        <v>46286</v>
      </c>
      <c r="F3853" t="s">
        <v>204</v>
      </c>
      <c r="G3853" t="s">
        <v>205</v>
      </c>
      <c r="H3853">
        <v>5798</v>
      </c>
      <c r="I3853">
        <v>98.57</v>
      </c>
      <c r="J3853">
        <v>17.739999999999998</v>
      </c>
      <c r="K3853">
        <v>5681.69</v>
      </c>
      <c r="L3853" s="5">
        <v>46288</v>
      </c>
      <c r="M3853" t="s">
        <v>8302</v>
      </c>
      <c r="N3853" t="s">
        <v>207</v>
      </c>
      <c r="O3853" t="s">
        <v>8383</v>
      </c>
      <c r="P3853" t="s">
        <v>208</v>
      </c>
      <c r="Q3853" t="s">
        <v>209</v>
      </c>
    </row>
    <row r="3854" spans="1:17" x14ac:dyDescent="0.3">
      <c r="A3854" t="s">
        <v>8384</v>
      </c>
      <c r="C3854" t="s">
        <v>8385</v>
      </c>
      <c r="D3854" t="s">
        <v>8385</v>
      </c>
      <c r="E3854" s="5">
        <v>46286</v>
      </c>
      <c r="F3854" t="s">
        <v>204</v>
      </c>
      <c r="G3854" t="s">
        <v>220</v>
      </c>
      <c r="H3854">
        <v>7999</v>
      </c>
      <c r="I3854">
        <v>24</v>
      </c>
      <c r="J3854">
        <v>4.32</v>
      </c>
      <c r="K3854">
        <v>7970.68</v>
      </c>
      <c r="L3854" s="5">
        <v>46288</v>
      </c>
      <c r="M3854" t="s">
        <v>8302</v>
      </c>
      <c r="N3854" t="s">
        <v>207</v>
      </c>
      <c r="O3854" t="s">
        <v>8385</v>
      </c>
      <c r="P3854" t="s">
        <v>208</v>
      </c>
      <c r="Q3854" t="s">
        <v>209</v>
      </c>
    </row>
    <row r="3855" spans="1:17" x14ac:dyDescent="0.3">
      <c r="A3855" t="s">
        <v>8386</v>
      </c>
      <c r="C3855" t="s">
        <v>8387</v>
      </c>
      <c r="D3855" t="s">
        <v>8388</v>
      </c>
      <c r="E3855" s="5">
        <v>46286</v>
      </c>
      <c r="F3855" t="s">
        <v>204</v>
      </c>
      <c r="G3855" t="s">
        <v>213</v>
      </c>
      <c r="H3855">
        <v>799</v>
      </c>
      <c r="I3855">
        <v>14.38</v>
      </c>
      <c r="J3855">
        <v>2.59</v>
      </c>
      <c r="K3855">
        <v>782.03</v>
      </c>
      <c r="L3855" s="5">
        <v>46288</v>
      </c>
      <c r="M3855" t="s">
        <v>8302</v>
      </c>
      <c r="N3855" t="s">
        <v>207</v>
      </c>
      <c r="O3855" t="s">
        <v>8388</v>
      </c>
      <c r="P3855" t="s">
        <v>208</v>
      </c>
      <c r="Q3855" t="s">
        <v>209</v>
      </c>
    </row>
    <row r="3856" spans="1:17" x14ac:dyDescent="0.3">
      <c r="A3856" t="s">
        <v>8389</v>
      </c>
      <c r="C3856" t="s">
        <v>8390</v>
      </c>
      <c r="D3856" t="s">
        <v>8390</v>
      </c>
      <c r="E3856" s="5">
        <v>46286</v>
      </c>
      <c r="F3856" t="s">
        <v>204</v>
      </c>
      <c r="G3856" t="s">
        <v>220</v>
      </c>
      <c r="H3856">
        <v>3499</v>
      </c>
      <c r="I3856">
        <v>10.5</v>
      </c>
      <c r="J3856">
        <v>1.89</v>
      </c>
      <c r="K3856">
        <v>3486.61</v>
      </c>
      <c r="L3856" s="5">
        <v>46288</v>
      </c>
      <c r="M3856" t="s">
        <v>8302</v>
      </c>
      <c r="N3856" t="s">
        <v>207</v>
      </c>
      <c r="O3856" t="s">
        <v>8390</v>
      </c>
      <c r="P3856" t="s">
        <v>208</v>
      </c>
      <c r="Q3856" t="s">
        <v>209</v>
      </c>
    </row>
    <row r="3857" spans="1:17" x14ac:dyDescent="0.3">
      <c r="A3857" t="s">
        <v>8391</v>
      </c>
      <c r="C3857" t="s">
        <v>8392</v>
      </c>
      <c r="D3857" t="s">
        <v>8392</v>
      </c>
      <c r="E3857" s="5">
        <v>46286</v>
      </c>
      <c r="F3857" t="s">
        <v>204</v>
      </c>
      <c r="G3857" t="s">
        <v>220</v>
      </c>
      <c r="H3857">
        <v>4999</v>
      </c>
      <c r="I3857">
        <v>15</v>
      </c>
      <c r="J3857">
        <v>2.7</v>
      </c>
      <c r="K3857">
        <v>4981.3</v>
      </c>
      <c r="L3857" s="5">
        <v>46288</v>
      </c>
      <c r="M3857" t="s">
        <v>8302</v>
      </c>
      <c r="N3857" t="s">
        <v>207</v>
      </c>
      <c r="O3857" t="s">
        <v>8392</v>
      </c>
      <c r="P3857" t="s">
        <v>208</v>
      </c>
      <c r="Q3857" t="s">
        <v>209</v>
      </c>
    </row>
    <row r="3858" spans="1:17" x14ac:dyDescent="0.3">
      <c r="A3858" t="s">
        <v>8393</v>
      </c>
      <c r="C3858" t="s">
        <v>8394</v>
      </c>
      <c r="D3858" t="s">
        <v>8394</v>
      </c>
      <c r="E3858" s="5">
        <v>46286</v>
      </c>
      <c r="F3858" t="s">
        <v>204</v>
      </c>
      <c r="G3858" t="s">
        <v>213</v>
      </c>
      <c r="H3858">
        <v>7999</v>
      </c>
      <c r="I3858">
        <v>127.98</v>
      </c>
      <c r="J3858">
        <v>23.04</v>
      </c>
      <c r="K3858">
        <v>7847.98</v>
      </c>
      <c r="L3858" s="5">
        <v>46288</v>
      </c>
      <c r="M3858" t="s">
        <v>8302</v>
      </c>
      <c r="N3858" t="s">
        <v>207</v>
      </c>
      <c r="O3858" t="s">
        <v>8394</v>
      </c>
      <c r="P3858" t="s">
        <v>208</v>
      </c>
      <c r="Q3858" t="s">
        <v>209</v>
      </c>
    </row>
    <row r="3859" spans="1:17" x14ac:dyDescent="0.3">
      <c r="A3859" t="s">
        <v>8395</v>
      </c>
      <c r="C3859" t="s">
        <v>8396</v>
      </c>
      <c r="D3859" t="s">
        <v>8396</v>
      </c>
      <c r="E3859" s="5">
        <v>46286</v>
      </c>
      <c r="F3859" t="s">
        <v>204</v>
      </c>
      <c r="G3859" t="s">
        <v>213</v>
      </c>
      <c r="H3859">
        <v>4498</v>
      </c>
      <c r="I3859">
        <v>71.97</v>
      </c>
      <c r="J3859">
        <v>12.95</v>
      </c>
      <c r="K3859">
        <v>4413.08</v>
      </c>
      <c r="L3859" s="5">
        <v>46288</v>
      </c>
      <c r="M3859" t="s">
        <v>8302</v>
      </c>
      <c r="N3859" t="s">
        <v>207</v>
      </c>
      <c r="O3859" t="s">
        <v>8396</v>
      </c>
      <c r="P3859" t="s">
        <v>208</v>
      </c>
      <c r="Q3859" t="s">
        <v>209</v>
      </c>
    </row>
    <row r="3860" spans="1:17" x14ac:dyDescent="0.3">
      <c r="A3860" t="s">
        <v>8397</v>
      </c>
      <c r="C3860" t="s">
        <v>8398</v>
      </c>
      <c r="D3860" t="s">
        <v>8398</v>
      </c>
      <c r="E3860" s="5">
        <v>46286</v>
      </c>
      <c r="F3860" t="s">
        <v>204</v>
      </c>
      <c r="G3860" t="s">
        <v>220</v>
      </c>
      <c r="H3860">
        <v>999</v>
      </c>
      <c r="I3860">
        <v>0</v>
      </c>
      <c r="J3860">
        <v>0</v>
      </c>
      <c r="K3860">
        <v>999</v>
      </c>
      <c r="L3860" s="5">
        <v>46288</v>
      </c>
      <c r="M3860" t="s">
        <v>8302</v>
      </c>
      <c r="N3860" t="s">
        <v>207</v>
      </c>
      <c r="O3860" t="s">
        <v>8398</v>
      </c>
      <c r="P3860" t="s">
        <v>208</v>
      </c>
      <c r="Q3860" t="s">
        <v>209</v>
      </c>
    </row>
    <row r="3861" spans="1:17" x14ac:dyDescent="0.3">
      <c r="A3861" t="s">
        <v>8399</v>
      </c>
      <c r="C3861" t="s">
        <v>8400</v>
      </c>
      <c r="D3861" t="s">
        <v>8401</v>
      </c>
      <c r="E3861" s="5">
        <v>46286</v>
      </c>
      <c r="F3861" t="s">
        <v>204</v>
      </c>
      <c r="G3861" t="s">
        <v>220</v>
      </c>
      <c r="H3861">
        <v>7999</v>
      </c>
      <c r="I3861">
        <v>24</v>
      </c>
      <c r="J3861">
        <v>4.32</v>
      </c>
      <c r="K3861">
        <v>7970.68</v>
      </c>
      <c r="L3861" s="5">
        <v>46288</v>
      </c>
      <c r="M3861" t="s">
        <v>8302</v>
      </c>
      <c r="N3861" t="s">
        <v>207</v>
      </c>
      <c r="O3861" t="s">
        <v>8401</v>
      </c>
      <c r="P3861" t="s">
        <v>208</v>
      </c>
      <c r="Q3861" t="s">
        <v>209</v>
      </c>
    </row>
    <row r="3862" spans="1:17" x14ac:dyDescent="0.3">
      <c r="A3862" t="s">
        <v>8402</v>
      </c>
      <c r="C3862" t="s">
        <v>8403</v>
      </c>
      <c r="D3862" t="s">
        <v>8403</v>
      </c>
      <c r="E3862" s="5">
        <v>46286</v>
      </c>
      <c r="F3862" t="s">
        <v>204</v>
      </c>
      <c r="G3862" t="s">
        <v>220</v>
      </c>
      <c r="H3862">
        <v>499</v>
      </c>
      <c r="I3862">
        <v>0</v>
      </c>
      <c r="J3862">
        <v>0</v>
      </c>
      <c r="K3862">
        <v>499</v>
      </c>
      <c r="L3862" s="5">
        <v>46288</v>
      </c>
      <c r="M3862" t="s">
        <v>8302</v>
      </c>
      <c r="N3862" t="s">
        <v>207</v>
      </c>
      <c r="O3862" t="s">
        <v>8403</v>
      </c>
      <c r="P3862" t="s">
        <v>208</v>
      </c>
      <c r="Q3862" t="s">
        <v>209</v>
      </c>
    </row>
    <row r="3863" spans="1:17" x14ac:dyDescent="0.3">
      <c r="A3863" t="s">
        <v>8404</v>
      </c>
      <c r="C3863" t="s">
        <v>8405</v>
      </c>
      <c r="D3863" t="s">
        <v>8405</v>
      </c>
      <c r="E3863" s="5">
        <v>46286</v>
      </c>
      <c r="F3863" t="s">
        <v>204</v>
      </c>
      <c r="G3863" t="s">
        <v>220</v>
      </c>
      <c r="H3863">
        <v>4999</v>
      </c>
      <c r="I3863">
        <v>15</v>
      </c>
      <c r="J3863">
        <v>2.7</v>
      </c>
      <c r="K3863">
        <v>4981.3</v>
      </c>
      <c r="L3863" s="5">
        <v>46288</v>
      </c>
      <c r="M3863" t="s">
        <v>8302</v>
      </c>
      <c r="N3863" t="s">
        <v>207</v>
      </c>
      <c r="O3863" t="s">
        <v>8405</v>
      </c>
      <c r="P3863" t="s">
        <v>208</v>
      </c>
      <c r="Q3863" t="s">
        <v>209</v>
      </c>
    </row>
    <row r="3864" spans="1:17" x14ac:dyDescent="0.3">
      <c r="A3864" t="s">
        <v>8406</v>
      </c>
      <c r="C3864" t="s">
        <v>8407</v>
      </c>
      <c r="D3864" t="s">
        <v>8407</v>
      </c>
      <c r="E3864" s="5">
        <v>46286</v>
      </c>
      <c r="F3864" t="s">
        <v>204</v>
      </c>
      <c r="G3864" t="s">
        <v>213</v>
      </c>
      <c r="H3864">
        <v>7997</v>
      </c>
      <c r="I3864">
        <v>127.95</v>
      </c>
      <c r="J3864">
        <v>23.03</v>
      </c>
      <c r="K3864">
        <v>7846.02</v>
      </c>
      <c r="L3864" s="5">
        <v>46288</v>
      </c>
      <c r="M3864" t="s">
        <v>8302</v>
      </c>
      <c r="N3864" t="s">
        <v>207</v>
      </c>
      <c r="O3864" t="s">
        <v>8407</v>
      </c>
      <c r="P3864" t="s">
        <v>208</v>
      </c>
      <c r="Q3864" t="s">
        <v>209</v>
      </c>
    </row>
    <row r="3865" spans="1:17" x14ac:dyDescent="0.3">
      <c r="A3865" t="s">
        <v>8408</v>
      </c>
      <c r="C3865" t="s">
        <v>8409</v>
      </c>
      <c r="D3865" t="s">
        <v>8409</v>
      </c>
      <c r="E3865" s="5">
        <v>46286</v>
      </c>
      <c r="F3865" t="s">
        <v>204</v>
      </c>
      <c r="G3865" t="s">
        <v>220</v>
      </c>
      <c r="H3865">
        <v>4897</v>
      </c>
      <c r="I3865">
        <v>14.69</v>
      </c>
      <c r="J3865">
        <v>2.64</v>
      </c>
      <c r="K3865">
        <v>4879.67</v>
      </c>
      <c r="L3865" s="5">
        <v>46288</v>
      </c>
      <c r="M3865" t="s">
        <v>8302</v>
      </c>
      <c r="N3865" t="s">
        <v>207</v>
      </c>
      <c r="O3865" t="s">
        <v>8409</v>
      </c>
      <c r="P3865" t="s">
        <v>208</v>
      </c>
      <c r="Q3865" t="s">
        <v>209</v>
      </c>
    </row>
    <row r="3866" spans="1:17" x14ac:dyDescent="0.3">
      <c r="A3866" t="s">
        <v>8410</v>
      </c>
      <c r="C3866" t="s">
        <v>8411</v>
      </c>
      <c r="D3866" t="s">
        <v>8411</v>
      </c>
      <c r="E3866" s="5">
        <v>46286</v>
      </c>
      <c r="F3866" t="s">
        <v>204</v>
      </c>
      <c r="G3866" t="s">
        <v>220</v>
      </c>
      <c r="H3866">
        <v>8348</v>
      </c>
      <c r="I3866">
        <v>25.04</v>
      </c>
      <c r="J3866">
        <v>4.51</v>
      </c>
      <c r="K3866">
        <v>8318.4500000000007</v>
      </c>
      <c r="L3866" s="5">
        <v>46288</v>
      </c>
      <c r="M3866" t="s">
        <v>8302</v>
      </c>
      <c r="N3866" t="s">
        <v>207</v>
      </c>
      <c r="O3866" t="s">
        <v>8411</v>
      </c>
      <c r="P3866" t="s">
        <v>208</v>
      </c>
      <c r="Q3866" t="s">
        <v>209</v>
      </c>
    </row>
    <row r="3867" spans="1:17" x14ac:dyDescent="0.3">
      <c r="A3867" t="s">
        <v>8412</v>
      </c>
      <c r="C3867" t="s">
        <v>8413</v>
      </c>
      <c r="D3867" t="s">
        <v>8413</v>
      </c>
      <c r="E3867" s="5">
        <v>46286</v>
      </c>
      <c r="F3867" t="s">
        <v>204</v>
      </c>
      <c r="G3867" t="s">
        <v>205</v>
      </c>
      <c r="H3867">
        <v>1499</v>
      </c>
      <c r="I3867">
        <v>28.48</v>
      </c>
      <c r="J3867">
        <v>5.13</v>
      </c>
      <c r="K3867">
        <v>1465.39</v>
      </c>
      <c r="L3867" s="5">
        <v>46288</v>
      </c>
      <c r="M3867" t="s">
        <v>8302</v>
      </c>
      <c r="N3867" t="s">
        <v>207</v>
      </c>
      <c r="O3867" t="s">
        <v>8413</v>
      </c>
      <c r="P3867" t="s">
        <v>208</v>
      </c>
      <c r="Q3867" t="s">
        <v>209</v>
      </c>
    </row>
    <row r="3868" spans="1:17" x14ac:dyDescent="0.3">
      <c r="A3868" t="s">
        <v>8414</v>
      </c>
      <c r="C3868" t="s">
        <v>8415</v>
      </c>
      <c r="D3868" t="s">
        <v>8416</v>
      </c>
      <c r="E3868" s="5">
        <v>46286</v>
      </c>
      <c r="F3868" t="s">
        <v>204</v>
      </c>
      <c r="G3868" t="s">
        <v>255</v>
      </c>
      <c r="H3868">
        <v>349</v>
      </c>
      <c r="I3868">
        <v>5.24</v>
      </c>
      <c r="J3868">
        <v>0.94</v>
      </c>
      <c r="K3868">
        <v>342.82</v>
      </c>
      <c r="L3868" s="5">
        <v>46288</v>
      </c>
      <c r="M3868" t="s">
        <v>8302</v>
      </c>
      <c r="N3868" t="s">
        <v>207</v>
      </c>
      <c r="O3868" t="s">
        <v>8416</v>
      </c>
      <c r="P3868" t="s">
        <v>208</v>
      </c>
      <c r="Q3868" t="s">
        <v>209</v>
      </c>
    </row>
    <row r="3869" spans="1:17" x14ac:dyDescent="0.3">
      <c r="A3869" t="s">
        <v>8417</v>
      </c>
      <c r="C3869" t="s">
        <v>8418</v>
      </c>
      <c r="D3869" t="s">
        <v>8418</v>
      </c>
      <c r="E3869" s="5">
        <v>46286</v>
      </c>
      <c r="F3869" t="s">
        <v>204</v>
      </c>
      <c r="G3869" t="s">
        <v>220</v>
      </c>
      <c r="H3869">
        <v>799</v>
      </c>
      <c r="I3869">
        <v>0</v>
      </c>
      <c r="J3869">
        <v>0</v>
      </c>
      <c r="K3869">
        <v>799</v>
      </c>
      <c r="L3869" s="5">
        <v>46288</v>
      </c>
      <c r="M3869" t="s">
        <v>8302</v>
      </c>
      <c r="N3869" t="s">
        <v>207</v>
      </c>
      <c r="O3869" t="s">
        <v>8418</v>
      </c>
      <c r="P3869" t="s">
        <v>208</v>
      </c>
      <c r="Q3869" t="s">
        <v>209</v>
      </c>
    </row>
    <row r="3870" spans="1:17" x14ac:dyDescent="0.3">
      <c r="A3870" t="s">
        <v>8419</v>
      </c>
      <c r="C3870" t="s">
        <v>8420</v>
      </c>
      <c r="D3870" t="s">
        <v>8421</v>
      </c>
      <c r="E3870" s="5">
        <v>46286</v>
      </c>
      <c r="F3870" t="s">
        <v>204</v>
      </c>
      <c r="G3870" t="s">
        <v>220</v>
      </c>
      <c r="H3870">
        <v>599</v>
      </c>
      <c r="I3870">
        <v>0</v>
      </c>
      <c r="J3870">
        <v>0</v>
      </c>
      <c r="K3870">
        <v>599</v>
      </c>
      <c r="L3870" s="5">
        <v>46288</v>
      </c>
      <c r="M3870" t="s">
        <v>8302</v>
      </c>
      <c r="N3870" t="s">
        <v>207</v>
      </c>
      <c r="O3870" t="s">
        <v>8421</v>
      </c>
      <c r="P3870" t="s">
        <v>208</v>
      </c>
      <c r="Q3870" t="s">
        <v>209</v>
      </c>
    </row>
    <row r="3871" spans="1:17" x14ac:dyDescent="0.3">
      <c r="A3871" t="s">
        <v>8422</v>
      </c>
      <c r="C3871" t="s">
        <v>8423</v>
      </c>
      <c r="D3871" t="s">
        <v>8423</v>
      </c>
      <c r="E3871" s="5">
        <v>46286</v>
      </c>
      <c r="F3871" t="s">
        <v>204</v>
      </c>
      <c r="G3871" t="s">
        <v>205</v>
      </c>
      <c r="H3871">
        <v>799</v>
      </c>
      <c r="I3871">
        <v>15.18</v>
      </c>
      <c r="J3871">
        <v>2.73</v>
      </c>
      <c r="K3871">
        <v>781.09</v>
      </c>
      <c r="L3871" s="5">
        <v>46288</v>
      </c>
      <c r="M3871" t="s">
        <v>8302</v>
      </c>
      <c r="N3871" t="s">
        <v>207</v>
      </c>
      <c r="O3871" t="s">
        <v>8423</v>
      </c>
      <c r="P3871" t="s">
        <v>208</v>
      </c>
      <c r="Q3871" t="s">
        <v>209</v>
      </c>
    </row>
    <row r="3872" spans="1:17" x14ac:dyDescent="0.3">
      <c r="A3872" t="s">
        <v>8424</v>
      </c>
      <c r="C3872" t="s">
        <v>8425</v>
      </c>
      <c r="D3872" t="s">
        <v>8425</v>
      </c>
      <c r="E3872" s="5">
        <v>46286</v>
      </c>
      <c r="F3872" t="s">
        <v>204</v>
      </c>
      <c r="G3872" t="s">
        <v>255</v>
      </c>
      <c r="H3872">
        <v>10597</v>
      </c>
      <c r="I3872">
        <v>95.37</v>
      </c>
      <c r="J3872">
        <v>17.170000000000002</v>
      </c>
      <c r="K3872">
        <v>10484.459999999999</v>
      </c>
      <c r="L3872" s="5">
        <v>46288</v>
      </c>
      <c r="M3872" t="s">
        <v>8302</v>
      </c>
      <c r="N3872" t="s">
        <v>207</v>
      </c>
      <c r="O3872" t="s">
        <v>8425</v>
      </c>
      <c r="P3872" t="s">
        <v>208</v>
      </c>
      <c r="Q3872" t="s">
        <v>209</v>
      </c>
    </row>
    <row r="3873" spans="1:17" x14ac:dyDescent="0.3">
      <c r="A3873" t="s">
        <v>8426</v>
      </c>
      <c r="C3873" t="s">
        <v>8427</v>
      </c>
      <c r="D3873" t="s">
        <v>8427</v>
      </c>
      <c r="E3873" s="5">
        <v>46286</v>
      </c>
      <c r="F3873" t="s">
        <v>204</v>
      </c>
      <c r="G3873" t="s">
        <v>205</v>
      </c>
      <c r="H3873">
        <v>999</v>
      </c>
      <c r="I3873">
        <v>18.98</v>
      </c>
      <c r="J3873">
        <v>3.42</v>
      </c>
      <c r="K3873">
        <v>976.6</v>
      </c>
      <c r="L3873" s="5">
        <v>46288</v>
      </c>
      <c r="M3873" t="s">
        <v>8302</v>
      </c>
      <c r="N3873" t="s">
        <v>207</v>
      </c>
      <c r="O3873" t="s">
        <v>8427</v>
      </c>
      <c r="P3873" t="s">
        <v>208</v>
      </c>
      <c r="Q3873" t="s">
        <v>209</v>
      </c>
    </row>
    <row r="3874" spans="1:17" x14ac:dyDescent="0.3">
      <c r="A3874" t="s">
        <v>8428</v>
      </c>
      <c r="C3874" t="s">
        <v>8429</v>
      </c>
      <c r="D3874" t="s">
        <v>8429</v>
      </c>
      <c r="E3874" s="5">
        <v>46286</v>
      </c>
      <c r="F3874" t="s">
        <v>204</v>
      </c>
      <c r="G3874" t="s">
        <v>213</v>
      </c>
      <c r="H3874">
        <v>9597</v>
      </c>
      <c r="I3874">
        <v>153.55000000000001</v>
      </c>
      <c r="J3874">
        <v>27.64</v>
      </c>
      <c r="K3874">
        <v>9415.81</v>
      </c>
      <c r="L3874" s="5">
        <v>46288</v>
      </c>
      <c r="M3874" t="s">
        <v>8302</v>
      </c>
      <c r="N3874" t="s">
        <v>207</v>
      </c>
      <c r="O3874" t="s">
        <v>8429</v>
      </c>
      <c r="P3874" t="s">
        <v>208</v>
      </c>
      <c r="Q3874" t="s">
        <v>209</v>
      </c>
    </row>
    <row r="3875" spans="1:17" x14ac:dyDescent="0.3">
      <c r="A3875" t="s">
        <v>8430</v>
      </c>
      <c r="C3875" t="s">
        <v>8431</v>
      </c>
      <c r="D3875" t="s">
        <v>8432</v>
      </c>
      <c r="E3875" s="5">
        <v>46286</v>
      </c>
      <c r="F3875" t="s">
        <v>204</v>
      </c>
      <c r="G3875" t="s">
        <v>220</v>
      </c>
      <c r="H3875">
        <v>798</v>
      </c>
      <c r="I3875">
        <v>0</v>
      </c>
      <c r="J3875">
        <v>0</v>
      </c>
      <c r="K3875">
        <v>798</v>
      </c>
      <c r="L3875" s="5">
        <v>46288</v>
      </c>
      <c r="M3875" t="s">
        <v>8302</v>
      </c>
      <c r="N3875" t="s">
        <v>207</v>
      </c>
      <c r="O3875" t="s">
        <v>8432</v>
      </c>
      <c r="P3875" t="s">
        <v>208</v>
      </c>
      <c r="Q3875" t="s">
        <v>209</v>
      </c>
    </row>
    <row r="3876" spans="1:17" x14ac:dyDescent="0.3">
      <c r="A3876" t="s">
        <v>8433</v>
      </c>
      <c r="C3876" t="s">
        <v>8434</v>
      </c>
      <c r="D3876" t="s">
        <v>8434</v>
      </c>
      <c r="E3876" s="5">
        <v>46286</v>
      </c>
      <c r="F3876" t="s">
        <v>204</v>
      </c>
      <c r="G3876" t="s">
        <v>205</v>
      </c>
      <c r="H3876">
        <v>8348</v>
      </c>
      <c r="I3876">
        <v>141.91999999999999</v>
      </c>
      <c r="J3876">
        <v>25.55</v>
      </c>
      <c r="K3876">
        <v>8180.53</v>
      </c>
      <c r="L3876" s="5">
        <v>46288</v>
      </c>
      <c r="M3876" t="s">
        <v>8302</v>
      </c>
      <c r="N3876" t="s">
        <v>207</v>
      </c>
      <c r="O3876" t="s">
        <v>8434</v>
      </c>
      <c r="P3876" t="s">
        <v>208</v>
      </c>
      <c r="Q3876" t="s">
        <v>209</v>
      </c>
    </row>
    <row r="3877" spans="1:17" x14ac:dyDescent="0.3">
      <c r="A3877" t="s">
        <v>8435</v>
      </c>
      <c r="C3877" t="s">
        <v>8436</v>
      </c>
      <c r="D3877" t="s">
        <v>8436</v>
      </c>
      <c r="E3877" s="5">
        <v>46286</v>
      </c>
      <c r="F3877" t="s">
        <v>204</v>
      </c>
      <c r="G3877" t="s">
        <v>220</v>
      </c>
      <c r="H3877">
        <v>4097</v>
      </c>
      <c r="I3877">
        <v>12.29</v>
      </c>
      <c r="J3877">
        <v>2.21</v>
      </c>
      <c r="K3877">
        <v>4082.5</v>
      </c>
      <c r="L3877" s="5">
        <v>46288</v>
      </c>
      <c r="M3877" t="s">
        <v>8302</v>
      </c>
      <c r="N3877" t="s">
        <v>207</v>
      </c>
      <c r="O3877" t="s">
        <v>8436</v>
      </c>
      <c r="P3877" t="s">
        <v>208</v>
      </c>
      <c r="Q3877" t="s">
        <v>209</v>
      </c>
    </row>
    <row r="3878" spans="1:17" x14ac:dyDescent="0.3">
      <c r="A3878" t="s">
        <v>8437</v>
      </c>
      <c r="C3878" t="s">
        <v>8438</v>
      </c>
      <c r="D3878" t="s">
        <v>8439</v>
      </c>
      <c r="E3878" s="5">
        <v>46286</v>
      </c>
      <c r="F3878" t="s">
        <v>204</v>
      </c>
      <c r="G3878" t="s">
        <v>255</v>
      </c>
      <c r="H3878">
        <v>1798</v>
      </c>
      <c r="I3878">
        <v>26.97</v>
      </c>
      <c r="J3878">
        <v>4.8499999999999996</v>
      </c>
      <c r="K3878">
        <v>1766.18</v>
      </c>
      <c r="L3878" s="5">
        <v>46288</v>
      </c>
      <c r="M3878" t="s">
        <v>8302</v>
      </c>
      <c r="N3878" t="s">
        <v>207</v>
      </c>
      <c r="O3878" t="s">
        <v>8439</v>
      </c>
      <c r="P3878" t="s">
        <v>208</v>
      </c>
      <c r="Q3878" t="s">
        <v>209</v>
      </c>
    </row>
    <row r="3879" spans="1:17" x14ac:dyDescent="0.3">
      <c r="A3879" t="s">
        <v>8440</v>
      </c>
      <c r="C3879" t="s">
        <v>8441</v>
      </c>
      <c r="D3879" t="s">
        <v>8441</v>
      </c>
      <c r="E3879" s="5">
        <v>46286</v>
      </c>
      <c r="F3879" t="s">
        <v>204</v>
      </c>
      <c r="G3879" t="s">
        <v>213</v>
      </c>
      <c r="H3879">
        <v>3499</v>
      </c>
      <c r="I3879">
        <v>55.98</v>
      </c>
      <c r="J3879">
        <v>10.08</v>
      </c>
      <c r="K3879">
        <v>3432.94</v>
      </c>
      <c r="L3879" s="5">
        <v>46288</v>
      </c>
      <c r="M3879" t="s">
        <v>8302</v>
      </c>
      <c r="N3879" t="s">
        <v>207</v>
      </c>
      <c r="O3879" t="s">
        <v>8441</v>
      </c>
      <c r="P3879" t="s">
        <v>208</v>
      </c>
      <c r="Q3879" t="s">
        <v>209</v>
      </c>
    </row>
    <row r="3880" spans="1:17" x14ac:dyDescent="0.3">
      <c r="A3880" t="s">
        <v>8442</v>
      </c>
      <c r="C3880" t="s">
        <v>8443</v>
      </c>
      <c r="D3880" t="s">
        <v>8443</v>
      </c>
      <c r="E3880" s="5">
        <v>46286</v>
      </c>
      <c r="F3880" t="s">
        <v>204</v>
      </c>
      <c r="G3880" t="s">
        <v>213</v>
      </c>
      <c r="H3880">
        <v>499</v>
      </c>
      <c r="I3880">
        <v>8.98</v>
      </c>
      <c r="J3880">
        <v>1.62</v>
      </c>
      <c r="K3880">
        <v>488.4</v>
      </c>
      <c r="L3880" s="5">
        <v>46288</v>
      </c>
      <c r="M3880" t="s">
        <v>8302</v>
      </c>
      <c r="N3880" t="s">
        <v>207</v>
      </c>
      <c r="O3880" t="s">
        <v>8443</v>
      </c>
      <c r="P3880" t="s">
        <v>208</v>
      </c>
      <c r="Q3880" t="s">
        <v>209</v>
      </c>
    </row>
    <row r="3881" spans="1:17" x14ac:dyDescent="0.3">
      <c r="A3881" t="s">
        <v>8444</v>
      </c>
      <c r="C3881" t="s">
        <v>8445</v>
      </c>
      <c r="D3881" t="s">
        <v>8445</v>
      </c>
      <c r="E3881" s="5">
        <v>46286</v>
      </c>
      <c r="F3881" t="s">
        <v>204</v>
      </c>
      <c r="G3881" t="s">
        <v>220</v>
      </c>
      <c r="H3881">
        <v>2398</v>
      </c>
      <c r="I3881">
        <v>7.19</v>
      </c>
      <c r="J3881">
        <v>1.29</v>
      </c>
      <c r="K3881">
        <v>2389.52</v>
      </c>
      <c r="L3881" s="5">
        <v>46288</v>
      </c>
      <c r="M3881" t="s">
        <v>8302</v>
      </c>
      <c r="N3881" t="s">
        <v>207</v>
      </c>
      <c r="O3881" t="s">
        <v>8445</v>
      </c>
      <c r="P3881" t="s">
        <v>208</v>
      </c>
      <c r="Q3881" t="s">
        <v>209</v>
      </c>
    </row>
    <row r="3882" spans="1:17" x14ac:dyDescent="0.3">
      <c r="A3882" t="s">
        <v>8446</v>
      </c>
      <c r="C3882" t="s">
        <v>8447</v>
      </c>
      <c r="D3882" t="s">
        <v>8447</v>
      </c>
      <c r="E3882" s="5">
        <v>46286</v>
      </c>
      <c r="F3882" t="s">
        <v>204</v>
      </c>
      <c r="G3882" t="s">
        <v>220</v>
      </c>
      <c r="H3882">
        <v>299</v>
      </c>
      <c r="I3882">
        <v>0</v>
      </c>
      <c r="J3882">
        <v>0</v>
      </c>
      <c r="K3882">
        <v>299</v>
      </c>
      <c r="L3882" s="5">
        <v>46288</v>
      </c>
      <c r="M3882" t="s">
        <v>8302</v>
      </c>
      <c r="N3882" t="s">
        <v>207</v>
      </c>
      <c r="O3882" t="s">
        <v>8447</v>
      </c>
      <c r="P3882" t="s">
        <v>208</v>
      </c>
      <c r="Q3882" t="s">
        <v>209</v>
      </c>
    </row>
    <row r="3883" spans="1:17" x14ac:dyDescent="0.3">
      <c r="A3883" t="s">
        <v>8448</v>
      </c>
      <c r="C3883" t="s">
        <v>8449</v>
      </c>
      <c r="D3883" t="s">
        <v>8449</v>
      </c>
      <c r="E3883" s="5">
        <v>46286</v>
      </c>
      <c r="F3883" t="s">
        <v>204</v>
      </c>
      <c r="G3883" t="s">
        <v>220</v>
      </c>
      <c r="H3883">
        <v>1897</v>
      </c>
      <c r="I3883">
        <v>0</v>
      </c>
      <c r="J3883">
        <v>0</v>
      </c>
      <c r="K3883">
        <v>1897</v>
      </c>
      <c r="L3883" s="5">
        <v>46288</v>
      </c>
      <c r="M3883" t="s">
        <v>8302</v>
      </c>
      <c r="N3883" t="s">
        <v>207</v>
      </c>
      <c r="O3883" t="s">
        <v>8449</v>
      </c>
      <c r="P3883" t="s">
        <v>208</v>
      </c>
      <c r="Q3883" t="s">
        <v>209</v>
      </c>
    </row>
    <row r="3884" spans="1:17" x14ac:dyDescent="0.3">
      <c r="A3884" t="s">
        <v>8450</v>
      </c>
      <c r="C3884" t="s">
        <v>8451</v>
      </c>
      <c r="D3884" t="s">
        <v>8451</v>
      </c>
      <c r="E3884" s="5">
        <v>46286</v>
      </c>
      <c r="F3884" t="s">
        <v>204</v>
      </c>
      <c r="G3884" t="s">
        <v>220</v>
      </c>
      <c r="H3884">
        <v>3598</v>
      </c>
      <c r="I3884">
        <v>10.79</v>
      </c>
      <c r="J3884">
        <v>1.94</v>
      </c>
      <c r="K3884">
        <v>3585.27</v>
      </c>
      <c r="L3884" s="5">
        <v>46288</v>
      </c>
      <c r="M3884" t="s">
        <v>8302</v>
      </c>
      <c r="N3884" t="s">
        <v>207</v>
      </c>
      <c r="O3884" t="s">
        <v>8451</v>
      </c>
      <c r="P3884" t="s">
        <v>208</v>
      </c>
      <c r="Q3884" t="s">
        <v>209</v>
      </c>
    </row>
    <row r="3885" spans="1:17" x14ac:dyDescent="0.3">
      <c r="A3885" t="s">
        <v>8452</v>
      </c>
      <c r="C3885" t="s">
        <v>8453</v>
      </c>
      <c r="D3885" t="s">
        <v>8453</v>
      </c>
      <c r="E3885" s="5">
        <v>46286</v>
      </c>
      <c r="F3885" t="s">
        <v>204</v>
      </c>
      <c r="G3885" t="s">
        <v>255</v>
      </c>
      <c r="H3885">
        <v>1697</v>
      </c>
      <c r="I3885">
        <v>25.46</v>
      </c>
      <c r="J3885">
        <v>4.58</v>
      </c>
      <c r="K3885">
        <v>1666.96</v>
      </c>
      <c r="L3885" s="5">
        <v>46288</v>
      </c>
      <c r="M3885" t="s">
        <v>8302</v>
      </c>
      <c r="N3885" t="s">
        <v>207</v>
      </c>
      <c r="O3885" t="s">
        <v>8453</v>
      </c>
      <c r="P3885" t="s">
        <v>208</v>
      </c>
      <c r="Q3885" t="s">
        <v>209</v>
      </c>
    </row>
    <row r="3886" spans="1:17" x14ac:dyDescent="0.3">
      <c r="A3886" t="s">
        <v>8454</v>
      </c>
      <c r="C3886" t="s">
        <v>8455</v>
      </c>
      <c r="D3886" t="s">
        <v>8455</v>
      </c>
      <c r="E3886" s="5">
        <v>46286</v>
      </c>
      <c r="F3886" t="s">
        <v>204</v>
      </c>
      <c r="G3886" t="s">
        <v>205</v>
      </c>
      <c r="H3886">
        <v>1598</v>
      </c>
      <c r="I3886">
        <v>30.36</v>
      </c>
      <c r="J3886">
        <v>5.46</v>
      </c>
      <c r="K3886">
        <v>1562.18</v>
      </c>
      <c r="L3886" s="5">
        <v>46288</v>
      </c>
      <c r="M3886" t="s">
        <v>8302</v>
      </c>
      <c r="N3886" t="s">
        <v>207</v>
      </c>
      <c r="O3886" t="s">
        <v>8455</v>
      </c>
      <c r="P3886" t="s">
        <v>208</v>
      </c>
      <c r="Q3886" t="s">
        <v>209</v>
      </c>
    </row>
    <row r="3887" spans="1:17" x14ac:dyDescent="0.3">
      <c r="A3887" t="s">
        <v>8456</v>
      </c>
      <c r="C3887" t="s">
        <v>8457</v>
      </c>
      <c r="D3887" t="s">
        <v>8458</v>
      </c>
      <c r="E3887" s="5">
        <v>46286</v>
      </c>
      <c r="F3887" t="s">
        <v>204</v>
      </c>
      <c r="G3887" t="s">
        <v>213</v>
      </c>
      <c r="H3887">
        <v>3498</v>
      </c>
      <c r="I3887">
        <v>55.97</v>
      </c>
      <c r="J3887">
        <v>10.07</v>
      </c>
      <c r="K3887">
        <v>3431.96</v>
      </c>
      <c r="L3887" s="5">
        <v>46288</v>
      </c>
      <c r="M3887" t="s">
        <v>8302</v>
      </c>
      <c r="N3887" t="s">
        <v>207</v>
      </c>
      <c r="O3887" t="s">
        <v>8458</v>
      </c>
      <c r="P3887" t="s">
        <v>208</v>
      </c>
      <c r="Q3887" t="s">
        <v>209</v>
      </c>
    </row>
    <row r="3888" spans="1:17" x14ac:dyDescent="0.3">
      <c r="A3888" t="s">
        <v>8459</v>
      </c>
      <c r="C3888" t="s">
        <v>8460</v>
      </c>
      <c r="D3888" t="s">
        <v>8460</v>
      </c>
      <c r="E3888" s="5">
        <v>46286</v>
      </c>
      <c r="F3888" t="s">
        <v>204</v>
      </c>
      <c r="G3888" t="s">
        <v>205</v>
      </c>
      <c r="H3888">
        <v>6397</v>
      </c>
      <c r="I3888">
        <v>108.75</v>
      </c>
      <c r="J3888">
        <v>19.579999999999998</v>
      </c>
      <c r="K3888">
        <v>6268.67</v>
      </c>
      <c r="L3888" s="5">
        <v>46288</v>
      </c>
      <c r="M3888" t="s">
        <v>8302</v>
      </c>
      <c r="N3888" t="s">
        <v>207</v>
      </c>
      <c r="O3888" t="s">
        <v>8460</v>
      </c>
      <c r="P3888" t="s">
        <v>208</v>
      </c>
      <c r="Q3888" t="s">
        <v>209</v>
      </c>
    </row>
    <row r="3889" spans="1:17" x14ac:dyDescent="0.3">
      <c r="A3889" t="s">
        <v>8461</v>
      </c>
      <c r="C3889" t="s">
        <v>8462</v>
      </c>
      <c r="D3889" t="s">
        <v>8462</v>
      </c>
      <c r="E3889" s="5">
        <v>46286</v>
      </c>
      <c r="F3889" t="s">
        <v>204</v>
      </c>
      <c r="G3889" t="s">
        <v>220</v>
      </c>
      <c r="H3889">
        <v>999</v>
      </c>
      <c r="I3889">
        <v>0</v>
      </c>
      <c r="J3889">
        <v>0</v>
      </c>
      <c r="K3889">
        <v>999</v>
      </c>
      <c r="L3889" s="5">
        <v>46288</v>
      </c>
      <c r="M3889" t="s">
        <v>8302</v>
      </c>
      <c r="N3889" t="s">
        <v>207</v>
      </c>
      <c r="O3889" t="s">
        <v>8462</v>
      </c>
      <c r="P3889" t="s">
        <v>208</v>
      </c>
      <c r="Q3889" t="s">
        <v>209</v>
      </c>
    </row>
    <row r="3890" spans="1:17" x14ac:dyDescent="0.3">
      <c r="A3890" t="s">
        <v>8463</v>
      </c>
      <c r="C3890" t="s">
        <v>8464</v>
      </c>
      <c r="D3890" t="s">
        <v>8465</v>
      </c>
      <c r="E3890" s="5">
        <v>46286</v>
      </c>
      <c r="F3890" t="s">
        <v>204</v>
      </c>
      <c r="G3890" t="s">
        <v>213</v>
      </c>
      <c r="H3890">
        <v>299</v>
      </c>
      <c r="I3890">
        <v>5.38</v>
      </c>
      <c r="J3890">
        <v>0.97</v>
      </c>
      <c r="K3890">
        <v>292.64999999999998</v>
      </c>
      <c r="L3890" s="5">
        <v>46288</v>
      </c>
      <c r="M3890" t="s">
        <v>8302</v>
      </c>
      <c r="N3890" t="s">
        <v>207</v>
      </c>
      <c r="O3890" t="s">
        <v>8465</v>
      </c>
      <c r="P3890" t="s">
        <v>208</v>
      </c>
      <c r="Q3890" t="s">
        <v>209</v>
      </c>
    </row>
    <row r="3891" spans="1:17" x14ac:dyDescent="0.3">
      <c r="A3891" t="s">
        <v>8466</v>
      </c>
      <c r="C3891" t="s">
        <v>8467</v>
      </c>
      <c r="D3891" t="s">
        <v>8467</v>
      </c>
      <c r="E3891" s="5">
        <v>46286</v>
      </c>
      <c r="F3891" t="s">
        <v>204</v>
      </c>
      <c r="G3891" t="s">
        <v>220</v>
      </c>
      <c r="H3891">
        <v>7999</v>
      </c>
      <c r="I3891">
        <v>24</v>
      </c>
      <c r="J3891">
        <v>4.32</v>
      </c>
      <c r="K3891">
        <v>7970.68</v>
      </c>
      <c r="L3891" s="5">
        <v>46288</v>
      </c>
      <c r="M3891" t="s">
        <v>8302</v>
      </c>
      <c r="N3891" t="s">
        <v>207</v>
      </c>
      <c r="O3891" t="s">
        <v>8467</v>
      </c>
      <c r="P3891" t="s">
        <v>208</v>
      </c>
      <c r="Q3891" t="s">
        <v>209</v>
      </c>
    </row>
    <row r="3892" spans="1:17" x14ac:dyDescent="0.3">
      <c r="A3892" t="s">
        <v>8468</v>
      </c>
      <c r="C3892" t="s">
        <v>8469</v>
      </c>
      <c r="D3892" t="s">
        <v>8469</v>
      </c>
      <c r="E3892" s="5">
        <v>46286</v>
      </c>
      <c r="F3892" t="s">
        <v>204</v>
      </c>
      <c r="G3892" t="s">
        <v>220</v>
      </c>
      <c r="H3892">
        <v>4999</v>
      </c>
      <c r="I3892">
        <v>15</v>
      </c>
      <c r="J3892">
        <v>2.7</v>
      </c>
      <c r="K3892">
        <v>4981.3</v>
      </c>
      <c r="L3892" s="5">
        <v>46288</v>
      </c>
      <c r="M3892" t="s">
        <v>8302</v>
      </c>
      <c r="N3892" t="s">
        <v>207</v>
      </c>
      <c r="O3892" t="s">
        <v>8469</v>
      </c>
      <c r="P3892" t="s">
        <v>208</v>
      </c>
      <c r="Q3892" t="s">
        <v>209</v>
      </c>
    </row>
    <row r="3893" spans="1:17" x14ac:dyDescent="0.3">
      <c r="A3893" t="s">
        <v>8470</v>
      </c>
      <c r="C3893" t="s">
        <v>8471</v>
      </c>
      <c r="D3893" t="s">
        <v>8471</v>
      </c>
      <c r="E3893" s="5">
        <v>46286</v>
      </c>
      <c r="F3893" t="s">
        <v>204</v>
      </c>
      <c r="G3893" t="s">
        <v>220</v>
      </c>
      <c r="H3893">
        <v>299</v>
      </c>
      <c r="I3893">
        <v>0</v>
      </c>
      <c r="J3893">
        <v>0</v>
      </c>
      <c r="K3893">
        <v>299</v>
      </c>
      <c r="L3893" s="5">
        <v>46288</v>
      </c>
      <c r="M3893" t="s">
        <v>8302</v>
      </c>
      <c r="N3893" t="s">
        <v>207</v>
      </c>
      <c r="O3893" t="s">
        <v>8471</v>
      </c>
      <c r="P3893" t="s">
        <v>208</v>
      </c>
      <c r="Q3893" t="s">
        <v>209</v>
      </c>
    </row>
    <row r="3894" spans="1:17" x14ac:dyDescent="0.3">
      <c r="A3894" t="s">
        <v>8472</v>
      </c>
      <c r="C3894" t="s">
        <v>8473</v>
      </c>
      <c r="D3894" t="s">
        <v>8473</v>
      </c>
      <c r="E3894" s="5">
        <v>46286</v>
      </c>
      <c r="F3894" t="s">
        <v>204</v>
      </c>
      <c r="G3894" t="s">
        <v>220</v>
      </c>
      <c r="H3894">
        <v>3498</v>
      </c>
      <c r="I3894">
        <v>10.49</v>
      </c>
      <c r="J3894">
        <v>1.89</v>
      </c>
      <c r="K3894">
        <v>3485.62</v>
      </c>
      <c r="L3894" s="5">
        <v>46288</v>
      </c>
      <c r="M3894" t="s">
        <v>8302</v>
      </c>
      <c r="N3894" t="s">
        <v>207</v>
      </c>
      <c r="O3894" t="s">
        <v>8473</v>
      </c>
      <c r="P3894" t="s">
        <v>208</v>
      </c>
      <c r="Q3894" t="s">
        <v>209</v>
      </c>
    </row>
    <row r="3895" spans="1:17" x14ac:dyDescent="0.3">
      <c r="A3895" t="s">
        <v>8474</v>
      </c>
      <c r="C3895" t="s">
        <v>8475</v>
      </c>
      <c r="D3895" t="s">
        <v>8475</v>
      </c>
      <c r="E3895" s="5">
        <v>46286</v>
      </c>
      <c r="F3895" t="s">
        <v>204</v>
      </c>
      <c r="G3895" t="s">
        <v>213</v>
      </c>
      <c r="H3895">
        <v>2298</v>
      </c>
      <c r="I3895">
        <v>36.770000000000003</v>
      </c>
      <c r="J3895">
        <v>6.62</v>
      </c>
      <c r="K3895">
        <v>2254.61</v>
      </c>
      <c r="L3895" s="5">
        <v>46288</v>
      </c>
      <c r="M3895" t="s">
        <v>8302</v>
      </c>
      <c r="N3895" t="s">
        <v>207</v>
      </c>
      <c r="O3895" t="s">
        <v>8475</v>
      </c>
      <c r="P3895" t="s">
        <v>208</v>
      </c>
      <c r="Q3895" t="s">
        <v>209</v>
      </c>
    </row>
    <row r="3896" spans="1:17" x14ac:dyDescent="0.3">
      <c r="A3896" t="s">
        <v>8476</v>
      </c>
      <c r="C3896" t="s">
        <v>8477</v>
      </c>
      <c r="D3896" t="s">
        <v>8477</v>
      </c>
      <c r="E3896" s="5">
        <v>46286</v>
      </c>
      <c r="F3896" t="s">
        <v>204</v>
      </c>
      <c r="G3896" t="s">
        <v>220</v>
      </c>
      <c r="H3896">
        <v>2999</v>
      </c>
      <c r="I3896">
        <v>9</v>
      </c>
      <c r="J3896">
        <v>1.62</v>
      </c>
      <c r="K3896">
        <v>2988.38</v>
      </c>
      <c r="L3896" s="5">
        <v>46288</v>
      </c>
      <c r="M3896" t="s">
        <v>8302</v>
      </c>
      <c r="N3896" t="s">
        <v>207</v>
      </c>
      <c r="O3896" t="s">
        <v>8477</v>
      </c>
      <c r="P3896" t="s">
        <v>208</v>
      </c>
      <c r="Q3896" t="s">
        <v>209</v>
      </c>
    </row>
    <row r="3897" spans="1:17" x14ac:dyDescent="0.3">
      <c r="A3897" t="s">
        <v>8478</v>
      </c>
      <c r="C3897" t="s">
        <v>8479</v>
      </c>
      <c r="D3897" t="s">
        <v>8480</v>
      </c>
      <c r="E3897" s="5">
        <v>46286</v>
      </c>
      <c r="F3897" t="s">
        <v>204</v>
      </c>
      <c r="G3897" t="s">
        <v>205</v>
      </c>
      <c r="H3897">
        <v>799</v>
      </c>
      <c r="I3897">
        <v>15.18</v>
      </c>
      <c r="J3897">
        <v>2.73</v>
      </c>
      <c r="K3897">
        <v>781.09</v>
      </c>
      <c r="L3897" s="5">
        <v>46288</v>
      </c>
      <c r="M3897" t="s">
        <v>8302</v>
      </c>
      <c r="N3897" t="s">
        <v>207</v>
      </c>
      <c r="O3897" t="s">
        <v>8480</v>
      </c>
      <c r="P3897" t="s">
        <v>208</v>
      </c>
      <c r="Q3897" t="s">
        <v>209</v>
      </c>
    </row>
    <row r="3898" spans="1:17" x14ac:dyDescent="0.3">
      <c r="A3898" t="s">
        <v>8481</v>
      </c>
      <c r="C3898" t="s">
        <v>8482</v>
      </c>
      <c r="D3898" t="s">
        <v>8482</v>
      </c>
      <c r="E3898" s="5">
        <v>46286</v>
      </c>
      <c r="F3898" t="s">
        <v>204</v>
      </c>
      <c r="G3898" t="s">
        <v>220</v>
      </c>
      <c r="H3898">
        <v>1648</v>
      </c>
      <c r="I3898">
        <v>0</v>
      </c>
      <c r="J3898">
        <v>0</v>
      </c>
      <c r="K3898">
        <v>1648</v>
      </c>
      <c r="L3898" s="5">
        <v>46288</v>
      </c>
      <c r="M3898" t="s">
        <v>8302</v>
      </c>
      <c r="N3898" t="s">
        <v>207</v>
      </c>
      <c r="O3898" t="s">
        <v>8482</v>
      </c>
      <c r="P3898" t="s">
        <v>208</v>
      </c>
      <c r="Q3898" t="s">
        <v>209</v>
      </c>
    </row>
    <row r="3899" spans="1:17" x14ac:dyDescent="0.3">
      <c r="A3899" t="s">
        <v>8483</v>
      </c>
      <c r="C3899" t="s">
        <v>8484</v>
      </c>
      <c r="D3899" t="s">
        <v>8485</v>
      </c>
      <c r="E3899" s="5">
        <v>46286</v>
      </c>
      <c r="F3899" t="s">
        <v>204</v>
      </c>
      <c r="G3899" t="s">
        <v>220</v>
      </c>
      <c r="H3899">
        <v>3597</v>
      </c>
      <c r="I3899">
        <v>10.79</v>
      </c>
      <c r="J3899">
        <v>1.94</v>
      </c>
      <c r="K3899">
        <v>3584.27</v>
      </c>
      <c r="L3899" s="5">
        <v>46288</v>
      </c>
      <c r="M3899" t="s">
        <v>8302</v>
      </c>
      <c r="N3899" t="s">
        <v>207</v>
      </c>
      <c r="O3899" t="s">
        <v>8485</v>
      </c>
      <c r="P3899" t="s">
        <v>208</v>
      </c>
      <c r="Q3899" t="s">
        <v>209</v>
      </c>
    </row>
    <row r="3900" spans="1:17" x14ac:dyDescent="0.3">
      <c r="A3900" t="s">
        <v>8486</v>
      </c>
      <c r="C3900" t="s">
        <v>8487</v>
      </c>
      <c r="D3900" t="s">
        <v>8487</v>
      </c>
      <c r="E3900" s="5">
        <v>46286</v>
      </c>
      <c r="F3900" t="s">
        <v>204</v>
      </c>
      <c r="G3900" t="s">
        <v>205</v>
      </c>
      <c r="H3900">
        <v>5598</v>
      </c>
      <c r="I3900">
        <v>95.17</v>
      </c>
      <c r="J3900">
        <v>17.13</v>
      </c>
      <c r="K3900">
        <v>5485.7</v>
      </c>
      <c r="L3900" s="5">
        <v>46288</v>
      </c>
      <c r="M3900" t="s">
        <v>8302</v>
      </c>
      <c r="N3900" t="s">
        <v>207</v>
      </c>
      <c r="O3900" t="s">
        <v>8487</v>
      </c>
      <c r="P3900" t="s">
        <v>208</v>
      </c>
      <c r="Q3900" t="s">
        <v>209</v>
      </c>
    </row>
    <row r="3901" spans="1:17" x14ac:dyDescent="0.3">
      <c r="A3901" t="s">
        <v>8488</v>
      </c>
      <c r="C3901" t="s">
        <v>8489</v>
      </c>
      <c r="D3901" t="s">
        <v>8489</v>
      </c>
      <c r="E3901" s="5">
        <v>46286</v>
      </c>
      <c r="F3901" t="s">
        <v>204</v>
      </c>
      <c r="G3901" t="s">
        <v>220</v>
      </c>
      <c r="H3901">
        <v>3298</v>
      </c>
      <c r="I3901">
        <v>9.89</v>
      </c>
      <c r="J3901">
        <v>1.78</v>
      </c>
      <c r="K3901">
        <v>3286.33</v>
      </c>
      <c r="L3901" s="5">
        <v>46288</v>
      </c>
      <c r="M3901" t="s">
        <v>8302</v>
      </c>
      <c r="N3901" t="s">
        <v>207</v>
      </c>
      <c r="O3901" t="s">
        <v>8489</v>
      </c>
      <c r="P3901" t="s">
        <v>208</v>
      </c>
      <c r="Q3901" t="s">
        <v>209</v>
      </c>
    </row>
    <row r="3902" spans="1:17" x14ac:dyDescent="0.3">
      <c r="A3902" t="s">
        <v>8490</v>
      </c>
      <c r="C3902" t="s">
        <v>8491</v>
      </c>
      <c r="D3902" t="s">
        <v>8491</v>
      </c>
      <c r="E3902" s="5">
        <v>46286</v>
      </c>
      <c r="F3902" t="s">
        <v>204</v>
      </c>
      <c r="G3902" t="s">
        <v>220</v>
      </c>
      <c r="H3902">
        <v>6797</v>
      </c>
      <c r="I3902">
        <v>20.39</v>
      </c>
      <c r="J3902">
        <v>3.67</v>
      </c>
      <c r="K3902">
        <v>6772.94</v>
      </c>
      <c r="L3902" s="5">
        <v>46288</v>
      </c>
      <c r="M3902" t="s">
        <v>8302</v>
      </c>
      <c r="N3902" t="s">
        <v>207</v>
      </c>
      <c r="O3902" t="s">
        <v>8491</v>
      </c>
      <c r="P3902" t="s">
        <v>208</v>
      </c>
      <c r="Q3902" t="s">
        <v>209</v>
      </c>
    </row>
    <row r="3903" spans="1:17" x14ac:dyDescent="0.3">
      <c r="A3903" t="s">
        <v>8492</v>
      </c>
      <c r="C3903" t="s">
        <v>8493</v>
      </c>
      <c r="D3903" t="s">
        <v>8493</v>
      </c>
      <c r="E3903" s="5">
        <v>46286</v>
      </c>
      <c r="F3903" t="s">
        <v>204</v>
      </c>
      <c r="G3903" t="s">
        <v>220</v>
      </c>
      <c r="H3903">
        <v>1148</v>
      </c>
      <c r="I3903">
        <v>0</v>
      </c>
      <c r="J3903">
        <v>0</v>
      </c>
      <c r="K3903">
        <v>1148</v>
      </c>
      <c r="L3903" s="5">
        <v>46288</v>
      </c>
      <c r="M3903" t="s">
        <v>8302</v>
      </c>
      <c r="N3903" t="s">
        <v>207</v>
      </c>
      <c r="O3903" t="s">
        <v>8493</v>
      </c>
      <c r="P3903" t="s">
        <v>208</v>
      </c>
      <c r="Q3903" t="s">
        <v>209</v>
      </c>
    </row>
    <row r="3904" spans="1:17" x14ac:dyDescent="0.3">
      <c r="A3904" t="s">
        <v>8494</v>
      </c>
      <c r="C3904" t="s">
        <v>8495</v>
      </c>
      <c r="D3904" t="s">
        <v>8495</v>
      </c>
      <c r="E3904" s="5">
        <v>46286</v>
      </c>
      <c r="F3904" t="s">
        <v>204</v>
      </c>
      <c r="G3904" t="s">
        <v>213</v>
      </c>
      <c r="H3904">
        <v>7498</v>
      </c>
      <c r="I3904">
        <v>119.97</v>
      </c>
      <c r="J3904">
        <v>21.59</v>
      </c>
      <c r="K3904">
        <v>7356.44</v>
      </c>
      <c r="L3904" s="5">
        <v>46288</v>
      </c>
      <c r="M3904" t="s">
        <v>8302</v>
      </c>
      <c r="N3904" t="s">
        <v>207</v>
      </c>
      <c r="O3904" t="s">
        <v>8495</v>
      </c>
      <c r="P3904" t="s">
        <v>208</v>
      </c>
      <c r="Q3904" t="s">
        <v>209</v>
      </c>
    </row>
    <row r="3905" spans="1:17" x14ac:dyDescent="0.3">
      <c r="A3905" t="s">
        <v>8496</v>
      </c>
      <c r="C3905" t="s">
        <v>8497</v>
      </c>
      <c r="D3905" t="s">
        <v>8497</v>
      </c>
      <c r="E3905" s="5">
        <v>46286</v>
      </c>
      <c r="F3905" t="s">
        <v>204</v>
      </c>
      <c r="G3905" t="s">
        <v>255</v>
      </c>
      <c r="H3905">
        <v>1298</v>
      </c>
      <c r="I3905">
        <v>19.47</v>
      </c>
      <c r="J3905">
        <v>3.5</v>
      </c>
      <c r="K3905">
        <v>1275.03</v>
      </c>
      <c r="L3905" s="5">
        <v>46288</v>
      </c>
      <c r="M3905" t="s">
        <v>8302</v>
      </c>
      <c r="N3905" t="s">
        <v>207</v>
      </c>
      <c r="O3905" t="s">
        <v>8497</v>
      </c>
      <c r="P3905" t="s">
        <v>208</v>
      </c>
      <c r="Q3905" t="s">
        <v>209</v>
      </c>
    </row>
    <row r="3906" spans="1:17" x14ac:dyDescent="0.3">
      <c r="A3906" t="s">
        <v>8498</v>
      </c>
      <c r="C3906" t="s">
        <v>8499</v>
      </c>
      <c r="D3906" t="s">
        <v>8499</v>
      </c>
      <c r="E3906" s="5">
        <v>46286</v>
      </c>
      <c r="F3906" t="s">
        <v>204</v>
      </c>
      <c r="G3906" t="s">
        <v>220</v>
      </c>
      <c r="H3906">
        <v>4999</v>
      </c>
      <c r="I3906">
        <v>15</v>
      </c>
      <c r="J3906">
        <v>2.7</v>
      </c>
      <c r="K3906">
        <v>4981.3</v>
      </c>
      <c r="L3906" s="5">
        <v>46288</v>
      </c>
      <c r="M3906" t="s">
        <v>8302</v>
      </c>
      <c r="N3906" t="s">
        <v>207</v>
      </c>
      <c r="O3906" t="s">
        <v>8499</v>
      </c>
      <c r="P3906" t="s">
        <v>208</v>
      </c>
      <c r="Q3906" t="s">
        <v>209</v>
      </c>
    </row>
    <row r="3907" spans="1:17" x14ac:dyDescent="0.3">
      <c r="A3907" t="s">
        <v>8500</v>
      </c>
      <c r="C3907" t="s">
        <v>8501</v>
      </c>
      <c r="D3907" t="s">
        <v>8501</v>
      </c>
      <c r="E3907" s="5">
        <v>46286</v>
      </c>
      <c r="F3907" t="s">
        <v>204</v>
      </c>
      <c r="G3907" t="s">
        <v>220</v>
      </c>
      <c r="H3907">
        <v>1499</v>
      </c>
      <c r="I3907">
        <v>0</v>
      </c>
      <c r="J3907">
        <v>0</v>
      </c>
      <c r="K3907">
        <v>1499</v>
      </c>
      <c r="L3907" s="5">
        <v>46288</v>
      </c>
      <c r="M3907" t="s">
        <v>8302</v>
      </c>
      <c r="N3907" t="s">
        <v>207</v>
      </c>
      <c r="O3907" t="s">
        <v>8501</v>
      </c>
      <c r="P3907" t="s">
        <v>208</v>
      </c>
      <c r="Q3907" t="s">
        <v>209</v>
      </c>
    </row>
    <row r="3908" spans="1:17" x14ac:dyDescent="0.3">
      <c r="A3908" t="s">
        <v>8502</v>
      </c>
      <c r="C3908" t="s">
        <v>8503</v>
      </c>
      <c r="D3908" t="s">
        <v>8504</v>
      </c>
      <c r="E3908" s="5">
        <v>46286</v>
      </c>
      <c r="F3908" t="s">
        <v>204</v>
      </c>
      <c r="G3908" t="s">
        <v>213</v>
      </c>
      <c r="H3908">
        <v>3499</v>
      </c>
      <c r="I3908">
        <v>55.98</v>
      </c>
      <c r="J3908">
        <v>10.08</v>
      </c>
      <c r="K3908">
        <v>3432.94</v>
      </c>
      <c r="L3908" s="5">
        <v>46288</v>
      </c>
      <c r="M3908" t="s">
        <v>8302</v>
      </c>
      <c r="N3908" t="s">
        <v>207</v>
      </c>
      <c r="O3908" t="s">
        <v>8504</v>
      </c>
      <c r="P3908" t="s">
        <v>208</v>
      </c>
      <c r="Q3908" t="s">
        <v>209</v>
      </c>
    </row>
    <row r="3909" spans="1:17" x14ac:dyDescent="0.3">
      <c r="A3909" t="s">
        <v>8505</v>
      </c>
      <c r="C3909" t="s">
        <v>8506</v>
      </c>
      <c r="D3909" t="s">
        <v>8506</v>
      </c>
      <c r="E3909" s="5">
        <v>46286</v>
      </c>
      <c r="F3909" t="s">
        <v>204</v>
      </c>
      <c r="G3909" t="s">
        <v>213</v>
      </c>
      <c r="H3909">
        <v>5097</v>
      </c>
      <c r="I3909">
        <v>81.55</v>
      </c>
      <c r="J3909">
        <v>14.68</v>
      </c>
      <c r="K3909">
        <v>5000.7700000000004</v>
      </c>
      <c r="L3909" s="5">
        <v>46288</v>
      </c>
      <c r="M3909" t="s">
        <v>8302</v>
      </c>
      <c r="N3909" t="s">
        <v>207</v>
      </c>
      <c r="O3909" t="s">
        <v>8506</v>
      </c>
      <c r="P3909" t="s">
        <v>208</v>
      </c>
      <c r="Q3909" t="s">
        <v>209</v>
      </c>
    </row>
    <row r="3910" spans="1:17" x14ac:dyDescent="0.3">
      <c r="A3910" t="s">
        <v>8507</v>
      </c>
      <c r="C3910" t="s">
        <v>8508</v>
      </c>
      <c r="D3910" t="s">
        <v>8508</v>
      </c>
      <c r="E3910" s="5">
        <v>46286</v>
      </c>
      <c r="F3910" t="s">
        <v>204</v>
      </c>
      <c r="G3910" t="s">
        <v>220</v>
      </c>
      <c r="H3910">
        <v>5298</v>
      </c>
      <c r="I3910">
        <v>15.89</v>
      </c>
      <c r="J3910">
        <v>2.86</v>
      </c>
      <c r="K3910">
        <v>5279.25</v>
      </c>
      <c r="L3910" s="5">
        <v>46288</v>
      </c>
      <c r="M3910" t="s">
        <v>8302</v>
      </c>
      <c r="N3910" t="s">
        <v>207</v>
      </c>
      <c r="O3910" t="s">
        <v>8508</v>
      </c>
      <c r="P3910" t="s">
        <v>208</v>
      </c>
      <c r="Q3910" t="s">
        <v>209</v>
      </c>
    </row>
    <row r="3911" spans="1:17" x14ac:dyDescent="0.3">
      <c r="A3911" t="s">
        <v>8509</v>
      </c>
      <c r="C3911" t="s">
        <v>8510</v>
      </c>
      <c r="D3911" t="s">
        <v>8510</v>
      </c>
      <c r="E3911" s="5">
        <v>46286</v>
      </c>
      <c r="F3911" t="s">
        <v>204</v>
      </c>
      <c r="G3911" t="s">
        <v>205</v>
      </c>
      <c r="H3911">
        <v>4147</v>
      </c>
      <c r="I3911">
        <v>70.5</v>
      </c>
      <c r="J3911">
        <v>12.69</v>
      </c>
      <c r="K3911">
        <v>4063.81</v>
      </c>
      <c r="L3911" s="5">
        <v>46288</v>
      </c>
      <c r="M3911" t="s">
        <v>8302</v>
      </c>
      <c r="N3911" t="s">
        <v>207</v>
      </c>
      <c r="O3911" t="s">
        <v>8510</v>
      </c>
      <c r="P3911" t="s">
        <v>208</v>
      </c>
      <c r="Q3911" t="s">
        <v>209</v>
      </c>
    </row>
    <row r="3912" spans="1:17" x14ac:dyDescent="0.3">
      <c r="A3912" t="s">
        <v>8511</v>
      </c>
      <c r="C3912" t="s">
        <v>8512</v>
      </c>
      <c r="D3912" t="s">
        <v>8512</v>
      </c>
      <c r="E3912" s="5">
        <v>46286</v>
      </c>
      <c r="F3912" t="s">
        <v>204</v>
      </c>
      <c r="G3912" t="s">
        <v>220</v>
      </c>
      <c r="H3912">
        <v>10998</v>
      </c>
      <c r="I3912">
        <v>32.99</v>
      </c>
      <c r="J3912">
        <v>5.94</v>
      </c>
      <c r="K3912">
        <v>10959.07</v>
      </c>
      <c r="L3912" s="5">
        <v>46288</v>
      </c>
      <c r="M3912" t="s">
        <v>8302</v>
      </c>
      <c r="N3912" t="s">
        <v>207</v>
      </c>
      <c r="O3912" t="s">
        <v>8512</v>
      </c>
      <c r="P3912" t="s">
        <v>208</v>
      </c>
      <c r="Q3912" t="s">
        <v>209</v>
      </c>
    </row>
    <row r="3913" spans="1:17" x14ac:dyDescent="0.3">
      <c r="A3913" t="s">
        <v>8513</v>
      </c>
      <c r="C3913" t="s">
        <v>8514</v>
      </c>
      <c r="D3913" t="s">
        <v>8514</v>
      </c>
      <c r="E3913" s="5">
        <v>46286</v>
      </c>
      <c r="F3913" t="s">
        <v>204</v>
      </c>
      <c r="G3913" t="s">
        <v>220</v>
      </c>
      <c r="H3913">
        <v>499</v>
      </c>
      <c r="I3913">
        <v>0</v>
      </c>
      <c r="J3913">
        <v>0</v>
      </c>
      <c r="K3913">
        <v>499</v>
      </c>
      <c r="L3913" s="5">
        <v>46288</v>
      </c>
      <c r="M3913" t="s">
        <v>8302</v>
      </c>
      <c r="N3913" t="s">
        <v>207</v>
      </c>
      <c r="O3913" t="s">
        <v>8514</v>
      </c>
      <c r="P3913" t="s">
        <v>208</v>
      </c>
      <c r="Q3913" t="s">
        <v>209</v>
      </c>
    </row>
    <row r="3914" spans="1:17" x14ac:dyDescent="0.3">
      <c r="A3914" t="s">
        <v>8515</v>
      </c>
      <c r="C3914" t="s">
        <v>8516</v>
      </c>
      <c r="D3914" t="s">
        <v>8517</v>
      </c>
      <c r="E3914" s="5">
        <v>46286</v>
      </c>
      <c r="F3914" t="s">
        <v>204</v>
      </c>
      <c r="G3914" t="s">
        <v>213</v>
      </c>
      <c r="H3914">
        <v>2499</v>
      </c>
      <c r="I3914">
        <v>39.979999999999997</v>
      </c>
      <c r="J3914">
        <v>7.2</v>
      </c>
      <c r="K3914">
        <v>2451.8200000000002</v>
      </c>
      <c r="L3914" s="5">
        <v>46288</v>
      </c>
      <c r="M3914" t="s">
        <v>8302</v>
      </c>
      <c r="N3914" t="s">
        <v>207</v>
      </c>
      <c r="O3914" t="s">
        <v>8517</v>
      </c>
      <c r="P3914" t="s">
        <v>208</v>
      </c>
      <c r="Q3914" t="s">
        <v>209</v>
      </c>
    </row>
    <row r="3915" spans="1:17" x14ac:dyDescent="0.3">
      <c r="A3915" t="s">
        <v>8518</v>
      </c>
      <c r="C3915" t="s">
        <v>8519</v>
      </c>
      <c r="D3915" t="s">
        <v>8519</v>
      </c>
      <c r="E3915" s="5">
        <v>46286</v>
      </c>
      <c r="F3915" t="s">
        <v>204</v>
      </c>
      <c r="G3915" t="s">
        <v>255</v>
      </c>
      <c r="H3915">
        <v>3499</v>
      </c>
      <c r="I3915">
        <v>41.99</v>
      </c>
      <c r="J3915">
        <v>7.56</v>
      </c>
      <c r="K3915">
        <v>3449.45</v>
      </c>
      <c r="L3915" s="5">
        <v>46288</v>
      </c>
      <c r="M3915" t="s">
        <v>8302</v>
      </c>
      <c r="N3915" t="s">
        <v>207</v>
      </c>
      <c r="O3915" t="s">
        <v>8519</v>
      </c>
      <c r="P3915" t="s">
        <v>208</v>
      </c>
      <c r="Q3915" t="s">
        <v>209</v>
      </c>
    </row>
    <row r="3916" spans="1:17" x14ac:dyDescent="0.3">
      <c r="A3916" t="s">
        <v>8520</v>
      </c>
      <c r="C3916" t="s">
        <v>8521</v>
      </c>
      <c r="D3916" t="s">
        <v>8521</v>
      </c>
      <c r="E3916" s="5">
        <v>46286</v>
      </c>
      <c r="F3916" t="s">
        <v>204</v>
      </c>
      <c r="G3916" t="s">
        <v>213</v>
      </c>
      <c r="H3916">
        <v>2298</v>
      </c>
      <c r="I3916">
        <v>36.770000000000003</v>
      </c>
      <c r="J3916">
        <v>6.62</v>
      </c>
      <c r="K3916">
        <v>2254.61</v>
      </c>
      <c r="L3916" s="5">
        <v>46288</v>
      </c>
      <c r="M3916" t="s">
        <v>8302</v>
      </c>
      <c r="N3916" t="s">
        <v>207</v>
      </c>
      <c r="O3916" t="s">
        <v>8521</v>
      </c>
      <c r="P3916" t="s">
        <v>208</v>
      </c>
      <c r="Q3916" t="s">
        <v>209</v>
      </c>
    </row>
    <row r="3917" spans="1:17" x14ac:dyDescent="0.3">
      <c r="A3917" t="s">
        <v>8522</v>
      </c>
      <c r="C3917" t="s">
        <v>8523</v>
      </c>
      <c r="D3917" t="s">
        <v>8523</v>
      </c>
      <c r="E3917" s="5">
        <v>46286</v>
      </c>
      <c r="F3917" t="s">
        <v>204</v>
      </c>
      <c r="G3917" t="s">
        <v>220</v>
      </c>
      <c r="H3917">
        <v>499</v>
      </c>
      <c r="I3917">
        <v>0</v>
      </c>
      <c r="J3917">
        <v>0</v>
      </c>
      <c r="K3917">
        <v>499</v>
      </c>
      <c r="L3917" s="5">
        <v>46288</v>
      </c>
      <c r="M3917" t="s">
        <v>8302</v>
      </c>
      <c r="N3917" t="s">
        <v>207</v>
      </c>
      <c r="O3917" t="s">
        <v>8523</v>
      </c>
      <c r="P3917" t="s">
        <v>208</v>
      </c>
      <c r="Q3917" t="s">
        <v>209</v>
      </c>
    </row>
    <row r="3918" spans="1:17" x14ac:dyDescent="0.3">
      <c r="A3918" t="s">
        <v>8524</v>
      </c>
      <c r="C3918" t="s">
        <v>8525</v>
      </c>
      <c r="D3918" t="s">
        <v>8525</v>
      </c>
      <c r="E3918" s="5">
        <v>46286</v>
      </c>
      <c r="F3918" t="s">
        <v>204</v>
      </c>
      <c r="G3918" t="s">
        <v>255</v>
      </c>
      <c r="H3918">
        <v>7297</v>
      </c>
      <c r="I3918">
        <v>87.56</v>
      </c>
      <c r="J3918">
        <v>15.76</v>
      </c>
      <c r="K3918">
        <v>7193.68</v>
      </c>
      <c r="L3918" s="5">
        <v>46288</v>
      </c>
      <c r="M3918" t="s">
        <v>8302</v>
      </c>
      <c r="N3918" t="s">
        <v>207</v>
      </c>
      <c r="O3918" t="s">
        <v>8525</v>
      </c>
      <c r="P3918" t="s">
        <v>208</v>
      </c>
      <c r="Q3918" t="s">
        <v>209</v>
      </c>
    </row>
    <row r="3919" spans="1:17" x14ac:dyDescent="0.3">
      <c r="A3919" t="s">
        <v>8526</v>
      </c>
      <c r="C3919" t="s">
        <v>8527</v>
      </c>
      <c r="D3919" t="s">
        <v>8527</v>
      </c>
      <c r="E3919" s="5">
        <v>46286</v>
      </c>
      <c r="F3919" t="s">
        <v>204</v>
      </c>
      <c r="G3919" t="s">
        <v>220</v>
      </c>
      <c r="H3919">
        <v>2098</v>
      </c>
      <c r="I3919">
        <v>6.29</v>
      </c>
      <c r="J3919">
        <v>1.1299999999999999</v>
      </c>
      <c r="K3919">
        <v>2090.58</v>
      </c>
      <c r="L3919" s="5">
        <v>46288</v>
      </c>
      <c r="M3919" t="s">
        <v>8302</v>
      </c>
      <c r="N3919" t="s">
        <v>207</v>
      </c>
      <c r="O3919" t="s">
        <v>8527</v>
      </c>
      <c r="P3919" t="s">
        <v>208</v>
      </c>
      <c r="Q3919" t="s">
        <v>209</v>
      </c>
    </row>
    <row r="3920" spans="1:17" x14ac:dyDescent="0.3">
      <c r="A3920" t="s">
        <v>8528</v>
      </c>
      <c r="C3920" t="s">
        <v>8529</v>
      </c>
      <c r="D3920" t="s">
        <v>8529</v>
      </c>
      <c r="E3920" s="5">
        <v>46286</v>
      </c>
      <c r="F3920" t="s">
        <v>204</v>
      </c>
      <c r="G3920" t="s">
        <v>220</v>
      </c>
      <c r="H3920">
        <v>2499</v>
      </c>
      <c r="I3920">
        <v>7.5</v>
      </c>
      <c r="J3920">
        <v>1.35</v>
      </c>
      <c r="K3920">
        <v>2490.15</v>
      </c>
      <c r="L3920" s="5">
        <v>46288</v>
      </c>
      <c r="M3920" t="s">
        <v>8302</v>
      </c>
      <c r="N3920" t="s">
        <v>207</v>
      </c>
      <c r="O3920" t="s">
        <v>8529</v>
      </c>
      <c r="P3920" t="s">
        <v>208</v>
      </c>
      <c r="Q3920" t="s">
        <v>209</v>
      </c>
    </row>
    <row r="3921" spans="1:17" x14ac:dyDescent="0.3">
      <c r="A3921" t="s">
        <v>8530</v>
      </c>
      <c r="C3921" t="s">
        <v>8531</v>
      </c>
      <c r="D3921" t="s">
        <v>8531</v>
      </c>
      <c r="E3921" s="5">
        <v>46286</v>
      </c>
      <c r="F3921" t="s">
        <v>204</v>
      </c>
      <c r="G3921" t="s">
        <v>213</v>
      </c>
      <c r="H3921">
        <v>599</v>
      </c>
      <c r="I3921">
        <v>10.78</v>
      </c>
      <c r="J3921">
        <v>1.94</v>
      </c>
      <c r="K3921">
        <v>586.28</v>
      </c>
      <c r="L3921" s="5">
        <v>46288</v>
      </c>
      <c r="M3921" t="s">
        <v>8302</v>
      </c>
      <c r="N3921" t="s">
        <v>207</v>
      </c>
      <c r="O3921" t="s">
        <v>8531</v>
      </c>
      <c r="P3921" t="s">
        <v>208</v>
      </c>
      <c r="Q3921" t="s">
        <v>209</v>
      </c>
    </row>
    <row r="3922" spans="1:17" x14ac:dyDescent="0.3">
      <c r="A3922" t="s">
        <v>8532</v>
      </c>
      <c r="C3922" t="s">
        <v>8533</v>
      </c>
      <c r="D3922" t="s">
        <v>8533</v>
      </c>
      <c r="E3922" s="5">
        <v>46286</v>
      </c>
      <c r="F3922" t="s">
        <v>204</v>
      </c>
      <c r="G3922" t="s">
        <v>213</v>
      </c>
      <c r="H3922">
        <v>4098</v>
      </c>
      <c r="I3922">
        <v>65.569999999999993</v>
      </c>
      <c r="J3922">
        <v>11.8</v>
      </c>
      <c r="K3922">
        <v>4020.63</v>
      </c>
      <c r="L3922" s="5">
        <v>46288</v>
      </c>
      <c r="M3922" t="s">
        <v>8302</v>
      </c>
      <c r="N3922" t="s">
        <v>207</v>
      </c>
      <c r="O3922" t="s">
        <v>8533</v>
      </c>
      <c r="P3922" t="s">
        <v>208</v>
      </c>
      <c r="Q3922" t="s">
        <v>209</v>
      </c>
    </row>
    <row r="3923" spans="1:17" x14ac:dyDescent="0.3">
      <c r="A3923" t="s">
        <v>8534</v>
      </c>
      <c r="C3923" t="s">
        <v>8535</v>
      </c>
      <c r="D3923" t="s">
        <v>8535</v>
      </c>
      <c r="E3923" s="5">
        <v>46286</v>
      </c>
      <c r="F3923" t="s">
        <v>204</v>
      </c>
      <c r="G3923" t="s">
        <v>220</v>
      </c>
      <c r="H3923">
        <v>3297</v>
      </c>
      <c r="I3923">
        <v>9.89</v>
      </c>
      <c r="J3923">
        <v>1.78</v>
      </c>
      <c r="K3923">
        <v>3285.33</v>
      </c>
      <c r="L3923" s="5">
        <v>46288</v>
      </c>
      <c r="M3923" t="s">
        <v>8302</v>
      </c>
      <c r="N3923" t="s">
        <v>207</v>
      </c>
      <c r="O3923" t="s">
        <v>8535</v>
      </c>
      <c r="P3923" t="s">
        <v>208</v>
      </c>
      <c r="Q3923" t="s">
        <v>209</v>
      </c>
    </row>
    <row r="3924" spans="1:17" x14ac:dyDescent="0.3">
      <c r="A3924" t="s">
        <v>8536</v>
      </c>
      <c r="C3924" t="s">
        <v>8537</v>
      </c>
      <c r="D3924" t="s">
        <v>8537</v>
      </c>
      <c r="E3924" s="5">
        <v>46286</v>
      </c>
      <c r="F3924" t="s">
        <v>204</v>
      </c>
      <c r="G3924" t="s">
        <v>213</v>
      </c>
      <c r="H3924">
        <v>299</v>
      </c>
      <c r="I3924">
        <v>5.38</v>
      </c>
      <c r="J3924">
        <v>0.97</v>
      </c>
      <c r="K3924">
        <v>292.64999999999998</v>
      </c>
      <c r="L3924" s="5">
        <v>46288</v>
      </c>
      <c r="M3924" t="s">
        <v>8302</v>
      </c>
      <c r="N3924" t="s">
        <v>207</v>
      </c>
      <c r="O3924" t="s">
        <v>8537</v>
      </c>
      <c r="P3924" t="s">
        <v>208</v>
      </c>
      <c r="Q3924" t="s">
        <v>209</v>
      </c>
    </row>
    <row r="3925" spans="1:17" x14ac:dyDescent="0.3">
      <c r="A3925" t="s">
        <v>8538</v>
      </c>
      <c r="C3925" t="s">
        <v>8539</v>
      </c>
      <c r="D3925" t="s">
        <v>8539</v>
      </c>
      <c r="E3925" s="5">
        <v>46286</v>
      </c>
      <c r="F3925" t="s">
        <v>204</v>
      </c>
      <c r="G3925" t="s">
        <v>220</v>
      </c>
      <c r="H3925">
        <v>499</v>
      </c>
      <c r="I3925">
        <v>0</v>
      </c>
      <c r="J3925">
        <v>0</v>
      </c>
      <c r="K3925">
        <v>499</v>
      </c>
      <c r="L3925" s="5">
        <v>46288</v>
      </c>
      <c r="M3925" t="s">
        <v>8302</v>
      </c>
      <c r="N3925" t="s">
        <v>207</v>
      </c>
      <c r="O3925" t="s">
        <v>8539</v>
      </c>
      <c r="P3925" t="s">
        <v>208</v>
      </c>
      <c r="Q3925" t="s">
        <v>209</v>
      </c>
    </row>
    <row r="3926" spans="1:17" x14ac:dyDescent="0.3">
      <c r="A3926" t="s">
        <v>8540</v>
      </c>
      <c r="C3926" t="s">
        <v>8541</v>
      </c>
      <c r="D3926" t="s">
        <v>8541</v>
      </c>
      <c r="E3926" s="5">
        <v>46286</v>
      </c>
      <c r="F3926" t="s">
        <v>204</v>
      </c>
      <c r="G3926" t="s">
        <v>220</v>
      </c>
      <c r="H3926">
        <v>2999</v>
      </c>
      <c r="I3926">
        <v>9</v>
      </c>
      <c r="J3926">
        <v>1.62</v>
      </c>
      <c r="K3926">
        <v>2988.38</v>
      </c>
      <c r="L3926" s="5">
        <v>46288</v>
      </c>
      <c r="M3926" t="s">
        <v>8302</v>
      </c>
      <c r="N3926" t="s">
        <v>207</v>
      </c>
      <c r="O3926" t="s">
        <v>8541</v>
      </c>
      <c r="P3926" t="s">
        <v>208</v>
      </c>
      <c r="Q3926" t="s">
        <v>209</v>
      </c>
    </row>
    <row r="3927" spans="1:17" x14ac:dyDescent="0.3">
      <c r="A3927" t="s">
        <v>8542</v>
      </c>
      <c r="C3927" t="s">
        <v>8543</v>
      </c>
      <c r="D3927" t="s">
        <v>8543</v>
      </c>
      <c r="E3927" s="5">
        <v>46286</v>
      </c>
      <c r="F3927" t="s">
        <v>204</v>
      </c>
      <c r="G3927" t="s">
        <v>220</v>
      </c>
      <c r="H3927">
        <v>8598</v>
      </c>
      <c r="I3927">
        <v>25.79</v>
      </c>
      <c r="J3927">
        <v>4.6399999999999997</v>
      </c>
      <c r="K3927">
        <v>8567.57</v>
      </c>
      <c r="L3927" s="5">
        <v>46288</v>
      </c>
      <c r="M3927" t="s">
        <v>8302</v>
      </c>
      <c r="N3927" t="s">
        <v>207</v>
      </c>
      <c r="O3927" t="s">
        <v>8543</v>
      </c>
      <c r="P3927" t="s">
        <v>208</v>
      </c>
      <c r="Q3927" t="s">
        <v>209</v>
      </c>
    </row>
    <row r="3928" spans="1:17" x14ac:dyDescent="0.3">
      <c r="A3928" t="s">
        <v>8544</v>
      </c>
      <c r="C3928" t="s">
        <v>8545</v>
      </c>
      <c r="D3928" t="s">
        <v>8545</v>
      </c>
      <c r="E3928" s="5">
        <v>46286</v>
      </c>
      <c r="F3928" t="s">
        <v>204</v>
      </c>
      <c r="G3928" t="s">
        <v>220</v>
      </c>
      <c r="H3928">
        <v>9998</v>
      </c>
      <c r="I3928">
        <v>29.99</v>
      </c>
      <c r="J3928">
        <v>5.4</v>
      </c>
      <c r="K3928">
        <v>9962.61</v>
      </c>
      <c r="L3928" s="5">
        <v>46288</v>
      </c>
      <c r="M3928" t="s">
        <v>8302</v>
      </c>
      <c r="N3928" t="s">
        <v>207</v>
      </c>
      <c r="O3928" t="s">
        <v>8545</v>
      </c>
      <c r="P3928" t="s">
        <v>208</v>
      </c>
      <c r="Q3928" t="s">
        <v>209</v>
      </c>
    </row>
    <row r="3929" spans="1:17" x14ac:dyDescent="0.3">
      <c r="A3929" t="s">
        <v>8546</v>
      </c>
      <c r="C3929" t="s">
        <v>8547</v>
      </c>
      <c r="D3929" t="s">
        <v>8547</v>
      </c>
      <c r="E3929" s="5">
        <v>46286</v>
      </c>
      <c r="F3929" t="s">
        <v>204</v>
      </c>
      <c r="G3929" t="s">
        <v>220</v>
      </c>
      <c r="H3929">
        <v>4999</v>
      </c>
      <c r="I3929">
        <v>15</v>
      </c>
      <c r="J3929">
        <v>2.7</v>
      </c>
      <c r="K3929">
        <v>4981.3</v>
      </c>
      <c r="L3929" s="5">
        <v>46288</v>
      </c>
      <c r="M3929" t="s">
        <v>8302</v>
      </c>
      <c r="N3929" t="s">
        <v>207</v>
      </c>
      <c r="O3929" t="s">
        <v>8547</v>
      </c>
      <c r="P3929" t="s">
        <v>208</v>
      </c>
      <c r="Q3929" t="s">
        <v>209</v>
      </c>
    </row>
    <row r="3930" spans="1:17" x14ac:dyDescent="0.3">
      <c r="A3930" t="s">
        <v>8548</v>
      </c>
      <c r="C3930" t="s">
        <v>8549</v>
      </c>
      <c r="D3930" t="s">
        <v>8550</v>
      </c>
      <c r="E3930" s="5">
        <v>46286</v>
      </c>
      <c r="F3930" t="s">
        <v>204</v>
      </c>
      <c r="G3930" t="s">
        <v>213</v>
      </c>
      <c r="H3930">
        <v>3798</v>
      </c>
      <c r="I3930">
        <v>60.77</v>
      </c>
      <c r="J3930">
        <v>10.94</v>
      </c>
      <c r="K3930">
        <v>3726.29</v>
      </c>
      <c r="L3930" s="5">
        <v>46288</v>
      </c>
      <c r="M3930" t="s">
        <v>8302</v>
      </c>
      <c r="N3930" t="s">
        <v>207</v>
      </c>
      <c r="O3930" t="s">
        <v>8550</v>
      </c>
      <c r="P3930" t="s">
        <v>208</v>
      </c>
      <c r="Q3930" t="s">
        <v>209</v>
      </c>
    </row>
    <row r="3931" spans="1:17" x14ac:dyDescent="0.3">
      <c r="A3931" t="s">
        <v>8551</v>
      </c>
      <c r="C3931" t="s">
        <v>8552</v>
      </c>
      <c r="D3931" t="s">
        <v>8553</v>
      </c>
      <c r="E3931" s="5">
        <v>46286</v>
      </c>
      <c r="F3931" t="s">
        <v>204</v>
      </c>
      <c r="G3931" t="s">
        <v>220</v>
      </c>
      <c r="H3931">
        <v>1499</v>
      </c>
      <c r="I3931">
        <v>0</v>
      </c>
      <c r="J3931">
        <v>0</v>
      </c>
      <c r="K3931">
        <v>1499</v>
      </c>
      <c r="L3931" s="5">
        <v>46288</v>
      </c>
      <c r="M3931" t="s">
        <v>8302</v>
      </c>
      <c r="N3931" t="s">
        <v>207</v>
      </c>
      <c r="O3931" t="s">
        <v>8553</v>
      </c>
      <c r="P3931" t="s">
        <v>208</v>
      </c>
      <c r="Q3931" t="s">
        <v>209</v>
      </c>
    </row>
    <row r="3932" spans="1:17" x14ac:dyDescent="0.3">
      <c r="A3932" t="s">
        <v>8554</v>
      </c>
      <c r="C3932" t="s">
        <v>8555</v>
      </c>
      <c r="D3932" t="s">
        <v>8555</v>
      </c>
      <c r="E3932" s="5">
        <v>46286</v>
      </c>
      <c r="F3932" t="s">
        <v>204</v>
      </c>
      <c r="G3932" t="s">
        <v>213</v>
      </c>
      <c r="H3932">
        <v>999</v>
      </c>
      <c r="I3932">
        <v>17.98</v>
      </c>
      <c r="J3932">
        <v>3.24</v>
      </c>
      <c r="K3932">
        <v>977.78</v>
      </c>
      <c r="L3932" s="5">
        <v>46288</v>
      </c>
      <c r="M3932" t="s">
        <v>8302</v>
      </c>
      <c r="N3932" t="s">
        <v>207</v>
      </c>
      <c r="O3932" t="s">
        <v>8555</v>
      </c>
      <c r="P3932" t="s">
        <v>208</v>
      </c>
      <c r="Q3932" t="s">
        <v>209</v>
      </c>
    </row>
    <row r="3933" spans="1:17" x14ac:dyDescent="0.3">
      <c r="A3933" t="s">
        <v>8556</v>
      </c>
      <c r="C3933" t="s">
        <v>8557</v>
      </c>
      <c r="D3933" t="s">
        <v>8558</v>
      </c>
      <c r="E3933" s="5">
        <v>46286</v>
      </c>
      <c r="F3933" t="s">
        <v>204</v>
      </c>
      <c r="G3933" t="s">
        <v>255</v>
      </c>
      <c r="H3933">
        <v>1299</v>
      </c>
      <c r="I3933">
        <v>19.489999999999998</v>
      </c>
      <c r="J3933">
        <v>3.51</v>
      </c>
      <c r="K3933">
        <v>1276</v>
      </c>
      <c r="L3933" s="5">
        <v>46288</v>
      </c>
      <c r="M3933" t="s">
        <v>8302</v>
      </c>
      <c r="N3933" t="s">
        <v>207</v>
      </c>
      <c r="O3933" t="s">
        <v>8558</v>
      </c>
      <c r="P3933" t="s">
        <v>208</v>
      </c>
      <c r="Q3933" t="s">
        <v>209</v>
      </c>
    </row>
    <row r="3934" spans="1:17" x14ac:dyDescent="0.3">
      <c r="A3934" t="s">
        <v>8559</v>
      </c>
      <c r="C3934" t="s">
        <v>8560</v>
      </c>
      <c r="D3934" t="s">
        <v>8560</v>
      </c>
      <c r="E3934" s="5">
        <v>46286</v>
      </c>
      <c r="F3934" t="s">
        <v>204</v>
      </c>
      <c r="G3934" t="s">
        <v>213</v>
      </c>
      <c r="H3934">
        <v>3098</v>
      </c>
      <c r="I3934">
        <v>49.57</v>
      </c>
      <c r="J3934">
        <v>8.92</v>
      </c>
      <c r="K3934">
        <v>3039.51</v>
      </c>
      <c r="L3934" s="5">
        <v>46288</v>
      </c>
      <c r="M3934" t="s">
        <v>8302</v>
      </c>
      <c r="N3934" t="s">
        <v>207</v>
      </c>
      <c r="O3934" t="s">
        <v>8560</v>
      </c>
      <c r="P3934" t="s">
        <v>208</v>
      </c>
      <c r="Q3934" t="s">
        <v>209</v>
      </c>
    </row>
    <row r="3935" spans="1:17" x14ac:dyDescent="0.3">
      <c r="A3935" t="s">
        <v>8561</v>
      </c>
      <c r="C3935" t="s">
        <v>8562</v>
      </c>
      <c r="D3935" t="s">
        <v>8563</v>
      </c>
      <c r="E3935" s="5">
        <v>46286</v>
      </c>
      <c r="F3935" t="s">
        <v>204</v>
      </c>
      <c r="G3935" t="s">
        <v>220</v>
      </c>
      <c r="H3935">
        <v>10998</v>
      </c>
      <c r="I3935">
        <v>32.99</v>
      </c>
      <c r="J3935">
        <v>5.94</v>
      </c>
      <c r="K3935">
        <v>10959.07</v>
      </c>
      <c r="L3935" s="5">
        <v>46288</v>
      </c>
      <c r="M3935" t="s">
        <v>8302</v>
      </c>
      <c r="N3935" t="s">
        <v>207</v>
      </c>
      <c r="O3935" t="s">
        <v>8563</v>
      </c>
      <c r="P3935" t="s">
        <v>208</v>
      </c>
      <c r="Q3935" t="s">
        <v>209</v>
      </c>
    </row>
    <row r="3936" spans="1:17" x14ac:dyDescent="0.3">
      <c r="A3936" t="s">
        <v>8564</v>
      </c>
      <c r="C3936" t="s">
        <v>8565</v>
      </c>
      <c r="D3936" t="s">
        <v>8566</v>
      </c>
      <c r="E3936" s="5">
        <v>46286</v>
      </c>
      <c r="F3936" t="s">
        <v>204</v>
      </c>
      <c r="G3936" t="s">
        <v>213</v>
      </c>
      <c r="H3936">
        <v>1598</v>
      </c>
      <c r="I3936">
        <v>28.76</v>
      </c>
      <c r="J3936">
        <v>5.18</v>
      </c>
      <c r="K3936">
        <v>1564.06</v>
      </c>
      <c r="L3936" s="5">
        <v>46288</v>
      </c>
      <c r="M3936" t="s">
        <v>8302</v>
      </c>
      <c r="N3936" t="s">
        <v>207</v>
      </c>
      <c r="O3936" t="s">
        <v>8566</v>
      </c>
      <c r="P3936" t="s">
        <v>208</v>
      </c>
      <c r="Q3936" t="s">
        <v>209</v>
      </c>
    </row>
    <row r="3937" spans="1:17" x14ac:dyDescent="0.3">
      <c r="A3937" t="s">
        <v>8567</v>
      </c>
      <c r="C3937" t="s">
        <v>8568</v>
      </c>
      <c r="D3937" t="s">
        <v>8568</v>
      </c>
      <c r="E3937" s="5">
        <v>46286</v>
      </c>
      <c r="F3937" t="s">
        <v>204</v>
      </c>
      <c r="G3937" t="s">
        <v>220</v>
      </c>
      <c r="H3937">
        <v>7999</v>
      </c>
      <c r="I3937">
        <v>24</v>
      </c>
      <c r="J3937">
        <v>4.32</v>
      </c>
      <c r="K3937">
        <v>7970.68</v>
      </c>
      <c r="L3937" s="5">
        <v>46288</v>
      </c>
      <c r="M3937" t="s">
        <v>8302</v>
      </c>
      <c r="N3937" t="s">
        <v>207</v>
      </c>
      <c r="O3937" t="s">
        <v>8568</v>
      </c>
      <c r="P3937" t="s">
        <v>208</v>
      </c>
      <c r="Q3937" t="s">
        <v>209</v>
      </c>
    </row>
    <row r="3938" spans="1:17" x14ac:dyDescent="0.3">
      <c r="A3938" t="s">
        <v>8569</v>
      </c>
      <c r="C3938" t="s">
        <v>8570</v>
      </c>
      <c r="D3938" t="s">
        <v>8570</v>
      </c>
      <c r="E3938" s="5">
        <v>46286</v>
      </c>
      <c r="F3938" t="s">
        <v>204</v>
      </c>
      <c r="G3938" t="s">
        <v>220</v>
      </c>
      <c r="H3938">
        <v>4999</v>
      </c>
      <c r="I3938">
        <v>15</v>
      </c>
      <c r="J3938">
        <v>2.7</v>
      </c>
      <c r="K3938">
        <v>4981.3</v>
      </c>
      <c r="L3938" s="5">
        <v>46288</v>
      </c>
      <c r="M3938" t="s">
        <v>8302</v>
      </c>
      <c r="N3938" t="s">
        <v>207</v>
      </c>
      <c r="O3938" t="s">
        <v>8570</v>
      </c>
      <c r="P3938" t="s">
        <v>208</v>
      </c>
      <c r="Q3938" t="s">
        <v>209</v>
      </c>
    </row>
    <row r="3939" spans="1:17" x14ac:dyDescent="0.3">
      <c r="A3939" t="s">
        <v>8571</v>
      </c>
      <c r="C3939" t="s">
        <v>8572</v>
      </c>
      <c r="D3939" t="s">
        <v>8572</v>
      </c>
      <c r="E3939" s="5">
        <v>46286</v>
      </c>
      <c r="F3939" t="s">
        <v>204</v>
      </c>
      <c r="G3939" t="s">
        <v>220</v>
      </c>
      <c r="H3939">
        <v>7999</v>
      </c>
      <c r="I3939">
        <v>24</v>
      </c>
      <c r="J3939">
        <v>4.32</v>
      </c>
      <c r="K3939">
        <v>7970.68</v>
      </c>
      <c r="L3939" s="5">
        <v>46288</v>
      </c>
      <c r="M3939" t="s">
        <v>8302</v>
      </c>
      <c r="N3939" t="s">
        <v>207</v>
      </c>
      <c r="O3939" t="s">
        <v>8572</v>
      </c>
      <c r="P3939" t="s">
        <v>208</v>
      </c>
      <c r="Q3939" t="s">
        <v>209</v>
      </c>
    </row>
    <row r="3940" spans="1:17" x14ac:dyDescent="0.3">
      <c r="A3940" t="s">
        <v>8573</v>
      </c>
      <c r="C3940" t="s">
        <v>8574</v>
      </c>
      <c r="D3940" t="s">
        <v>8574</v>
      </c>
      <c r="E3940" s="5">
        <v>46286</v>
      </c>
      <c r="F3940" t="s">
        <v>204</v>
      </c>
      <c r="G3940" t="s">
        <v>255</v>
      </c>
      <c r="H3940">
        <v>10998</v>
      </c>
      <c r="I3940">
        <v>98.98</v>
      </c>
      <c r="J3940">
        <v>17.82</v>
      </c>
      <c r="K3940">
        <v>10881.2</v>
      </c>
      <c r="L3940" s="5">
        <v>46288</v>
      </c>
      <c r="M3940" t="s">
        <v>8302</v>
      </c>
      <c r="N3940" t="s">
        <v>207</v>
      </c>
      <c r="O3940" t="s">
        <v>8574</v>
      </c>
      <c r="P3940" t="s">
        <v>208</v>
      </c>
      <c r="Q3940" t="s">
        <v>209</v>
      </c>
    </row>
    <row r="3941" spans="1:17" x14ac:dyDescent="0.3">
      <c r="A3941" t="s">
        <v>8575</v>
      </c>
      <c r="C3941" t="s">
        <v>8576</v>
      </c>
      <c r="D3941" t="s">
        <v>8576</v>
      </c>
      <c r="E3941" s="5">
        <v>46286</v>
      </c>
      <c r="F3941" t="s">
        <v>204</v>
      </c>
      <c r="G3941" t="s">
        <v>220</v>
      </c>
      <c r="H3941">
        <v>8497</v>
      </c>
      <c r="I3941">
        <v>25.49</v>
      </c>
      <c r="J3941">
        <v>4.59</v>
      </c>
      <c r="K3941">
        <v>8466.92</v>
      </c>
      <c r="L3941" s="5">
        <v>46288</v>
      </c>
      <c r="M3941" t="s">
        <v>8302</v>
      </c>
      <c r="N3941" t="s">
        <v>207</v>
      </c>
      <c r="O3941" t="s">
        <v>8576</v>
      </c>
      <c r="P3941" t="s">
        <v>208</v>
      </c>
      <c r="Q3941" t="s">
        <v>209</v>
      </c>
    </row>
    <row r="3942" spans="1:17" x14ac:dyDescent="0.3">
      <c r="A3942" t="s">
        <v>8577</v>
      </c>
      <c r="C3942" t="s">
        <v>8578</v>
      </c>
      <c r="D3942" t="s">
        <v>8578</v>
      </c>
      <c r="E3942" s="5">
        <v>46286</v>
      </c>
      <c r="F3942" t="s">
        <v>204</v>
      </c>
      <c r="G3942" t="s">
        <v>213</v>
      </c>
      <c r="H3942">
        <v>8498</v>
      </c>
      <c r="I3942">
        <v>135.97</v>
      </c>
      <c r="J3942">
        <v>24.47</v>
      </c>
      <c r="K3942">
        <v>8337.56</v>
      </c>
      <c r="L3942" s="5">
        <v>46288</v>
      </c>
      <c r="M3942" t="s">
        <v>8302</v>
      </c>
      <c r="N3942" t="s">
        <v>207</v>
      </c>
      <c r="O3942" t="s">
        <v>8578</v>
      </c>
      <c r="P3942" t="s">
        <v>208</v>
      </c>
      <c r="Q3942" t="s">
        <v>209</v>
      </c>
    </row>
    <row r="3943" spans="1:17" x14ac:dyDescent="0.3">
      <c r="A3943" t="s">
        <v>8579</v>
      </c>
      <c r="C3943" t="s">
        <v>8580</v>
      </c>
      <c r="D3943" t="s">
        <v>8581</v>
      </c>
      <c r="E3943" s="5">
        <v>46286</v>
      </c>
      <c r="F3943" t="s">
        <v>204</v>
      </c>
      <c r="G3943" t="s">
        <v>220</v>
      </c>
      <c r="H3943">
        <v>299</v>
      </c>
      <c r="I3943">
        <v>0</v>
      </c>
      <c r="J3943">
        <v>0</v>
      </c>
      <c r="K3943">
        <v>299</v>
      </c>
      <c r="L3943" s="5">
        <v>46288</v>
      </c>
      <c r="M3943" t="s">
        <v>8302</v>
      </c>
      <c r="N3943" t="s">
        <v>207</v>
      </c>
      <c r="O3943" t="s">
        <v>8581</v>
      </c>
      <c r="P3943" t="s">
        <v>208</v>
      </c>
      <c r="Q3943" t="s">
        <v>209</v>
      </c>
    </row>
    <row r="3944" spans="1:17" x14ac:dyDescent="0.3">
      <c r="A3944" t="s">
        <v>8582</v>
      </c>
      <c r="C3944" t="s">
        <v>8583</v>
      </c>
      <c r="D3944" t="s">
        <v>8583</v>
      </c>
      <c r="E3944" s="5">
        <v>46286</v>
      </c>
      <c r="F3944" t="s">
        <v>204</v>
      </c>
      <c r="G3944" t="s">
        <v>213</v>
      </c>
      <c r="H3944">
        <v>3897</v>
      </c>
      <c r="I3944">
        <v>62.35</v>
      </c>
      <c r="J3944">
        <v>11.22</v>
      </c>
      <c r="K3944">
        <v>3823.43</v>
      </c>
      <c r="L3944" s="5">
        <v>46288</v>
      </c>
      <c r="M3944" t="s">
        <v>8302</v>
      </c>
      <c r="N3944" t="s">
        <v>207</v>
      </c>
      <c r="O3944" t="s">
        <v>8583</v>
      </c>
      <c r="P3944" t="s">
        <v>208</v>
      </c>
      <c r="Q3944" t="s">
        <v>209</v>
      </c>
    </row>
    <row r="3945" spans="1:17" x14ac:dyDescent="0.3">
      <c r="A3945" t="s">
        <v>8584</v>
      </c>
      <c r="C3945" t="s">
        <v>8585</v>
      </c>
      <c r="D3945" t="s">
        <v>8585</v>
      </c>
      <c r="E3945" s="5">
        <v>46286</v>
      </c>
      <c r="F3945" t="s">
        <v>204</v>
      </c>
      <c r="G3945" t="s">
        <v>220</v>
      </c>
      <c r="H3945">
        <v>1799</v>
      </c>
      <c r="I3945">
        <v>0</v>
      </c>
      <c r="J3945">
        <v>0</v>
      </c>
      <c r="K3945">
        <v>1799</v>
      </c>
      <c r="L3945" s="5">
        <v>46288</v>
      </c>
      <c r="M3945" t="s">
        <v>8302</v>
      </c>
      <c r="N3945" t="s">
        <v>207</v>
      </c>
      <c r="O3945" t="s">
        <v>8585</v>
      </c>
      <c r="P3945" t="s">
        <v>208</v>
      </c>
      <c r="Q3945" t="s">
        <v>209</v>
      </c>
    </row>
    <row r="3946" spans="1:17" x14ac:dyDescent="0.3">
      <c r="A3946" t="s">
        <v>8586</v>
      </c>
      <c r="C3946" t="s">
        <v>8587</v>
      </c>
      <c r="D3946" t="s">
        <v>8587</v>
      </c>
      <c r="E3946" s="5">
        <v>46286</v>
      </c>
      <c r="F3946" t="s">
        <v>204</v>
      </c>
      <c r="G3946" t="s">
        <v>220</v>
      </c>
      <c r="H3946">
        <v>349</v>
      </c>
      <c r="I3946">
        <v>0</v>
      </c>
      <c r="J3946">
        <v>0</v>
      </c>
      <c r="K3946">
        <v>349</v>
      </c>
      <c r="L3946" s="5">
        <v>46288</v>
      </c>
      <c r="M3946" t="s">
        <v>8302</v>
      </c>
      <c r="N3946" t="s">
        <v>207</v>
      </c>
      <c r="O3946" t="s">
        <v>8587</v>
      </c>
      <c r="P3946" t="s">
        <v>208</v>
      </c>
      <c r="Q3946" t="s">
        <v>209</v>
      </c>
    </row>
    <row r="3947" spans="1:17" x14ac:dyDescent="0.3">
      <c r="A3947" t="s">
        <v>8588</v>
      </c>
      <c r="C3947" t="s">
        <v>8589</v>
      </c>
      <c r="D3947" t="s">
        <v>8590</v>
      </c>
      <c r="E3947" s="5">
        <v>46286</v>
      </c>
      <c r="F3947" t="s">
        <v>204</v>
      </c>
      <c r="G3947" t="s">
        <v>220</v>
      </c>
      <c r="H3947">
        <v>4298</v>
      </c>
      <c r="I3947">
        <v>12.89</v>
      </c>
      <c r="J3947">
        <v>2.3199999999999998</v>
      </c>
      <c r="K3947">
        <v>4282.79</v>
      </c>
      <c r="L3947" s="5">
        <v>46288</v>
      </c>
      <c r="M3947" t="s">
        <v>8302</v>
      </c>
      <c r="N3947" t="s">
        <v>207</v>
      </c>
      <c r="O3947" t="s">
        <v>8590</v>
      </c>
      <c r="P3947" t="s">
        <v>208</v>
      </c>
      <c r="Q3947" t="s">
        <v>209</v>
      </c>
    </row>
    <row r="3948" spans="1:17" x14ac:dyDescent="0.3">
      <c r="A3948" t="s">
        <v>8591</v>
      </c>
      <c r="C3948" t="s">
        <v>8592</v>
      </c>
      <c r="D3948" t="s">
        <v>8593</v>
      </c>
      <c r="E3948" s="5">
        <v>46286</v>
      </c>
      <c r="F3948" t="s">
        <v>204</v>
      </c>
      <c r="G3948" t="s">
        <v>213</v>
      </c>
      <c r="H3948">
        <v>299</v>
      </c>
      <c r="I3948">
        <v>5.38</v>
      </c>
      <c r="J3948">
        <v>0.97</v>
      </c>
      <c r="K3948">
        <v>292.64999999999998</v>
      </c>
      <c r="L3948" s="5">
        <v>46288</v>
      </c>
      <c r="M3948" t="s">
        <v>8302</v>
      </c>
      <c r="N3948" t="s">
        <v>207</v>
      </c>
      <c r="O3948" t="s">
        <v>8593</v>
      </c>
      <c r="P3948" t="s">
        <v>208</v>
      </c>
      <c r="Q3948" t="s">
        <v>209</v>
      </c>
    </row>
    <row r="3949" spans="1:17" x14ac:dyDescent="0.3">
      <c r="A3949" t="s">
        <v>8594</v>
      </c>
      <c r="C3949" t="s">
        <v>8595</v>
      </c>
      <c r="D3949" t="s">
        <v>8595</v>
      </c>
      <c r="E3949" s="5">
        <v>46286</v>
      </c>
      <c r="F3949" t="s">
        <v>204</v>
      </c>
      <c r="G3949" t="s">
        <v>255</v>
      </c>
      <c r="H3949">
        <v>8998</v>
      </c>
      <c r="I3949">
        <v>107.98</v>
      </c>
      <c r="J3949">
        <v>19.440000000000001</v>
      </c>
      <c r="K3949">
        <v>8870.58</v>
      </c>
      <c r="L3949" s="5">
        <v>46288</v>
      </c>
      <c r="M3949" t="s">
        <v>8302</v>
      </c>
      <c r="N3949" t="s">
        <v>207</v>
      </c>
      <c r="O3949" t="s">
        <v>8595</v>
      </c>
      <c r="P3949" t="s">
        <v>208</v>
      </c>
      <c r="Q3949" t="s">
        <v>209</v>
      </c>
    </row>
    <row r="3950" spans="1:17" x14ac:dyDescent="0.3">
      <c r="A3950" t="s">
        <v>8596</v>
      </c>
      <c r="C3950" t="s">
        <v>8597</v>
      </c>
      <c r="D3950" t="s">
        <v>8597</v>
      </c>
      <c r="E3950" s="5">
        <v>46286</v>
      </c>
      <c r="F3950" t="s">
        <v>204</v>
      </c>
      <c r="G3950" t="s">
        <v>220</v>
      </c>
      <c r="H3950">
        <v>4999</v>
      </c>
      <c r="I3950">
        <v>15</v>
      </c>
      <c r="J3950">
        <v>2.7</v>
      </c>
      <c r="K3950">
        <v>4981.3</v>
      </c>
      <c r="L3950" s="5">
        <v>46288</v>
      </c>
      <c r="M3950" t="s">
        <v>8302</v>
      </c>
      <c r="N3950" t="s">
        <v>207</v>
      </c>
      <c r="O3950" t="s">
        <v>8597</v>
      </c>
      <c r="P3950" t="s">
        <v>208</v>
      </c>
      <c r="Q3950" t="s">
        <v>209</v>
      </c>
    </row>
    <row r="3951" spans="1:17" x14ac:dyDescent="0.3">
      <c r="A3951" t="s">
        <v>8598</v>
      </c>
      <c r="C3951" t="s">
        <v>8599</v>
      </c>
      <c r="D3951" t="s">
        <v>8599</v>
      </c>
      <c r="E3951" s="5">
        <v>46286</v>
      </c>
      <c r="F3951" t="s">
        <v>204</v>
      </c>
      <c r="G3951" t="s">
        <v>213</v>
      </c>
      <c r="H3951">
        <v>848</v>
      </c>
      <c r="I3951">
        <v>15.26</v>
      </c>
      <c r="J3951">
        <v>2.75</v>
      </c>
      <c r="K3951">
        <v>829.99</v>
      </c>
      <c r="L3951" s="5">
        <v>46288</v>
      </c>
      <c r="M3951" t="s">
        <v>8302</v>
      </c>
      <c r="N3951" t="s">
        <v>207</v>
      </c>
      <c r="O3951" t="s">
        <v>8599</v>
      </c>
      <c r="P3951" t="s">
        <v>208</v>
      </c>
      <c r="Q3951" t="s">
        <v>209</v>
      </c>
    </row>
    <row r="3952" spans="1:17" x14ac:dyDescent="0.3">
      <c r="A3952" t="s">
        <v>8600</v>
      </c>
      <c r="C3952" t="s">
        <v>8601</v>
      </c>
      <c r="D3952" t="s">
        <v>8601</v>
      </c>
      <c r="E3952" s="5">
        <v>46286</v>
      </c>
      <c r="F3952" t="s">
        <v>204</v>
      </c>
      <c r="G3952" t="s">
        <v>220</v>
      </c>
      <c r="H3952">
        <v>2098</v>
      </c>
      <c r="I3952">
        <v>6.29</v>
      </c>
      <c r="J3952">
        <v>1.1299999999999999</v>
      </c>
      <c r="K3952">
        <v>2090.58</v>
      </c>
      <c r="L3952" s="5">
        <v>46288</v>
      </c>
      <c r="M3952" t="s">
        <v>8302</v>
      </c>
      <c r="N3952" t="s">
        <v>207</v>
      </c>
      <c r="O3952" t="s">
        <v>8601</v>
      </c>
      <c r="P3952" t="s">
        <v>208</v>
      </c>
      <c r="Q3952" t="s">
        <v>209</v>
      </c>
    </row>
    <row r="3953" spans="1:17" x14ac:dyDescent="0.3">
      <c r="A3953" t="s">
        <v>8602</v>
      </c>
      <c r="C3953" t="s">
        <v>8603</v>
      </c>
      <c r="D3953" t="s">
        <v>8603</v>
      </c>
      <c r="E3953" s="5">
        <v>46286</v>
      </c>
      <c r="F3953" t="s">
        <v>204</v>
      </c>
      <c r="G3953" t="s">
        <v>220</v>
      </c>
      <c r="H3953">
        <v>11498</v>
      </c>
      <c r="I3953">
        <v>34.49</v>
      </c>
      <c r="J3953">
        <v>6.21</v>
      </c>
      <c r="K3953">
        <v>11457.3</v>
      </c>
      <c r="L3953" s="5">
        <v>46288</v>
      </c>
      <c r="M3953" t="s">
        <v>8302</v>
      </c>
      <c r="N3953" t="s">
        <v>207</v>
      </c>
      <c r="O3953" t="s">
        <v>8603</v>
      </c>
      <c r="P3953" t="s">
        <v>208</v>
      </c>
      <c r="Q3953" t="s">
        <v>209</v>
      </c>
    </row>
    <row r="3954" spans="1:17" x14ac:dyDescent="0.3">
      <c r="A3954" t="s">
        <v>8604</v>
      </c>
      <c r="C3954" t="s">
        <v>8605</v>
      </c>
      <c r="D3954" t="s">
        <v>8605</v>
      </c>
      <c r="E3954" s="5">
        <v>46286</v>
      </c>
      <c r="F3954" t="s">
        <v>204</v>
      </c>
      <c r="G3954" t="s">
        <v>213</v>
      </c>
      <c r="H3954">
        <v>2798</v>
      </c>
      <c r="I3954">
        <v>44.77</v>
      </c>
      <c r="J3954">
        <v>8.06</v>
      </c>
      <c r="K3954">
        <v>2745.17</v>
      </c>
      <c r="L3954" s="5">
        <v>46288</v>
      </c>
      <c r="M3954" t="s">
        <v>8302</v>
      </c>
      <c r="N3954" t="s">
        <v>207</v>
      </c>
      <c r="O3954" t="s">
        <v>8605</v>
      </c>
      <c r="P3954" t="s">
        <v>208</v>
      </c>
      <c r="Q3954" t="s">
        <v>209</v>
      </c>
    </row>
    <row r="3955" spans="1:17" x14ac:dyDescent="0.3">
      <c r="A3955" t="s">
        <v>8606</v>
      </c>
      <c r="C3955" t="s">
        <v>8607</v>
      </c>
      <c r="D3955" t="s">
        <v>8607</v>
      </c>
      <c r="E3955" s="5">
        <v>46286</v>
      </c>
      <c r="F3955" t="s">
        <v>204</v>
      </c>
      <c r="G3955" t="s">
        <v>213</v>
      </c>
      <c r="H3955">
        <v>8998</v>
      </c>
      <c r="I3955">
        <v>143.97</v>
      </c>
      <c r="J3955">
        <v>25.91</v>
      </c>
      <c r="K3955">
        <v>8828.1200000000008</v>
      </c>
      <c r="L3955" s="5">
        <v>46288</v>
      </c>
      <c r="M3955" t="s">
        <v>8302</v>
      </c>
      <c r="N3955" t="s">
        <v>207</v>
      </c>
      <c r="O3955" t="s">
        <v>8607</v>
      </c>
      <c r="P3955" t="s">
        <v>208</v>
      </c>
      <c r="Q3955" t="s">
        <v>209</v>
      </c>
    </row>
    <row r="3956" spans="1:17" x14ac:dyDescent="0.3">
      <c r="A3956" t="s">
        <v>8608</v>
      </c>
      <c r="C3956" t="s">
        <v>8609</v>
      </c>
      <c r="D3956" t="s">
        <v>8609</v>
      </c>
      <c r="E3956" s="5">
        <v>46286</v>
      </c>
      <c r="F3956" t="s">
        <v>204</v>
      </c>
      <c r="G3956" t="s">
        <v>220</v>
      </c>
      <c r="H3956">
        <v>9298</v>
      </c>
      <c r="I3956">
        <v>27.89</v>
      </c>
      <c r="J3956">
        <v>5.0199999999999996</v>
      </c>
      <c r="K3956">
        <v>9265.09</v>
      </c>
      <c r="L3956" s="5">
        <v>46288</v>
      </c>
      <c r="M3956" t="s">
        <v>8302</v>
      </c>
      <c r="N3956" t="s">
        <v>207</v>
      </c>
      <c r="O3956" t="s">
        <v>8609</v>
      </c>
      <c r="P3956" t="s">
        <v>208</v>
      </c>
      <c r="Q3956" t="s">
        <v>209</v>
      </c>
    </row>
    <row r="3957" spans="1:17" x14ac:dyDescent="0.3">
      <c r="A3957" t="s">
        <v>8610</v>
      </c>
      <c r="C3957" t="s">
        <v>8611</v>
      </c>
      <c r="D3957" t="s">
        <v>8611</v>
      </c>
      <c r="E3957" s="5">
        <v>46286</v>
      </c>
      <c r="F3957" t="s">
        <v>204</v>
      </c>
      <c r="G3957" t="s">
        <v>220</v>
      </c>
      <c r="H3957">
        <v>1499</v>
      </c>
      <c r="I3957">
        <v>0</v>
      </c>
      <c r="J3957">
        <v>0</v>
      </c>
      <c r="K3957">
        <v>1499</v>
      </c>
      <c r="L3957" s="5">
        <v>46288</v>
      </c>
      <c r="M3957" t="s">
        <v>8302</v>
      </c>
      <c r="N3957" t="s">
        <v>207</v>
      </c>
      <c r="O3957" t="s">
        <v>8611</v>
      </c>
      <c r="P3957" t="s">
        <v>208</v>
      </c>
      <c r="Q3957" t="s">
        <v>209</v>
      </c>
    </row>
    <row r="3958" spans="1:17" x14ac:dyDescent="0.3">
      <c r="A3958" t="s">
        <v>8612</v>
      </c>
      <c r="C3958" t="s">
        <v>8613</v>
      </c>
      <c r="D3958" t="s">
        <v>8613</v>
      </c>
      <c r="E3958" s="5">
        <v>46286</v>
      </c>
      <c r="F3958" t="s">
        <v>204</v>
      </c>
      <c r="G3958" t="s">
        <v>213</v>
      </c>
      <c r="H3958">
        <v>1598</v>
      </c>
      <c r="I3958">
        <v>28.76</v>
      </c>
      <c r="J3958">
        <v>5.18</v>
      </c>
      <c r="K3958">
        <v>1564.06</v>
      </c>
      <c r="L3958" s="5">
        <v>46288</v>
      </c>
      <c r="M3958" t="s">
        <v>8302</v>
      </c>
      <c r="N3958" t="s">
        <v>207</v>
      </c>
      <c r="O3958" t="s">
        <v>8613</v>
      </c>
      <c r="P3958" t="s">
        <v>208</v>
      </c>
      <c r="Q3958" t="s">
        <v>209</v>
      </c>
    </row>
    <row r="3959" spans="1:17" x14ac:dyDescent="0.3">
      <c r="A3959" t="s">
        <v>8614</v>
      </c>
      <c r="C3959" t="s">
        <v>8615</v>
      </c>
      <c r="D3959" t="s">
        <v>8615</v>
      </c>
      <c r="E3959" s="5">
        <v>46286</v>
      </c>
      <c r="F3959" t="s">
        <v>204</v>
      </c>
      <c r="G3959" t="s">
        <v>220</v>
      </c>
      <c r="H3959">
        <v>7999</v>
      </c>
      <c r="I3959">
        <v>24</v>
      </c>
      <c r="J3959">
        <v>4.32</v>
      </c>
      <c r="K3959">
        <v>7970.68</v>
      </c>
      <c r="L3959" s="5">
        <v>46288</v>
      </c>
      <c r="M3959" t="s">
        <v>8302</v>
      </c>
      <c r="N3959" t="s">
        <v>207</v>
      </c>
      <c r="O3959" t="s">
        <v>8615</v>
      </c>
      <c r="P3959" t="s">
        <v>208</v>
      </c>
      <c r="Q3959" t="s">
        <v>209</v>
      </c>
    </row>
    <row r="3960" spans="1:17" x14ac:dyDescent="0.3">
      <c r="A3960" t="s">
        <v>8616</v>
      </c>
      <c r="C3960" t="s">
        <v>8617</v>
      </c>
      <c r="D3960" t="s">
        <v>8617</v>
      </c>
      <c r="E3960" s="5">
        <v>46286</v>
      </c>
      <c r="F3960" t="s">
        <v>204</v>
      </c>
      <c r="G3960" t="s">
        <v>220</v>
      </c>
      <c r="H3960">
        <v>1647</v>
      </c>
      <c r="I3960">
        <v>0</v>
      </c>
      <c r="J3960">
        <v>0</v>
      </c>
      <c r="K3960">
        <v>1647</v>
      </c>
      <c r="L3960" s="5">
        <v>46288</v>
      </c>
      <c r="M3960" t="s">
        <v>8302</v>
      </c>
      <c r="N3960" t="s">
        <v>207</v>
      </c>
      <c r="O3960" t="s">
        <v>8617</v>
      </c>
      <c r="P3960" t="s">
        <v>208</v>
      </c>
      <c r="Q3960" t="s">
        <v>209</v>
      </c>
    </row>
    <row r="3961" spans="1:17" x14ac:dyDescent="0.3">
      <c r="A3961" t="s">
        <v>8618</v>
      </c>
      <c r="C3961" t="s">
        <v>8619</v>
      </c>
      <c r="D3961" t="s">
        <v>8619</v>
      </c>
      <c r="E3961" s="5">
        <v>46286</v>
      </c>
      <c r="F3961" t="s">
        <v>204</v>
      </c>
      <c r="G3961" t="s">
        <v>220</v>
      </c>
      <c r="H3961">
        <v>2797</v>
      </c>
      <c r="I3961">
        <v>8.39</v>
      </c>
      <c r="J3961">
        <v>1.51</v>
      </c>
      <c r="K3961">
        <v>2787.1</v>
      </c>
      <c r="L3961" s="5">
        <v>46288</v>
      </c>
      <c r="M3961" t="s">
        <v>8302</v>
      </c>
      <c r="N3961" t="s">
        <v>207</v>
      </c>
      <c r="O3961" t="s">
        <v>8619</v>
      </c>
      <c r="P3961" t="s">
        <v>208</v>
      </c>
      <c r="Q3961" t="s">
        <v>209</v>
      </c>
    </row>
    <row r="3962" spans="1:17" x14ac:dyDescent="0.3">
      <c r="A3962" t="s">
        <v>8620</v>
      </c>
      <c r="C3962" t="s">
        <v>8621</v>
      </c>
      <c r="D3962" t="s">
        <v>8621</v>
      </c>
      <c r="E3962" s="5">
        <v>46286</v>
      </c>
      <c r="F3962" t="s">
        <v>204</v>
      </c>
      <c r="G3962" t="s">
        <v>220</v>
      </c>
      <c r="H3962">
        <v>1499</v>
      </c>
      <c r="I3962">
        <v>0</v>
      </c>
      <c r="J3962">
        <v>0</v>
      </c>
      <c r="K3962">
        <v>1499</v>
      </c>
      <c r="L3962" s="5">
        <v>46288</v>
      </c>
      <c r="M3962" t="s">
        <v>8302</v>
      </c>
      <c r="N3962" t="s">
        <v>207</v>
      </c>
      <c r="O3962" t="s">
        <v>8621</v>
      </c>
      <c r="P3962" t="s">
        <v>208</v>
      </c>
      <c r="Q3962" t="s">
        <v>209</v>
      </c>
    </row>
    <row r="3963" spans="1:17" x14ac:dyDescent="0.3">
      <c r="A3963" t="s">
        <v>8622</v>
      </c>
      <c r="C3963" t="s">
        <v>8623</v>
      </c>
      <c r="D3963" t="s">
        <v>8624</v>
      </c>
      <c r="E3963" s="5">
        <v>46286</v>
      </c>
      <c r="F3963" t="s">
        <v>204</v>
      </c>
      <c r="G3963" t="s">
        <v>220</v>
      </c>
      <c r="H3963">
        <v>1499</v>
      </c>
      <c r="I3963">
        <v>0</v>
      </c>
      <c r="J3963">
        <v>0</v>
      </c>
      <c r="K3963">
        <v>1499</v>
      </c>
      <c r="L3963" s="5">
        <v>46288</v>
      </c>
      <c r="M3963" t="s">
        <v>8302</v>
      </c>
      <c r="N3963" t="s">
        <v>207</v>
      </c>
      <c r="O3963" t="s">
        <v>8624</v>
      </c>
      <c r="P3963" t="s">
        <v>208</v>
      </c>
      <c r="Q3963" t="s">
        <v>209</v>
      </c>
    </row>
    <row r="3964" spans="1:17" x14ac:dyDescent="0.3">
      <c r="A3964" t="s">
        <v>8625</v>
      </c>
      <c r="C3964" t="s">
        <v>8626</v>
      </c>
      <c r="D3964" t="s">
        <v>8626</v>
      </c>
      <c r="E3964" s="5">
        <v>46286</v>
      </c>
      <c r="F3964" t="s">
        <v>204</v>
      </c>
      <c r="G3964" t="s">
        <v>220</v>
      </c>
      <c r="H3964">
        <v>8597</v>
      </c>
      <c r="I3964">
        <v>25.79</v>
      </c>
      <c r="J3964">
        <v>4.6399999999999997</v>
      </c>
      <c r="K3964">
        <v>8566.57</v>
      </c>
      <c r="L3964" s="5">
        <v>46288</v>
      </c>
      <c r="M3964" t="s">
        <v>8302</v>
      </c>
      <c r="N3964" t="s">
        <v>207</v>
      </c>
      <c r="O3964" t="s">
        <v>8626</v>
      </c>
      <c r="P3964" t="s">
        <v>208</v>
      </c>
      <c r="Q3964" t="s">
        <v>209</v>
      </c>
    </row>
    <row r="3965" spans="1:17" x14ac:dyDescent="0.3">
      <c r="A3965" t="s">
        <v>8627</v>
      </c>
      <c r="C3965" t="s">
        <v>8628</v>
      </c>
      <c r="D3965" t="s">
        <v>8628</v>
      </c>
      <c r="E3965" s="5">
        <v>46286</v>
      </c>
      <c r="F3965" t="s">
        <v>204</v>
      </c>
      <c r="G3965" t="s">
        <v>220</v>
      </c>
      <c r="H3965">
        <v>1299</v>
      </c>
      <c r="I3965">
        <v>0</v>
      </c>
      <c r="J3965">
        <v>0</v>
      </c>
      <c r="K3965">
        <v>1299</v>
      </c>
      <c r="L3965" s="5">
        <v>46288</v>
      </c>
      <c r="M3965" t="s">
        <v>8302</v>
      </c>
      <c r="N3965" t="s">
        <v>207</v>
      </c>
      <c r="O3965" t="s">
        <v>8628</v>
      </c>
      <c r="P3965" t="s">
        <v>208</v>
      </c>
      <c r="Q3965" t="s">
        <v>209</v>
      </c>
    </row>
    <row r="3966" spans="1:17" x14ac:dyDescent="0.3">
      <c r="A3966" t="s">
        <v>8629</v>
      </c>
      <c r="C3966" t="s">
        <v>8630</v>
      </c>
      <c r="D3966" t="s">
        <v>8631</v>
      </c>
      <c r="E3966" s="5">
        <v>46286</v>
      </c>
      <c r="F3966" t="s">
        <v>204</v>
      </c>
      <c r="G3966" t="s">
        <v>213</v>
      </c>
      <c r="H3966">
        <v>2297</v>
      </c>
      <c r="I3966">
        <v>36.75</v>
      </c>
      <c r="J3966">
        <v>6.62</v>
      </c>
      <c r="K3966">
        <v>2253.63</v>
      </c>
      <c r="L3966" s="5">
        <v>46288</v>
      </c>
      <c r="M3966" t="s">
        <v>8302</v>
      </c>
      <c r="N3966" t="s">
        <v>207</v>
      </c>
      <c r="O3966" t="s">
        <v>8631</v>
      </c>
      <c r="P3966" t="s">
        <v>208</v>
      </c>
      <c r="Q3966" t="s">
        <v>209</v>
      </c>
    </row>
    <row r="3967" spans="1:17" x14ac:dyDescent="0.3">
      <c r="A3967" t="s">
        <v>8632</v>
      </c>
      <c r="C3967" t="s">
        <v>8633</v>
      </c>
      <c r="D3967" t="s">
        <v>8634</v>
      </c>
      <c r="E3967" s="5">
        <v>46286</v>
      </c>
      <c r="F3967" t="s">
        <v>204</v>
      </c>
      <c r="G3967" t="s">
        <v>255</v>
      </c>
      <c r="H3967">
        <v>1598</v>
      </c>
      <c r="I3967">
        <v>23.97</v>
      </c>
      <c r="J3967">
        <v>4.3099999999999996</v>
      </c>
      <c r="K3967">
        <v>1569.72</v>
      </c>
      <c r="L3967" s="5">
        <v>46288</v>
      </c>
      <c r="M3967" t="s">
        <v>8302</v>
      </c>
      <c r="N3967" t="s">
        <v>207</v>
      </c>
      <c r="O3967" t="s">
        <v>8634</v>
      </c>
      <c r="P3967" t="s">
        <v>208</v>
      </c>
      <c r="Q3967" t="s">
        <v>209</v>
      </c>
    </row>
    <row r="3968" spans="1:17" x14ac:dyDescent="0.3">
      <c r="A3968" t="s">
        <v>8635</v>
      </c>
      <c r="C3968" t="s">
        <v>8636</v>
      </c>
      <c r="D3968" t="s">
        <v>8636</v>
      </c>
      <c r="E3968" s="5">
        <v>46286</v>
      </c>
      <c r="F3968" t="s">
        <v>204</v>
      </c>
      <c r="G3968" t="s">
        <v>213</v>
      </c>
      <c r="H3968">
        <v>1799</v>
      </c>
      <c r="I3968">
        <v>32.380000000000003</v>
      </c>
      <c r="J3968">
        <v>5.83</v>
      </c>
      <c r="K3968">
        <v>1760.79</v>
      </c>
      <c r="L3968" s="5">
        <v>46288</v>
      </c>
      <c r="M3968" t="s">
        <v>8302</v>
      </c>
      <c r="N3968" t="s">
        <v>207</v>
      </c>
      <c r="O3968" t="s">
        <v>8636</v>
      </c>
      <c r="P3968" t="s">
        <v>208</v>
      </c>
      <c r="Q3968" t="s">
        <v>209</v>
      </c>
    </row>
    <row r="3969" spans="1:17" x14ac:dyDescent="0.3">
      <c r="A3969" t="s">
        <v>8637</v>
      </c>
      <c r="C3969" t="s">
        <v>8638</v>
      </c>
      <c r="D3969" t="s">
        <v>8638</v>
      </c>
      <c r="E3969" s="5">
        <v>46286</v>
      </c>
      <c r="F3969" t="s">
        <v>204</v>
      </c>
      <c r="G3969" t="s">
        <v>220</v>
      </c>
      <c r="H3969">
        <v>5298</v>
      </c>
      <c r="I3969">
        <v>15.89</v>
      </c>
      <c r="J3969">
        <v>2.86</v>
      </c>
      <c r="K3969">
        <v>5279.25</v>
      </c>
      <c r="L3969" s="5">
        <v>46288</v>
      </c>
      <c r="M3969" t="s">
        <v>8302</v>
      </c>
      <c r="N3969" t="s">
        <v>207</v>
      </c>
      <c r="O3969" t="s">
        <v>8638</v>
      </c>
      <c r="P3969" t="s">
        <v>208</v>
      </c>
      <c r="Q3969" t="s">
        <v>209</v>
      </c>
    </row>
    <row r="3970" spans="1:17" x14ac:dyDescent="0.3">
      <c r="A3970" t="s">
        <v>8639</v>
      </c>
      <c r="C3970" t="s">
        <v>8640</v>
      </c>
      <c r="D3970" t="s">
        <v>8640</v>
      </c>
      <c r="E3970" s="5">
        <v>46286</v>
      </c>
      <c r="F3970" t="s">
        <v>204</v>
      </c>
      <c r="G3970" t="s">
        <v>255</v>
      </c>
      <c r="H3970">
        <v>2298</v>
      </c>
      <c r="I3970">
        <v>27.58</v>
      </c>
      <c r="J3970">
        <v>4.96</v>
      </c>
      <c r="K3970">
        <v>2265.46</v>
      </c>
      <c r="L3970" s="5">
        <v>46288</v>
      </c>
      <c r="M3970" t="s">
        <v>8302</v>
      </c>
      <c r="N3970" t="s">
        <v>207</v>
      </c>
      <c r="O3970" t="s">
        <v>8640</v>
      </c>
      <c r="P3970" t="s">
        <v>208</v>
      </c>
      <c r="Q3970" t="s">
        <v>209</v>
      </c>
    </row>
    <row r="3971" spans="1:17" x14ac:dyDescent="0.3">
      <c r="A3971" t="s">
        <v>8641</v>
      </c>
      <c r="C3971" t="s">
        <v>8642</v>
      </c>
      <c r="D3971" t="s">
        <v>8642</v>
      </c>
      <c r="E3971" s="5">
        <v>46286</v>
      </c>
      <c r="F3971" t="s">
        <v>204</v>
      </c>
      <c r="G3971" t="s">
        <v>205</v>
      </c>
      <c r="H3971">
        <v>599</v>
      </c>
      <c r="I3971">
        <v>11.38</v>
      </c>
      <c r="J3971">
        <v>2.0499999999999998</v>
      </c>
      <c r="K3971">
        <v>585.57000000000005</v>
      </c>
      <c r="L3971" s="5">
        <v>46288</v>
      </c>
      <c r="M3971" t="s">
        <v>8302</v>
      </c>
      <c r="N3971" t="s">
        <v>207</v>
      </c>
      <c r="O3971" t="s">
        <v>8642</v>
      </c>
      <c r="P3971" t="s">
        <v>208</v>
      </c>
      <c r="Q3971" t="s">
        <v>209</v>
      </c>
    </row>
    <row r="3972" spans="1:17" x14ac:dyDescent="0.3">
      <c r="A3972" t="s">
        <v>8643</v>
      </c>
      <c r="C3972" t="s">
        <v>8644</v>
      </c>
      <c r="D3972" t="s">
        <v>8644</v>
      </c>
      <c r="E3972" s="5">
        <v>46286</v>
      </c>
      <c r="F3972" t="s">
        <v>204</v>
      </c>
      <c r="G3972" t="s">
        <v>213</v>
      </c>
      <c r="H3972">
        <v>999</v>
      </c>
      <c r="I3972">
        <v>17.98</v>
      </c>
      <c r="J3972">
        <v>3.24</v>
      </c>
      <c r="K3972">
        <v>977.78</v>
      </c>
      <c r="L3972" s="5">
        <v>46288</v>
      </c>
      <c r="M3972" t="s">
        <v>8302</v>
      </c>
      <c r="N3972" t="s">
        <v>207</v>
      </c>
      <c r="O3972" t="s">
        <v>8644</v>
      </c>
      <c r="P3972" t="s">
        <v>208</v>
      </c>
      <c r="Q3972" t="s">
        <v>209</v>
      </c>
    </row>
    <row r="3973" spans="1:17" x14ac:dyDescent="0.3">
      <c r="A3973" t="s">
        <v>8645</v>
      </c>
      <c r="C3973" t="s">
        <v>8646</v>
      </c>
      <c r="D3973" t="s">
        <v>8646</v>
      </c>
      <c r="E3973" s="5">
        <v>46286</v>
      </c>
      <c r="F3973" t="s">
        <v>204</v>
      </c>
      <c r="G3973" t="s">
        <v>220</v>
      </c>
      <c r="H3973">
        <v>1398</v>
      </c>
      <c r="I3973">
        <v>0</v>
      </c>
      <c r="J3973">
        <v>0</v>
      </c>
      <c r="K3973">
        <v>1398</v>
      </c>
      <c r="L3973" s="5">
        <v>46288</v>
      </c>
      <c r="M3973" t="s">
        <v>8302</v>
      </c>
      <c r="N3973" t="s">
        <v>207</v>
      </c>
      <c r="O3973" t="s">
        <v>8646</v>
      </c>
      <c r="P3973" t="s">
        <v>208</v>
      </c>
      <c r="Q3973" t="s">
        <v>209</v>
      </c>
    </row>
    <row r="3974" spans="1:17" x14ac:dyDescent="0.3">
      <c r="A3974" t="s">
        <v>8647</v>
      </c>
      <c r="C3974" t="s">
        <v>8648</v>
      </c>
      <c r="D3974" t="s">
        <v>8648</v>
      </c>
      <c r="E3974" s="5">
        <v>46286</v>
      </c>
      <c r="F3974" t="s">
        <v>204</v>
      </c>
      <c r="G3974" t="s">
        <v>205</v>
      </c>
      <c r="H3974">
        <v>499</v>
      </c>
      <c r="I3974">
        <v>9.48</v>
      </c>
      <c r="J3974">
        <v>1.71</v>
      </c>
      <c r="K3974">
        <v>487.81</v>
      </c>
      <c r="L3974" s="5">
        <v>46288</v>
      </c>
      <c r="M3974" t="s">
        <v>8302</v>
      </c>
      <c r="N3974" t="s">
        <v>207</v>
      </c>
      <c r="O3974" t="s">
        <v>8648</v>
      </c>
      <c r="P3974" t="s">
        <v>208</v>
      </c>
      <c r="Q3974" t="s">
        <v>209</v>
      </c>
    </row>
    <row r="3975" spans="1:17" x14ac:dyDescent="0.3">
      <c r="A3975" t="s">
        <v>8649</v>
      </c>
      <c r="C3975" t="s">
        <v>8650</v>
      </c>
      <c r="D3975" t="s">
        <v>8650</v>
      </c>
      <c r="E3975" s="5">
        <v>46286</v>
      </c>
      <c r="F3975" t="s">
        <v>204</v>
      </c>
      <c r="G3975" t="s">
        <v>220</v>
      </c>
      <c r="H3975">
        <v>799</v>
      </c>
      <c r="I3975">
        <v>0</v>
      </c>
      <c r="J3975">
        <v>0</v>
      </c>
      <c r="K3975">
        <v>799</v>
      </c>
      <c r="L3975" s="5">
        <v>46288</v>
      </c>
      <c r="M3975" t="s">
        <v>8302</v>
      </c>
      <c r="N3975" t="s">
        <v>207</v>
      </c>
      <c r="O3975" t="s">
        <v>8650</v>
      </c>
      <c r="P3975" t="s">
        <v>208</v>
      </c>
      <c r="Q3975" t="s">
        <v>209</v>
      </c>
    </row>
    <row r="3976" spans="1:17" x14ac:dyDescent="0.3">
      <c r="A3976" t="s">
        <v>8651</v>
      </c>
      <c r="C3976" t="s">
        <v>8652</v>
      </c>
      <c r="D3976" t="s">
        <v>8652</v>
      </c>
      <c r="E3976" s="5">
        <v>46286</v>
      </c>
      <c r="F3976" t="s">
        <v>204</v>
      </c>
      <c r="G3976" t="s">
        <v>205</v>
      </c>
      <c r="H3976">
        <v>6498</v>
      </c>
      <c r="I3976">
        <v>110.47</v>
      </c>
      <c r="J3976">
        <v>19.88</v>
      </c>
      <c r="K3976">
        <v>6367.65</v>
      </c>
      <c r="L3976" s="5">
        <v>46288</v>
      </c>
      <c r="M3976" t="s">
        <v>8302</v>
      </c>
      <c r="N3976" t="s">
        <v>207</v>
      </c>
      <c r="O3976" t="s">
        <v>8652</v>
      </c>
      <c r="P3976" t="s">
        <v>208</v>
      </c>
      <c r="Q3976" t="s">
        <v>209</v>
      </c>
    </row>
    <row r="3977" spans="1:17" x14ac:dyDescent="0.3">
      <c r="A3977" t="s">
        <v>8653</v>
      </c>
      <c r="C3977" t="s">
        <v>8654</v>
      </c>
      <c r="D3977" t="s">
        <v>8654</v>
      </c>
      <c r="E3977" s="5">
        <v>46286</v>
      </c>
      <c r="F3977" t="s">
        <v>204</v>
      </c>
      <c r="G3977" t="s">
        <v>220</v>
      </c>
      <c r="H3977">
        <v>4797</v>
      </c>
      <c r="I3977">
        <v>14.39</v>
      </c>
      <c r="J3977">
        <v>2.59</v>
      </c>
      <c r="K3977">
        <v>4780.0200000000004</v>
      </c>
      <c r="L3977" s="5">
        <v>46288</v>
      </c>
      <c r="M3977" t="s">
        <v>8302</v>
      </c>
      <c r="N3977" t="s">
        <v>207</v>
      </c>
      <c r="O3977" t="s">
        <v>8654</v>
      </c>
      <c r="P3977" t="s">
        <v>208</v>
      </c>
      <c r="Q3977" t="s">
        <v>209</v>
      </c>
    </row>
    <row r="3978" spans="1:17" x14ac:dyDescent="0.3">
      <c r="A3978" t="s">
        <v>8655</v>
      </c>
      <c r="C3978" t="s">
        <v>8656</v>
      </c>
      <c r="D3978" t="s">
        <v>8656</v>
      </c>
      <c r="E3978" s="5">
        <v>46286</v>
      </c>
      <c r="F3978" t="s">
        <v>204</v>
      </c>
      <c r="G3978" t="s">
        <v>220</v>
      </c>
      <c r="H3978">
        <v>1799</v>
      </c>
      <c r="I3978">
        <v>0</v>
      </c>
      <c r="J3978">
        <v>0</v>
      </c>
      <c r="K3978">
        <v>1799</v>
      </c>
      <c r="L3978" s="5">
        <v>46288</v>
      </c>
      <c r="M3978" t="s">
        <v>8302</v>
      </c>
      <c r="N3978" t="s">
        <v>207</v>
      </c>
      <c r="O3978" t="s">
        <v>8656</v>
      </c>
      <c r="P3978" t="s">
        <v>208</v>
      </c>
      <c r="Q3978" t="s">
        <v>209</v>
      </c>
    </row>
    <row r="3979" spans="1:17" x14ac:dyDescent="0.3">
      <c r="A3979" t="s">
        <v>8657</v>
      </c>
      <c r="C3979" t="s">
        <v>8658</v>
      </c>
      <c r="D3979" t="s">
        <v>8658</v>
      </c>
      <c r="E3979" s="5">
        <v>46286</v>
      </c>
      <c r="F3979" t="s">
        <v>204</v>
      </c>
      <c r="G3979" t="s">
        <v>220</v>
      </c>
      <c r="H3979">
        <v>4498</v>
      </c>
      <c r="I3979">
        <v>13.49</v>
      </c>
      <c r="J3979">
        <v>2.4300000000000002</v>
      </c>
      <c r="K3979">
        <v>4482.08</v>
      </c>
      <c r="L3979" s="5">
        <v>46288</v>
      </c>
      <c r="M3979" t="s">
        <v>8302</v>
      </c>
      <c r="N3979" t="s">
        <v>207</v>
      </c>
      <c r="O3979" t="s">
        <v>8658</v>
      </c>
      <c r="P3979" t="s">
        <v>208</v>
      </c>
      <c r="Q3979" t="s">
        <v>209</v>
      </c>
    </row>
    <row r="3980" spans="1:17" x14ac:dyDescent="0.3">
      <c r="A3980" t="s">
        <v>8659</v>
      </c>
      <c r="C3980" t="s">
        <v>8660</v>
      </c>
      <c r="D3980" t="s">
        <v>8660</v>
      </c>
      <c r="E3980" s="5">
        <v>46286</v>
      </c>
      <c r="F3980" t="s">
        <v>204</v>
      </c>
      <c r="G3980" t="s">
        <v>255</v>
      </c>
      <c r="H3980">
        <v>1898</v>
      </c>
      <c r="I3980">
        <v>28.47</v>
      </c>
      <c r="J3980">
        <v>5.12</v>
      </c>
      <c r="K3980">
        <v>1864.41</v>
      </c>
      <c r="L3980" s="5">
        <v>46288</v>
      </c>
      <c r="M3980" t="s">
        <v>8302</v>
      </c>
      <c r="N3980" t="s">
        <v>207</v>
      </c>
      <c r="O3980" t="s">
        <v>8660</v>
      </c>
      <c r="P3980" t="s">
        <v>208</v>
      </c>
      <c r="Q3980" t="s">
        <v>209</v>
      </c>
    </row>
    <row r="3981" spans="1:17" x14ac:dyDescent="0.3">
      <c r="A3981" t="s">
        <v>8661</v>
      </c>
      <c r="C3981" t="s">
        <v>8662</v>
      </c>
      <c r="D3981" t="s">
        <v>8662</v>
      </c>
      <c r="E3981" s="5">
        <v>46286</v>
      </c>
      <c r="F3981" t="s">
        <v>204</v>
      </c>
      <c r="G3981" t="s">
        <v>205</v>
      </c>
      <c r="H3981">
        <v>6498</v>
      </c>
      <c r="I3981">
        <v>110.47</v>
      </c>
      <c r="J3981">
        <v>19.88</v>
      </c>
      <c r="K3981">
        <v>6367.65</v>
      </c>
      <c r="L3981" s="5">
        <v>46288</v>
      </c>
      <c r="M3981" t="s">
        <v>8302</v>
      </c>
      <c r="N3981" t="s">
        <v>207</v>
      </c>
      <c r="O3981" t="s">
        <v>8662</v>
      </c>
      <c r="P3981" t="s">
        <v>208</v>
      </c>
      <c r="Q3981" t="s">
        <v>209</v>
      </c>
    </row>
    <row r="3982" spans="1:17" x14ac:dyDescent="0.3">
      <c r="A3982" t="s">
        <v>8663</v>
      </c>
      <c r="C3982" t="s">
        <v>8664</v>
      </c>
      <c r="D3982" t="s">
        <v>8665</v>
      </c>
      <c r="E3982" s="5">
        <v>46286</v>
      </c>
      <c r="F3982" t="s">
        <v>204</v>
      </c>
      <c r="G3982" t="s">
        <v>220</v>
      </c>
      <c r="H3982">
        <v>2499</v>
      </c>
      <c r="I3982">
        <v>7.5</v>
      </c>
      <c r="J3982">
        <v>1.35</v>
      </c>
      <c r="K3982">
        <v>2490.15</v>
      </c>
      <c r="L3982" s="5">
        <v>46288</v>
      </c>
      <c r="M3982" t="s">
        <v>8302</v>
      </c>
      <c r="N3982" t="s">
        <v>207</v>
      </c>
      <c r="O3982" t="s">
        <v>8665</v>
      </c>
      <c r="P3982" t="s">
        <v>208</v>
      </c>
      <c r="Q3982" t="s">
        <v>209</v>
      </c>
    </row>
    <row r="3983" spans="1:17" x14ac:dyDescent="0.3">
      <c r="A3983" t="s">
        <v>8666</v>
      </c>
      <c r="C3983" t="s">
        <v>8667</v>
      </c>
      <c r="D3983" t="s">
        <v>8667</v>
      </c>
      <c r="E3983" s="5">
        <v>46286</v>
      </c>
      <c r="F3983" t="s">
        <v>204</v>
      </c>
      <c r="G3983" t="s">
        <v>220</v>
      </c>
      <c r="H3983">
        <v>299</v>
      </c>
      <c r="I3983">
        <v>0</v>
      </c>
      <c r="J3983">
        <v>0</v>
      </c>
      <c r="K3983">
        <v>299</v>
      </c>
      <c r="L3983" s="5">
        <v>46288</v>
      </c>
      <c r="M3983" t="s">
        <v>8302</v>
      </c>
      <c r="N3983" t="s">
        <v>207</v>
      </c>
      <c r="O3983" t="s">
        <v>8667</v>
      </c>
      <c r="P3983" t="s">
        <v>208</v>
      </c>
      <c r="Q3983" t="s">
        <v>209</v>
      </c>
    </row>
    <row r="3984" spans="1:17" x14ac:dyDescent="0.3">
      <c r="A3984" t="s">
        <v>8668</v>
      </c>
      <c r="C3984" t="s">
        <v>8669</v>
      </c>
      <c r="D3984" t="s">
        <v>8669</v>
      </c>
      <c r="E3984" s="5">
        <v>46286</v>
      </c>
      <c r="F3984" t="s">
        <v>204</v>
      </c>
      <c r="G3984" t="s">
        <v>220</v>
      </c>
      <c r="H3984">
        <v>599</v>
      </c>
      <c r="I3984">
        <v>0</v>
      </c>
      <c r="J3984">
        <v>0</v>
      </c>
      <c r="K3984">
        <v>599</v>
      </c>
      <c r="L3984" s="5">
        <v>46288</v>
      </c>
      <c r="M3984" t="s">
        <v>8302</v>
      </c>
      <c r="N3984" t="s">
        <v>207</v>
      </c>
      <c r="O3984" t="s">
        <v>8669</v>
      </c>
      <c r="P3984" t="s">
        <v>208</v>
      </c>
      <c r="Q3984" t="s">
        <v>209</v>
      </c>
    </row>
    <row r="3985" spans="1:17" x14ac:dyDescent="0.3">
      <c r="A3985" t="s">
        <v>8670</v>
      </c>
      <c r="C3985" t="s">
        <v>8671</v>
      </c>
      <c r="D3985" t="s">
        <v>8671</v>
      </c>
      <c r="E3985" s="5">
        <v>46286</v>
      </c>
      <c r="F3985" t="s">
        <v>204</v>
      </c>
      <c r="G3985" t="s">
        <v>220</v>
      </c>
      <c r="H3985">
        <v>3499</v>
      </c>
      <c r="I3985">
        <v>10.5</v>
      </c>
      <c r="J3985">
        <v>1.89</v>
      </c>
      <c r="K3985">
        <v>3486.61</v>
      </c>
      <c r="L3985" s="5">
        <v>46288</v>
      </c>
      <c r="M3985" t="s">
        <v>8302</v>
      </c>
      <c r="N3985" t="s">
        <v>207</v>
      </c>
      <c r="O3985" t="s">
        <v>8671</v>
      </c>
      <c r="P3985" t="s">
        <v>208</v>
      </c>
      <c r="Q3985" t="s">
        <v>209</v>
      </c>
    </row>
    <row r="3986" spans="1:17" x14ac:dyDescent="0.3">
      <c r="A3986" t="s">
        <v>8672</v>
      </c>
      <c r="C3986" t="s">
        <v>8673</v>
      </c>
      <c r="D3986" t="s">
        <v>8674</v>
      </c>
      <c r="E3986" s="5">
        <v>46286</v>
      </c>
      <c r="F3986" t="s">
        <v>204</v>
      </c>
      <c r="G3986" t="s">
        <v>213</v>
      </c>
      <c r="H3986">
        <v>1499</v>
      </c>
      <c r="I3986">
        <v>26.98</v>
      </c>
      <c r="J3986">
        <v>4.8600000000000003</v>
      </c>
      <c r="K3986">
        <v>1467.16</v>
      </c>
      <c r="L3986" s="5">
        <v>46288</v>
      </c>
      <c r="M3986" t="s">
        <v>8302</v>
      </c>
      <c r="N3986" t="s">
        <v>207</v>
      </c>
      <c r="O3986" t="s">
        <v>8674</v>
      </c>
      <c r="P3986" t="s">
        <v>208</v>
      </c>
      <c r="Q3986" t="s">
        <v>209</v>
      </c>
    </row>
    <row r="3987" spans="1:17" x14ac:dyDescent="0.3">
      <c r="A3987" t="s">
        <v>8675</v>
      </c>
      <c r="C3987" t="s">
        <v>8676</v>
      </c>
      <c r="D3987" t="s">
        <v>8676</v>
      </c>
      <c r="E3987" s="5">
        <v>46286</v>
      </c>
      <c r="F3987" t="s">
        <v>204</v>
      </c>
      <c r="G3987" t="s">
        <v>213</v>
      </c>
      <c r="H3987">
        <v>3097</v>
      </c>
      <c r="I3987">
        <v>49.55</v>
      </c>
      <c r="J3987">
        <v>8.92</v>
      </c>
      <c r="K3987">
        <v>3038.53</v>
      </c>
      <c r="L3987" s="5">
        <v>46288</v>
      </c>
      <c r="M3987" t="s">
        <v>8302</v>
      </c>
      <c r="N3987" t="s">
        <v>207</v>
      </c>
      <c r="O3987" t="s">
        <v>8676</v>
      </c>
      <c r="P3987" t="s">
        <v>208</v>
      </c>
      <c r="Q3987" t="s">
        <v>209</v>
      </c>
    </row>
    <row r="3988" spans="1:17" x14ac:dyDescent="0.3">
      <c r="A3988" t="s">
        <v>8677</v>
      </c>
      <c r="B3988" t="s">
        <v>7073</v>
      </c>
      <c r="E3988" s="5">
        <v>46286</v>
      </c>
      <c r="F3988" t="s">
        <v>921</v>
      </c>
      <c r="G3988" t="s">
        <v>220</v>
      </c>
      <c r="H3988">
        <v>12998</v>
      </c>
      <c r="I3988">
        <v>0</v>
      </c>
      <c r="J3988">
        <v>0</v>
      </c>
      <c r="K3988">
        <v>-12998</v>
      </c>
      <c r="L3988" s="5">
        <v>46288</v>
      </c>
      <c r="M3988" t="s">
        <v>8302</v>
      </c>
      <c r="N3988" t="s">
        <v>207</v>
      </c>
      <c r="O3988" t="s">
        <v>7074</v>
      </c>
      <c r="P3988" t="s">
        <v>208</v>
      </c>
    </row>
    <row r="3989" spans="1:17" x14ac:dyDescent="0.3">
      <c r="A3989" t="s">
        <v>8678</v>
      </c>
      <c r="B3989" t="s">
        <v>7077</v>
      </c>
      <c r="E3989" s="5">
        <v>46286</v>
      </c>
      <c r="F3989" t="s">
        <v>921</v>
      </c>
      <c r="G3989" t="s">
        <v>213</v>
      </c>
      <c r="H3989">
        <v>1298</v>
      </c>
      <c r="I3989">
        <v>0</v>
      </c>
      <c r="J3989">
        <v>0</v>
      </c>
      <c r="K3989">
        <v>-1298</v>
      </c>
      <c r="L3989" s="5">
        <v>46288</v>
      </c>
      <c r="M3989" t="s">
        <v>8302</v>
      </c>
      <c r="N3989" t="s">
        <v>207</v>
      </c>
      <c r="O3989" t="s">
        <v>7079</v>
      </c>
      <c r="P3989" t="s">
        <v>208</v>
      </c>
    </row>
    <row r="3990" spans="1:17" x14ac:dyDescent="0.3">
      <c r="A3990" t="s">
        <v>8679</v>
      </c>
      <c r="B3990" t="s">
        <v>6450</v>
      </c>
      <c r="E3990" s="5">
        <v>46286</v>
      </c>
      <c r="F3990" t="s">
        <v>921</v>
      </c>
      <c r="G3990" t="s">
        <v>220</v>
      </c>
      <c r="H3990">
        <v>2598</v>
      </c>
      <c r="I3990">
        <v>0</v>
      </c>
      <c r="J3990">
        <v>0</v>
      </c>
      <c r="K3990">
        <v>-2598</v>
      </c>
      <c r="L3990" s="5">
        <v>46288</v>
      </c>
      <c r="M3990" t="s">
        <v>8302</v>
      </c>
      <c r="N3990" t="s">
        <v>207</v>
      </c>
      <c r="O3990" t="s">
        <v>6451</v>
      </c>
      <c r="P3990" t="s">
        <v>208</v>
      </c>
    </row>
    <row r="3991" spans="1:17" x14ac:dyDescent="0.3">
      <c r="A3991" t="s">
        <v>8680</v>
      </c>
      <c r="B3991" t="s">
        <v>6421</v>
      </c>
      <c r="E3991" s="5">
        <v>46286</v>
      </c>
      <c r="F3991" t="s">
        <v>921</v>
      </c>
      <c r="G3991" t="s">
        <v>213</v>
      </c>
      <c r="H3991">
        <v>2999</v>
      </c>
      <c r="I3991">
        <v>0</v>
      </c>
      <c r="J3991">
        <v>0</v>
      </c>
      <c r="K3991">
        <v>-2999</v>
      </c>
      <c r="L3991" s="5">
        <v>46288</v>
      </c>
      <c r="M3991" t="s">
        <v>8302</v>
      </c>
      <c r="N3991" t="s">
        <v>207</v>
      </c>
      <c r="O3991" t="s">
        <v>6422</v>
      </c>
      <c r="P3991" t="s">
        <v>208</v>
      </c>
    </row>
    <row r="3992" spans="1:17" x14ac:dyDescent="0.3">
      <c r="A3992" t="s">
        <v>8681</v>
      </c>
      <c r="B3992" t="s">
        <v>6580</v>
      </c>
      <c r="E3992" s="5">
        <v>46286</v>
      </c>
      <c r="F3992" t="s">
        <v>921</v>
      </c>
      <c r="G3992" t="s">
        <v>220</v>
      </c>
      <c r="H3992">
        <v>5597</v>
      </c>
      <c r="I3992">
        <v>0</v>
      </c>
      <c r="J3992">
        <v>0</v>
      </c>
      <c r="K3992">
        <v>-5597</v>
      </c>
      <c r="L3992" s="5">
        <v>46288</v>
      </c>
      <c r="M3992" t="s">
        <v>8302</v>
      </c>
      <c r="N3992" t="s">
        <v>207</v>
      </c>
      <c r="O3992" t="s">
        <v>6581</v>
      </c>
      <c r="P3992" t="s">
        <v>208</v>
      </c>
    </row>
    <row r="3993" spans="1:17" x14ac:dyDescent="0.3">
      <c r="A3993" t="s">
        <v>8682</v>
      </c>
      <c r="B3993" t="s">
        <v>7417</v>
      </c>
      <c r="E3993" s="5">
        <v>46286</v>
      </c>
      <c r="F3993" t="s">
        <v>921</v>
      </c>
      <c r="G3993" t="s">
        <v>213</v>
      </c>
      <c r="H3993">
        <v>3147</v>
      </c>
      <c r="I3993">
        <v>0</v>
      </c>
      <c r="J3993">
        <v>0</v>
      </c>
      <c r="K3993">
        <v>-3147</v>
      </c>
      <c r="L3993" s="5">
        <v>46288</v>
      </c>
      <c r="M3993" t="s">
        <v>8302</v>
      </c>
      <c r="N3993" t="s">
        <v>207</v>
      </c>
      <c r="O3993" t="s">
        <v>7418</v>
      </c>
      <c r="P3993" t="s">
        <v>208</v>
      </c>
    </row>
    <row r="3994" spans="1:17" x14ac:dyDescent="0.3">
      <c r="A3994" t="s">
        <v>8683</v>
      </c>
      <c r="B3994" t="s">
        <v>8191</v>
      </c>
      <c r="E3994" s="5">
        <v>46286</v>
      </c>
      <c r="F3994" t="s">
        <v>921</v>
      </c>
      <c r="G3994" t="s">
        <v>220</v>
      </c>
      <c r="H3994">
        <v>3897</v>
      </c>
      <c r="I3994">
        <v>0</v>
      </c>
      <c r="J3994">
        <v>0</v>
      </c>
      <c r="K3994">
        <v>-3897</v>
      </c>
      <c r="L3994" s="5">
        <v>46288</v>
      </c>
      <c r="M3994" t="s">
        <v>8302</v>
      </c>
      <c r="N3994" t="s">
        <v>207</v>
      </c>
      <c r="O3994" t="s">
        <v>8192</v>
      </c>
      <c r="P3994" t="s">
        <v>208</v>
      </c>
    </row>
    <row r="3995" spans="1:17" x14ac:dyDescent="0.3">
      <c r="A3995" t="s">
        <v>8684</v>
      </c>
      <c r="B3995" t="s">
        <v>6957</v>
      </c>
      <c r="E3995" s="5">
        <v>46286</v>
      </c>
      <c r="F3995" t="s">
        <v>921</v>
      </c>
      <c r="G3995" t="s">
        <v>220</v>
      </c>
      <c r="H3995">
        <v>2499</v>
      </c>
      <c r="I3995">
        <v>0</v>
      </c>
      <c r="J3995">
        <v>0</v>
      </c>
      <c r="K3995">
        <v>-2499</v>
      </c>
      <c r="L3995" s="5">
        <v>46288</v>
      </c>
      <c r="M3995" t="s">
        <v>8302</v>
      </c>
      <c r="N3995" t="s">
        <v>207</v>
      </c>
      <c r="O3995" t="s">
        <v>6958</v>
      </c>
      <c r="P3995" t="s">
        <v>208</v>
      </c>
    </row>
    <row r="3996" spans="1:17" x14ac:dyDescent="0.3">
      <c r="A3996" t="s">
        <v>8685</v>
      </c>
      <c r="B3996" t="s">
        <v>7601</v>
      </c>
      <c r="E3996" s="5">
        <v>46286</v>
      </c>
      <c r="F3996" t="s">
        <v>921</v>
      </c>
      <c r="G3996" t="s">
        <v>220</v>
      </c>
      <c r="H3996">
        <v>999</v>
      </c>
      <c r="I3996">
        <v>0</v>
      </c>
      <c r="J3996">
        <v>0</v>
      </c>
      <c r="K3996">
        <v>-999</v>
      </c>
      <c r="L3996" s="5">
        <v>46288</v>
      </c>
      <c r="M3996" t="s">
        <v>8302</v>
      </c>
      <c r="N3996" t="s">
        <v>207</v>
      </c>
      <c r="O3996" t="s">
        <v>7602</v>
      </c>
      <c r="P3996" t="s">
        <v>208</v>
      </c>
    </row>
    <row r="3997" spans="1:17" x14ac:dyDescent="0.3">
      <c r="A3997" t="s">
        <v>8686</v>
      </c>
      <c r="B3997" t="s">
        <v>8147</v>
      </c>
      <c r="E3997" s="5">
        <v>46286</v>
      </c>
      <c r="F3997" t="s">
        <v>921</v>
      </c>
      <c r="G3997" t="s">
        <v>205</v>
      </c>
      <c r="H3997">
        <v>3348</v>
      </c>
      <c r="I3997">
        <v>0</v>
      </c>
      <c r="J3997">
        <v>0</v>
      </c>
      <c r="K3997">
        <v>-3348</v>
      </c>
      <c r="L3997" s="5">
        <v>46288</v>
      </c>
      <c r="M3997" t="s">
        <v>8302</v>
      </c>
      <c r="N3997" t="s">
        <v>207</v>
      </c>
      <c r="O3997" t="s">
        <v>8148</v>
      </c>
      <c r="P3997" t="s">
        <v>208</v>
      </c>
    </row>
    <row r="3998" spans="1:17" x14ac:dyDescent="0.3">
      <c r="A3998" t="s">
        <v>8687</v>
      </c>
      <c r="B3998" t="s">
        <v>6985</v>
      </c>
      <c r="E3998" s="5">
        <v>46286</v>
      </c>
      <c r="F3998" t="s">
        <v>921</v>
      </c>
      <c r="G3998" t="s">
        <v>213</v>
      </c>
      <c r="H3998">
        <v>499</v>
      </c>
      <c r="I3998">
        <v>0</v>
      </c>
      <c r="J3998">
        <v>0</v>
      </c>
      <c r="K3998">
        <v>-499</v>
      </c>
      <c r="L3998" s="5">
        <v>46288</v>
      </c>
      <c r="M3998" t="s">
        <v>8302</v>
      </c>
      <c r="N3998" t="s">
        <v>207</v>
      </c>
      <c r="O3998" t="s">
        <v>6986</v>
      </c>
      <c r="P3998" t="s">
        <v>208</v>
      </c>
    </row>
    <row r="3999" spans="1:17" x14ac:dyDescent="0.3">
      <c r="A3999" t="s">
        <v>8688</v>
      </c>
      <c r="C3999" t="s">
        <v>8689</v>
      </c>
      <c r="D3999" t="s">
        <v>8689</v>
      </c>
      <c r="E3999" s="5">
        <v>46287</v>
      </c>
      <c r="F3999" t="s">
        <v>204</v>
      </c>
      <c r="G3999" t="s">
        <v>213</v>
      </c>
      <c r="H3999">
        <v>3847</v>
      </c>
      <c r="I3999">
        <v>61.55</v>
      </c>
      <c r="J3999">
        <v>11.08</v>
      </c>
      <c r="K3999">
        <v>3774.37</v>
      </c>
      <c r="L3999" s="5">
        <v>46289</v>
      </c>
      <c r="M3999" t="s">
        <v>8690</v>
      </c>
      <c r="N3999" t="s">
        <v>207</v>
      </c>
      <c r="O3999" t="s">
        <v>8689</v>
      </c>
      <c r="P3999" t="s">
        <v>208</v>
      </c>
      <c r="Q3999" t="s">
        <v>209</v>
      </c>
    </row>
    <row r="4000" spans="1:17" x14ac:dyDescent="0.3">
      <c r="A4000" t="s">
        <v>8691</v>
      </c>
      <c r="C4000" t="s">
        <v>8692</v>
      </c>
      <c r="D4000" t="s">
        <v>8692</v>
      </c>
      <c r="E4000" s="5">
        <v>46287</v>
      </c>
      <c r="F4000" t="s">
        <v>204</v>
      </c>
      <c r="G4000" t="s">
        <v>220</v>
      </c>
      <c r="H4000">
        <v>8498</v>
      </c>
      <c r="I4000">
        <v>25.49</v>
      </c>
      <c r="J4000">
        <v>4.59</v>
      </c>
      <c r="K4000">
        <v>8467.92</v>
      </c>
      <c r="L4000" s="5">
        <v>46289</v>
      </c>
      <c r="M4000" t="s">
        <v>8690</v>
      </c>
      <c r="N4000" t="s">
        <v>207</v>
      </c>
      <c r="O4000" t="s">
        <v>8692</v>
      </c>
      <c r="P4000" t="s">
        <v>208</v>
      </c>
      <c r="Q4000" t="s">
        <v>209</v>
      </c>
    </row>
    <row r="4001" spans="1:17" x14ac:dyDescent="0.3">
      <c r="A4001" t="s">
        <v>8693</v>
      </c>
      <c r="C4001" t="s">
        <v>8694</v>
      </c>
      <c r="D4001" t="s">
        <v>8694</v>
      </c>
      <c r="E4001" s="5">
        <v>46287</v>
      </c>
      <c r="F4001" t="s">
        <v>204</v>
      </c>
      <c r="G4001" t="s">
        <v>213</v>
      </c>
      <c r="H4001">
        <v>2499</v>
      </c>
      <c r="I4001">
        <v>39.979999999999997</v>
      </c>
      <c r="J4001">
        <v>7.2</v>
      </c>
      <c r="K4001">
        <v>2451.8200000000002</v>
      </c>
      <c r="L4001" s="5">
        <v>46289</v>
      </c>
      <c r="M4001" t="s">
        <v>8690</v>
      </c>
      <c r="N4001" t="s">
        <v>207</v>
      </c>
      <c r="O4001" t="s">
        <v>8694</v>
      </c>
      <c r="P4001" t="s">
        <v>208</v>
      </c>
      <c r="Q4001" t="s">
        <v>209</v>
      </c>
    </row>
    <row r="4002" spans="1:17" x14ac:dyDescent="0.3">
      <c r="A4002" t="s">
        <v>8695</v>
      </c>
      <c r="C4002" t="s">
        <v>8696</v>
      </c>
      <c r="D4002" t="s">
        <v>8696</v>
      </c>
      <c r="E4002" s="5">
        <v>46287</v>
      </c>
      <c r="F4002" t="s">
        <v>204</v>
      </c>
      <c r="G4002" t="s">
        <v>220</v>
      </c>
      <c r="H4002">
        <v>7999</v>
      </c>
      <c r="I4002">
        <v>24</v>
      </c>
      <c r="J4002">
        <v>4.32</v>
      </c>
      <c r="K4002">
        <v>7970.68</v>
      </c>
      <c r="L4002" s="5">
        <v>46289</v>
      </c>
      <c r="M4002" t="s">
        <v>8690</v>
      </c>
      <c r="N4002" t="s">
        <v>207</v>
      </c>
      <c r="O4002" t="s">
        <v>8696</v>
      </c>
      <c r="P4002" t="s">
        <v>208</v>
      </c>
      <c r="Q4002" t="s">
        <v>209</v>
      </c>
    </row>
    <row r="4003" spans="1:17" x14ac:dyDescent="0.3">
      <c r="A4003" t="s">
        <v>8697</v>
      </c>
      <c r="C4003" t="s">
        <v>8698</v>
      </c>
      <c r="D4003" t="s">
        <v>8698</v>
      </c>
      <c r="E4003" s="5">
        <v>46287</v>
      </c>
      <c r="F4003" t="s">
        <v>204</v>
      </c>
      <c r="G4003" t="s">
        <v>213</v>
      </c>
      <c r="H4003">
        <v>1299</v>
      </c>
      <c r="I4003">
        <v>23.38</v>
      </c>
      <c r="J4003">
        <v>4.21</v>
      </c>
      <c r="K4003">
        <v>1271.4100000000001</v>
      </c>
      <c r="L4003" s="5">
        <v>46289</v>
      </c>
      <c r="M4003" t="s">
        <v>8690</v>
      </c>
      <c r="N4003" t="s">
        <v>207</v>
      </c>
      <c r="O4003" t="s">
        <v>8698</v>
      </c>
      <c r="P4003" t="s">
        <v>208</v>
      </c>
      <c r="Q4003" t="s">
        <v>209</v>
      </c>
    </row>
    <row r="4004" spans="1:17" x14ac:dyDescent="0.3">
      <c r="A4004" t="s">
        <v>8699</v>
      </c>
      <c r="C4004" t="s">
        <v>8700</v>
      </c>
      <c r="D4004" t="s">
        <v>8701</v>
      </c>
      <c r="E4004" s="5">
        <v>46287</v>
      </c>
      <c r="F4004" t="s">
        <v>204</v>
      </c>
      <c r="G4004" t="s">
        <v>220</v>
      </c>
      <c r="H4004">
        <v>5298</v>
      </c>
      <c r="I4004">
        <v>15.89</v>
      </c>
      <c r="J4004">
        <v>2.86</v>
      </c>
      <c r="K4004">
        <v>5279.25</v>
      </c>
      <c r="L4004" s="5">
        <v>46289</v>
      </c>
      <c r="M4004" t="s">
        <v>8690</v>
      </c>
      <c r="N4004" t="s">
        <v>207</v>
      </c>
      <c r="O4004" t="s">
        <v>8701</v>
      </c>
      <c r="P4004" t="s">
        <v>208</v>
      </c>
      <c r="Q4004" t="s">
        <v>209</v>
      </c>
    </row>
    <row r="4005" spans="1:17" x14ac:dyDescent="0.3">
      <c r="A4005" t="s">
        <v>8702</v>
      </c>
      <c r="C4005" t="s">
        <v>8703</v>
      </c>
      <c r="D4005" t="s">
        <v>8703</v>
      </c>
      <c r="E4005" s="5">
        <v>46287</v>
      </c>
      <c r="F4005" t="s">
        <v>204</v>
      </c>
      <c r="G4005" t="s">
        <v>213</v>
      </c>
      <c r="H4005">
        <v>799</v>
      </c>
      <c r="I4005">
        <v>14.38</v>
      </c>
      <c r="J4005">
        <v>2.59</v>
      </c>
      <c r="K4005">
        <v>782.03</v>
      </c>
      <c r="L4005" s="5">
        <v>46289</v>
      </c>
      <c r="M4005" t="s">
        <v>8690</v>
      </c>
      <c r="N4005" t="s">
        <v>207</v>
      </c>
      <c r="O4005" t="s">
        <v>8703</v>
      </c>
      <c r="P4005" t="s">
        <v>208</v>
      </c>
      <c r="Q4005" t="s">
        <v>209</v>
      </c>
    </row>
    <row r="4006" spans="1:17" x14ac:dyDescent="0.3">
      <c r="A4006" t="s">
        <v>8704</v>
      </c>
      <c r="C4006" t="s">
        <v>8705</v>
      </c>
      <c r="D4006" t="s">
        <v>8706</v>
      </c>
      <c r="E4006" s="5">
        <v>46287</v>
      </c>
      <c r="F4006" t="s">
        <v>204</v>
      </c>
      <c r="G4006" t="s">
        <v>220</v>
      </c>
      <c r="H4006">
        <v>999</v>
      </c>
      <c r="I4006">
        <v>0</v>
      </c>
      <c r="J4006">
        <v>0</v>
      </c>
      <c r="K4006">
        <v>999</v>
      </c>
      <c r="L4006" s="5">
        <v>46289</v>
      </c>
      <c r="M4006" t="s">
        <v>8690</v>
      </c>
      <c r="N4006" t="s">
        <v>207</v>
      </c>
      <c r="O4006" t="s">
        <v>8706</v>
      </c>
      <c r="P4006" t="s">
        <v>208</v>
      </c>
      <c r="Q4006" t="s">
        <v>209</v>
      </c>
    </row>
    <row r="4007" spans="1:17" x14ac:dyDescent="0.3">
      <c r="A4007" t="s">
        <v>8707</v>
      </c>
      <c r="C4007" t="s">
        <v>8708</v>
      </c>
      <c r="D4007" t="s">
        <v>8708</v>
      </c>
      <c r="E4007" s="5">
        <v>46287</v>
      </c>
      <c r="F4007" t="s">
        <v>204</v>
      </c>
      <c r="G4007" t="s">
        <v>220</v>
      </c>
      <c r="H4007">
        <v>3499</v>
      </c>
      <c r="I4007">
        <v>10.5</v>
      </c>
      <c r="J4007">
        <v>1.89</v>
      </c>
      <c r="K4007">
        <v>3486.61</v>
      </c>
      <c r="L4007" s="5">
        <v>46289</v>
      </c>
      <c r="M4007" t="s">
        <v>8690</v>
      </c>
      <c r="N4007" t="s">
        <v>207</v>
      </c>
      <c r="O4007" t="s">
        <v>8708</v>
      </c>
      <c r="P4007" t="s">
        <v>208</v>
      </c>
      <c r="Q4007" t="s">
        <v>209</v>
      </c>
    </row>
    <row r="4008" spans="1:17" x14ac:dyDescent="0.3">
      <c r="A4008" t="s">
        <v>8709</v>
      </c>
      <c r="C4008" t="s">
        <v>8710</v>
      </c>
      <c r="D4008" t="s">
        <v>8710</v>
      </c>
      <c r="E4008" s="5">
        <v>46287</v>
      </c>
      <c r="F4008" t="s">
        <v>204</v>
      </c>
      <c r="G4008" t="s">
        <v>220</v>
      </c>
      <c r="H4008">
        <v>4897</v>
      </c>
      <c r="I4008">
        <v>14.69</v>
      </c>
      <c r="J4008">
        <v>2.64</v>
      </c>
      <c r="K4008">
        <v>4879.67</v>
      </c>
      <c r="L4008" s="5">
        <v>46289</v>
      </c>
      <c r="M4008" t="s">
        <v>8690</v>
      </c>
      <c r="N4008" t="s">
        <v>207</v>
      </c>
      <c r="O4008" t="s">
        <v>8710</v>
      </c>
      <c r="P4008" t="s">
        <v>208</v>
      </c>
      <c r="Q4008" t="s">
        <v>209</v>
      </c>
    </row>
    <row r="4009" spans="1:17" x14ac:dyDescent="0.3">
      <c r="A4009" t="s">
        <v>8711</v>
      </c>
      <c r="C4009" t="s">
        <v>8712</v>
      </c>
      <c r="D4009" t="s">
        <v>8713</v>
      </c>
      <c r="E4009" s="5">
        <v>46287</v>
      </c>
      <c r="F4009" t="s">
        <v>204</v>
      </c>
      <c r="G4009" t="s">
        <v>220</v>
      </c>
      <c r="H4009">
        <v>5647</v>
      </c>
      <c r="I4009">
        <v>16.940000000000001</v>
      </c>
      <c r="J4009">
        <v>3.05</v>
      </c>
      <c r="K4009">
        <v>5627.01</v>
      </c>
      <c r="L4009" s="5">
        <v>46289</v>
      </c>
      <c r="M4009" t="s">
        <v>8690</v>
      </c>
      <c r="N4009" t="s">
        <v>207</v>
      </c>
      <c r="O4009" t="s">
        <v>8713</v>
      </c>
      <c r="P4009" t="s">
        <v>208</v>
      </c>
      <c r="Q4009" t="s">
        <v>209</v>
      </c>
    </row>
    <row r="4010" spans="1:17" x14ac:dyDescent="0.3">
      <c r="A4010" t="s">
        <v>8714</v>
      </c>
      <c r="C4010" t="s">
        <v>8715</v>
      </c>
      <c r="D4010" t="s">
        <v>8715</v>
      </c>
      <c r="E4010" s="5">
        <v>46287</v>
      </c>
      <c r="F4010" t="s">
        <v>204</v>
      </c>
      <c r="G4010" t="s">
        <v>220</v>
      </c>
      <c r="H4010">
        <v>499</v>
      </c>
      <c r="I4010">
        <v>0</v>
      </c>
      <c r="J4010">
        <v>0</v>
      </c>
      <c r="K4010">
        <v>499</v>
      </c>
      <c r="L4010" s="5">
        <v>46289</v>
      </c>
      <c r="M4010" t="s">
        <v>8690</v>
      </c>
      <c r="N4010" t="s">
        <v>207</v>
      </c>
      <c r="O4010" t="s">
        <v>8715</v>
      </c>
      <c r="P4010" t="s">
        <v>208</v>
      </c>
      <c r="Q4010" t="s">
        <v>209</v>
      </c>
    </row>
    <row r="4011" spans="1:17" x14ac:dyDescent="0.3">
      <c r="A4011" t="s">
        <v>8716</v>
      </c>
      <c r="C4011" t="s">
        <v>8717</v>
      </c>
      <c r="D4011" t="s">
        <v>8717</v>
      </c>
      <c r="E4011" s="5">
        <v>46287</v>
      </c>
      <c r="F4011" t="s">
        <v>204</v>
      </c>
      <c r="G4011" t="s">
        <v>220</v>
      </c>
      <c r="H4011">
        <v>2298</v>
      </c>
      <c r="I4011">
        <v>6.89</v>
      </c>
      <c r="J4011">
        <v>1.24</v>
      </c>
      <c r="K4011">
        <v>2289.87</v>
      </c>
      <c r="L4011" s="5">
        <v>46289</v>
      </c>
      <c r="M4011" t="s">
        <v>8690</v>
      </c>
      <c r="N4011" t="s">
        <v>207</v>
      </c>
      <c r="O4011" t="s">
        <v>8717</v>
      </c>
      <c r="P4011" t="s">
        <v>208</v>
      </c>
      <c r="Q4011" t="s">
        <v>209</v>
      </c>
    </row>
    <row r="4012" spans="1:17" x14ac:dyDescent="0.3">
      <c r="A4012" t="s">
        <v>8718</v>
      </c>
      <c r="C4012" t="s">
        <v>8719</v>
      </c>
      <c r="D4012" t="s">
        <v>8719</v>
      </c>
      <c r="E4012" s="5">
        <v>46287</v>
      </c>
      <c r="F4012" t="s">
        <v>204</v>
      </c>
      <c r="G4012" t="s">
        <v>255</v>
      </c>
      <c r="H4012">
        <v>8598</v>
      </c>
      <c r="I4012">
        <v>103.18</v>
      </c>
      <c r="J4012">
        <v>18.57</v>
      </c>
      <c r="K4012">
        <v>8476.25</v>
      </c>
      <c r="L4012" s="5">
        <v>46289</v>
      </c>
      <c r="M4012" t="s">
        <v>8690</v>
      </c>
      <c r="N4012" t="s">
        <v>207</v>
      </c>
      <c r="O4012" t="s">
        <v>8719</v>
      </c>
      <c r="P4012" t="s">
        <v>208</v>
      </c>
      <c r="Q4012" t="s">
        <v>209</v>
      </c>
    </row>
    <row r="4013" spans="1:17" x14ac:dyDescent="0.3">
      <c r="A4013" t="s">
        <v>8720</v>
      </c>
      <c r="C4013" t="s">
        <v>8721</v>
      </c>
      <c r="D4013" t="s">
        <v>8722</v>
      </c>
      <c r="E4013" s="5">
        <v>46287</v>
      </c>
      <c r="F4013" t="s">
        <v>204</v>
      </c>
      <c r="G4013" t="s">
        <v>220</v>
      </c>
      <c r="H4013">
        <v>2999</v>
      </c>
      <c r="I4013">
        <v>9</v>
      </c>
      <c r="J4013">
        <v>1.62</v>
      </c>
      <c r="K4013">
        <v>2988.38</v>
      </c>
      <c r="L4013" s="5">
        <v>46289</v>
      </c>
      <c r="M4013" t="s">
        <v>8690</v>
      </c>
      <c r="N4013" t="s">
        <v>207</v>
      </c>
      <c r="O4013" t="s">
        <v>8722</v>
      </c>
      <c r="P4013" t="s">
        <v>208</v>
      </c>
      <c r="Q4013" t="s">
        <v>209</v>
      </c>
    </row>
    <row r="4014" spans="1:17" x14ac:dyDescent="0.3">
      <c r="A4014" t="s">
        <v>8723</v>
      </c>
      <c r="C4014" t="s">
        <v>8724</v>
      </c>
      <c r="D4014" t="s">
        <v>8724</v>
      </c>
      <c r="E4014" s="5">
        <v>46287</v>
      </c>
      <c r="F4014" t="s">
        <v>204</v>
      </c>
      <c r="G4014" t="s">
        <v>213</v>
      </c>
      <c r="H4014">
        <v>4797</v>
      </c>
      <c r="I4014">
        <v>76.75</v>
      </c>
      <c r="J4014">
        <v>13.82</v>
      </c>
      <c r="K4014">
        <v>4706.43</v>
      </c>
      <c r="L4014" s="5">
        <v>46289</v>
      </c>
      <c r="M4014" t="s">
        <v>8690</v>
      </c>
      <c r="N4014" t="s">
        <v>207</v>
      </c>
      <c r="O4014" t="s">
        <v>8724</v>
      </c>
      <c r="P4014" t="s">
        <v>208</v>
      </c>
      <c r="Q4014" t="s">
        <v>209</v>
      </c>
    </row>
    <row r="4015" spans="1:17" x14ac:dyDescent="0.3">
      <c r="A4015" t="s">
        <v>8725</v>
      </c>
      <c r="C4015" t="s">
        <v>8726</v>
      </c>
      <c r="D4015" t="s">
        <v>8726</v>
      </c>
      <c r="E4015" s="5">
        <v>46287</v>
      </c>
      <c r="F4015" t="s">
        <v>204</v>
      </c>
      <c r="G4015" t="s">
        <v>220</v>
      </c>
      <c r="H4015">
        <v>2298</v>
      </c>
      <c r="I4015">
        <v>6.89</v>
      </c>
      <c r="J4015">
        <v>1.24</v>
      </c>
      <c r="K4015">
        <v>2289.87</v>
      </c>
      <c r="L4015" s="5">
        <v>46289</v>
      </c>
      <c r="M4015" t="s">
        <v>8690</v>
      </c>
      <c r="N4015" t="s">
        <v>207</v>
      </c>
      <c r="O4015" t="s">
        <v>8726</v>
      </c>
      <c r="P4015" t="s">
        <v>208</v>
      </c>
      <c r="Q4015" t="s">
        <v>209</v>
      </c>
    </row>
    <row r="4016" spans="1:17" x14ac:dyDescent="0.3">
      <c r="A4016" t="s">
        <v>8727</v>
      </c>
      <c r="C4016" t="s">
        <v>8728</v>
      </c>
      <c r="D4016" t="s">
        <v>8728</v>
      </c>
      <c r="E4016" s="5">
        <v>46287</v>
      </c>
      <c r="F4016" t="s">
        <v>204</v>
      </c>
      <c r="G4016" t="s">
        <v>220</v>
      </c>
      <c r="H4016">
        <v>10498</v>
      </c>
      <c r="I4016">
        <v>31.49</v>
      </c>
      <c r="J4016">
        <v>5.67</v>
      </c>
      <c r="K4016">
        <v>10460.84</v>
      </c>
      <c r="L4016" s="5">
        <v>46289</v>
      </c>
      <c r="M4016" t="s">
        <v>8690</v>
      </c>
      <c r="N4016" t="s">
        <v>207</v>
      </c>
      <c r="O4016" t="s">
        <v>8728</v>
      </c>
      <c r="P4016" t="s">
        <v>208</v>
      </c>
      <c r="Q4016" t="s">
        <v>209</v>
      </c>
    </row>
    <row r="4017" spans="1:17" x14ac:dyDescent="0.3">
      <c r="A4017" t="s">
        <v>8729</v>
      </c>
      <c r="C4017" t="s">
        <v>8730</v>
      </c>
      <c r="D4017" t="s">
        <v>8730</v>
      </c>
      <c r="E4017" s="5">
        <v>46287</v>
      </c>
      <c r="F4017" t="s">
        <v>204</v>
      </c>
      <c r="G4017" t="s">
        <v>220</v>
      </c>
      <c r="H4017">
        <v>9347</v>
      </c>
      <c r="I4017">
        <v>28.04</v>
      </c>
      <c r="J4017">
        <v>5.05</v>
      </c>
      <c r="K4017">
        <v>9313.91</v>
      </c>
      <c r="L4017" s="5">
        <v>46289</v>
      </c>
      <c r="M4017" t="s">
        <v>8690</v>
      </c>
      <c r="N4017" t="s">
        <v>207</v>
      </c>
      <c r="O4017" t="s">
        <v>8730</v>
      </c>
      <c r="P4017" t="s">
        <v>208</v>
      </c>
      <c r="Q4017" t="s">
        <v>209</v>
      </c>
    </row>
    <row r="4018" spans="1:17" x14ac:dyDescent="0.3">
      <c r="A4018" t="s">
        <v>8731</v>
      </c>
      <c r="C4018" t="s">
        <v>8732</v>
      </c>
      <c r="D4018" t="s">
        <v>8732</v>
      </c>
      <c r="E4018" s="5">
        <v>46287</v>
      </c>
      <c r="F4018" t="s">
        <v>204</v>
      </c>
      <c r="G4018" t="s">
        <v>255</v>
      </c>
      <c r="H4018">
        <v>499</v>
      </c>
      <c r="I4018">
        <v>7.49</v>
      </c>
      <c r="J4018">
        <v>1.35</v>
      </c>
      <c r="K4018">
        <v>490.16</v>
      </c>
      <c r="L4018" s="5">
        <v>46289</v>
      </c>
      <c r="M4018" t="s">
        <v>8690</v>
      </c>
      <c r="N4018" t="s">
        <v>207</v>
      </c>
      <c r="O4018" t="s">
        <v>8732</v>
      </c>
      <c r="P4018" t="s">
        <v>208</v>
      </c>
      <c r="Q4018" t="s">
        <v>209</v>
      </c>
    </row>
    <row r="4019" spans="1:17" x14ac:dyDescent="0.3">
      <c r="A4019" t="s">
        <v>8733</v>
      </c>
      <c r="C4019" t="s">
        <v>8734</v>
      </c>
      <c r="D4019" t="s">
        <v>8734</v>
      </c>
      <c r="E4019" s="5">
        <v>46287</v>
      </c>
      <c r="F4019" t="s">
        <v>204</v>
      </c>
      <c r="G4019" t="s">
        <v>213</v>
      </c>
      <c r="H4019">
        <v>2999</v>
      </c>
      <c r="I4019">
        <v>47.98</v>
      </c>
      <c r="J4019">
        <v>8.64</v>
      </c>
      <c r="K4019">
        <v>2942.38</v>
      </c>
      <c r="L4019" s="5">
        <v>46289</v>
      </c>
      <c r="M4019" t="s">
        <v>8690</v>
      </c>
      <c r="N4019" t="s">
        <v>207</v>
      </c>
      <c r="O4019" t="s">
        <v>8734</v>
      </c>
      <c r="P4019" t="s">
        <v>208</v>
      </c>
      <c r="Q4019" t="s">
        <v>209</v>
      </c>
    </row>
    <row r="4020" spans="1:17" x14ac:dyDescent="0.3">
      <c r="A4020" t="s">
        <v>8735</v>
      </c>
      <c r="C4020" t="s">
        <v>8736</v>
      </c>
      <c r="D4020" t="s">
        <v>8736</v>
      </c>
      <c r="E4020" s="5">
        <v>46287</v>
      </c>
      <c r="F4020" t="s">
        <v>204</v>
      </c>
      <c r="G4020" t="s">
        <v>220</v>
      </c>
      <c r="H4020">
        <v>4999</v>
      </c>
      <c r="I4020">
        <v>15</v>
      </c>
      <c r="J4020">
        <v>2.7</v>
      </c>
      <c r="K4020">
        <v>4981.3</v>
      </c>
      <c r="L4020" s="5">
        <v>46289</v>
      </c>
      <c r="M4020" t="s">
        <v>8690</v>
      </c>
      <c r="N4020" t="s">
        <v>207</v>
      </c>
      <c r="O4020" t="s">
        <v>8736</v>
      </c>
      <c r="P4020" t="s">
        <v>208</v>
      </c>
      <c r="Q4020" t="s">
        <v>209</v>
      </c>
    </row>
    <row r="4021" spans="1:17" x14ac:dyDescent="0.3">
      <c r="A4021" t="s">
        <v>8737</v>
      </c>
      <c r="C4021" t="s">
        <v>8738</v>
      </c>
      <c r="D4021" t="s">
        <v>8739</v>
      </c>
      <c r="E4021" s="5">
        <v>46287</v>
      </c>
      <c r="F4021" t="s">
        <v>204</v>
      </c>
      <c r="G4021" t="s">
        <v>213</v>
      </c>
      <c r="H4021">
        <v>5998</v>
      </c>
      <c r="I4021">
        <v>95.97</v>
      </c>
      <c r="J4021">
        <v>17.27</v>
      </c>
      <c r="K4021">
        <v>5884.76</v>
      </c>
      <c r="L4021" s="5">
        <v>46289</v>
      </c>
      <c r="M4021" t="s">
        <v>8690</v>
      </c>
      <c r="N4021" t="s">
        <v>207</v>
      </c>
      <c r="O4021" t="s">
        <v>8739</v>
      </c>
      <c r="P4021" t="s">
        <v>208</v>
      </c>
      <c r="Q4021" t="s">
        <v>209</v>
      </c>
    </row>
    <row r="4022" spans="1:17" x14ac:dyDescent="0.3">
      <c r="A4022" t="s">
        <v>8740</v>
      </c>
      <c r="C4022" t="s">
        <v>8741</v>
      </c>
      <c r="D4022" t="s">
        <v>8741</v>
      </c>
      <c r="E4022" s="5">
        <v>46287</v>
      </c>
      <c r="F4022" t="s">
        <v>204</v>
      </c>
      <c r="G4022" t="s">
        <v>220</v>
      </c>
      <c r="H4022">
        <v>4999</v>
      </c>
      <c r="I4022">
        <v>15</v>
      </c>
      <c r="J4022">
        <v>2.7</v>
      </c>
      <c r="K4022">
        <v>4981.3</v>
      </c>
      <c r="L4022" s="5">
        <v>46289</v>
      </c>
      <c r="M4022" t="s">
        <v>8690</v>
      </c>
      <c r="N4022" t="s">
        <v>207</v>
      </c>
      <c r="O4022" t="s">
        <v>8741</v>
      </c>
      <c r="P4022" t="s">
        <v>208</v>
      </c>
      <c r="Q4022" t="s">
        <v>209</v>
      </c>
    </row>
    <row r="4023" spans="1:17" x14ac:dyDescent="0.3">
      <c r="A4023" t="s">
        <v>8742</v>
      </c>
      <c r="C4023" t="s">
        <v>8743</v>
      </c>
      <c r="D4023" t="s">
        <v>8743</v>
      </c>
      <c r="E4023" s="5">
        <v>46287</v>
      </c>
      <c r="F4023" t="s">
        <v>204</v>
      </c>
      <c r="G4023" t="s">
        <v>220</v>
      </c>
      <c r="H4023">
        <v>3297</v>
      </c>
      <c r="I4023">
        <v>9.89</v>
      </c>
      <c r="J4023">
        <v>1.78</v>
      </c>
      <c r="K4023">
        <v>3285.33</v>
      </c>
      <c r="L4023" s="5">
        <v>46289</v>
      </c>
      <c r="M4023" t="s">
        <v>8690</v>
      </c>
      <c r="N4023" t="s">
        <v>207</v>
      </c>
      <c r="O4023" t="s">
        <v>8743</v>
      </c>
      <c r="P4023" t="s">
        <v>208</v>
      </c>
      <c r="Q4023" t="s">
        <v>209</v>
      </c>
    </row>
    <row r="4024" spans="1:17" x14ac:dyDescent="0.3">
      <c r="A4024" t="s">
        <v>8744</v>
      </c>
      <c r="C4024" t="s">
        <v>8745</v>
      </c>
      <c r="D4024" t="s">
        <v>8745</v>
      </c>
      <c r="E4024" s="5">
        <v>46287</v>
      </c>
      <c r="F4024" t="s">
        <v>204</v>
      </c>
      <c r="G4024" t="s">
        <v>220</v>
      </c>
      <c r="H4024">
        <v>999</v>
      </c>
      <c r="I4024">
        <v>0</v>
      </c>
      <c r="J4024">
        <v>0</v>
      </c>
      <c r="K4024">
        <v>999</v>
      </c>
      <c r="L4024" s="5">
        <v>46289</v>
      </c>
      <c r="M4024" t="s">
        <v>8690</v>
      </c>
      <c r="N4024" t="s">
        <v>207</v>
      </c>
      <c r="O4024" t="s">
        <v>8745</v>
      </c>
      <c r="P4024" t="s">
        <v>208</v>
      </c>
      <c r="Q4024" t="s">
        <v>209</v>
      </c>
    </row>
    <row r="4025" spans="1:17" x14ac:dyDescent="0.3">
      <c r="A4025" t="s">
        <v>8746</v>
      </c>
      <c r="C4025" t="s">
        <v>8747</v>
      </c>
      <c r="D4025" t="s">
        <v>8747</v>
      </c>
      <c r="E4025" s="5">
        <v>46287</v>
      </c>
      <c r="F4025" t="s">
        <v>204</v>
      </c>
      <c r="G4025" t="s">
        <v>213</v>
      </c>
      <c r="H4025">
        <v>3097</v>
      </c>
      <c r="I4025">
        <v>49.55</v>
      </c>
      <c r="J4025">
        <v>8.92</v>
      </c>
      <c r="K4025">
        <v>3038.53</v>
      </c>
      <c r="L4025" s="5">
        <v>46289</v>
      </c>
      <c r="M4025" t="s">
        <v>8690</v>
      </c>
      <c r="N4025" t="s">
        <v>207</v>
      </c>
      <c r="O4025" t="s">
        <v>8747</v>
      </c>
      <c r="P4025" t="s">
        <v>208</v>
      </c>
      <c r="Q4025" t="s">
        <v>209</v>
      </c>
    </row>
    <row r="4026" spans="1:17" x14ac:dyDescent="0.3">
      <c r="A4026" t="s">
        <v>8748</v>
      </c>
      <c r="C4026" t="s">
        <v>8749</v>
      </c>
      <c r="D4026" t="s">
        <v>8749</v>
      </c>
      <c r="E4026" s="5">
        <v>46287</v>
      </c>
      <c r="F4026" t="s">
        <v>204</v>
      </c>
      <c r="G4026" t="s">
        <v>213</v>
      </c>
      <c r="H4026">
        <v>499</v>
      </c>
      <c r="I4026">
        <v>8.98</v>
      </c>
      <c r="J4026">
        <v>1.62</v>
      </c>
      <c r="K4026">
        <v>488.4</v>
      </c>
      <c r="L4026" s="5">
        <v>46289</v>
      </c>
      <c r="M4026" t="s">
        <v>8690</v>
      </c>
      <c r="N4026" t="s">
        <v>207</v>
      </c>
      <c r="O4026" t="s">
        <v>8749</v>
      </c>
      <c r="P4026" t="s">
        <v>208</v>
      </c>
      <c r="Q4026" t="s">
        <v>209</v>
      </c>
    </row>
    <row r="4027" spans="1:17" x14ac:dyDescent="0.3">
      <c r="A4027" t="s">
        <v>8750</v>
      </c>
      <c r="C4027" t="s">
        <v>8751</v>
      </c>
      <c r="D4027" t="s">
        <v>8751</v>
      </c>
      <c r="E4027" s="5">
        <v>46287</v>
      </c>
      <c r="F4027" t="s">
        <v>204</v>
      </c>
      <c r="G4027" t="s">
        <v>220</v>
      </c>
      <c r="H4027">
        <v>599</v>
      </c>
      <c r="I4027">
        <v>0</v>
      </c>
      <c r="J4027">
        <v>0</v>
      </c>
      <c r="K4027">
        <v>599</v>
      </c>
      <c r="L4027" s="5">
        <v>46289</v>
      </c>
      <c r="M4027" t="s">
        <v>8690</v>
      </c>
      <c r="N4027" t="s">
        <v>207</v>
      </c>
      <c r="O4027" t="s">
        <v>8751</v>
      </c>
      <c r="P4027" t="s">
        <v>208</v>
      </c>
      <c r="Q4027" t="s">
        <v>209</v>
      </c>
    </row>
    <row r="4028" spans="1:17" x14ac:dyDescent="0.3">
      <c r="A4028" t="s">
        <v>8752</v>
      </c>
      <c r="C4028" t="s">
        <v>8753</v>
      </c>
      <c r="D4028" t="s">
        <v>8753</v>
      </c>
      <c r="E4028" s="5">
        <v>46287</v>
      </c>
      <c r="F4028" t="s">
        <v>204</v>
      </c>
      <c r="G4028" t="s">
        <v>220</v>
      </c>
      <c r="H4028">
        <v>798</v>
      </c>
      <c r="I4028">
        <v>0</v>
      </c>
      <c r="J4028">
        <v>0</v>
      </c>
      <c r="K4028">
        <v>798</v>
      </c>
      <c r="L4028" s="5">
        <v>46289</v>
      </c>
      <c r="M4028" t="s">
        <v>8690</v>
      </c>
      <c r="N4028" t="s">
        <v>207</v>
      </c>
      <c r="O4028" t="s">
        <v>8753</v>
      </c>
      <c r="P4028" t="s">
        <v>208</v>
      </c>
      <c r="Q4028" t="s">
        <v>209</v>
      </c>
    </row>
    <row r="4029" spans="1:17" x14ac:dyDescent="0.3">
      <c r="A4029" t="s">
        <v>8754</v>
      </c>
      <c r="C4029" t="s">
        <v>8755</v>
      </c>
      <c r="D4029" t="s">
        <v>8755</v>
      </c>
      <c r="E4029" s="5">
        <v>46287</v>
      </c>
      <c r="F4029" t="s">
        <v>204</v>
      </c>
      <c r="G4029" t="s">
        <v>205</v>
      </c>
      <c r="H4029">
        <v>6798</v>
      </c>
      <c r="I4029">
        <v>115.57</v>
      </c>
      <c r="J4029">
        <v>20.8</v>
      </c>
      <c r="K4029">
        <v>6661.63</v>
      </c>
      <c r="L4029" s="5">
        <v>46289</v>
      </c>
      <c r="M4029" t="s">
        <v>8690</v>
      </c>
      <c r="N4029" t="s">
        <v>207</v>
      </c>
      <c r="O4029" t="s">
        <v>8755</v>
      </c>
      <c r="P4029" t="s">
        <v>208</v>
      </c>
      <c r="Q4029" t="s">
        <v>209</v>
      </c>
    </row>
    <row r="4030" spans="1:17" x14ac:dyDescent="0.3">
      <c r="A4030" t="s">
        <v>8756</v>
      </c>
      <c r="C4030" t="s">
        <v>8757</v>
      </c>
      <c r="D4030" t="s">
        <v>8757</v>
      </c>
      <c r="E4030" s="5">
        <v>46287</v>
      </c>
      <c r="F4030" t="s">
        <v>204</v>
      </c>
      <c r="G4030" t="s">
        <v>220</v>
      </c>
      <c r="H4030">
        <v>8998</v>
      </c>
      <c r="I4030">
        <v>26.99</v>
      </c>
      <c r="J4030">
        <v>4.8600000000000003</v>
      </c>
      <c r="K4030">
        <v>8966.15</v>
      </c>
      <c r="L4030" s="5">
        <v>46289</v>
      </c>
      <c r="M4030" t="s">
        <v>8690</v>
      </c>
      <c r="N4030" t="s">
        <v>207</v>
      </c>
      <c r="O4030" t="s">
        <v>8757</v>
      </c>
      <c r="P4030" t="s">
        <v>208</v>
      </c>
      <c r="Q4030" t="s">
        <v>209</v>
      </c>
    </row>
    <row r="4031" spans="1:17" x14ac:dyDescent="0.3">
      <c r="A4031" t="s">
        <v>8758</v>
      </c>
      <c r="C4031" t="s">
        <v>8759</v>
      </c>
      <c r="D4031" t="s">
        <v>8759</v>
      </c>
      <c r="E4031" s="5">
        <v>46287</v>
      </c>
      <c r="F4031" t="s">
        <v>204</v>
      </c>
      <c r="G4031" t="s">
        <v>213</v>
      </c>
      <c r="H4031">
        <v>499</v>
      </c>
      <c r="I4031">
        <v>8.98</v>
      </c>
      <c r="J4031">
        <v>1.62</v>
      </c>
      <c r="K4031">
        <v>488.4</v>
      </c>
      <c r="L4031" s="5">
        <v>46289</v>
      </c>
      <c r="M4031" t="s">
        <v>8690</v>
      </c>
      <c r="N4031" t="s">
        <v>207</v>
      </c>
      <c r="O4031" t="s">
        <v>8759</v>
      </c>
      <c r="P4031" t="s">
        <v>208</v>
      </c>
      <c r="Q4031" t="s">
        <v>209</v>
      </c>
    </row>
    <row r="4032" spans="1:17" x14ac:dyDescent="0.3">
      <c r="A4032" t="s">
        <v>8760</v>
      </c>
      <c r="C4032" t="s">
        <v>8761</v>
      </c>
      <c r="D4032" t="s">
        <v>8761</v>
      </c>
      <c r="E4032" s="5">
        <v>46287</v>
      </c>
      <c r="F4032" t="s">
        <v>204</v>
      </c>
      <c r="G4032" t="s">
        <v>213</v>
      </c>
      <c r="H4032">
        <v>1799</v>
      </c>
      <c r="I4032">
        <v>32.380000000000003</v>
      </c>
      <c r="J4032">
        <v>5.83</v>
      </c>
      <c r="K4032">
        <v>1760.79</v>
      </c>
      <c r="L4032" s="5">
        <v>46289</v>
      </c>
      <c r="M4032" t="s">
        <v>8690</v>
      </c>
      <c r="N4032" t="s">
        <v>207</v>
      </c>
      <c r="O4032" t="s">
        <v>8761</v>
      </c>
      <c r="P4032" t="s">
        <v>208</v>
      </c>
      <c r="Q4032" t="s">
        <v>209</v>
      </c>
    </row>
    <row r="4033" spans="1:17" x14ac:dyDescent="0.3">
      <c r="A4033" t="s">
        <v>8762</v>
      </c>
      <c r="C4033" t="s">
        <v>8763</v>
      </c>
      <c r="D4033" t="s">
        <v>8763</v>
      </c>
      <c r="E4033" s="5">
        <v>46287</v>
      </c>
      <c r="F4033" t="s">
        <v>204</v>
      </c>
      <c r="G4033" t="s">
        <v>213</v>
      </c>
      <c r="H4033">
        <v>1947</v>
      </c>
      <c r="I4033">
        <v>35.049999999999997</v>
      </c>
      <c r="J4033">
        <v>6.31</v>
      </c>
      <c r="K4033">
        <v>1905.64</v>
      </c>
      <c r="L4033" s="5">
        <v>46289</v>
      </c>
      <c r="M4033" t="s">
        <v>8690</v>
      </c>
      <c r="N4033" t="s">
        <v>207</v>
      </c>
      <c r="O4033" t="s">
        <v>8763</v>
      </c>
      <c r="P4033" t="s">
        <v>208</v>
      </c>
      <c r="Q4033" t="s">
        <v>209</v>
      </c>
    </row>
    <row r="4034" spans="1:17" x14ac:dyDescent="0.3">
      <c r="A4034" t="s">
        <v>8764</v>
      </c>
      <c r="C4034" t="s">
        <v>8765</v>
      </c>
      <c r="D4034" t="s">
        <v>8765</v>
      </c>
      <c r="E4034" s="5">
        <v>46287</v>
      </c>
      <c r="F4034" t="s">
        <v>204</v>
      </c>
      <c r="G4034" t="s">
        <v>220</v>
      </c>
      <c r="H4034">
        <v>499</v>
      </c>
      <c r="I4034">
        <v>0</v>
      </c>
      <c r="J4034">
        <v>0</v>
      </c>
      <c r="K4034">
        <v>499</v>
      </c>
      <c r="L4034" s="5">
        <v>46289</v>
      </c>
      <c r="M4034" t="s">
        <v>8690</v>
      </c>
      <c r="N4034" t="s">
        <v>207</v>
      </c>
      <c r="O4034" t="s">
        <v>8765</v>
      </c>
      <c r="P4034" t="s">
        <v>208</v>
      </c>
      <c r="Q4034" t="s">
        <v>209</v>
      </c>
    </row>
    <row r="4035" spans="1:17" x14ac:dyDescent="0.3">
      <c r="A4035" t="s">
        <v>8766</v>
      </c>
      <c r="C4035" t="s">
        <v>8767</v>
      </c>
      <c r="D4035" t="s">
        <v>8768</v>
      </c>
      <c r="E4035" s="5">
        <v>46287</v>
      </c>
      <c r="F4035" t="s">
        <v>204</v>
      </c>
      <c r="G4035" t="s">
        <v>205</v>
      </c>
      <c r="H4035">
        <v>1997</v>
      </c>
      <c r="I4035">
        <v>37.94</v>
      </c>
      <c r="J4035">
        <v>6.83</v>
      </c>
      <c r="K4035">
        <v>1952.23</v>
      </c>
      <c r="L4035" s="5">
        <v>46289</v>
      </c>
      <c r="M4035" t="s">
        <v>8690</v>
      </c>
      <c r="N4035" t="s">
        <v>207</v>
      </c>
      <c r="O4035" t="s">
        <v>8768</v>
      </c>
      <c r="P4035" t="s">
        <v>208</v>
      </c>
      <c r="Q4035" t="s">
        <v>209</v>
      </c>
    </row>
    <row r="4036" spans="1:17" x14ac:dyDescent="0.3">
      <c r="A4036" t="s">
        <v>8769</v>
      </c>
      <c r="C4036" t="s">
        <v>8770</v>
      </c>
      <c r="D4036" t="s">
        <v>8770</v>
      </c>
      <c r="E4036" s="5">
        <v>46287</v>
      </c>
      <c r="F4036" t="s">
        <v>204</v>
      </c>
      <c r="G4036" t="s">
        <v>220</v>
      </c>
      <c r="H4036">
        <v>11297</v>
      </c>
      <c r="I4036">
        <v>33.89</v>
      </c>
      <c r="J4036">
        <v>6.1</v>
      </c>
      <c r="K4036">
        <v>11257.01</v>
      </c>
      <c r="L4036" s="5">
        <v>46289</v>
      </c>
      <c r="M4036" t="s">
        <v>8690</v>
      </c>
      <c r="N4036" t="s">
        <v>207</v>
      </c>
      <c r="O4036" t="s">
        <v>8770</v>
      </c>
      <c r="P4036" t="s">
        <v>208</v>
      </c>
      <c r="Q4036" t="s">
        <v>209</v>
      </c>
    </row>
    <row r="4037" spans="1:17" x14ac:dyDescent="0.3">
      <c r="A4037" t="s">
        <v>8771</v>
      </c>
      <c r="C4037" t="s">
        <v>8772</v>
      </c>
      <c r="D4037" t="s">
        <v>8772</v>
      </c>
      <c r="E4037" s="5">
        <v>46287</v>
      </c>
      <c r="F4037" t="s">
        <v>204</v>
      </c>
      <c r="G4037" t="s">
        <v>205</v>
      </c>
      <c r="H4037">
        <v>3348</v>
      </c>
      <c r="I4037">
        <v>80.349999999999994</v>
      </c>
      <c r="J4037">
        <v>14.46</v>
      </c>
      <c r="K4037">
        <v>3253.19</v>
      </c>
      <c r="L4037" s="5">
        <v>46289</v>
      </c>
      <c r="M4037" t="s">
        <v>8690</v>
      </c>
      <c r="N4037" t="s">
        <v>207</v>
      </c>
      <c r="O4037" t="s">
        <v>8772</v>
      </c>
      <c r="P4037" t="s">
        <v>208</v>
      </c>
      <c r="Q4037" t="s">
        <v>209</v>
      </c>
    </row>
    <row r="4038" spans="1:17" x14ac:dyDescent="0.3">
      <c r="A4038" t="s">
        <v>8773</v>
      </c>
      <c r="C4038" t="s">
        <v>8774</v>
      </c>
      <c r="D4038" t="s">
        <v>8774</v>
      </c>
      <c r="E4038" s="5">
        <v>46287</v>
      </c>
      <c r="F4038" t="s">
        <v>204</v>
      </c>
      <c r="G4038" t="s">
        <v>220</v>
      </c>
      <c r="H4038">
        <v>1648</v>
      </c>
      <c r="I4038">
        <v>0</v>
      </c>
      <c r="J4038">
        <v>0</v>
      </c>
      <c r="K4038">
        <v>1648</v>
      </c>
      <c r="L4038" s="5">
        <v>46289</v>
      </c>
      <c r="M4038" t="s">
        <v>8690</v>
      </c>
      <c r="N4038" t="s">
        <v>207</v>
      </c>
      <c r="O4038" t="s">
        <v>8774</v>
      </c>
      <c r="P4038" t="s">
        <v>208</v>
      </c>
      <c r="Q4038" t="s">
        <v>209</v>
      </c>
    </row>
    <row r="4039" spans="1:17" x14ac:dyDescent="0.3">
      <c r="A4039" t="s">
        <v>8775</v>
      </c>
      <c r="C4039" t="s">
        <v>8776</v>
      </c>
      <c r="D4039" t="s">
        <v>8777</v>
      </c>
      <c r="E4039" s="5">
        <v>46287</v>
      </c>
      <c r="F4039" t="s">
        <v>204</v>
      </c>
      <c r="G4039" t="s">
        <v>220</v>
      </c>
      <c r="H4039">
        <v>948</v>
      </c>
      <c r="I4039">
        <v>0</v>
      </c>
      <c r="J4039">
        <v>0</v>
      </c>
      <c r="K4039">
        <v>948</v>
      </c>
      <c r="L4039" s="5">
        <v>46289</v>
      </c>
      <c r="M4039" t="s">
        <v>8690</v>
      </c>
      <c r="N4039" t="s">
        <v>207</v>
      </c>
      <c r="O4039" t="s">
        <v>8777</v>
      </c>
      <c r="P4039" t="s">
        <v>208</v>
      </c>
      <c r="Q4039" t="s">
        <v>209</v>
      </c>
    </row>
    <row r="4040" spans="1:17" x14ac:dyDescent="0.3">
      <c r="A4040" t="s">
        <v>8778</v>
      </c>
      <c r="C4040" t="s">
        <v>8779</v>
      </c>
      <c r="D4040" t="s">
        <v>8779</v>
      </c>
      <c r="E4040" s="5">
        <v>46287</v>
      </c>
      <c r="F4040" t="s">
        <v>204</v>
      </c>
      <c r="G4040" t="s">
        <v>220</v>
      </c>
      <c r="H4040">
        <v>9847</v>
      </c>
      <c r="I4040">
        <v>29.54</v>
      </c>
      <c r="J4040">
        <v>5.32</v>
      </c>
      <c r="K4040">
        <v>9812.14</v>
      </c>
      <c r="L4040" s="5">
        <v>46289</v>
      </c>
      <c r="M4040" t="s">
        <v>8690</v>
      </c>
      <c r="N4040" t="s">
        <v>207</v>
      </c>
      <c r="O4040" t="s">
        <v>8779</v>
      </c>
      <c r="P4040" t="s">
        <v>208</v>
      </c>
      <c r="Q4040" t="s">
        <v>209</v>
      </c>
    </row>
    <row r="4041" spans="1:17" x14ac:dyDescent="0.3">
      <c r="A4041" t="s">
        <v>8780</v>
      </c>
      <c r="C4041" t="s">
        <v>8781</v>
      </c>
      <c r="D4041" t="s">
        <v>8782</v>
      </c>
      <c r="E4041" s="5">
        <v>46287</v>
      </c>
      <c r="F4041" t="s">
        <v>204</v>
      </c>
      <c r="G4041" t="s">
        <v>213</v>
      </c>
      <c r="H4041">
        <v>3348</v>
      </c>
      <c r="I4041">
        <v>53.57</v>
      </c>
      <c r="J4041">
        <v>9.64</v>
      </c>
      <c r="K4041">
        <v>3284.79</v>
      </c>
      <c r="L4041" s="5">
        <v>46289</v>
      </c>
      <c r="M4041" t="s">
        <v>8690</v>
      </c>
      <c r="N4041" t="s">
        <v>207</v>
      </c>
      <c r="O4041" t="s">
        <v>8782</v>
      </c>
      <c r="P4041" t="s">
        <v>208</v>
      </c>
      <c r="Q4041" t="s">
        <v>209</v>
      </c>
    </row>
    <row r="4042" spans="1:17" x14ac:dyDescent="0.3">
      <c r="A4042" t="s">
        <v>8783</v>
      </c>
      <c r="C4042" t="s">
        <v>8784</v>
      </c>
      <c r="D4042" t="s">
        <v>8784</v>
      </c>
      <c r="E4042" s="5">
        <v>46287</v>
      </c>
      <c r="F4042" t="s">
        <v>204</v>
      </c>
      <c r="G4042" t="s">
        <v>220</v>
      </c>
      <c r="H4042">
        <v>8298</v>
      </c>
      <c r="I4042">
        <v>24.89</v>
      </c>
      <c r="J4042">
        <v>4.4800000000000004</v>
      </c>
      <c r="K4042">
        <v>8268.6299999999992</v>
      </c>
      <c r="L4042" s="5">
        <v>46289</v>
      </c>
      <c r="M4042" t="s">
        <v>8690</v>
      </c>
      <c r="N4042" t="s">
        <v>207</v>
      </c>
      <c r="O4042" t="s">
        <v>8784</v>
      </c>
      <c r="P4042" t="s">
        <v>208</v>
      </c>
      <c r="Q4042" t="s">
        <v>209</v>
      </c>
    </row>
    <row r="4043" spans="1:17" x14ac:dyDescent="0.3">
      <c r="A4043" t="s">
        <v>8785</v>
      </c>
      <c r="C4043" t="s">
        <v>8786</v>
      </c>
      <c r="D4043" t="s">
        <v>8786</v>
      </c>
      <c r="E4043" s="5">
        <v>46287</v>
      </c>
      <c r="F4043" t="s">
        <v>204</v>
      </c>
      <c r="G4043" t="s">
        <v>220</v>
      </c>
      <c r="H4043">
        <v>7999</v>
      </c>
      <c r="I4043">
        <v>24</v>
      </c>
      <c r="J4043">
        <v>4.32</v>
      </c>
      <c r="K4043">
        <v>7970.68</v>
      </c>
      <c r="L4043" s="5">
        <v>46289</v>
      </c>
      <c r="M4043" t="s">
        <v>8690</v>
      </c>
      <c r="N4043" t="s">
        <v>207</v>
      </c>
      <c r="O4043" t="s">
        <v>8786</v>
      </c>
      <c r="P4043" t="s">
        <v>208</v>
      </c>
      <c r="Q4043" t="s">
        <v>209</v>
      </c>
    </row>
    <row r="4044" spans="1:17" x14ac:dyDescent="0.3">
      <c r="A4044" t="s">
        <v>8787</v>
      </c>
      <c r="C4044" t="s">
        <v>8788</v>
      </c>
      <c r="D4044" t="s">
        <v>8788</v>
      </c>
      <c r="E4044" s="5">
        <v>46287</v>
      </c>
      <c r="F4044" t="s">
        <v>204</v>
      </c>
      <c r="G4044" t="s">
        <v>213</v>
      </c>
      <c r="H4044">
        <v>1299</v>
      </c>
      <c r="I4044">
        <v>23.38</v>
      </c>
      <c r="J4044">
        <v>4.21</v>
      </c>
      <c r="K4044">
        <v>1271.4100000000001</v>
      </c>
      <c r="L4044" s="5">
        <v>46289</v>
      </c>
      <c r="M4044" t="s">
        <v>8690</v>
      </c>
      <c r="N4044" t="s">
        <v>207</v>
      </c>
      <c r="O4044" t="s">
        <v>8788</v>
      </c>
      <c r="P4044" t="s">
        <v>208</v>
      </c>
      <c r="Q4044" t="s">
        <v>209</v>
      </c>
    </row>
    <row r="4045" spans="1:17" x14ac:dyDescent="0.3">
      <c r="A4045" t="s">
        <v>8789</v>
      </c>
      <c r="C4045" t="s">
        <v>8790</v>
      </c>
      <c r="D4045" t="s">
        <v>8790</v>
      </c>
      <c r="E4045" s="5">
        <v>46287</v>
      </c>
      <c r="F4045" t="s">
        <v>204</v>
      </c>
      <c r="G4045" t="s">
        <v>213</v>
      </c>
      <c r="H4045">
        <v>999</v>
      </c>
      <c r="I4045">
        <v>17.98</v>
      </c>
      <c r="J4045">
        <v>3.24</v>
      </c>
      <c r="K4045">
        <v>977.78</v>
      </c>
      <c r="L4045" s="5">
        <v>46289</v>
      </c>
      <c r="M4045" t="s">
        <v>8690</v>
      </c>
      <c r="N4045" t="s">
        <v>207</v>
      </c>
      <c r="O4045" t="s">
        <v>8790</v>
      </c>
      <c r="P4045" t="s">
        <v>208</v>
      </c>
      <c r="Q4045" t="s">
        <v>209</v>
      </c>
    </row>
    <row r="4046" spans="1:17" x14ac:dyDescent="0.3">
      <c r="A4046" t="s">
        <v>8791</v>
      </c>
      <c r="C4046" t="s">
        <v>8792</v>
      </c>
      <c r="D4046" t="s">
        <v>8792</v>
      </c>
      <c r="E4046" s="5">
        <v>46287</v>
      </c>
      <c r="F4046" t="s">
        <v>204</v>
      </c>
      <c r="G4046" t="s">
        <v>220</v>
      </c>
      <c r="H4046">
        <v>1098</v>
      </c>
      <c r="I4046">
        <v>0</v>
      </c>
      <c r="J4046">
        <v>0</v>
      </c>
      <c r="K4046">
        <v>1098</v>
      </c>
      <c r="L4046" s="5">
        <v>46289</v>
      </c>
      <c r="M4046" t="s">
        <v>8690</v>
      </c>
      <c r="N4046" t="s">
        <v>207</v>
      </c>
      <c r="O4046" t="s">
        <v>8792</v>
      </c>
      <c r="P4046" t="s">
        <v>208</v>
      </c>
      <c r="Q4046" t="s">
        <v>209</v>
      </c>
    </row>
    <row r="4047" spans="1:17" x14ac:dyDescent="0.3">
      <c r="A4047" t="s">
        <v>8793</v>
      </c>
      <c r="C4047" t="s">
        <v>8794</v>
      </c>
      <c r="D4047" t="s">
        <v>8795</v>
      </c>
      <c r="E4047" s="5">
        <v>46287</v>
      </c>
      <c r="F4047" t="s">
        <v>204</v>
      </c>
      <c r="G4047" t="s">
        <v>213</v>
      </c>
      <c r="H4047">
        <v>2798</v>
      </c>
      <c r="I4047">
        <v>44.77</v>
      </c>
      <c r="J4047">
        <v>8.06</v>
      </c>
      <c r="K4047">
        <v>2745.17</v>
      </c>
      <c r="L4047" s="5">
        <v>46289</v>
      </c>
      <c r="M4047" t="s">
        <v>8690</v>
      </c>
      <c r="N4047" t="s">
        <v>207</v>
      </c>
      <c r="O4047" t="s">
        <v>8795</v>
      </c>
      <c r="P4047" t="s">
        <v>208</v>
      </c>
      <c r="Q4047" t="s">
        <v>209</v>
      </c>
    </row>
    <row r="4048" spans="1:17" x14ac:dyDescent="0.3">
      <c r="A4048" t="s">
        <v>8796</v>
      </c>
      <c r="C4048" t="s">
        <v>8797</v>
      </c>
      <c r="D4048" t="s">
        <v>8797</v>
      </c>
      <c r="E4048" s="5">
        <v>46287</v>
      </c>
      <c r="F4048" t="s">
        <v>204</v>
      </c>
      <c r="G4048" t="s">
        <v>220</v>
      </c>
      <c r="H4048">
        <v>7797</v>
      </c>
      <c r="I4048">
        <v>23.39</v>
      </c>
      <c r="J4048">
        <v>4.21</v>
      </c>
      <c r="K4048">
        <v>7769.4</v>
      </c>
      <c r="L4048" s="5">
        <v>46289</v>
      </c>
      <c r="M4048" t="s">
        <v>8690</v>
      </c>
      <c r="N4048" t="s">
        <v>207</v>
      </c>
      <c r="O4048" t="s">
        <v>8797</v>
      </c>
      <c r="P4048" t="s">
        <v>208</v>
      </c>
      <c r="Q4048" t="s">
        <v>209</v>
      </c>
    </row>
    <row r="4049" spans="1:17" x14ac:dyDescent="0.3">
      <c r="A4049" t="s">
        <v>8798</v>
      </c>
      <c r="C4049" t="s">
        <v>8799</v>
      </c>
      <c r="D4049" t="s">
        <v>8799</v>
      </c>
      <c r="E4049" s="5">
        <v>46287</v>
      </c>
      <c r="F4049" t="s">
        <v>204</v>
      </c>
      <c r="G4049" t="s">
        <v>220</v>
      </c>
      <c r="H4049">
        <v>1998</v>
      </c>
      <c r="I4049">
        <v>0</v>
      </c>
      <c r="J4049">
        <v>0</v>
      </c>
      <c r="K4049">
        <v>1998</v>
      </c>
      <c r="L4049" s="5">
        <v>46289</v>
      </c>
      <c r="M4049" t="s">
        <v>8690</v>
      </c>
      <c r="N4049" t="s">
        <v>207</v>
      </c>
      <c r="O4049" t="s">
        <v>8799</v>
      </c>
      <c r="P4049" t="s">
        <v>208</v>
      </c>
      <c r="Q4049" t="s">
        <v>209</v>
      </c>
    </row>
    <row r="4050" spans="1:17" x14ac:dyDescent="0.3">
      <c r="A4050" t="s">
        <v>8800</v>
      </c>
      <c r="C4050" t="s">
        <v>8801</v>
      </c>
      <c r="D4050" t="s">
        <v>8802</v>
      </c>
      <c r="E4050" s="5">
        <v>46287</v>
      </c>
      <c r="F4050" t="s">
        <v>204</v>
      </c>
      <c r="G4050" t="s">
        <v>213</v>
      </c>
      <c r="H4050">
        <v>8798</v>
      </c>
      <c r="I4050">
        <v>140.77000000000001</v>
      </c>
      <c r="J4050">
        <v>25.34</v>
      </c>
      <c r="K4050">
        <v>8631.89</v>
      </c>
      <c r="L4050" s="5">
        <v>46289</v>
      </c>
      <c r="M4050" t="s">
        <v>8690</v>
      </c>
      <c r="N4050" t="s">
        <v>207</v>
      </c>
      <c r="O4050" t="s">
        <v>8802</v>
      </c>
      <c r="P4050" t="s">
        <v>208</v>
      </c>
      <c r="Q4050" t="s">
        <v>209</v>
      </c>
    </row>
    <row r="4051" spans="1:17" x14ac:dyDescent="0.3">
      <c r="A4051" t="s">
        <v>8803</v>
      </c>
      <c r="C4051" t="s">
        <v>8804</v>
      </c>
      <c r="D4051" t="s">
        <v>8804</v>
      </c>
      <c r="E4051" s="5">
        <v>46287</v>
      </c>
      <c r="F4051" t="s">
        <v>204</v>
      </c>
      <c r="G4051" t="s">
        <v>220</v>
      </c>
      <c r="H4051">
        <v>2598</v>
      </c>
      <c r="I4051">
        <v>7.79</v>
      </c>
      <c r="J4051">
        <v>1.4</v>
      </c>
      <c r="K4051">
        <v>2588.81</v>
      </c>
      <c r="L4051" s="5">
        <v>46289</v>
      </c>
      <c r="M4051" t="s">
        <v>8690</v>
      </c>
      <c r="N4051" t="s">
        <v>207</v>
      </c>
      <c r="O4051" t="s">
        <v>8804</v>
      </c>
      <c r="P4051" t="s">
        <v>208</v>
      </c>
      <c r="Q4051" t="s">
        <v>209</v>
      </c>
    </row>
    <row r="4052" spans="1:17" x14ac:dyDescent="0.3">
      <c r="A4052" t="s">
        <v>8805</v>
      </c>
      <c r="C4052" t="s">
        <v>8806</v>
      </c>
      <c r="D4052" t="s">
        <v>8806</v>
      </c>
      <c r="E4052" s="5">
        <v>46287</v>
      </c>
      <c r="F4052" t="s">
        <v>204</v>
      </c>
      <c r="G4052" t="s">
        <v>220</v>
      </c>
      <c r="H4052">
        <v>3947</v>
      </c>
      <c r="I4052">
        <v>11.84</v>
      </c>
      <c r="J4052">
        <v>2.13</v>
      </c>
      <c r="K4052">
        <v>3933.03</v>
      </c>
      <c r="L4052" s="5">
        <v>46289</v>
      </c>
      <c r="M4052" t="s">
        <v>8690</v>
      </c>
      <c r="N4052" t="s">
        <v>207</v>
      </c>
      <c r="O4052" t="s">
        <v>8806</v>
      </c>
      <c r="P4052" t="s">
        <v>208</v>
      </c>
      <c r="Q4052" t="s">
        <v>209</v>
      </c>
    </row>
    <row r="4053" spans="1:17" x14ac:dyDescent="0.3">
      <c r="A4053" t="s">
        <v>8807</v>
      </c>
      <c r="C4053" t="s">
        <v>8808</v>
      </c>
      <c r="D4053" t="s">
        <v>8808</v>
      </c>
      <c r="E4053" s="5">
        <v>46287</v>
      </c>
      <c r="F4053" t="s">
        <v>204</v>
      </c>
      <c r="G4053" t="s">
        <v>205</v>
      </c>
      <c r="H4053">
        <v>4298</v>
      </c>
      <c r="I4053">
        <v>73.069999999999993</v>
      </c>
      <c r="J4053">
        <v>13.15</v>
      </c>
      <c r="K4053">
        <v>4211.78</v>
      </c>
      <c r="L4053" s="5">
        <v>46289</v>
      </c>
      <c r="M4053" t="s">
        <v>8690</v>
      </c>
      <c r="N4053" t="s">
        <v>207</v>
      </c>
      <c r="O4053" t="s">
        <v>8808</v>
      </c>
      <c r="P4053" t="s">
        <v>208</v>
      </c>
      <c r="Q4053" t="s">
        <v>209</v>
      </c>
    </row>
    <row r="4054" spans="1:17" x14ac:dyDescent="0.3">
      <c r="A4054" t="s">
        <v>8809</v>
      </c>
      <c r="C4054" t="s">
        <v>8810</v>
      </c>
      <c r="D4054" t="s">
        <v>8810</v>
      </c>
      <c r="E4054" s="5">
        <v>46287</v>
      </c>
      <c r="F4054" t="s">
        <v>204</v>
      </c>
      <c r="G4054" t="s">
        <v>220</v>
      </c>
      <c r="H4054">
        <v>999</v>
      </c>
      <c r="I4054">
        <v>0</v>
      </c>
      <c r="J4054">
        <v>0</v>
      </c>
      <c r="K4054">
        <v>999</v>
      </c>
      <c r="L4054" s="5">
        <v>46289</v>
      </c>
      <c r="M4054" t="s">
        <v>8690</v>
      </c>
      <c r="N4054" t="s">
        <v>207</v>
      </c>
      <c r="O4054" t="s">
        <v>8810</v>
      </c>
      <c r="P4054" t="s">
        <v>208</v>
      </c>
      <c r="Q4054" t="s">
        <v>209</v>
      </c>
    </row>
    <row r="4055" spans="1:17" x14ac:dyDescent="0.3">
      <c r="A4055" t="s">
        <v>8811</v>
      </c>
      <c r="C4055" t="s">
        <v>8812</v>
      </c>
      <c r="D4055" t="s">
        <v>8812</v>
      </c>
      <c r="E4055" s="5">
        <v>46287</v>
      </c>
      <c r="F4055" t="s">
        <v>204</v>
      </c>
      <c r="G4055" t="s">
        <v>213</v>
      </c>
      <c r="H4055">
        <v>1299</v>
      </c>
      <c r="I4055">
        <v>23.38</v>
      </c>
      <c r="J4055">
        <v>4.21</v>
      </c>
      <c r="K4055">
        <v>1271.4100000000001</v>
      </c>
      <c r="L4055" s="5">
        <v>46289</v>
      </c>
      <c r="M4055" t="s">
        <v>8690</v>
      </c>
      <c r="N4055" t="s">
        <v>207</v>
      </c>
      <c r="O4055" t="s">
        <v>8812</v>
      </c>
      <c r="P4055" t="s">
        <v>208</v>
      </c>
      <c r="Q4055" t="s">
        <v>209</v>
      </c>
    </row>
    <row r="4056" spans="1:17" x14ac:dyDescent="0.3">
      <c r="A4056" t="s">
        <v>8813</v>
      </c>
      <c r="C4056" t="s">
        <v>8814</v>
      </c>
      <c r="D4056" t="s">
        <v>8814</v>
      </c>
      <c r="E4056" s="5">
        <v>46287</v>
      </c>
      <c r="F4056" t="s">
        <v>204</v>
      </c>
      <c r="G4056" t="s">
        <v>220</v>
      </c>
      <c r="H4056">
        <v>2298</v>
      </c>
      <c r="I4056">
        <v>6.89</v>
      </c>
      <c r="J4056">
        <v>1.24</v>
      </c>
      <c r="K4056">
        <v>2289.87</v>
      </c>
      <c r="L4056" s="5">
        <v>46289</v>
      </c>
      <c r="M4056" t="s">
        <v>8690</v>
      </c>
      <c r="N4056" t="s">
        <v>207</v>
      </c>
      <c r="O4056" t="s">
        <v>8814</v>
      </c>
      <c r="P4056" t="s">
        <v>208</v>
      </c>
      <c r="Q4056" t="s">
        <v>209</v>
      </c>
    </row>
    <row r="4057" spans="1:17" x14ac:dyDescent="0.3">
      <c r="A4057" t="s">
        <v>8815</v>
      </c>
      <c r="C4057" t="s">
        <v>8816</v>
      </c>
      <c r="D4057" t="s">
        <v>8817</v>
      </c>
      <c r="E4057" s="5">
        <v>46287</v>
      </c>
      <c r="F4057" t="s">
        <v>204</v>
      </c>
      <c r="G4057" t="s">
        <v>213</v>
      </c>
      <c r="H4057">
        <v>9997</v>
      </c>
      <c r="I4057">
        <v>159.94999999999999</v>
      </c>
      <c r="J4057">
        <v>28.79</v>
      </c>
      <c r="K4057">
        <v>9808.26</v>
      </c>
      <c r="L4057" s="5">
        <v>46289</v>
      </c>
      <c r="M4057" t="s">
        <v>8690</v>
      </c>
      <c r="N4057" t="s">
        <v>207</v>
      </c>
      <c r="O4057" t="s">
        <v>8817</v>
      </c>
      <c r="P4057" t="s">
        <v>208</v>
      </c>
      <c r="Q4057" t="s">
        <v>209</v>
      </c>
    </row>
    <row r="4058" spans="1:17" x14ac:dyDescent="0.3">
      <c r="A4058" t="s">
        <v>8818</v>
      </c>
      <c r="C4058" t="s">
        <v>8819</v>
      </c>
      <c r="D4058" t="s">
        <v>8819</v>
      </c>
      <c r="E4058" s="5">
        <v>46287</v>
      </c>
      <c r="F4058" t="s">
        <v>204</v>
      </c>
      <c r="G4058" t="s">
        <v>220</v>
      </c>
      <c r="H4058">
        <v>1499</v>
      </c>
      <c r="I4058">
        <v>0</v>
      </c>
      <c r="J4058">
        <v>0</v>
      </c>
      <c r="K4058">
        <v>1499</v>
      </c>
      <c r="L4058" s="5">
        <v>46289</v>
      </c>
      <c r="M4058" t="s">
        <v>8690</v>
      </c>
      <c r="N4058" t="s">
        <v>207</v>
      </c>
      <c r="O4058" t="s">
        <v>8819</v>
      </c>
      <c r="P4058" t="s">
        <v>208</v>
      </c>
      <c r="Q4058" t="s">
        <v>209</v>
      </c>
    </row>
    <row r="4059" spans="1:17" x14ac:dyDescent="0.3">
      <c r="A4059" t="s">
        <v>8820</v>
      </c>
      <c r="C4059" t="s">
        <v>8821</v>
      </c>
      <c r="D4059" t="s">
        <v>8821</v>
      </c>
      <c r="E4059" s="5">
        <v>46287</v>
      </c>
      <c r="F4059" t="s">
        <v>204</v>
      </c>
      <c r="G4059" t="s">
        <v>213</v>
      </c>
      <c r="H4059">
        <v>1299</v>
      </c>
      <c r="I4059">
        <v>23.38</v>
      </c>
      <c r="J4059">
        <v>4.21</v>
      </c>
      <c r="K4059">
        <v>1271.4100000000001</v>
      </c>
      <c r="L4059" s="5">
        <v>46289</v>
      </c>
      <c r="M4059" t="s">
        <v>8690</v>
      </c>
      <c r="N4059" t="s">
        <v>207</v>
      </c>
      <c r="O4059" t="s">
        <v>8821</v>
      </c>
      <c r="P4059" t="s">
        <v>208</v>
      </c>
      <c r="Q4059" t="s">
        <v>209</v>
      </c>
    </row>
    <row r="4060" spans="1:17" x14ac:dyDescent="0.3">
      <c r="A4060" t="s">
        <v>8822</v>
      </c>
      <c r="C4060" t="s">
        <v>8823</v>
      </c>
      <c r="D4060" t="s">
        <v>8823</v>
      </c>
      <c r="E4060" s="5">
        <v>46287</v>
      </c>
      <c r="F4060" t="s">
        <v>204</v>
      </c>
      <c r="G4060" t="s">
        <v>220</v>
      </c>
      <c r="H4060">
        <v>8497</v>
      </c>
      <c r="I4060">
        <v>25.49</v>
      </c>
      <c r="J4060">
        <v>4.59</v>
      </c>
      <c r="K4060">
        <v>8466.92</v>
      </c>
      <c r="L4060" s="5">
        <v>46289</v>
      </c>
      <c r="M4060" t="s">
        <v>8690</v>
      </c>
      <c r="N4060" t="s">
        <v>207</v>
      </c>
      <c r="O4060" t="s">
        <v>8823</v>
      </c>
      <c r="P4060" t="s">
        <v>208</v>
      </c>
      <c r="Q4060" t="s">
        <v>209</v>
      </c>
    </row>
    <row r="4061" spans="1:17" x14ac:dyDescent="0.3">
      <c r="A4061" t="s">
        <v>8824</v>
      </c>
      <c r="C4061" t="s">
        <v>8825</v>
      </c>
      <c r="D4061" t="s">
        <v>8825</v>
      </c>
      <c r="E4061" s="5">
        <v>46287</v>
      </c>
      <c r="F4061" t="s">
        <v>204</v>
      </c>
      <c r="G4061" t="s">
        <v>220</v>
      </c>
      <c r="H4061">
        <v>648</v>
      </c>
      <c r="I4061">
        <v>1.94</v>
      </c>
      <c r="J4061">
        <v>0.35</v>
      </c>
      <c r="K4061">
        <v>645.71</v>
      </c>
      <c r="L4061" s="5">
        <v>46289</v>
      </c>
      <c r="M4061" t="s">
        <v>8690</v>
      </c>
      <c r="N4061" t="s">
        <v>207</v>
      </c>
      <c r="O4061" t="s">
        <v>8825</v>
      </c>
      <c r="P4061" t="s">
        <v>208</v>
      </c>
      <c r="Q4061" t="s">
        <v>209</v>
      </c>
    </row>
    <row r="4062" spans="1:17" x14ac:dyDescent="0.3">
      <c r="A4062" t="s">
        <v>8826</v>
      </c>
      <c r="C4062" t="s">
        <v>8827</v>
      </c>
      <c r="D4062" t="s">
        <v>8827</v>
      </c>
      <c r="E4062" s="5">
        <v>46287</v>
      </c>
      <c r="F4062" t="s">
        <v>204</v>
      </c>
      <c r="G4062" t="s">
        <v>213</v>
      </c>
      <c r="H4062">
        <v>3647</v>
      </c>
      <c r="I4062">
        <v>58.35</v>
      </c>
      <c r="J4062">
        <v>10.5</v>
      </c>
      <c r="K4062">
        <v>3578.15</v>
      </c>
      <c r="L4062" s="5">
        <v>46289</v>
      </c>
      <c r="M4062" t="s">
        <v>8690</v>
      </c>
      <c r="N4062" t="s">
        <v>207</v>
      </c>
      <c r="O4062" t="s">
        <v>8827</v>
      </c>
      <c r="P4062" t="s">
        <v>208</v>
      </c>
      <c r="Q4062" t="s">
        <v>209</v>
      </c>
    </row>
    <row r="4063" spans="1:17" x14ac:dyDescent="0.3">
      <c r="A4063" t="s">
        <v>8828</v>
      </c>
      <c r="C4063" t="s">
        <v>8829</v>
      </c>
      <c r="D4063" t="s">
        <v>8829</v>
      </c>
      <c r="E4063" s="5">
        <v>46287</v>
      </c>
      <c r="F4063" t="s">
        <v>204</v>
      </c>
      <c r="G4063" t="s">
        <v>220</v>
      </c>
      <c r="H4063">
        <v>1299</v>
      </c>
      <c r="I4063">
        <v>0</v>
      </c>
      <c r="J4063">
        <v>0</v>
      </c>
      <c r="K4063">
        <v>1299</v>
      </c>
      <c r="L4063" s="5">
        <v>46289</v>
      </c>
      <c r="M4063" t="s">
        <v>8690</v>
      </c>
      <c r="N4063" t="s">
        <v>207</v>
      </c>
      <c r="O4063" t="s">
        <v>8829</v>
      </c>
      <c r="P4063" t="s">
        <v>208</v>
      </c>
      <c r="Q4063" t="s">
        <v>209</v>
      </c>
    </row>
    <row r="4064" spans="1:17" x14ac:dyDescent="0.3">
      <c r="A4064" t="s">
        <v>8830</v>
      </c>
      <c r="C4064" t="s">
        <v>8831</v>
      </c>
      <c r="D4064" t="s">
        <v>8831</v>
      </c>
      <c r="E4064" s="5">
        <v>46287</v>
      </c>
      <c r="F4064" t="s">
        <v>204</v>
      </c>
      <c r="G4064" t="s">
        <v>205</v>
      </c>
      <c r="H4064">
        <v>11797</v>
      </c>
      <c r="I4064">
        <v>200.55</v>
      </c>
      <c r="J4064">
        <v>36.1</v>
      </c>
      <c r="K4064">
        <v>11560.35</v>
      </c>
      <c r="L4064" s="5">
        <v>46289</v>
      </c>
      <c r="M4064" t="s">
        <v>8690</v>
      </c>
      <c r="N4064" t="s">
        <v>207</v>
      </c>
      <c r="O4064" t="s">
        <v>8831</v>
      </c>
      <c r="P4064" t="s">
        <v>208</v>
      </c>
      <c r="Q4064" t="s">
        <v>209</v>
      </c>
    </row>
    <row r="4065" spans="1:17" x14ac:dyDescent="0.3">
      <c r="A4065" t="s">
        <v>8832</v>
      </c>
      <c r="C4065" t="s">
        <v>8833</v>
      </c>
      <c r="D4065" t="s">
        <v>8833</v>
      </c>
      <c r="E4065" s="5">
        <v>46287</v>
      </c>
      <c r="F4065" t="s">
        <v>204</v>
      </c>
      <c r="G4065" t="s">
        <v>213</v>
      </c>
      <c r="H4065">
        <v>2098</v>
      </c>
      <c r="I4065">
        <v>33.57</v>
      </c>
      <c r="J4065">
        <v>6.04</v>
      </c>
      <c r="K4065">
        <v>2058.39</v>
      </c>
      <c r="L4065" s="5">
        <v>46289</v>
      </c>
      <c r="M4065" t="s">
        <v>8690</v>
      </c>
      <c r="N4065" t="s">
        <v>207</v>
      </c>
      <c r="O4065" t="s">
        <v>8833</v>
      </c>
      <c r="P4065" t="s">
        <v>208</v>
      </c>
      <c r="Q4065" t="s">
        <v>209</v>
      </c>
    </row>
    <row r="4066" spans="1:17" x14ac:dyDescent="0.3">
      <c r="A4066" t="s">
        <v>8834</v>
      </c>
      <c r="C4066" t="s">
        <v>8835</v>
      </c>
      <c r="D4066" t="s">
        <v>8835</v>
      </c>
      <c r="E4066" s="5">
        <v>46287</v>
      </c>
      <c r="F4066" t="s">
        <v>204</v>
      </c>
      <c r="G4066" t="s">
        <v>220</v>
      </c>
      <c r="H4066">
        <v>1299</v>
      </c>
      <c r="I4066">
        <v>0</v>
      </c>
      <c r="J4066">
        <v>0</v>
      </c>
      <c r="K4066">
        <v>1299</v>
      </c>
      <c r="L4066" s="5">
        <v>46289</v>
      </c>
      <c r="M4066" t="s">
        <v>8690</v>
      </c>
      <c r="N4066" t="s">
        <v>207</v>
      </c>
      <c r="O4066" t="s">
        <v>8835</v>
      </c>
      <c r="P4066" t="s">
        <v>208</v>
      </c>
      <c r="Q4066" t="s">
        <v>209</v>
      </c>
    </row>
    <row r="4067" spans="1:17" x14ac:dyDescent="0.3">
      <c r="A4067" t="s">
        <v>8836</v>
      </c>
      <c r="C4067" t="s">
        <v>8837</v>
      </c>
      <c r="D4067" t="s">
        <v>8837</v>
      </c>
      <c r="E4067" s="5">
        <v>46287</v>
      </c>
      <c r="F4067" t="s">
        <v>204</v>
      </c>
      <c r="G4067" t="s">
        <v>220</v>
      </c>
      <c r="H4067">
        <v>599</v>
      </c>
      <c r="I4067">
        <v>0</v>
      </c>
      <c r="J4067">
        <v>0</v>
      </c>
      <c r="K4067">
        <v>599</v>
      </c>
      <c r="L4067" s="5">
        <v>46289</v>
      </c>
      <c r="M4067" t="s">
        <v>8690</v>
      </c>
      <c r="N4067" t="s">
        <v>207</v>
      </c>
      <c r="O4067" t="s">
        <v>8837</v>
      </c>
      <c r="P4067" t="s">
        <v>208</v>
      </c>
      <c r="Q4067" t="s">
        <v>209</v>
      </c>
    </row>
    <row r="4068" spans="1:17" x14ac:dyDescent="0.3">
      <c r="A4068" t="s">
        <v>8838</v>
      </c>
      <c r="C4068" t="s">
        <v>8839</v>
      </c>
      <c r="D4068" t="s">
        <v>8840</v>
      </c>
      <c r="E4068" s="5">
        <v>46287</v>
      </c>
      <c r="F4068" t="s">
        <v>204</v>
      </c>
      <c r="G4068" t="s">
        <v>205</v>
      </c>
      <c r="H4068">
        <v>799</v>
      </c>
      <c r="I4068">
        <v>15.18</v>
      </c>
      <c r="J4068">
        <v>2.73</v>
      </c>
      <c r="K4068">
        <v>781.09</v>
      </c>
      <c r="L4068" s="5">
        <v>46289</v>
      </c>
      <c r="M4068" t="s">
        <v>8690</v>
      </c>
      <c r="N4068" t="s">
        <v>207</v>
      </c>
      <c r="O4068" t="s">
        <v>8840</v>
      </c>
      <c r="P4068" t="s">
        <v>208</v>
      </c>
      <c r="Q4068" t="s">
        <v>209</v>
      </c>
    </row>
    <row r="4069" spans="1:17" x14ac:dyDescent="0.3">
      <c r="A4069" t="s">
        <v>8841</v>
      </c>
      <c r="C4069" t="s">
        <v>8842</v>
      </c>
      <c r="D4069" t="s">
        <v>8842</v>
      </c>
      <c r="E4069" s="5">
        <v>46287</v>
      </c>
      <c r="F4069" t="s">
        <v>204</v>
      </c>
      <c r="G4069" t="s">
        <v>205</v>
      </c>
      <c r="H4069">
        <v>999</v>
      </c>
      <c r="I4069">
        <v>18.98</v>
      </c>
      <c r="J4069">
        <v>3.42</v>
      </c>
      <c r="K4069">
        <v>976.6</v>
      </c>
      <c r="L4069" s="5">
        <v>46289</v>
      </c>
      <c r="M4069" t="s">
        <v>8690</v>
      </c>
      <c r="N4069" t="s">
        <v>207</v>
      </c>
      <c r="O4069" t="s">
        <v>8842</v>
      </c>
      <c r="P4069" t="s">
        <v>208</v>
      </c>
      <c r="Q4069" t="s">
        <v>209</v>
      </c>
    </row>
    <row r="4070" spans="1:17" x14ac:dyDescent="0.3">
      <c r="A4070" t="s">
        <v>8843</v>
      </c>
      <c r="C4070" t="s">
        <v>8844</v>
      </c>
      <c r="D4070" t="s">
        <v>8845</v>
      </c>
      <c r="E4070" s="5">
        <v>46287</v>
      </c>
      <c r="F4070" t="s">
        <v>204</v>
      </c>
      <c r="G4070" t="s">
        <v>220</v>
      </c>
      <c r="H4070">
        <v>2499</v>
      </c>
      <c r="I4070">
        <v>7.5</v>
      </c>
      <c r="J4070">
        <v>1.35</v>
      </c>
      <c r="K4070">
        <v>2490.15</v>
      </c>
      <c r="L4070" s="5">
        <v>46289</v>
      </c>
      <c r="M4070" t="s">
        <v>8690</v>
      </c>
      <c r="N4070" t="s">
        <v>207</v>
      </c>
      <c r="O4070" t="s">
        <v>8845</v>
      </c>
      <c r="P4070" t="s">
        <v>208</v>
      </c>
      <c r="Q4070" t="s">
        <v>209</v>
      </c>
    </row>
    <row r="4071" spans="1:17" x14ac:dyDescent="0.3">
      <c r="A4071" t="s">
        <v>8846</v>
      </c>
      <c r="C4071" t="s">
        <v>8847</v>
      </c>
      <c r="D4071" t="s">
        <v>8847</v>
      </c>
      <c r="E4071" s="5">
        <v>46287</v>
      </c>
      <c r="F4071" t="s">
        <v>204</v>
      </c>
      <c r="G4071" t="s">
        <v>220</v>
      </c>
      <c r="H4071">
        <v>1498</v>
      </c>
      <c r="I4071">
        <v>0</v>
      </c>
      <c r="J4071">
        <v>0</v>
      </c>
      <c r="K4071">
        <v>1498</v>
      </c>
      <c r="L4071" s="5">
        <v>46289</v>
      </c>
      <c r="M4071" t="s">
        <v>8690</v>
      </c>
      <c r="N4071" t="s">
        <v>207</v>
      </c>
      <c r="O4071" t="s">
        <v>8847</v>
      </c>
      <c r="P4071" t="s">
        <v>208</v>
      </c>
      <c r="Q4071" t="s">
        <v>209</v>
      </c>
    </row>
    <row r="4072" spans="1:17" x14ac:dyDescent="0.3">
      <c r="A4072" t="s">
        <v>8848</v>
      </c>
      <c r="C4072" t="s">
        <v>8849</v>
      </c>
      <c r="D4072" t="s">
        <v>8849</v>
      </c>
      <c r="E4072" s="5">
        <v>46287</v>
      </c>
      <c r="F4072" t="s">
        <v>204</v>
      </c>
      <c r="G4072" t="s">
        <v>213</v>
      </c>
      <c r="H4072">
        <v>8498</v>
      </c>
      <c r="I4072">
        <v>135.97</v>
      </c>
      <c r="J4072">
        <v>24.47</v>
      </c>
      <c r="K4072">
        <v>8337.56</v>
      </c>
      <c r="L4072" s="5">
        <v>46289</v>
      </c>
      <c r="M4072" t="s">
        <v>8690</v>
      </c>
      <c r="N4072" t="s">
        <v>207</v>
      </c>
      <c r="O4072" t="s">
        <v>8849</v>
      </c>
      <c r="P4072" t="s">
        <v>208</v>
      </c>
      <c r="Q4072" t="s">
        <v>209</v>
      </c>
    </row>
    <row r="4073" spans="1:17" x14ac:dyDescent="0.3">
      <c r="A4073" t="s">
        <v>8850</v>
      </c>
      <c r="C4073" t="s">
        <v>8851</v>
      </c>
      <c r="D4073" t="s">
        <v>8852</v>
      </c>
      <c r="E4073" s="5">
        <v>46287</v>
      </c>
      <c r="F4073" t="s">
        <v>204</v>
      </c>
      <c r="G4073" t="s">
        <v>220</v>
      </c>
      <c r="H4073">
        <v>6498</v>
      </c>
      <c r="I4073">
        <v>19.489999999999998</v>
      </c>
      <c r="J4073">
        <v>3.51</v>
      </c>
      <c r="K4073">
        <v>6475</v>
      </c>
      <c r="L4073" s="5">
        <v>46289</v>
      </c>
      <c r="M4073" t="s">
        <v>8690</v>
      </c>
      <c r="N4073" t="s">
        <v>207</v>
      </c>
      <c r="O4073" t="s">
        <v>8852</v>
      </c>
      <c r="P4073" t="s">
        <v>208</v>
      </c>
      <c r="Q4073" t="s">
        <v>209</v>
      </c>
    </row>
    <row r="4074" spans="1:17" x14ac:dyDescent="0.3">
      <c r="A4074" t="s">
        <v>8853</v>
      </c>
      <c r="C4074" t="s">
        <v>8854</v>
      </c>
      <c r="D4074" t="s">
        <v>8854</v>
      </c>
      <c r="E4074" s="5">
        <v>46287</v>
      </c>
      <c r="F4074" t="s">
        <v>204</v>
      </c>
      <c r="G4074" t="s">
        <v>220</v>
      </c>
      <c r="H4074">
        <v>4498</v>
      </c>
      <c r="I4074">
        <v>13.49</v>
      </c>
      <c r="J4074">
        <v>2.4300000000000002</v>
      </c>
      <c r="K4074">
        <v>4482.08</v>
      </c>
      <c r="L4074" s="5">
        <v>46289</v>
      </c>
      <c r="M4074" t="s">
        <v>8690</v>
      </c>
      <c r="N4074" t="s">
        <v>207</v>
      </c>
      <c r="O4074" t="s">
        <v>8854</v>
      </c>
      <c r="P4074" t="s">
        <v>208</v>
      </c>
      <c r="Q4074" t="s">
        <v>209</v>
      </c>
    </row>
    <row r="4075" spans="1:17" x14ac:dyDescent="0.3">
      <c r="A4075" t="s">
        <v>8855</v>
      </c>
      <c r="C4075" t="s">
        <v>8856</v>
      </c>
      <c r="D4075" t="s">
        <v>8857</v>
      </c>
      <c r="E4075" s="5">
        <v>46287</v>
      </c>
      <c r="F4075" t="s">
        <v>204</v>
      </c>
      <c r="G4075" t="s">
        <v>205</v>
      </c>
      <c r="H4075">
        <v>3098</v>
      </c>
      <c r="I4075">
        <v>52.67</v>
      </c>
      <c r="J4075">
        <v>9.48</v>
      </c>
      <c r="K4075">
        <v>3035.85</v>
      </c>
      <c r="L4075" s="5">
        <v>46289</v>
      </c>
      <c r="M4075" t="s">
        <v>8690</v>
      </c>
      <c r="N4075" t="s">
        <v>207</v>
      </c>
      <c r="O4075" t="s">
        <v>8857</v>
      </c>
      <c r="P4075" t="s">
        <v>208</v>
      </c>
      <c r="Q4075" t="s">
        <v>209</v>
      </c>
    </row>
    <row r="4076" spans="1:17" x14ac:dyDescent="0.3">
      <c r="A4076" t="s">
        <v>8858</v>
      </c>
      <c r="C4076" t="s">
        <v>8859</v>
      </c>
      <c r="D4076" t="s">
        <v>8859</v>
      </c>
      <c r="E4076" s="5">
        <v>46287</v>
      </c>
      <c r="F4076" t="s">
        <v>204</v>
      </c>
      <c r="G4076" t="s">
        <v>213</v>
      </c>
      <c r="H4076">
        <v>349</v>
      </c>
      <c r="I4076">
        <v>6.28</v>
      </c>
      <c r="J4076">
        <v>1.1299999999999999</v>
      </c>
      <c r="K4076">
        <v>341.59</v>
      </c>
      <c r="L4076" s="5">
        <v>46289</v>
      </c>
      <c r="M4076" t="s">
        <v>8690</v>
      </c>
      <c r="N4076" t="s">
        <v>207</v>
      </c>
      <c r="O4076" t="s">
        <v>8859</v>
      </c>
      <c r="P4076" t="s">
        <v>208</v>
      </c>
      <c r="Q4076" t="s">
        <v>209</v>
      </c>
    </row>
    <row r="4077" spans="1:17" x14ac:dyDescent="0.3">
      <c r="A4077" t="s">
        <v>8860</v>
      </c>
      <c r="C4077" t="s">
        <v>8861</v>
      </c>
      <c r="D4077" t="s">
        <v>8861</v>
      </c>
      <c r="E4077" s="5">
        <v>46287</v>
      </c>
      <c r="F4077" t="s">
        <v>204</v>
      </c>
      <c r="G4077" t="s">
        <v>220</v>
      </c>
      <c r="H4077">
        <v>3797</v>
      </c>
      <c r="I4077">
        <v>11.39</v>
      </c>
      <c r="J4077">
        <v>2.0499999999999998</v>
      </c>
      <c r="K4077">
        <v>3783.56</v>
      </c>
      <c r="L4077" s="5">
        <v>46289</v>
      </c>
      <c r="M4077" t="s">
        <v>8690</v>
      </c>
      <c r="N4077" t="s">
        <v>207</v>
      </c>
      <c r="O4077" t="s">
        <v>8861</v>
      </c>
      <c r="P4077" t="s">
        <v>208</v>
      </c>
      <c r="Q4077" t="s">
        <v>209</v>
      </c>
    </row>
    <row r="4078" spans="1:17" x14ac:dyDescent="0.3">
      <c r="A4078" t="s">
        <v>8862</v>
      </c>
      <c r="C4078" t="s">
        <v>8863</v>
      </c>
      <c r="D4078" t="s">
        <v>8863</v>
      </c>
      <c r="E4078" s="5">
        <v>46287</v>
      </c>
      <c r="F4078" t="s">
        <v>204</v>
      </c>
      <c r="G4078" t="s">
        <v>220</v>
      </c>
      <c r="H4078">
        <v>4998</v>
      </c>
      <c r="I4078">
        <v>14.99</v>
      </c>
      <c r="J4078">
        <v>2.7</v>
      </c>
      <c r="K4078">
        <v>4980.3100000000004</v>
      </c>
      <c r="L4078" s="5">
        <v>46289</v>
      </c>
      <c r="M4078" t="s">
        <v>8690</v>
      </c>
      <c r="N4078" t="s">
        <v>207</v>
      </c>
      <c r="O4078" t="s">
        <v>8863</v>
      </c>
      <c r="P4078" t="s">
        <v>208</v>
      </c>
      <c r="Q4078" t="s">
        <v>209</v>
      </c>
    </row>
    <row r="4079" spans="1:17" x14ac:dyDescent="0.3">
      <c r="A4079" t="s">
        <v>8864</v>
      </c>
      <c r="C4079" t="s">
        <v>8865</v>
      </c>
      <c r="D4079" t="s">
        <v>8866</v>
      </c>
      <c r="E4079" s="5">
        <v>46287</v>
      </c>
      <c r="F4079" t="s">
        <v>204</v>
      </c>
      <c r="G4079" t="s">
        <v>220</v>
      </c>
      <c r="H4079">
        <v>3597</v>
      </c>
      <c r="I4079">
        <v>10.79</v>
      </c>
      <c r="J4079">
        <v>1.94</v>
      </c>
      <c r="K4079">
        <v>3584.27</v>
      </c>
      <c r="L4079" s="5">
        <v>46289</v>
      </c>
      <c r="M4079" t="s">
        <v>8690</v>
      </c>
      <c r="N4079" t="s">
        <v>207</v>
      </c>
      <c r="O4079" t="s">
        <v>8866</v>
      </c>
      <c r="P4079" t="s">
        <v>208</v>
      </c>
      <c r="Q4079" t="s">
        <v>209</v>
      </c>
    </row>
    <row r="4080" spans="1:17" x14ac:dyDescent="0.3">
      <c r="A4080" t="s">
        <v>8867</v>
      </c>
      <c r="C4080" t="s">
        <v>8868</v>
      </c>
      <c r="D4080" t="s">
        <v>8868</v>
      </c>
      <c r="E4080" s="5">
        <v>46287</v>
      </c>
      <c r="F4080" t="s">
        <v>204</v>
      </c>
      <c r="G4080" t="s">
        <v>220</v>
      </c>
      <c r="H4080">
        <v>9798</v>
      </c>
      <c r="I4080">
        <v>29.39</v>
      </c>
      <c r="J4080">
        <v>5.29</v>
      </c>
      <c r="K4080">
        <v>9763.32</v>
      </c>
      <c r="L4080" s="5">
        <v>46289</v>
      </c>
      <c r="M4080" t="s">
        <v>8690</v>
      </c>
      <c r="N4080" t="s">
        <v>207</v>
      </c>
      <c r="O4080" t="s">
        <v>8868</v>
      </c>
      <c r="P4080" t="s">
        <v>208</v>
      </c>
      <c r="Q4080" t="s">
        <v>209</v>
      </c>
    </row>
    <row r="4081" spans="1:17" x14ac:dyDescent="0.3">
      <c r="A4081" t="s">
        <v>8869</v>
      </c>
      <c r="C4081" t="s">
        <v>8870</v>
      </c>
      <c r="D4081" t="s">
        <v>8870</v>
      </c>
      <c r="E4081" s="5">
        <v>46287</v>
      </c>
      <c r="F4081" t="s">
        <v>204</v>
      </c>
      <c r="G4081" t="s">
        <v>205</v>
      </c>
      <c r="H4081">
        <v>3998</v>
      </c>
      <c r="I4081">
        <v>67.97</v>
      </c>
      <c r="J4081">
        <v>12.23</v>
      </c>
      <c r="K4081">
        <v>3917.8</v>
      </c>
      <c r="L4081" s="5">
        <v>46289</v>
      </c>
      <c r="M4081" t="s">
        <v>8690</v>
      </c>
      <c r="N4081" t="s">
        <v>207</v>
      </c>
      <c r="O4081" t="s">
        <v>8870</v>
      </c>
      <c r="P4081" t="s">
        <v>208</v>
      </c>
      <c r="Q4081" t="s">
        <v>209</v>
      </c>
    </row>
    <row r="4082" spans="1:17" x14ac:dyDescent="0.3">
      <c r="A4082" t="s">
        <v>8871</v>
      </c>
      <c r="C4082" t="s">
        <v>8872</v>
      </c>
      <c r="D4082" t="s">
        <v>8873</v>
      </c>
      <c r="E4082" s="5">
        <v>46287</v>
      </c>
      <c r="F4082" t="s">
        <v>204</v>
      </c>
      <c r="G4082" t="s">
        <v>213</v>
      </c>
      <c r="H4082">
        <v>1299</v>
      </c>
      <c r="I4082">
        <v>23.38</v>
      </c>
      <c r="J4082">
        <v>4.21</v>
      </c>
      <c r="K4082">
        <v>1271.4100000000001</v>
      </c>
      <c r="L4082" s="5">
        <v>46289</v>
      </c>
      <c r="M4082" t="s">
        <v>8690</v>
      </c>
      <c r="N4082" t="s">
        <v>207</v>
      </c>
      <c r="O4082" t="s">
        <v>8873</v>
      </c>
      <c r="P4082" t="s">
        <v>208</v>
      </c>
      <c r="Q4082" t="s">
        <v>209</v>
      </c>
    </row>
    <row r="4083" spans="1:17" x14ac:dyDescent="0.3">
      <c r="A4083" t="s">
        <v>8874</v>
      </c>
      <c r="C4083" t="s">
        <v>8875</v>
      </c>
      <c r="D4083" t="s">
        <v>8876</v>
      </c>
      <c r="E4083" s="5">
        <v>46287</v>
      </c>
      <c r="F4083" t="s">
        <v>204</v>
      </c>
      <c r="G4083" t="s">
        <v>220</v>
      </c>
      <c r="H4083">
        <v>13497</v>
      </c>
      <c r="I4083">
        <v>40.49</v>
      </c>
      <c r="J4083">
        <v>7.29</v>
      </c>
      <c r="K4083">
        <v>13449.22</v>
      </c>
      <c r="L4083" s="5">
        <v>46289</v>
      </c>
      <c r="M4083" t="s">
        <v>8690</v>
      </c>
      <c r="N4083" t="s">
        <v>207</v>
      </c>
      <c r="O4083" t="s">
        <v>8876</v>
      </c>
      <c r="P4083" t="s">
        <v>208</v>
      </c>
      <c r="Q4083" t="s">
        <v>209</v>
      </c>
    </row>
    <row r="4084" spans="1:17" x14ac:dyDescent="0.3">
      <c r="A4084" t="s">
        <v>8877</v>
      </c>
      <c r="C4084" t="s">
        <v>8878</v>
      </c>
      <c r="D4084" t="s">
        <v>8879</v>
      </c>
      <c r="E4084" s="5">
        <v>46287</v>
      </c>
      <c r="F4084" t="s">
        <v>204</v>
      </c>
      <c r="G4084" t="s">
        <v>213</v>
      </c>
      <c r="H4084">
        <v>8997</v>
      </c>
      <c r="I4084">
        <v>143.94999999999999</v>
      </c>
      <c r="J4084">
        <v>25.91</v>
      </c>
      <c r="K4084">
        <v>8827.14</v>
      </c>
      <c r="L4084" s="5">
        <v>46289</v>
      </c>
      <c r="M4084" t="s">
        <v>8690</v>
      </c>
      <c r="N4084" t="s">
        <v>207</v>
      </c>
      <c r="O4084" t="s">
        <v>8879</v>
      </c>
      <c r="P4084" t="s">
        <v>208</v>
      </c>
      <c r="Q4084" t="s">
        <v>209</v>
      </c>
    </row>
    <row r="4085" spans="1:17" x14ac:dyDescent="0.3">
      <c r="A4085" t="s">
        <v>8880</v>
      </c>
      <c r="C4085" t="s">
        <v>8881</v>
      </c>
      <c r="D4085" t="s">
        <v>8882</v>
      </c>
      <c r="E4085" s="5">
        <v>46287</v>
      </c>
      <c r="F4085" t="s">
        <v>204</v>
      </c>
      <c r="G4085" t="s">
        <v>220</v>
      </c>
      <c r="H4085">
        <v>2298</v>
      </c>
      <c r="I4085">
        <v>6.89</v>
      </c>
      <c r="J4085">
        <v>1.24</v>
      </c>
      <c r="K4085">
        <v>2289.87</v>
      </c>
      <c r="L4085" s="5">
        <v>46289</v>
      </c>
      <c r="M4085" t="s">
        <v>8690</v>
      </c>
      <c r="N4085" t="s">
        <v>207</v>
      </c>
      <c r="O4085" t="s">
        <v>8882</v>
      </c>
      <c r="P4085" t="s">
        <v>208</v>
      </c>
      <c r="Q4085" t="s">
        <v>209</v>
      </c>
    </row>
    <row r="4086" spans="1:17" x14ac:dyDescent="0.3">
      <c r="A4086" t="s">
        <v>8883</v>
      </c>
      <c r="C4086" t="s">
        <v>8884</v>
      </c>
      <c r="D4086" t="s">
        <v>8884</v>
      </c>
      <c r="E4086" s="5">
        <v>46287</v>
      </c>
      <c r="F4086" t="s">
        <v>204</v>
      </c>
      <c r="G4086" t="s">
        <v>220</v>
      </c>
      <c r="H4086">
        <v>299</v>
      </c>
      <c r="I4086">
        <v>0</v>
      </c>
      <c r="J4086">
        <v>0</v>
      </c>
      <c r="K4086">
        <v>299</v>
      </c>
      <c r="L4086" s="5">
        <v>46289</v>
      </c>
      <c r="M4086" t="s">
        <v>8690</v>
      </c>
      <c r="N4086" t="s">
        <v>207</v>
      </c>
      <c r="O4086" t="s">
        <v>8884</v>
      </c>
      <c r="P4086" t="s">
        <v>208</v>
      </c>
      <c r="Q4086" t="s">
        <v>209</v>
      </c>
    </row>
    <row r="4087" spans="1:17" x14ac:dyDescent="0.3">
      <c r="A4087" t="s">
        <v>8885</v>
      </c>
      <c r="C4087" t="s">
        <v>8886</v>
      </c>
      <c r="D4087" t="s">
        <v>8886</v>
      </c>
      <c r="E4087" s="5">
        <v>46287</v>
      </c>
      <c r="F4087" t="s">
        <v>204</v>
      </c>
      <c r="G4087" t="s">
        <v>213</v>
      </c>
      <c r="H4087">
        <v>3498</v>
      </c>
      <c r="I4087">
        <v>55.97</v>
      </c>
      <c r="J4087">
        <v>10.07</v>
      </c>
      <c r="K4087">
        <v>3431.96</v>
      </c>
      <c r="L4087" s="5">
        <v>46289</v>
      </c>
      <c r="M4087" t="s">
        <v>8690</v>
      </c>
      <c r="N4087" t="s">
        <v>207</v>
      </c>
      <c r="O4087" t="s">
        <v>8886</v>
      </c>
      <c r="P4087" t="s">
        <v>208</v>
      </c>
      <c r="Q4087" t="s">
        <v>209</v>
      </c>
    </row>
    <row r="4088" spans="1:17" x14ac:dyDescent="0.3">
      <c r="A4088" t="s">
        <v>8887</v>
      </c>
      <c r="C4088" t="s">
        <v>8888</v>
      </c>
      <c r="D4088" t="s">
        <v>8888</v>
      </c>
      <c r="E4088" s="5">
        <v>46287</v>
      </c>
      <c r="F4088" t="s">
        <v>204</v>
      </c>
      <c r="G4088" t="s">
        <v>220</v>
      </c>
      <c r="H4088">
        <v>599</v>
      </c>
      <c r="I4088">
        <v>0</v>
      </c>
      <c r="J4088">
        <v>0</v>
      </c>
      <c r="K4088">
        <v>599</v>
      </c>
      <c r="L4088" s="5">
        <v>46289</v>
      </c>
      <c r="M4088" t="s">
        <v>8690</v>
      </c>
      <c r="N4088" t="s">
        <v>207</v>
      </c>
      <c r="O4088" t="s">
        <v>8888</v>
      </c>
      <c r="P4088" t="s">
        <v>208</v>
      </c>
      <c r="Q4088" t="s">
        <v>209</v>
      </c>
    </row>
    <row r="4089" spans="1:17" x14ac:dyDescent="0.3">
      <c r="A4089" t="s">
        <v>8889</v>
      </c>
      <c r="C4089" t="s">
        <v>8890</v>
      </c>
      <c r="D4089" t="s">
        <v>8890</v>
      </c>
      <c r="E4089" s="5">
        <v>46287</v>
      </c>
      <c r="F4089" t="s">
        <v>204</v>
      </c>
      <c r="G4089" t="s">
        <v>220</v>
      </c>
      <c r="H4089">
        <v>3598</v>
      </c>
      <c r="I4089">
        <v>10.79</v>
      </c>
      <c r="J4089">
        <v>1.94</v>
      </c>
      <c r="K4089">
        <v>3585.27</v>
      </c>
      <c r="L4089" s="5">
        <v>46289</v>
      </c>
      <c r="M4089" t="s">
        <v>8690</v>
      </c>
      <c r="N4089" t="s">
        <v>207</v>
      </c>
      <c r="O4089" t="s">
        <v>8890</v>
      </c>
      <c r="P4089" t="s">
        <v>208</v>
      </c>
      <c r="Q4089" t="s">
        <v>209</v>
      </c>
    </row>
    <row r="4090" spans="1:17" x14ac:dyDescent="0.3">
      <c r="A4090" t="s">
        <v>8891</v>
      </c>
      <c r="C4090" t="s">
        <v>8892</v>
      </c>
      <c r="D4090" t="s">
        <v>8892</v>
      </c>
      <c r="E4090" s="5">
        <v>46287</v>
      </c>
      <c r="F4090" t="s">
        <v>204</v>
      </c>
      <c r="G4090" t="s">
        <v>220</v>
      </c>
      <c r="H4090">
        <v>6347</v>
      </c>
      <c r="I4090">
        <v>19.04</v>
      </c>
      <c r="J4090">
        <v>3.43</v>
      </c>
      <c r="K4090">
        <v>6324.53</v>
      </c>
      <c r="L4090" s="5">
        <v>46289</v>
      </c>
      <c r="M4090" t="s">
        <v>8690</v>
      </c>
      <c r="N4090" t="s">
        <v>207</v>
      </c>
      <c r="O4090" t="s">
        <v>8892</v>
      </c>
      <c r="P4090" t="s">
        <v>208</v>
      </c>
      <c r="Q4090" t="s">
        <v>209</v>
      </c>
    </row>
    <row r="4091" spans="1:17" x14ac:dyDescent="0.3">
      <c r="A4091" t="s">
        <v>8893</v>
      </c>
      <c r="C4091" t="s">
        <v>8894</v>
      </c>
      <c r="D4091" t="s">
        <v>8894</v>
      </c>
      <c r="E4091" s="5">
        <v>46287</v>
      </c>
      <c r="F4091" t="s">
        <v>204</v>
      </c>
      <c r="G4091" t="s">
        <v>220</v>
      </c>
      <c r="H4091">
        <v>3848</v>
      </c>
      <c r="I4091">
        <v>11.54</v>
      </c>
      <c r="J4091">
        <v>2.08</v>
      </c>
      <c r="K4091">
        <v>3834.38</v>
      </c>
      <c r="L4091" s="5">
        <v>46289</v>
      </c>
      <c r="M4091" t="s">
        <v>8690</v>
      </c>
      <c r="N4091" t="s">
        <v>207</v>
      </c>
      <c r="O4091" t="s">
        <v>8894</v>
      </c>
      <c r="P4091" t="s">
        <v>208</v>
      </c>
      <c r="Q4091" t="s">
        <v>209</v>
      </c>
    </row>
    <row r="4092" spans="1:17" x14ac:dyDescent="0.3">
      <c r="A4092" t="s">
        <v>8895</v>
      </c>
      <c r="C4092" t="s">
        <v>8896</v>
      </c>
      <c r="D4092" t="s">
        <v>8896</v>
      </c>
      <c r="E4092" s="5">
        <v>46287</v>
      </c>
      <c r="F4092" t="s">
        <v>204</v>
      </c>
      <c r="G4092" t="s">
        <v>213</v>
      </c>
      <c r="H4092">
        <v>3298</v>
      </c>
      <c r="I4092">
        <v>52.77</v>
      </c>
      <c r="J4092">
        <v>9.5</v>
      </c>
      <c r="K4092">
        <v>3235.73</v>
      </c>
      <c r="L4092" s="5">
        <v>46289</v>
      </c>
      <c r="M4092" t="s">
        <v>8690</v>
      </c>
      <c r="N4092" t="s">
        <v>207</v>
      </c>
      <c r="O4092" t="s">
        <v>8896</v>
      </c>
      <c r="P4092" t="s">
        <v>208</v>
      </c>
      <c r="Q4092" t="s">
        <v>209</v>
      </c>
    </row>
    <row r="4093" spans="1:17" x14ac:dyDescent="0.3">
      <c r="A4093" t="s">
        <v>8897</v>
      </c>
      <c r="C4093" t="s">
        <v>8898</v>
      </c>
      <c r="D4093" t="s">
        <v>8898</v>
      </c>
      <c r="E4093" s="5">
        <v>46287</v>
      </c>
      <c r="F4093" t="s">
        <v>204</v>
      </c>
      <c r="G4093" t="s">
        <v>205</v>
      </c>
      <c r="H4093">
        <v>948</v>
      </c>
      <c r="I4093">
        <v>18.010000000000002</v>
      </c>
      <c r="J4093">
        <v>3.24</v>
      </c>
      <c r="K4093">
        <v>926.75</v>
      </c>
      <c r="L4093" s="5">
        <v>46289</v>
      </c>
      <c r="M4093" t="s">
        <v>8690</v>
      </c>
      <c r="N4093" t="s">
        <v>207</v>
      </c>
      <c r="O4093" t="s">
        <v>8898</v>
      </c>
      <c r="P4093" t="s">
        <v>208</v>
      </c>
      <c r="Q4093" t="s">
        <v>209</v>
      </c>
    </row>
    <row r="4094" spans="1:17" x14ac:dyDescent="0.3">
      <c r="A4094" t="s">
        <v>8899</v>
      </c>
      <c r="C4094" t="s">
        <v>8900</v>
      </c>
      <c r="D4094" t="s">
        <v>8900</v>
      </c>
      <c r="E4094" s="5">
        <v>46287</v>
      </c>
      <c r="F4094" t="s">
        <v>204</v>
      </c>
      <c r="G4094" t="s">
        <v>220</v>
      </c>
      <c r="H4094">
        <v>3897</v>
      </c>
      <c r="I4094">
        <v>11.69</v>
      </c>
      <c r="J4094">
        <v>2.1</v>
      </c>
      <c r="K4094">
        <v>3883.21</v>
      </c>
      <c r="L4094" s="5">
        <v>46289</v>
      </c>
      <c r="M4094" t="s">
        <v>8690</v>
      </c>
      <c r="N4094" t="s">
        <v>207</v>
      </c>
      <c r="O4094" t="s">
        <v>8900</v>
      </c>
      <c r="P4094" t="s">
        <v>208</v>
      </c>
      <c r="Q4094" t="s">
        <v>209</v>
      </c>
    </row>
    <row r="4095" spans="1:17" x14ac:dyDescent="0.3">
      <c r="A4095" t="s">
        <v>8901</v>
      </c>
      <c r="C4095" t="s">
        <v>8902</v>
      </c>
      <c r="D4095" t="s">
        <v>8902</v>
      </c>
      <c r="E4095" s="5">
        <v>46287</v>
      </c>
      <c r="F4095" t="s">
        <v>204</v>
      </c>
      <c r="G4095" t="s">
        <v>220</v>
      </c>
      <c r="H4095">
        <v>4798</v>
      </c>
      <c r="I4095">
        <v>14.39</v>
      </c>
      <c r="J4095">
        <v>2.59</v>
      </c>
      <c r="K4095">
        <v>4781.0200000000004</v>
      </c>
      <c r="L4095" s="5">
        <v>46289</v>
      </c>
      <c r="M4095" t="s">
        <v>8690</v>
      </c>
      <c r="N4095" t="s">
        <v>207</v>
      </c>
      <c r="O4095" t="s">
        <v>8902</v>
      </c>
      <c r="P4095" t="s">
        <v>208</v>
      </c>
      <c r="Q4095" t="s">
        <v>209</v>
      </c>
    </row>
    <row r="4096" spans="1:17" x14ac:dyDescent="0.3">
      <c r="A4096" t="s">
        <v>8903</v>
      </c>
      <c r="C4096" t="s">
        <v>8904</v>
      </c>
      <c r="D4096" t="s">
        <v>8904</v>
      </c>
      <c r="E4096" s="5">
        <v>46287</v>
      </c>
      <c r="F4096" t="s">
        <v>204</v>
      </c>
      <c r="G4096" t="s">
        <v>213</v>
      </c>
      <c r="H4096">
        <v>499</v>
      </c>
      <c r="I4096">
        <v>8.98</v>
      </c>
      <c r="J4096">
        <v>1.62</v>
      </c>
      <c r="K4096">
        <v>488.4</v>
      </c>
      <c r="L4096" s="5">
        <v>46289</v>
      </c>
      <c r="M4096" t="s">
        <v>8690</v>
      </c>
      <c r="N4096" t="s">
        <v>207</v>
      </c>
      <c r="O4096" t="s">
        <v>8904</v>
      </c>
      <c r="P4096" t="s">
        <v>208</v>
      </c>
      <c r="Q4096" t="s">
        <v>209</v>
      </c>
    </row>
    <row r="4097" spans="1:17" x14ac:dyDescent="0.3">
      <c r="A4097" t="s">
        <v>8905</v>
      </c>
      <c r="C4097" t="s">
        <v>8906</v>
      </c>
      <c r="D4097" t="s">
        <v>8906</v>
      </c>
      <c r="E4097" s="5">
        <v>46287</v>
      </c>
      <c r="F4097" t="s">
        <v>204</v>
      </c>
      <c r="G4097" t="s">
        <v>213</v>
      </c>
      <c r="H4097">
        <v>1198</v>
      </c>
      <c r="I4097">
        <v>21.56</v>
      </c>
      <c r="J4097">
        <v>3.88</v>
      </c>
      <c r="K4097">
        <v>1172.56</v>
      </c>
      <c r="L4097" s="5">
        <v>46289</v>
      </c>
      <c r="M4097" t="s">
        <v>8690</v>
      </c>
      <c r="N4097" t="s">
        <v>207</v>
      </c>
      <c r="O4097" t="s">
        <v>8906</v>
      </c>
      <c r="P4097" t="s">
        <v>208</v>
      </c>
      <c r="Q4097" t="s">
        <v>209</v>
      </c>
    </row>
    <row r="4098" spans="1:17" x14ac:dyDescent="0.3">
      <c r="A4098" t="s">
        <v>8907</v>
      </c>
      <c r="C4098" t="s">
        <v>8908</v>
      </c>
      <c r="D4098" t="s">
        <v>8908</v>
      </c>
      <c r="E4098" s="5">
        <v>46287</v>
      </c>
      <c r="F4098" t="s">
        <v>204</v>
      </c>
      <c r="G4098" t="s">
        <v>213</v>
      </c>
      <c r="H4098">
        <v>2499</v>
      </c>
      <c r="I4098">
        <v>39.979999999999997</v>
      </c>
      <c r="J4098">
        <v>7.2</v>
      </c>
      <c r="K4098">
        <v>2451.8200000000002</v>
      </c>
      <c r="L4098" s="5">
        <v>46289</v>
      </c>
      <c r="M4098" t="s">
        <v>8690</v>
      </c>
      <c r="N4098" t="s">
        <v>207</v>
      </c>
      <c r="O4098" t="s">
        <v>8908</v>
      </c>
      <c r="P4098" t="s">
        <v>208</v>
      </c>
      <c r="Q4098" t="s">
        <v>209</v>
      </c>
    </row>
    <row r="4099" spans="1:17" x14ac:dyDescent="0.3">
      <c r="A4099" t="s">
        <v>8909</v>
      </c>
      <c r="C4099" t="s">
        <v>8910</v>
      </c>
      <c r="D4099" t="s">
        <v>8911</v>
      </c>
      <c r="E4099" s="5">
        <v>46287</v>
      </c>
      <c r="F4099" t="s">
        <v>204</v>
      </c>
      <c r="G4099" t="s">
        <v>213</v>
      </c>
      <c r="H4099">
        <v>2798</v>
      </c>
      <c r="I4099">
        <v>44.77</v>
      </c>
      <c r="J4099">
        <v>8.06</v>
      </c>
      <c r="K4099">
        <v>2745.17</v>
      </c>
      <c r="L4099" s="5">
        <v>46289</v>
      </c>
      <c r="M4099" t="s">
        <v>8690</v>
      </c>
      <c r="N4099" t="s">
        <v>207</v>
      </c>
      <c r="O4099" t="s">
        <v>8911</v>
      </c>
      <c r="P4099" t="s">
        <v>208</v>
      </c>
      <c r="Q4099" t="s">
        <v>209</v>
      </c>
    </row>
    <row r="4100" spans="1:17" x14ac:dyDescent="0.3">
      <c r="A4100" t="s">
        <v>8912</v>
      </c>
      <c r="C4100" t="s">
        <v>8913</v>
      </c>
      <c r="D4100" t="s">
        <v>8913</v>
      </c>
      <c r="E4100" s="5">
        <v>46287</v>
      </c>
      <c r="F4100" t="s">
        <v>204</v>
      </c>
      <c r="G4100" t="s">
        <v>213</v>
      </c>
      <c r="H4100">
        <v>6498</v>
      </c>
      <c r="I4100">
        <v>103.97</v>
      </c>
      <c r="J4100">
        <v>18.71</v>
      </c>
      <c r="K4100">
        <v>6375.32</v>
      </c>
      <c r="L4100" s="5">
        <v>46289</v>
      </c>
      <c r="M4100" t="s">
        <v>8690</v>
      </c>
      <c r="N4100" t="s">
        <v>207</v>
      </c>
      <c r="O4100" t="s">
        <v>8913</v>
      </c>
      <c r="P4100" t="s">
        <v>208</v>
      </c>
      <c r="Q4100" t="s">
        <v>209</v>
      </c>
    </row>
    <row r="4101" spans="1:17" x14ac:dyDescent="0.3">
      <c r="A4101" t="s">
        <v>8914</v>
      </c>
      <c r="C4101" t="s">
        <v>8915</v>
      </c>
      <c r="D4101" t="s">
        <v>8915</v>
      </c>
      <c r="E4101" s="5">
        <v>46287</v>
      </c>
      <c r="F4101" t="s">
        <v>204</v>
      </c>
      <c r="G4101" t="s">
        <v>220</v>
      </c>
      <c r="H4101">
        <v>3098</v>
      </c>
      <c r="I4101">
        <v>9.2899999999999991</v>
      </c>
      <c r="J4101">
        <v>1.67</v>
      </c>
      <c r="K4101">
        <v>3087.04</v>
      </c>
      <c r="L4101" s="5">
        <v>46289</v>
      </c>
      <c r="M4101" t="s">
        <v>8690</v>
      </c>
      <c r="N4101" t="s">
        <v>207</v>
      </c>
      <c r="O4101" t="s">
        <v>8915</v>
      </c>
      <c r="P4101" t="s">
        <v>208</v>
      </c>
      <c r="Q4101" t="s">
        <v>209</v>
      </c>
    </row>
    <row r="4102" spans="1:17" x14ac:dyDescent="0.3">
      <c r="A4102" t="s">
        <v>8916</v>
      </c>
      <c r="C4102" t="s">
        <v>8917</v>
      </c>
      <c r="D4102" t="s">
        <v>8917</v>
      </c>
      <c r="E4102" s="5">
        <v>46287</v>
      </c>
      <c r="F4102" t="s">
        <v>204</v>
      </c>
      <c r="G4102" t="s">
        <v>213</v>
      </c>
      <c r="H4102">
        <v>4597</v>
      </c>
      <c r="I4102">
        <v>73.55</v>
      </c>
      <c r="J4102">
        <v>13.24</v>
      </c>
      <c r="K4102">
        <v>4510.21</v>
      </c>
      <c r="L4102" s="5">
        <v>46289</v>
      </c>
      <c r="M4102" t="s">
        <v>8690</v>
      </c>
      <c r="N4102" t="s">
        <v>207</v>
      </c>
      <c r="O4102" t="s">
        <v>8917</v>
      </c>
      <c r="P4102" t="s">
        <v>208</v>
      </c>
      <c r="Q4102" t="s">
        <v>209</v>
      </c>
    </row>
    <row r="4103" spans="1:17" x14ac:dyDescent="0.3">
      <c r="A4103" t="s">
        <v>8918</v>
      </c>
      <c r="C4103" t="s">
        <v>8919</v>
      </c>
      <c r="D4103" t="s">
        <v>8919</v>
      </c>
      <c r="E4103" s="5">
        <v>46287</v>
      </c>
      <c r="F4103" t="s">
        <v>204</v>
      </c>
      <c r="G4103" t="s">
        <v>220</v>
      </c>
      <c r="H4103">
        <v>10597</v>
      </c>
      <c r="I4103">
        <v>31.79</v>
      </c>
      <c r="J4103">
        <v>5.72</v>
      </c>
      <c r="K4103">
        <v>10559.49</v>
      </c>
      <c r="L4103" s="5">
        <v>46289</v>
      </c>
      <c r="M4103" t="s">
        <v>8690</v>
      </c>
      <c r="N4103" t="s">
        <v>207</v>
      </c>
      <c r="O4103" t="s">
        <v>8919</v>
      </c>
      <c r="P4103" t="s">
        <v>208</v>
      </c>
      <c r="Q4103" t="s">
        <v>209</v>
      </c>
    </row>
    <row r="4104" spans="1:17" x14ac:dyDescent="0.3">
      <c r="A4104" t="s">
        <v>8920</v>
      </c>
      <c r="C4104" t="s">
        <v>8921</v>
      </c>
      <c r="D4104" t="s">
        <v>8921</v>
      </c>
      <c r="E4104" s="5">
        <v>46287</v>
      </c>
      <c r="F4104" t="s">
        <v>204</v>
      </c>
      <c r="G4104" t="s">
        <v>220</v>
      </c>
      <c r="H4104">
        <v>8347</v>
      </c>
      <c r="I4104">
        <v>25.04</v>
      </c>
      <c r="J4104">
        <v>4.51</v>
      </c>
      <c r="K4104">
        <v>8317.4500000000007</v>
      </c>
      <c r="L4104" s="5">
        <v>46289</v>
      </c>
      <c r="M4104" t="s">
        <v>8690</v>
      </c>
      <c r="N4104" t="s">
        <v>207</v>
      </c>
      <c r="O4104" t="s">
        <v>8921</v>
      </c>
      <c r="P4104" t="s">
        <v>208</v>
      </c>
      <c r="Q4104" t="s">
        <v>209</v>
      </c>
    </row>
    <row r="4105" spans="1:17" x14ac:dyDescent="0.3">
      <c r="A4105" t="s">
        <v>8922</v>
      </c>
      <c r="C4105" t="s">
        <v>8923</v>
      </c>
      <c r="D4105" t="s">
        <v>8923</v>
      </c>
      <c r="E4105" s="5">
        <v>46287</v>
      </c>
      <c r="F4105" t="s">
        <v>204</v>
      </c>
      <c r="G4105" t="s">
        <v>220</v>
      </c>
      <c r="H4105">
        <v>5597</v>
      </c>
      <c r="I4105">
        <v>16.79</v>
      </c>
      <c r="J4105">
        <v>3.02</v>
      </c>
      <c r="K4105">
        <v>5577.19</v>
      </c>
      <c r="L4105" s="5">
        <v>46289</v>
      </c>
      <c r="M4105" t="s">
        <v>8690</v>
      </c>
      <c r="N4105" t="s">
        <v>207</v>
      </c>
      <c r="O4105" t="s">
        <v>8923</v>
      </c>
      <c r="P4105" t="s">
        <v>208</v>
      </c>
      <c r="Q4105" t="s">
        <v>209</v>
      </c>
    </row>
    <row r="4106" spans="1:17" x14ac:dyDescent="0.3">
      <c r="A4106" t="s">
        <v>8924</v>
      </c>
      <c r="C4106" t="s">
        <v>8925</v>
      </c>
      <c r="D4106" t="s">
        <v>8925</v>
      </c>
      <c r="E4106" s="5">
        <v>46287</v>
      </c>
      <c r="F4106" t="s">
        <v>204</v>
      </c>
      <c r="G4106" t="s">
        <v>220</v>
      </c>
      <c r="H4106">
        <v>6097</v>
      </c>
      <c r="I4106">
        <v>18.29</v>
      </c>
      <c r="J4106">
        <v>3.29</v>
      </c>
      <c r="K4106">
        <v>6075.42</v>
      </c>
      <c r="L4106" s="5">
        <v>46289</v>
      </c>
      <c r="M4106" t="s">
        <v>8690</v>
      </c>
      <c r="N4106" t="s">
        <v>207</v>
      </c>
      <c r="O4106" t="s">
        <v>8925</v>
      </c>
      <c r="P4106" t="s">
        <v>208</v>
      </c>
      <c r="Q4106" t="s">
        <v>209</v>
      </c>
    </row>
    <row r="4107" spans="1:17" x14ac:dyDescent="0.3">
      <c r="A4107" t="s">
        <v>8926</v>
      </c>
      <c r="C4107" t="s">
        <v>8927</v>
      </c>
      <c r="D4107" t="s">
        <v>8927</v>
      </c>
      <c r="E4107" s="5">
        <v>46287</v>
      </c>
      <c r="F4107" t="s">
        <v>204</v>
      </c>
      <c r="G4107" t="s">
        <v>220</v>
      </c>
      <c r="H4107">
        <v>349</v>
      </c>
      <c r="I4107">
        <v>0</v>
      </c>
      <c r="J4107">
        <v>0</v>
      </c>
      <c r="K4107">
        <v>349</v>
      </c>
      <c r="L4107" s="5">
        <v>46289</v>
      </c>
      <c r="M4107" t="s">
        <v>8690</v>
      </c>
      <c r="N4107" t="s">
        <v>207</v>
      </c>
      <c r="O4107" t="s">
        <v>8927</v>
      </c>
      <c r="P4107" t="s">
        <v>208</v>
      </c>
      <c r="Q4107" t="s">
        <v>209</v>
      </c>
    </row>
    <row r="4108" spans="1:17" x14ac:dyDescent="0.3">
      <c r="A4108" t="s">
        <v>8928</v>
      </c>
      <c r="C4108" t="s">
        <v>8929</v>
      </c>
      <c r="D4108" t="s">
        <v>8929</v>
      </c>
      <c r="E4108" s="5">
        <v>46287</v>
      </c>
      <c r="F4108" t="s">
        <v>204</v>
      </c>
      <c r="G4108" t="s">
        <v>220</v>
      </c>
      <c r="H4108">
        <v>8297</v>
      </c>
      <c r="I4108">
        <v>24.89</v>
      </c>
      <c r="J4108">
        <v>4.4800000000000004</v>
      </c>
      <c r="K4108">
        <v>8267.6299999999992</v>
      </c>
      <c r="L4108" s="5">
        <v>46289</v>
      </c>
      <c r="M4108" t="s">
        <v>8690</v>
      </c>
      <c r="N4108" t="s">
        <v>207</v>
      </c>
      <c r="O4108" t="s">
        <v>8929</v>
      </c>
      <c r="P4108" t="s">
        <v>208</v>
      </c>
      <c r="Q4108" t="s">
        <v>209</v>
      </c>
    </row>
    <row r="4109" spans="1:17" x14ac:dyDescent="0.3">
      <c r="A4109" t="s">
        <v>8930</v>
      </c>
      <c r="C4109" t="s">
        <v>8931</v>
      </c>
      <c r="D4109" t="s">
        <v>8931</v>
      </c>
      <c r="E4109" s="5">
        <v>46287</v>
      </c>
      <c r="F4109" t="s">
        <v>204</v>
      </c>
      <c r="G4109" t="s">
        <v>205</v>
      </c>
      <c r="H4109">
        <v>1299</v>
      </c>
      <c r="I4109">
        <v>24.68</v>
      </c>
      <c r="J4109">
        <v>4.4400000000000004</v>
      </c>
      <c r="K4109">
        <v>1269.8800000000001</v>
      </c>
      <c r="L4109" s="5">
        <v>46289</v>
      </c>
      <c r="M4109" t="s">
        <v>8690</v>
      </c>
      <c r="N4109" t="s">
        <v>207</v>
      </c>
      <c r="O4109" t="s">
        <v>8931</v>
      </c>
      <c r="P4109" t="s">
        <v>208</v>
      </c>
      <c r="Q4109" t="s">
        <v>209</v>
      </c>
    </row>
    <row r="4110" spans="1:17" x14ac:dyDescent="0.3">
      <c r="A4110" t="s">
        <v>8932</v>
      </c>
      <c r="C4110" t="s">
        <v>8933</v>
      </c>
      <c r="D4110" t="s">
        <v>8933</v>
      </c>
      <c r="E4110" s="5">
        <v>46287</v>
      </c>
      <c r="F4110" t="s">
        <v>204</v>
      </c>
      <c r="G4110" t="s">
        <v>220</v>
      </c>
      <c r="H4110">
        <v>3097</v>
      </c>
      <c r="I4110">
        <v>9.2899999999999991</v>
      </c>
      <c r="J4110">
        <v>1.67</v>
      </c>
      <c r="K4110">
        <v>3086.04</v>
      </c>
      <c r="L4110" s="5">
        <v>46289</v>
      </c>
      <c r="M4110" t="s">
        <v>8690</v>
      </c>
      <c r="N4110" t="s">
        <v>207</v>
      </c>
      <c r="O4110" t="s">
        <v>8933</v>
      </c>
      <c r="P4110" t="s">
        <v>208</v>
      </c>
      <c r="Q4110" t="s">
        <v>209</v>
      </c>
    </row>
    <row r="4111" spans="1:17" x14ac:dyDescent="0.3">
      <c r="A4111" t="s">
        <v>8934</v>
      </c>
      <c r="C4111" t="s">
        <v>8935</v>
      </c>
      <c r="D4111" t="s">
        <v>8935</v>
      </c>
      <c r="E4111" s="5">
        <v>46287</v>
      </c>
      <c r="F4111" t="s">
        <v>204</v>
      </c>
      <c r="G4111" t="s">
        <v>220</v>
      </c>
      <c r="H4111">
        <v>499</v>
      </c>
      <c r="I4111">
        <v>0</v>
      </c>
      <c r="J4111">
        <v>0</v>
      </c>
      <c r="K4111">
        <v>499</v>
      </c>
      <c r="L4111" s="5">
        <v>46289</v>
      </c>
      <c r="M4111" t="s">
        <v>8690</v>
      </c>
      <c r="N4111" t="s">
        <v>207</v>
      </c>
      <c r="O4111" t="s">
        <v>8935</v>
      </c>
      <c r="P4111" t="s">
        <v>208</v>
      </c>
      <c r="Q4111" t="s">
        <v>209</v>
      </c>
    </row>
    <row r="4112" spans="1:17" x14ac:dyDescent="0.3">
      <c r="A4112" t="s">
        <v>8936</v>
      </c>
      <c r="C4112" t="s">
        <v>8937</v>
      </c>
      <c r="D4112" t="s">
        <v>8937</v>
      </c>
      <c r="E4112" s="5">
        <v>46287</v>
      </c>
      <c r="F4112" t="s">
        <v>204</v>
      </c>
      <c r="G4112" t="s">
        <v>220</v>
      </c>
      <c r="H4112">
        <v>1499</v>
      </c>
      <c r="I4112">
        <v>0</v>
      </c>
      <c r="J4112">
        <v>0</v>
      </c>
      <c r="K4112">
        <v>1499</v>
      </c>
      <c r="L4112" s="5">
        <v>46289</v>
      </c>
      <c r="M4112" t="s">
        <v>8690</v>
      </c>
      <c r="N4112" t="s">
        <v>207</v>
      </c>
      <c r="O4112" t="s">
        <v>8937</v>
      </c>
      <c r="P4112" t="s">
        <v>208</v>
      </c>
      <c r="Q4112" t="s">
        <v>209</v>
      </c>
    </row>
    <row r="4113" spans="1:17" x14ac:dyDescent="0.3">
      <c r="A4113" t="s">
        <v>8938</v>
      </c>
      <c r="C4113" t="s">
        <v>8939</v>
      </c>
      <c r="D4113" t="s">
        <v>8939</v>
      </c>
      <c r="E4113" s="5">
        <v>46287</v>
      </c>
      <c r="F4113" t="s">
        <v>204</v>
      </c>
      <c r="G4113" t="s">
        <v>213</v>
      </c>
      <c r="H4113">
        <v>349</v>
      </c>
      <c r="I4113">
        <v>6.28</v>
      </c>
      <c r="J4113">
        <v>1.1299999999999999</v>
      </c>
      <c r="K4113">
        <v>341.59</v>
      </c>
      <c r="L4113" s="5">
        <v>46289</v>
      </c>
      <c r="M4113" t="s">
        <v>8690</v>
      </c>
      <c r="N4113" t="s">
        <v>207</v>
      </c>
      <c r="O4113" t="s">
        <v>8939</v>
      </c>
      <c r="P4113" t="s">
        <v>208</v>
      </c>
      <c r="Q4113" t="s">
        <v>209</v>
      </c>
    </row>
    <row r="4114" spans="1:17" x14ac:dyDescent="0.3">
      <c r="A4114" t="s">
        <v>8940</v>
      </c>
      <c r="C4114" t="s">
        <v>8941</v>
      </c>
      <c r="D4114" t="s">
        <v>8941</v>
      </c>
      <c r="E4114" s="5">
        <v>46287</v>
      </c>
      <c r="F4114" t="s">
        <v>204</v>
      </c>
      <c r="G4114" t="s">
        <v>213</v>
      </c>
      <c r="H4114">
        <v>11597</v>
      </c>
      <c r="I4114">
        <v>185.55</v>
      </c>
      <c r="J4114">
        <v>33.4</v>
      </c>
      <c r="K4114">
        <v>11378.05</v>
      </c>
      <c r="L4114" s="5">
        <v>46289</v>
      </c>
      <c r="M4114" t="s">
        <v>8690</v>
      </c>
      <c r="N4114" t="s">
        <v>207</v>
      </c>
      <c r="O4114" t="s">
        <v>8941</v>
      </c>
      <c r="P4114" t="s">
        <v>208</v>
      </c>
      <c r="Q4114" t="s">
        <v>209</v>
      </c>
    </row>
    <row r="4115" spans="1:17" x14ac:dyDescent="0.3">
      <c r="A4115" t="s">
        <v>8942</v>
      </c>
      <c r="C4115" t="s">
        <v>8943</v>
      </c>
      <c r="D4115" t="s">
        <v>8943</v>
      </c>
      <c r="E4115" s="5">
        <v>46287</v>
      </c>
      <c r="F4115" t="s">
        <v>204</v>
      </c>
      <c r="G4115" t="s">
        <v>220</v>
      </c>
      <c r="H4115">
        <v>5298</v>
      </c>
      <c r="I4115">
        <v>15.89</v>
      </c>
      <c r="J4115">
        <v>2.86</v>
      </c>
      <c r="K4115">
        <v>5279.25</v>
      </c>
      <c r="L4115" s="5">
        <v>46289</v>
      </c>
      <c r="M4115" t="s">
        <v>8690</v>
      </c>
      <c r="N4115" t="s">
        <v>207</v>
      </c>
      <c r="O4115" t="s">
        <v>8943</v>
      </c>
      <c r="P4115" t="s">
        <v>208</v>
      </c>
      <c r="Q4115" t="s">
        <v>209</v>
      </c>
    </row>
    <row r="4116" spans="1:17" x14ac:dyDescent="0.3">
      <c r="A4116" t="s">
        <v>8944</v>
      </c>
      <c r="C4116" t="s">
        <v>8945</v>
      </c>
      <c r="D4116" t="s">
        <v>8945</v>
      </c>
      <c r="E4116" s="5">
        <v>46287</v>
      </c>
      <c r="F4116" t="s">
        <v>204</v>
      </c>
      <c r="G4116" t="s">
        <v>213</v>
      </c>
      <c r="H4116">
        <v>3499</v>
      </c>
      <c r="I4116">
        <v>55.98</v>
      </c>
      <c r="J4116">
        <v>10.08</v>
      </c>
      <c r="K4116">
        <v>3432.94</v>
      </c>
      <c r="L4116" s="5">
        <v>46289</v>
      </c>
      <c r="M4116" t="s">
        <v>8690</v>
      </c>
      <c r="N4116" t="s">
        <v>207</v>
      </c>
      <c r="O4116" t="s">
        <v>8945</v>
      </c>
      <c r="P4116" t="s">
        <v>208</v>
      </c>
      <c r="Q4116" t="s">
        <v>209</v>
      </c>
    </row>
    <row r="4117" spans="1:17" x14ac:dyDescent="0.3">
      <c r="A4117" t="s">
        <v>8946</v>
      </c>
      <c r="C4117" t="s">
        <v>8947</v>
      </c>
      <c r="D4117" t="s">
        <v>8947</v>
      </c>
      <c r="E4117" s="5">
        <v>46287</v>
      </c>
      <c r="F4117" t="s">
        <v>204</v>
      </c>
      <c r="G4117" t="s">
        <v>213</v>
      </c>
      <c r="H4117">
        <v>6798</v>
      </c>
      <c r="I4117">
        <v>108.77</v>
      </c>
      <c r="J4117">
        <v>19.579999999999998</v>
      </c>
      <c r="K4117">
        <v>6669.65</v>
      </c>
      <c r="L4117" s="5">
        <v>46289</v>
      </c>
      <c r="M4117" t="s">
        <v>8690</v>
      </c>
      <c r="N4117" t="s">
        <v>207</v>
      </c>
      <c r="O4117" t="s">
        <v>8947</v>
      </c>
      <c r="P4117" t="s">
        <v>208</v>
      </c>
      <c r="Q4117" t="s">
        <v>209</v>
      </c>
    </row>
    <row r="4118" spans="1:17" x14ac:dyDescent="0.3">
      <c r="A4118" t="s">
        <v>8948</v>
      </c>
      <c r="C4118" t="s">
        <v>8949</v>
      </c>
      <c r="D4118" t="s">
        <v>8949</v>
      </c>
      <c r="E4118" s="5">
        <v>46287</v>
      </c>
      <c r="F4118" t="s">
        <v>204</v>
      </c>
      <c r="G4118" t="s">
        <v>220</v>
      </c>
      <c r="H4118">
        <v>1598</v>
      </c>
      <c r="I4118">
        <v>0</v>
      </c>
      <c r="J4118">
        <v>0</v>
      </c>
      <c r="K4118">
        <v>1598</v>
      </c>
      <c r="L4118" s="5">
        <v>46289</v>
      </c>
      <c r="M4118" t="s">
        <v>8690</v>
      </c>
      <c r="N4118" t="s">
        <v>207</v>
      </c>
      <c r="O4118" t="s">
        <v>8949</v>
      </c>
      <c r="P4118" t="s">
        <v>208</v>
      </c>
      <c r="Q4118" t="s">
        <v>209</v>
      </c>
    </row>
    <row r="4119" spans="1:17" x14ac:dyDescent="0.3">
      <c r="A4119" t="s">
        <v>8950</v>
      </c>
      <c r="C4119" t="s">
        <v>8951</v>
      </c>
      <c r="D4119" t="s">
        <v>8951</v>
      </c>
      <c r="E4119" s="5">
        <v>46287</v>
      </c>
      <c r="F4119" t="s">
        <v>204</v>
      </c>
      <c r="G4119" t="s">
        <v>205</v>
      </c>
      <c r="H4119">
        <v>799</v>
      </c>
      <c r="I4119">
        <v>15.18</v>
      </c>
      <c r="J4119">
        <v>2.73</v>
      </c>
      <c r="K4119">
        <v>781.09</v>
      </c>
      <c r="L4119" s="5">
        <v>46289</v>
      </c>
      <c r="M4119" t="s">
        <v>8690</v>
      </c>
      <c r="N4119" t="s">
        <v>207</v>
      </c>
      <c r="O4119" t="s">
        <v>8951</v>
      </c>
      <c r="P4119" t="s">
        <v>208</v>
      </c>
      <c r="Q4119" t="s">
        <v>209</v>
      </c>
    </row>
    <row r="4120" spans="1:17" x14ac:dyDescent="0.3">
      <c r="A4120" t="s">
        <v>8952</v>
      </c>
      <c r="C4120" t="s">
        <v>8953</v>
      </c>
      <c r="D4120" t="s">
        <v>8953</v>
      </c>
      <c r="E4120" s="5">
        <v>46287</v>
      </c>
      <c r="F4120" t="s">
        <v>204</v>
      </c>
      <c r="G4120" t="s">
        <v>205</v>
      </c>
      <c r="H4120">
        <v>1499</v>
      </c>
      <c r="I4120">
        <v>28.48</v>
      </c>
      <c r="J4120">
        <v>5.13</v>
      </c>
      <c r="K4120">
        <v>1465.39</v>
      </c>
      <c r="L4120" s="5">
        <v>46289</v>
      </c>
      <c r="M4120" t="s">
        <v>8690</v>
      </c>
      <c r="N4120" t="s">
        <v>207</v>
      </c>
      <c r="O4120" t="s">
        <v>8953</v>
      </c>
      <c r="P4120" t="s">
        <v>208</v>
      </c>
      <c r="Q4120" t="s">
        <v>209</v>
      </c>
    </row>
    <row r="4121" spans="1:17" x14ac:dyDescent="0.3">
      <c r="A4121" t="s">
        <v>8954</v>
      </c>
      <c r="C4121" t="s">
        <v>8955</v>
      </c>
      <c r="D4121" t="s">
        <v>8955</v>
      </c>
      <c r="E4121" s="5">
        <v>46287</v>
      </c>
      <c r="F4121" t="s">
        <v>204</v>
      </c>
      <c r="G4121" t="s">
        <v>213</v>
      </c>
      <c r="H4121">
        <v>1799</v>
      </c>
      <c r="I4121">
        <v>32.380000000000003</v>
      </c>
      <c r="J4121">
        <v>5.83</v>
      </c>
      <c r="K4121">
        <v>1760.79</v>
      </c>
      <c r="L4121" s="5">
        <v>46289</v>
      </c>
      <c r="M4121" t="s">
        <v>8690</v>
      </c>
      <c r="N4121" t="s">
        <v>207</v>
      </c>
      <c r="O4121" t="s">
        <v>8955</v>
      </c>
      <c r="P4121" t="s">
        <v>208</v>
      </c>
      <c r="Q4121" t="s">
        <v>209</v>
      </c>
    </row>
    <row r="4122" spans="1:17" x14ac:dyDescent="0.3">
      <c r="A4122" t="s">
        <v>8956</v>
      </c>
      <c r="C4122" t="s">
        <v>8957</v>
      </c>
      <c r="D4122" t="s">
        <v>8957</v>
      </c>
      <c r="E4122" s="5">
        <v>46287</v>
      </c>
      <c r="F4122" t="s">
        <v>204</v>
      </c>
      <c r="G4122" t="s">
        <v>205</v>
      </c>
      <c r="H4122">
        <v>999</v>
      </c>
      <c r="I4122">
        <v>18.98</v>
      </c>
      <c r="J4122">
        <v>3.42</v>
      </c>
      <c r="K4122">
        <v>976.6</v>
      </c>
      <c r="L4122" s="5">
        <v>46289</v>
      </c>
      <c r="M4122" t="s">
        <v>8690</v>
      </c>
      <c r="N4122" t="s">
        <v>207</v>
      </c>
      <c r="O4122" t="s">
        <v>8957</v>
      </c>
      <c r="P4122" t="s">
        <v>208</v>
      </c>
      <c r="Q4122" t="s">
        <v>209</v>
      </c>
    </row>
    <row r="4123" spans="1:17" x14ac:dyDescent="0.3">
      <c r="A4123" t="s">
        <v>8958</v>
      </c>
      <c r="C4123" t="s">
        <v>8959</v>
      </c>
      <c r="D4123" t="s">
        <v>8959</v>
      </c>
      <c r="E4123" s="5">
        <v>46287</v>
      </c>
      <c r="F4123" t="s">
        <v>204</v>
      </c>
      <c r="G4123" t="s">
        <v>220</v>
      </c>
      <c r="H4123">
        <v>1298</v>
      </c>
      <c r="I4123">
        <v>0</v>
      </c>
      <c r="J4123">
        <v>0</v>
      </c>
      <c r="K4123">
        <v>1298</v>
      </c>
      <c r="L4123" s="5">
        <v>46289</v>
      </c>
      <c r="M4123" t="s">
        <v>8690</v>
      </c>
      <c r="N4123" t="s">
        <v>207</v>
      </c>
      <c r="O4123" t="s">
        <v>8959</v>
      </c>
      <c r="P4123" t="s">
        <v>208</v>
      </c>
      <c r="Q4123" t="s">
        <v>209</v>
      </c>
    </row>
    <row r="4124" spans="1:17" x14ac:dyDescent="0.3">
      <c r="A4124" t="s">
        <v>8960</v>
      </c>
      <c r="C4124" t="s">
        <v>8961</v>
      </c>
      <c r="D4124" t="s">
        <v>8961</v>
      </c>
      <c r="E4124" s="5">
        <v>46287</v>
      </c>
      <c r="F4124" t="s">
        <v>204</v>
      </c>
      <c r="G4124" t="s">
        <v>220</v>
      </c>
      <c r="H4124">
        <v>599</v>
      </c>
      <c r="I4124">
        <v>0</v>
      </c>
      <c r="J4124">
        <v>0</v>
      </c>
      <c r="K4124">
        <v>599</v>
      </c>
      <c r="L4124" s="5">
        <v>46289</v>
      </c>
      <c r="M4124" t="s">
        <v>8690</v>
      </c>
      <c r="N4124" t="s">
        <v>207</v>
      </c>
      <c r="O4124" t="s">
        <v>8961</v>
      </c>
      <c r="P4124" t="s">
        <v>208</v>
      </c>
      <c r="Q4124" t="s">
        <v>209</v>
      </c>
    </row>
    <row r="4125" spans="1:17" x14ac:dyDescent="0.3">
      <c r="A4125" t="s">
        <v>8962</v>
      </c>
      <c r="C4125" t="s">
        <v>8963</v>
      </c>
      <c r="D4125" t="s">
        <v>8964</v>
      </c>
      <c r="E4125" s="5">
        <v>46287</v>
      </c>
      <c r="F4125" t="s">
        <v>204</v>
      </c>
      <c r="G4125" t="s">
        <v>213</v>
      </c>
      <c r="H4125">
        <v>3847</v>
      </c>
      <c r="I4125">
        <v>61.55</v>
      </c>
      <c r="J4125">
        <v>11.08</v>
      </c>
      <c r="K4125">
        <v>3774.37</v>
      </c>
      <c r="L4125" s="5">
        <v>46289</v>
      </c>
      <c r="M4125" t="s">
        <v>8690</v>
      </c>
      <c r="N4125" t="s">
        <v>207</v>
      </c>
      <c r="O4125" t="s">
        <v>8964</v>
      </c>
      <c r="P4125" t="s">
        <v>208</v>
      </c>
      <c r="Q4125" t="s">
        <v>209</v>
      </c>
    </row>
    <row r="4126" spans="1:17" x14ac:dyDescent="0.3">
      <c r="A4126" t="s">
        <v>8965</v>
      </c>
      <c r="C4126" t="s">
        <v>8966</v>
      </c>
      <c r="D4126" t="s">
        <v>8966</v>
      </c>
      <c r="E4126" s="5">
        <v>46287</v>
      </c>
      <c r="F4126" t="s">
        <v>204</v>
      </c>
      <c r="G4126" t="s">
        <v>220</v>
      </c>
      <c r="H4126">
        <v>3597</v>
      </c>
      <c r="I4126">
        <v>10.79</v>
      </c>
      <c r="J4126">
        <v>1.94</v>
      </c>
      <c r="K4126">
        <v>3584.27</v>
      </c>
      <c r="L4126" s="5">
        <v>46289</v>
      </c>
      <c r="M4126" t="s">
        <v>8690</v>
      </c>
      <c r="N4126" t="s">
        <v>207</v>
      </c>
      <c r="O4126" t="s">
        <v>8966</v>
      </c>
      <c r="P4126" t="s">
        <v>208</v>
      </c>
      <c r="Q4126" t="s">
        <v>209</v>
      </c>
    </row>
    <row r="4127" spans="1:17" x14ac:dyDescent="0.3">
      <c r="A4127" t="s">
        <v>8967</v>
      </c>
      <c r="C4127" t="s">
        <v>8968</v>
      </c>
      <c r="D4127" t="s">
        <v>8968</v>
      </c>
      <c r="E4127" s="5">
        <v>46287</v>
      </c>
      <c r="F4127" t="s">
        <v>204</v>
      </c>
      <c r="G4127" t="s">
        <v>220</v>
      </c>
      <c r="H4127">
        <v>1799</v>
      </c>
      <c r="I4127">
        <v>0</v>
      </c>
      <c r="J4127">
        <v>0</v>
      </c>
      <c r="K4127">
        <v>1799</v>
      </c>
      <c r="L4127" s="5">
        <v>46289</v>
      </c>
      <c r="M4127" t="s">
        <v>8690</v>
      </c>
      <c r="N4127" t="s">
        <v>207</v>
      </c>
      <c r="O4127" t="s">
        <v>8968</v>
      </c>
      <c r="P4127" t="s">
        <v>208</v>
      </c>
      <c r="Q4127" t="s">
        <v>209</v>
      </c>
    </row>
    <row r="4128" spans="1:17" x14ac:dyDescent="0.3">
      <c r="A4128" t="s">
        <v>8969</v>
      </c>
      <c r="C4128" t="s">
        <v>8970</v>
      </c>
      <c r="D4128" t="s">
        <v>8970</v>
      </c>
      <c r="E4128" s="5">
        <v>46287</v>
      </c>
      <c r="F4128" t="s">
        <v>204</v>
      </c>
      <c r="G4128" t="s">
        <v>220</v>
      </c>
      <c r="H4128">
        <v>2499</v>
      </c>
      <c r="I4128">
        <v>7.5</v>
      </c>
      <c r="J4128">
        <v>1.35</v>
      </c>
      <c r="K4128">
        <v>2490.15</v>
      </c>
      <c r="L4128" s="5">
        <v>46289</v>
      </c>
      <c r="M4128" t="s">
        <v>8690</v>
      </c>
      <c r="N4128" t="s">
        <v>207</v>
      </c>
      <c r="O4128" t="s">
        <v>8970</v>
      </c>
      <c r="P4128" t="s">
        <v>208</v>
      </c>
      <c r="Q4128" t="s">
        <v>209</v>
      </c>
    </row>
    <row r="4129" spans="1:17" x14ac:dyDescent="0.3">
      <c r="A4129" t="s">
        <v>8971</v>
      </c>
      <c r="C4129" t="s">
        <v>8972</v>
      </c>
      <c r="D4129" t="s">
        <v>8973</v>
      </c>
      <c r="E4129" s="5">
        <v>46287</v>
      </c>
      <c r="F4129" t="s">
        <v>204</v>
      </c>
      <c r="G4129" t="s">
        <v>220</v>
      </c>
      <c r="H4129">
        <v>3498</v>
      </c>
      <c r="I4129">
        <v>10.49</v>
      </c>
      <c r="J4129">
        <v>1.89</v>
      </c>
      <c r="K4129">
        <v>3485.62</v>
      </c>
      <c r="L4129" s="5">
        <v>46289</v>
      </c>
      <c r="M4129" t="s">
        <v>8690</v>
      </c>
      <c r="N4129" t="s">
        <v>207</v>
      </c>
      <c r="O4129" t="s">
        <v>8973</v>
      </c>
      <c r="P4129" t="s">
        <v>208</v>
      </c>
      <c r="Q4129" t="s">
        <v>209</v>
      </c>
    </row>
    <row r="4130" spans="1:17" x14ac:dyDescent="0.3">
      <c r="A4130" t="s">
        <v>8974</v>
      </c>
      <c r="C4130" t="s">
        <v>8975</v>
      </c>
      <c r="D4130" t="s">
        <v>8976</v>
      </c>
      <c r="E4130" s="5">
        <v>46287</v>
      </c>
      <c r="F4130" t="s">
        <v>204</v>
      </c>
      <c r="G4130" t="s">
        <v>220</v>
      </c>
      <c r="H4130">
        <v>999</v>
      </c>
      <c r="I4130">
        <v>0</v>
      </c>
      <c r="J4130">
        <v>0</v>
      </c>
      <c r="K4130">
        <v>999</v>
      </c>
      <c r="L4130" s="5">
        <v>46289</v>
      </c>
      <c r="M4130" t="s">
        <v>8690</v>
      </c>
      <c r="N4130" t="s">
        <v>207</v>
      </c>
      <c r="O4130" t="s">
        <v>8976</v>
      </c>
      <c r="P4130" t="s">
        <v>208</v>
      </c>
      <c r="Q4130" t="s">
        <v>209</v>
      </c>
    </row>
    <row r="4131" spans="1:17" x14ac:dyDescent="0.3">
      <c r="A4131" t="s">
        <v>8977</v>
      </c>
      <c r="C4131" t="s">
        <v>8978</v>
      </c>
      <c r="D4131" t="s">
        <v>8979</v>
      </c>
      <c r="E4131" s="5">
        <v>46287</v>
      </c>
      <c r="F4131" t="s">
        <v>204</v>
      </c>
      <c r="G4131" t="s">
        <v>205</v>
      </c>
      <c r="H4131">
        <v>8598</v>
      </c>
      <c r="I4131">
        <v>146.16999999999999</v>
      </c>
      <c r="J4131">
        <v>26.31</v>
      </c>
      <c r="K4131">
        <v>8425.52</v>
      </c>
      <c r="L4131" s="5">
        <v>46289</v>
      </c>
      <c r="M4131" t="s">
        <v>8690</v>
      </c>
      <c r="N4131" t="s">
        <v>207</v>
      </c>
      <c r="O4131" t="s">
        <v>8979</v>
      </c>
      <c r="P4131" t="s">
        <v>208</v>
      </c>
      <c r="Q4131" t="s">
        <v>209</v>
      </c>
    </row>
    <row r="4132" spans="1:17" x14ac:dyDescent="0.3">
      <c r="A4132" t="s">
        <v>8980</v>
      </c>
      <c r="C4132" t="s">
        <v>8981</v>
      </c>
      <c r="D4132" t="s">
        <v>8981</v>
      </c>
      <c r="E4132" s="5">
        <v>46287</v>
      </c>
      <c r="F4132" t="s">
        <v>204</v>
      </c>
      <c r="G4132" t="s">
        <v>220</v>
      </c>
      <c r="H4132">
        <v>1799</v>
      </c>
      <c r="I4132">
        <v>0</v>
      </c>
      <c r="J4132">
        <v>0</v>
      </c>
      <c r="K4132">
        <v>1799</v>
      </c>
      <c r="L4132" s="5">
        <v>46289</v>
      </c>
      <c r="M4132" t="s">
        <v>8690</v>
      </c>
      <c r="N4132" t="s">
        <v>207</v>
      </c>
      <c r="O4132" t="s">
        <v>8981</v>
      </c>
      <c r="P4132" t="s">
        <v>208</v>
      </c>
      <c r="Q4132" t="s">
        <v>209</v>
      </c>
    </row>
    <row r="4133" spans="1:17" x14ac:dyDescent="0.3">
      <c r="A4133" t="s">
        <v>8982</v>
      </c>
      <c r="C4133" t="s">
        <v>8983</v>
      </c>
      <c r="D4133" t="s">
        <v>8983</v>
      </c>
      <c r="E4133" s="5">
        <v>46287</v>
      </c>
      <c r="F4133" t="s">
        <v>204</v>
      </c>
      <c r="G4133" t="s">
        <v>213</v>
      </c>
      <c r="H4133">
        <v>2798</v>
      </c>
      <c r="I4133">
        <v>44.77</v>
      </c>
      <c r="J4133">
        <v>8.06</v>
      </c>
      <c r="K4133">
        <v>2745.17</v>
      </c>
      <c r="L4133" s="5">
        <v>46289</v>
      </c>
      <c r="M4133" t="s">
        <v>8690</v>
      </c>
      <c r="N4133" t="s">
        <v>207</v>
      </c>
      <c r="O4133" t="s">
        <v>8983</v>
      </c>
      <c r="P4133" t="s">
        <v>208</v>
      </c>
      <c r="Q4133" t="s">
        <v>209</v>
      </c>
    </row>
    <row r="4134" spans="1:17" x14ac:dyDescent="0.3">
      <c r="A4134" t="s">
        <v>8984</v>
      </c>
      <c r="C4134" t="s">
        <v>8985</v>
      </c>
      <c r="D4134" t="s">
        <v>8985</v>
      </c>
      <c r="E4134" s="5">
        <v>46287</v>
      </c>
      <c r="F4134" t="s">
        <v>204</v>
      </c>
      <c r="G4134" t="s">
        <v>213</v>
      </c>
      <c r="H4134">
        <v>648</v>
      </c>
      <c r="I4134">
        <v>11.66</v>
      </c>
      <c r="J4134">
        <v>2.1</v>
      </c>
      <c r="K4134">
        <v>634.24</v>
      </c>
      <c r="L4134" s="5">
        <v>46289</v>
      </c>
      <c r="M4134" t="s">
        <v>8690</v>
      </c>
      <c r="N4134" t="s">
        <v>207</v>
      </c>
      <c r="O4134" t="s">
        <v>8985</v>
      </c>
      <c r="P4134" t="s">
        <v>208</v>
      </c>
      <c r="Q4134" t="s">
        <v>209</v>
      </c>
    </row>
    <row r="4135" spans="1:17" x14ac:dyDescent="0.3">
      <c r="A4135" t="s">
        <v>8986</v>
      </c>
      <c r="C4135" t="s">
        <v>8987</v>
      </c>
      <c r="D4135" t="s">
        <v>8987</v>
      </c>
      <c r="E4135" s="5">
        <v>46287</v>
      </c>
      <c r="F4135" t="s">
        <v>204</v>
      </c>
      <c r="G4135" t="s">
        <v>220</v>
      </c>
      <c r="H4135">
        <v>1997</v>
      </c>
      <c r="I4135">
        <v>0</v>
      </c>
      <c r="J4135">
        <v>0</v>
      </c>
      <c r="K4135">
        <v>1997</v>
      </c>
      <c r="L4135" s="5">
        <v>46289</v>
      </c>
      <c r="M4135" t="s">
        <v>8690</v>
      </c>
      <c r="N4135" t="s">
        <v>207</v>
      </c>
      <c r="O4135" t="s">
        <v>8987</v>
      </c>
      <c r="P4135" t="s">
        <v>208</v>
      </c>
      <c r="Q4135" t="s">
        <v>209</v>
      </c>
    </row>
    <row r="4136" spans="1:17" x14ac:dyDescent="0.3">
      <c r="A4136" t="s">
        <v>8988</v>
      </c>
      <c r="C4136" t="s">
        <v>8989</v>
      </c>
      <c r="D4136" t="s">
        <v>8989</v>
      </c>
      <c r="E4136" s="5">
        <v>46287</v>
      </c>
      <c r="F4136" t="s">
        <v>204</v>
      </c>
      <c r="G4136" t="s">
        <v>255</v>
      </c>
      <c r="H4136">
        <v>7999</v>
      </c>
      <c r="I4136">
        <v>95.99</v>
      </c>
      <c r="J4136">
        <v>17.28</v>
      </c>
      <c r="K4136">
        <v>7885.73</v>
      </c>
      <c r="L4136" s="5">
        <v>46289</v>
      </c>
      <c r="M4136" t="s">
        <v>8690</v>
      </c>
      <c r="N4136" t="s">
        <v>207</v>
      </c>
      <c r="O4136" t="s">
        <v>8989</v>
      </c>
      <c r="P4136" t="s">
        <v>208</v>
      </c>
      <c r="Q4136" t="s">
        <v>209</v>
      </c>
    </row>
    <row r="4137" spans="1:17" x14ac:dyDescent="0.3">
      <c r="A4137" t="s">
        <v>8990</v>
      </c>
      <c r="C4137" t="s">
        <v>8991</v>
      </c>
      <c r="D4137" t="s">
        <v>8991</v>
      </c>
      <c r="E4137" s="5">
        <v>46287</v>
      </c>
      <c r="F4137" t="s">
        <v>204</v>
      </c>
      <c r="G4137" t="s">
        <v>220</v>
      </c>
      <c r="H4137">
        <v>3499</v>
      </c>
      <c r="I4137">
        <v>10.5</v>
      </c>
      <c r="J4137">
        <v>1.89</v>
      </c>
      <c r="K4137">
        <v>3486.61</v>
      </c>
      <c r="L4137" s="5">
        <v>46289</v>
      </c>
      <c r="M4137" t="s">
        <v>8690</v>
      </c>
      <c r="N4137" t="s">
        <v>207</v>
      </c>
      <c r="O4137" t="s">
        <v>8991</v>
      </c>
      <c r="P4137" t="s">
        <v>208</v>
      </c>
      <c r="Q4137" t="s">
        <v>209</v>
      </c>
    </row>
    <row r="4138" spans="1:17" x14ac:dyDescent="0.3">
      <c r="A4138" t="s">
        <v>8992</v>
      </c>
      <c r="C4138" t="s">
        <v>8993</v>
      </c>
      <c r="D4138" t="s">
        <v>8993</v>
      </c>
      <c r="E4138" s="5">
        <v>46287</v>
      </c>
      <c r="F4138" t="s">
        <v>204</v>
      </c>
      <c r="G4138" t="s">
        <v>220</v>
      </c>
      <c r="H4138">
        <v>799</v>
      </c>
      <c r="I4138">
        <v>0</v>
      </c>
      <c r="J4138">
        <v>0</v>
      </c>
      <c r="K4138">
        <v>799</v>
      </c>
      <c r="L4138" s="5">
        <v>46289</v>
      </c>
      <c r="M4138" t="s">
        <v>8690</v>
      </c>
      <c r="N4138" t="s">
        <v>207</v>
      </c>
      <c r="O4138" t="s">
        <v>8993</v>
      </c>
      <c r="P4138" t="s">
        <v>208</v>
      </c>
      <c r="Q4138" t="s">
        <v>209</v>
      </c>
    </row>
    <row r="4139" spans="1:17" x14ac:dyDescent="0.3">
      <c r="A4139" t="s">
        <v>8994</v>
      </c>
      <c r="C4139" t="s">
        <v>8995</v>
      </c>
      <c r="D4139" t="s">
        <v>8996</v>
      </c>
      <c r="E4139" s="5">
        <v>46287</v>
      </c>
      <c r="F4139" t="s">
        <v>204</v>
      </c>
      <c r="G4139" t="s">
        <v>213</v>
      </c>
      <c r="H4139">
        <v>9998</v>
      </c>
      <c r="I4139">
        <v>159.97</v>
      </c>
      <c r="J4139">
        <v>28.79</v>
      </c>
      <c r="K4139">
        <v>9809.24</v>
      </c>
      <c r="L4139" s="5">
        <v>46289</v>
      </c>
      <c r="M4139" t="s">
        <v>8690</v>
      </c>
      <c r="N4139" t="s">
        <v>207</v>
      </c>
      <c r="O4139" t="s">
        <v>8996</v>
      </c>
      <c r="P4139" t="s">
        <v>208</v>
      </c>
      <c r="Q4139" t="s">
        <v>209</v>
      </c>
    </row>
    <row r="4140" spans="1:17" x14ac:dyDescent="0.3">
      <c r="A4140" t="s">
        <v>8997</v>
      </c>
      <c r="C4140" t="s">
        <v>8998</v>
      </c>
      <c r="D4140" t="s">
        <v>8998</v>
      </c>
      <c r="E4140" s="5">
        <v>46287</v>
      </c>
      <c r="F4140" t="s">
        <v>204</v>
      </c>
      <c r="G4140" t="s">
        <v>220</v>
      </c>
      <c r="H4140">
        <v>499</v>
      </c>
      <c r="I4140">
        <v>0</v>
      </c>
      <c r="J4140">
        <v>0</v>
      </c>
      <c r="K4140">
        <v>499</v>
      </c>
      <c r="L4140" s="5">
        <v>46289</v>
      </c>
      <c r="M4140" t="s">
        <v>8690</v>
      </c>
      <c r="N4140" t="s">
        <v>207</v>
      </c>
      <c r="O4140" t="s">
        <v>8998</v>
      </c>
      <c r="P4140" t="s">
        <v>208</v>
      </c>
      <c r="Q4140" t="s">
        <v>209</v>
      </c>
    </row>
    <row r="4141" spans="1:17" x14ac:dyDescent="0.3">
      <c r="A4141" t="s">
        <v>8999</v>
      </c>
      <c r="C4141" t="s">
        <v>9000</v>
      </c>
      <c r="D4141" t="s">
        <v>9000</v>
      </c>
      <c r="E4141" s="5">
        <v>46287</v>
      </c>
      <c r="F4141" t="s">
        <v>204</v>
      </c>
      <c r="G4141" t="s">
        <v>220</v>
      </c>
      <c r="H4141">
        <v>4498</v>
      </c>
      <c r="I4141">
        <v>13.49</v>
      </c>
      <c r="J4141">
        <v>2.4300000000000002</v>
      </c>
      <c r="K4141">
        <v>4482.08</v>
      </c>
      <c r="L4141" s="5">
        <v>46289</v>
      </c>
      <c r="M4141" t="s">
        <v>8690</v>
      </c>
      <c r="N4141" t="s">
        <v>207</v>
      </c>
      <c r="O4141" t="s">
        <v>9000</v>
      </c>
      <c r="P4141" t="s">
        <v>208</v>
      </c>
      <c r="Q4141" t="s">
        <v>209</v>
      </c>
    </row>
    <row r="4142" spans="1:17" x14ac:dyDescent="0.3">
      <c r="A4142" t="s">
        <v>9001</v>
      </c>
      <c r="C4142" t="s">
        <v>9002</v>
      </c>
      <c r="D4142" t="s">
        <v>9003</v>
      </c>
      <c r="E4142" s="5">
        <v>46287</v>
      </c>
      <c r="F4142" t="s">
        <v>204</v>
      </c>
      <c r="G4142" t="s">
        <v>220</v>
      </c>
      <c r="H4142">
        <v>1098</v>
      </c>
      <c r="I4142">
        <v>0</v>
      </c>
      <c r="J4142">
        <v>0</v>
      </c>
      <c r="K4142">
        <v>1098</v>
      </c>
      <c r="L4142" s="5">
        <v>46289</v>
      </c>
      <c r="M4142" t="s">
        <v>8690</v>
      </c>
      <c r="N4142" t="s">
        <v>207</v>
      </c>
      <c r="O4142" t="s">
        <v>9003</v>
      </c>
      <c r="P4142" t="s">
        <v>208</v>
      </c>
      <c r="Q4142" t="s">
        <v>209</v>
      </c>
    </row>
    <row r="4143" spans="1:17" x14ac:dyDescent="0.3">
      <c r="A4143" t="s">
        <v>9004</v>
      </c>
      <c r="C4143" t="s">
        <v>9005</v>
      </c>
      <c r="D4143" t="s">
        <v>9005</v>
      </c>
      <c r="E4143" s="5">
        <v>46287</v>
      </c>
      <c r="F4143" t="s">
        <v>204</v>
      </c>
      <c r="G4143" t="s">
        <v>220</v>
      </c>
      <c r="H4143">
        <v>1499</v>
      </c>
      <c r="I4143">
        <v>0</v>
      </c>
      <c r="J4143">
        <v>0</v>
      </c>
      <c r="K4143">
        <v>1499</v>
      </c>
      <c r="L4143" s="5">
        <v>46289</v>
      </c>
      <c r="M4143" t="s">
        <v>8690</v>
      </c>
      <c r="N4143" t="s">
        <v>207</v>
      </c>
      <c r="O4143" t="s">
        <v>9005</v>
      </c>
      <c r="P4143" t="s">
        <v>208</v>
      </c>
      <c r="Q4143" t="s">
        <v>209</v>
      </c>
    </row>
    <row r="4144" spans="1:17" x14ac:dyDescent="0.3">
      <c r="A4144" t="s">
        <v>9006</v>
      </c>
      <c r="C4144" t="s">
        <v>9007</v>
      </c>
      <c r="D4144" t="s">
        <v>9008</v>
      </c>
      <c r="E4144" s="5">
        <v>46287</v>
      </c>
      <c r="F4144" t="s">
        <v>204</v>
      </c>
      <c r="G4144" t="s">
        <v>205</v>
      </c>
      <c r="H4144">
        <v>2747</v>
      </c>
      <c r="I4144">
        <v>46.7</v>
      </c>
      <c r="J4144">
        <v>8.41</v>
      </c>
      <c r="K4144">
        <v>2691.89</v>
      </c>
      <c r="L4144" s="5">
        <v>46289</v>
      </c>
      <c r="M4144" t="s">
        <v>8690</v>
      </c>
      <c r="N4144" t="s">
        <v>207</v>
      </c>
      <c r="O4144" t="s">
        <v>9008</v>
      </c>
      <c r="P4144" t="s">
        <v>208</v>
      </c>
      <c r="Q4144" t="s">
        <v>209</v>
      </c>
    </row>
    <row r="4145" spans="1:17" x14ac:dyDescent="0.3">
      <c r="A4145" t="s">
        <v>9009</v>
      </c>
      <c r="C4145" t="s">
        <v>9010</v>
      </c>
      <c r="D4145" t="s">
        <v>9010</v>
      </c>
      <c r="E4145" s="5">
        <v>46287</v>
      </c>
      <c r="F4145" t="s">
        <v>204</v>
      </c>
      <c r="G4145" t="s">
        <v>220</v>
      </c>
      <c r="H4145">
        <v>1299</v>
      </c>
      <c r="I4145">
        <v>0</v>
      </c>
      <c r="J4145">
        <v>0</v>
      </c>
      <c r="K4145">
        <v>1299</v>
      </c>
      <c r="L4145" s="5">
        <v>46289</v>
      </c>
      <c r="M4145" t="s">
        <v>8690</v>
      </c>
      <c r="N4145" t="s">
        <v>207</v>
      </c>
      <c r="O4145" t="s">
        <v>9010</v>
      </c>
      <c r="P4145" t="s">
        <v>208</v>
      </c>
      <c r="Q4145" t="s">
        <v>209</v>
      </c>
    </row>
    <row r="4146" spans="1:17" x14ac:dyDescent="0.3">
      <c r="A4146" t="s">
        <v>9011</v>
      </c>
      <c r="C4146" t="s">
        <v>9012</v>
      </c>
      <c r="D4146" t="s">
        <v>9013</v>
      </c>
      <c r="E4146" s="5">
        <v>46287</v>
      </c>
      <c r="F4146" t="s">
        <v>204</v>
      </c>
      <c r="G4146" t="s">
        <v>220</v>
      </c>
      <c r="H4146">
        <v>1998</v>
      </c>
      <c r="I4146">
        <v>5.99</v>
      </c>
      <c r="J4146">
        <v>1.08</v>
      </c>
      <c r="K4146">
        <v>1990.93</v>
      </c>
      <c r="L4146" s="5">
        <v>46289</v>
      </c>
      <c r="M4146" t="s">
        <v>8690</v>
      </c>
      <c r="N4146" t="s">
        <v>207</v>
      </c>
      <c r="O4146" t="s">
        <v>9013</v>
      </c>
      <c r="P4146" t="s">
        <v>208</v>
      </c>
      <c r="Q4146" t="s">
        <v>209</v>
      </c>
    </row>
    <row r="4147" spans="1:17" x14ac:dyDescent="0.3">
      <c r="A4147" t="s">
        <v>9014</v>
      </c>
      <c r="C4147" t="s">
        <v>9015</v>
      </c>
      <c r="D4147" t="s">
        <v>9015</v>
      </c>
      <c r="E4147" s="5">
        <v>46287</v>
      </c>
      <c r="F4147" t="s">
        <v>204</v>
      </c>
      <c r="G4147" t="s">
        <v>220</v>
      </c>
      <c r="H4147">
        <v>599</v>
      </c>
      <c r="I4147">
        <v>0</v>
      </c>
      <c r="J4147">
        <v>0</v>
      </c>
      <c r="K4147">
        <v>599</v>
      </c>
      <c r="L4147" s="5">
        <v>46289</v>
      </c>
      <c r="M4147" t="s">
        <v>8690</v>
      </c>
      <c r="N4147" t="s">
        <v>207</v>
      </c>
      <c r="O4147" t="s">
        <v>9015</v>
      </c>
      <c r="P4147" t="s">
        <v>208</v>
      </c>
      <c r="Q4147" t="s">
        <v>209</v>
      </c>
    </row>
    <row r="4148" spans="1:17" x14ac:dyDescent="0.3">
      <c r="A4148" t="s">
        <v>9016</v>
      </c>
      <c r="C4148" t="s">
        <v>9017</v>
      </c>
      <c r="D4148" t="s">
        <v>9017</v>
      </c>
      <c r="E4148" s="5">
        <v>46287</v>
      </c>
      <c r="F4148" t="s">
        <v>204</v>
      </c>
      <c r="G4148" t="s">
        <v>220</v>
      </c>
      <c r="H4148">
        <v>4347</v>
      </c>
      <c r="I4148">
        <v>13.04</v>
      </c>
      <c r="J4148">
        <v>2.35</v>
      </c>
      <c r="K4148">
        <v>4331.6099999999997</v>
      </c>
      <c r="L4148" s="5">
        <v>46289</v>
      </c>
      <c r="M4148" t="s">
        <v>8690</v>
      </c>
      <c r="N4148" t="s">
        <v>207</v>
      </c>
      <c r="O4148" t="s">
        <v>9017</v>
      </c>
      <c r="P4148" t="s">
        <v>208</v>
      </c>
      <c r="Q4148" t="s">
        <v>209</v>
      </c>
    </row>
    <row r="4149" spans="1:17" x14ac:dyDescent="0.3">
      <c r="A4149" t="s">
        <v>9018</v>
      </c>
      <c r="C4149" t="s">
        <v>9019</v>
      </c>
      <c r="D4149" t="s">
        <v>9019</v>
      </c>
      <c r="E4149" s="5">
        <v>46287</v>
      </c>
      <c r="F4149" t="s">
        <v>204</v>
      </c>
      <c r="G4149" t="s">
        <v>205</v>
      </c>
      <c r="H4149">
        <v>2499</v>
      </c>
      <c r="I4149">
        <v>42.48</v>
      </c>
      <c r="J4149">
        <v>7.65</v>
      </c>
      <c r="K4149">
        <v>2448.87</v>
      </c>
      <c r="L4149" s="5">
        <v>46289</v>
      </c>
      <c r="M4149" t="s">
        <v>8690</v>
      </c>
      <c r="N4149" t="s">
        <v>207</v>
      </c>
      <c r="O4149" t="s">
        <v>9019</v>
      </c>
      <c r="P4149" t="s">
        <v>208</v>
      </c>
      <c r="Q4149" t="s">
        <v>209</v>
      </c>
    </row>
    <row r="4150" spans="1:17" x14ac:dyDescent="0.3">
      <c r="A4150" t="s">
        <v>9020</v>
      </c>
      <c r="C4150" t="s">
        <v>9021</v>
      </c>
      <c r="D4150" t="s">
        <v>9021</v>
      </c>
      <c r="E4150" s="5">
        <v>46287</v>
      </c>
      <c r="F4150" t="s">
        <v>204</v>
      </c>
      <c r="G4150" t="s">
        <v>213</v>
      </c>
      <c r="H4150">
        <v>299</v>
      </c>
      <c r="I4150">
        <v>5.38</v>
      </c>
      <c r="J4150">
        <v>0.97</v>
      </c>
      <c r="K4150">
        <v>292.64999999999998</v>
      </c>
      <c r="L4150" s="5">
        <v>46289</v>
      </c>
      <c r="M4150" t="s">
        <v>8690</v>
      </c>
      <c r="N4150" t="s">
        <v>207</v>
      </c>
      <c r="O4150" t="s">
        <v>9021</v>
      </c>
      <c r="P4150" t="s">
        <v>208</v>
      </c>
      <c r="Q4150" t="s">
        <v>209</v>
      </c>
    </row>
    <row r="4151" spans="1:17" x14ac:dyDescent="0.3">
      <c r="A4151" t="s">
        <v>9022</v>
      </c>
      <c r="C4151" t="s">
        <v>9023</v>
      </c>
      <c r="D4151" t="s">
        <v>9023</v>
      </c>
      <c r="E4151" s="5">
        <v>46287</v>
      </c>
      <c r="F4151" t="s">
        <v>204</v>
      </c>
      <c r="G4151" t="s">
        <v>205</v>
      </c>
      <c r="H4151">
        <v>2499</v>
      </c>
      <c r="I4151">
        <v>42.48</v>
      </c>
      <c r="J4151">
        <v>7.65</v>
      </c>
      <c r="K4151">
        <v>2448.87</v>
      </c>
      <c r="L4151" s="5">
        <v>46289</v>
      </c>
      <c r="M4151" t="s">
        <v>8690</v>
      </c>
      <c r="N4151" t="s">
        <v>207</v>
      </c>
      <c r="O4151" t="s">
        <v>9023</v>
      </c>
      <c r="P4151" t="s">
        <v>208</v>
      </c>
      <c r="Q4151" t="s">
        <v>209</v>
      </c>
    </row>
    <row r="4152" spans="1:17" x14ac:dyDescent="0.3">
      <c r="A4152" t="s">
        <v>9024</v>
      </c>
      <c r="C4152" t="s">
        <v>9025</v>
      </c>
      <c r="D4152" t="s">
        <v>9025</v>
      </c>
      <c r="E4152" s="5">
        <v>46287</v>
      </c>
      <c r="F4152" t="s">
        <v>204</v>
      </c>
      <c r="G4152" t="s">
        <v>255</v>
      </c>
      <c r="H4152">
        <v>2597</v>
      </c>
      <c r="I4152">
        <v>31.16</v>
      </c>
      <c r="J4152">
        <v>5.61</v>
      </c>
      <c r="K4152">
        <v>2560.23</v>
      </c>
      <c r="L4152" s="5">
        <v>46289</v>
      </c>
      <c r="M4152" t="s">
        <v>8690</v>
      </c>
      <c r="N4152" t="s">
        <v>207</v>
      </c>
      <c r="O4152" t="s">
        <v>9025</v>
      </c>
      <c r="P4152" t="s">
        <v>208</v>
      </c>
      <c r="Q4152" t="s">
        <v>209</v>
      </c>
    </row>
    <row r="4153" spans="1:17" x14ac:dyDescent="0.3">
      <c r="A4153" t="s">
        <v>9026</v>
      </c>
      <c r="C4153" t="s">
        <v>9027</v>
      </c>
      <c r="D4153" t="s">
        <v>9027</v>
      </c>
      <c r="E4153" s="5">
        <v>46287</v>
      </c>
      <c r="F4153" t="s">
        <v>204</v>
      </c>
      <c r="G4153" t="s">
        <v>255</v>
      </c>
      <c r="H4153">
        <v>5597</v>
      </c>
      <c r="I4153">
        <v>67.16</v>
      </c>
      <c r="J4153">
        <v>12.09</v>
      </c>
      <c r="K4153">
        <v>5517.75</v>
      </c>
      <c r="L4153" s="5">
        <v>46289</v>
      </c>
      <c r="M4153" t="s">
        <v>8690</v>
      </c>
      <c r="N4153" t="s">
        <v>207</v>
      </c>
      <c r="O4153" t="s">
        <v>9027</v>
      </c>
      <c r="P4153" t="s">
        <v>208</v>
      </c>
      <c r="Q4153" t="s">
        <v>209</v>
      </c>
    </row>
    <row r="4154" spans="1:17" x14ac:dyDescent="0.3">
      <c r="A4154" t="s">
        <v>9028</v>
      </c>
      <c r="C4154" t="s">
        <v>9029</v>
      </c>
      <c r="D4154" t="s">
        <v>9030</v>
      </c>
      <c r="E4154" s="5">
        <v>46287</v>
      </c>
      <c r="F4154" t="s">
        <v>204</v>
      </c>
      <c r="G4154" t="s">
        <v>205</v>
      </c>
      <c r="H4154">
        <v>3499</v>
      </c>
      <c r="I4154">
        <v>59.48</v>
      </c>
      <c r="J4154">
        <v>10.71</v>
      </c>
      <c r="K4154">
        <v>3428.81</v>
      </c>
      <c r="L4154" s="5">
        <v>46289</v>
      </c>
      <c r="M4154" t="s">
        <v>8690</v>
      </c>
      <c r="N4154" t="s">
        <v>207</v>
      </c>
      <c r="O4154" t="s">
        <v>9030</v>
      </c>
      <c r="P4154" t="s">
        <v>208</v>
      </c>
      <c r="Q4154" t="s">
        <v>209</v>
      </c>
    </row>
    <row r="4155" spans="1:17" x14ac:dyDescent="0.3">
      <c r="A4155" t="s">
        <v>9031</v>
      </c>
      <c r="C4155" t="s">
        <v>9032</v>
      </c>
      <c r="D4155" t="s">
        <v>9032</v>
      </c>
      <c r="E4155" s="5">
        <v>46287</v>
      </c>
      <c r="F4155" t="s">
        <v>204</v>
      </c>
      <c r="G4155" t="s">
        <v>220</v>
      </c>
      <c r="H4155">
        <v>599</v>
      </c>
      <c r="I4155">
        <v>0</v>
      </c>
      <c r="J4155">
        <v>0</v>
      </c>
      <c r="K4155">
        <v>599</v>
      </c>
      <c r="L4155" s="5">
        <v>46289</v>
      </c>
      <c r="M4155" t="s">
        <v>8690</v>
      </c>
      <c r="N4155" t="s">
        <v>207</v>
      </c>
      <c r="O4155" t="s">
        <v>9032</v>
      </c>
      <c r="P4155" t="s">
        <v>208</v>
      </c>
      <c r="Q4155" t="s">
        <v>209</v>
      </c>
    </row>
    <row r="4156" spans="1:17" x14ac:dyDescent="0.3">
      <c r="A4156" t="s">
        <v>9033</v>
      </c>
      <c r="C4156" t="s">
        <v>9034</v>
      </c>
      <c r="D4156" t="s">
        <v>9034</v>
      </c>
      <c r="E4156" s="5">
        <v>46287</v>
      </c>
      <c r="F4156" t="s">
        <v>204</v>
      </c>
      <c r="G4156" t="s">
        <v>213</v>
      </c>
      <c r="H4156">
        <v>799</v>
      </c>
      <c r="I4156">
        <v>14.38</v>
      </c>
      <c r="J4156">
        <v>2.59</v>
      </c>
      <c r="K4156">
        <v>782.03</v>
      </c>
      <c r="L4156" s="5">
        <v>46289</v>
      </c>
      <c r="M4156" t="s">
        <v>8690</v>
      </c>
      <c r="N4156" t="s">
        <v>207</v>
      </c>
      <c r="O4156" t="s">
        <v>9034</v>
      </c>
      <c r="P4156" t="s">
        <v>208</v>
      </c>
      <c r="Q4156" t="s">
        <v>209</v>
      </c>
    </row>
    <row r="4157" spans="1:17" x14ac:dyDescent="0.3">
      <c r="A4157" t="s">
        <v>9035</v>
      </c>
      <c r="C4157" t="s">
        <v>9036</v>
      </c>
      <c r="D4157" t="s">
        <v>9036</v>
      </c>
      <c r="E4157" s="5">
        <v>46287</v>
      </c>
      <c r="F4157" t="s">
        <v>204</v>
      </c>
      <c r="G4157" t="s">
        <v>255</v>
      </c>
      <c r="H4157">
        <v>3147</v>
      </c>
      <c r="I4157">
        <v>37.76</v>
      </c>
      <c r="J4157">
        <v>6.8</v>
      </c>
      <c r="K4157">
        <v>3102.44</v>
      </c>
      <c r="L4157" s="5">
        <v>46289</v>
      </c>
      <c r="M4157" t="s">
        <v>8690</v>
      </c>
      <c r="N4157" t="s">
        <v>207</v>
      </c>
      <c r="O4157" t="s">
        <v>9036</v>
      </c>
      <c r="P4157" t="s">
        <v>208</v>
      </c>
      <c r="Q4157" t="s">
        <v>209</v>
      </c>
    </row>
    <row r="4158" spans="1:17" x14ac:dyDescent="0.3">
      <c r="A4158" t="s">
        <v>9037</v>
      </c>
      <c r="B4158" t="s">
        <v>8211</v>
      </c>
      <c r="E4158" s="5">
        <v>46287</v>
      </c>
      <c r="F4158" t="s">
        <v>921</v>
      </c>
      <c r="G4158" t="s">
        <v>220</v>
      </c>
      <c r="H4158">
        <v>799</v>
      </c>
      <c r="I4158">
        <v>0</v>
      </c>
      <c r="J4158">
        <v>0</v>
      </c>
      <c r="K4158">
        <v>-799</v>
      </c>
      <c r="L4158" s="5">
        <v>46289</v>
      </c>
      <c r="M4158" t="s">
        <v>8690</v>
      </c>
      <c r="N4158" t="s">
        <v>207</v>
      </c>
      <c r="O4158" t="s">
        <v>8212</v>
      </c>
      <c r="P4158" t="s">
        <v>208</v>
      </c>
    </row>
    <row r="4159" spans="1:17" x14ac:dyDescent="0.3">
      <c r="A4159" t="s">
        <v>9038</v>
      </c>
      <c r="B4159" t="s">
        <v>7772</v>
      </c>
      <c r="E4159" s="5">
        <v>46287</v>
      </c>
      <c r="F4159" t="s">
        <v>921</v>
      </c>
      <c r="G4159" t="s">
        <v>255</v>
      </c>
      <c r="H4159">
        <v>499</v>
      </c>
      <c r="I4159">
        <v>0</v>
      </c>
      <c r="J4159">
        <v>0</v>
      </c>
      <c r="K4159">
        <v>-499</v>
      </c>
      <c r="L4159" s="5">
        <v>46289</v>
      </c>
      <c r="M4159" t="s">
        <v>8690</v>
      </c>
      <c r="N4159" t="s">
        <v>207</v>
      </c>
      <c r="O4159" t="s">
        <v>7773</v>
      </c>
      <c r="P4159" t="s">
        <v>208</v>
      </c>
    </row>
    <row r="4160" spans="1:17" x14ac:dyDescent="0.3">
      <c r="A4160" t="s">
        <v>9039</v>
      </c>
      <c r="B4160" t="s">
        <v>8474</v>
      </c>
      <c r="E4160" s="5">
        <v>46287</v>
      </c>
      <c r="F4160" t="s">
        <v>921</v>
      </c>
      <c r="G4160" t="s">
        <v>213</v>
      </c>
      <c r="H4160">
        <v>2298</v>
      </c>
      <c r="I4160">
        <v>0</v>
      </c>
      <c r="J4160">
        <v>0</v>
      </c>
      <c r="K4160">
        <v>-2298</v>
      </c>
      <c r="L4160" s="5">
        <v>46289</v>
      </c>
      <c r="M4160" t="s">
        <v>8690</v>
      </c>
      <c r="N4160" t="s">
        <v>207</v>
      </c>
      <c r="O4160" t="s">
        <v>8475</v>
      </c>
      <c r="P4160" t="s">
        <v>208</v>
      </c>
    </row>
    <row r="4161" spans="1:17" x14ac:dyDescent="0.3">
      <c r="A4161" t="s">
        <v>9040</v>
      </c>
      <c r="B4161" t="s">
        <v>8323</v>
      </c>
      <c r="E4161" s="5">
        <v>46287</v>
      </c>
      <c r="F4161" t="s">
        <v>921</v>
      </c>
      <c r="G4161" t="s">
        <v>220</v>
      </c>
      <c r="H4161">
        <v>11497</v>
      </c>
      <c r="I4161">
        <v>0</v>
      </c>
      <c r="J4161">
        <v>0</v>
      </c>
      <c r="K4161">
        <v>-11497</v>
      </c>
      <c r="L4161" s="5">
        <v>46289</v>
      </c>
      <c r="M4161" t="s">
        <v>8690</v>
      </c>
      <c r="N4161" t="s">
        <v>207</v>
      </c>
      <c r="O4161" t="s">
        <v>8324</v>
      </c>
      <c r="P4161" t="s">
        <v>208</v>
      </c>
    </row>
    <row r="4162" spans="1:17" x14ac:dyDescent="0.3">
      <c r="A4162" t="s">
        <v>9041</v>
      </c>
      <c r="B4162" t="s">
        <v>7346</v>
      </c>
      <c r="E4162" s="5">
        <v>46287</v>
      </c>
      <c r="F4162" t="s">
        <v>921</v>
      </c>
      <c r="G4162" t="s">
        <v>220</v>
      </c>
      <c r="H4162">
        <v>5998</v>
      </c>
      <c r="I4162">
        <v>0</v>
      </c>
      <c r="J4162">
        <v>0</v>
      </c>
      <c r="K4162">
        <v>-5998</v>
      </c>
      <c r="L4162" s="5">
        <v>46289</v>
      </c>
      <c r="M4162" t="s">
        <v>8690</v>
      </c>
      <c r="N4162" t="s">
        <v>207</v>
      </c>
      <c r="O4162" t="s">
        <v>7347</v>
      </c>
      <c r="P4162" t="s">
        <v>208</v>
      </c>
    </row>
    <row r="4163" spans="1:17" x14ac:dyDescent="0.3">
      <c r="A4163" t="s">
        <v>9042</v>
      </c>
      <c r="B4163" t="s">
        <v>7603</v>
      </c>
      <c r="E4163" s="5">
        <v>46287</v>
      </c>
      <c r="F4163" t="s">
        <v>921</v>
      </c>
      <c r="G4163" t="s">
        <v>220</v>
      </c>
      <c r="H4163">
        <v>2999</v>
      </c>
      <c r="I4163">
        <v>0</v>
      </c>
      <c r="J4163">
        <v>0</v>
      </c>
      <c r="K4163">
        <v>-2999</v>
      </c>
      <c r="L4163" s="5">
        <v>46289</v>
      </c>
      <c r="M4163" t="s">
        <v>8690</v>
      </c>
      <c r="N4163" t="s">
        <v>207</v>
      </c>
      <c r="O4163" t="s">
        <v>7604</v>
      </c>
      <c r="P4163" t="s">
        <v>208</v>
      </c>
    </row>
    <row r="4164" spans="1:17" x14ac:dyDescent="0.3">
      <c r="A4164" t="s">
        <v>9043</v>
      </c>
      <c r="B4164" t="s">
        <v>8362</v>
      </c>
      <c r="E4164" s="5">
        <v>46287</v>
      </c>
      <c r="F4164" t="s">
        <v>921</v>
      </c>
      <c r="G4164" t="s">
        <v>220</v>
      </c>
      <c r="H4164">
        <v>1499</v>
      </c>
      <c r="I4164">
        <v>0</v>
      </c>
      <c r="J4164">
        <v>0</v>
      </c>
      <c r="K4164">
        <v>-1499</v>
      </c>
      <c r="L4164" s="5">
        <v>46289</v>
      </c>
      <c r="M4164" t="s">
        <v>8690</v>
      </c>
      <c r="N4164" t="s">
        <v>207</v>
      </c>
      <c r="O4164" t="s">
        <v>8363</v>
      </c>
      <c r="P4164" t="s">
        <v>208</v>
      </c>
    </row>
    <row r="4165" spans="1:17" x14ac:dyDescent="0.3">
      <c r="A4165" t="s">
        <v>9044</v>
      </c>
      <c r="B4165" t="s">
        <v>6389</v>
      </c>
      <c r="E4165" s="5">
        <v>46287</v>
      </c>
      <c r="F4165" t="s">
        <v>921</v>
      </c>
      <c r="G4165" t="s">
        <v>213</v>
      </c>
      <c r="H4165">
        <v>1799</v>
      </c>
      <c r="I4165">
        <v>0</v>
      </c>
      <c r="J4165">
        <v>0</v>
      </c>
      <c r="K4165">
        <v>-1799</v>
      </c>
      <c r="L4165" s="5">
        <v>46289</v>
      </c>
      <c r="M4165" t="s">
        <v>8690</v>
      </c>
      <c r="N4165" t="s">
        <v>207</v>
      </c>
      <c r="O4165" t="s">
        <v>6390</v>
      </c>
      <c r="P4165" t="s">
        <v>208</v>
      </c>
    </row>
    <row r="4166" spans="1:17" x14ac:dyDescent="0.3">
      <c r="A4166" t="s">
        <v>9045</v>
      </c>
      <c r="B4166" t="s">
        <v>8502</v>
      </c>
      <c r="E4166" s="5">
        <v>46287</v>
      </c>
      <c r="F4166" t="s">
        <v>921</v>
      </c>
      <c r="G4166" t="s">
        <v>213</v>
      </c>
      <c r="H4166">
        <v>3499</v>
      </c>
      <c r="I4166">
        <v>0</v>
      </c>
      <c r="J4166">
        <v>0</v>
      </c>
      <c r="K4166">
        <v>-3499</v>
      </c>
      <c r="L4166" s="5">
        <v>46289</v>
      </c>
      <c r="M4166" t="s">
        <v>8690</v>
      </c>
      <c r="N4166" t="s">
        <v>207</v>
      </c>
      <c r="O4166" t="s">
        <v>8504</v>
      </c>
      <c r="P4166" t="s">
        <v>208</v>
      </c>
    </row>
    <row r="4167" spans="1:17" x14ac:dyDescent="0.3">
      <c r="A4167" t="s">
        <v>9046</v>
      </c>
      <c r="C4167" t="s">
        <v>9047</v>
      </c>
      <c r="D4167" t="s">
        <v>9047</v>
      </c>
      <c r="E4167" s="5">
        <v>46288</v>
      </c>
      <c r="F4167" t="s">
        <v>204</v>
      </c>
      <c r="G4167" t="s">
        <v>220</v>
      </c>
      <c r="H4167">
        <v>4647</v>
      </c>
      <c r="I4167">
        <v>13.94</v>
      </c>
      <c r="J4167">
        <v>2.5099999999999998</v>
      </c>
      <c r="K4167">
        <v>4630.55</v>
      </c>
      <c r="L4167" s="5">
        <v>46290</v>
      </c>
      <c r="M4167" t="s">
        <v>9048</v>
      </c>
      <c r="N4167" t="s">
        <v>207</v>
      </c>
      <c r="O4167" t="s">
        <v>9047</v>
      </c>
      <c r="P4167" t="s">
        <v>208</v>
      </c>
      <c r="Q4167" t="s">
        <v>209</v>
      </c>
    </row>
    <row r="4168" spans="1:17" x14ac:dyDescent="0.3">
      <c r="A4168" t="s">
        <v>9049</v>
      </c>
      <c r="C4168" t="s">
        <v>9050</v>
      </c>
      <c r="D4168" t="s">
        <v>9050</v>
      </c>
      <c r="E4168" s="5">
        <v>46288</v>
      </c>
      <c r="F4168" t="s">
        <v>204</v>
      </c>
      <c r="G4168" t="s">
        <v>220</v>
      </c>
      <c r="H4168">
        <v>5798</v>
      </c>
      <c r="I4168">
        <v>17.39</v>
      </c>
      <c r="J4168">
        <v>3.13</v>
      </c>
      <c r="K4168">
        <v>5777.48</v>
      </c>
      <c r="L4168" s="5">
        <v>46290</v>
      </c>
      <c r="M4168" t="s">
        <v>9048</v>
      </c>
      <c r="N4168" t="s">
        <v>207</v>
      </c>
      <c r="O4168" t="s">
        <v>9050</v>
      </c>
      <c r="P4168" t="s">
        <v>208</v>
      </c>
      <c r="Q4168" t="s">
        <v>209</v>
      </c>
    </row>
    <row r="4169" spans="1:17" x14ac:dyDescent="0.3">
      <c r="A4169" t="s">
        <v>9051</v>
      </c>
      <c r="C4169" t="s">
        <v>9052</v>
      </c>
      <c r="D4169" t="s">
        <v>9052</v>
      </c>
      <c r="E4169" s="5">
        <v>46288</v>
      </c>
      <c r="F4169" t="s">
        <v>204</v>
      </c>
      <c r="G4169" t="s">
        <v>213</v>
      </c>
      <c r="H4169">
        <v>1299</v>
      </c>
      <c r="I4169">
        <v>23.38</v>
      </c>
      <c r="J4169">
        <v>4.21</v>
      </c>
      <c r="K4169">
        <v>1271.4100000000001</v>
      </c>
      <c r="L4169" s="5">
        <v>46290</v>
      </c>
      <c r="M4169" t="s">
        <v>9048</v>
      </c>
      <c r="N4169" t="s">
        <v>207</v>
      </c>
      <c r="O4169" t="s">
        <v>9052</v>
      </c>
      <c r="P4169" t="s">
        <v>208</v>
      </c>
      <c r="Q4169" t="s">
        <v>209</v>
      </c>
    </row>
    <row r="4170" spans="1:17" x14ac:dyDescent="0.3">
      <c r="A4170" t="s">
        <v>9053</v>
      </c>
      <c r="C4170" t="s">
        <v>9054</v>
      </c>
      <c r="D4170" t="s">
        <v>9054</v>
      </c>
      <c r="E4170" s="5">
        <v>46288</v>
      </c>
      <c r="F4170" t="s">
        <v>204</v>
      </c>
      <c r="G4170" t="s">
        <v>205</v>
      </c>
      <c r="H4170">
        <v>2098</v>
      </c>
      <c r="I4170">
        <v>35.67</v>
      </c>
      <c r="J4170">
        <v>6.42</v>
      </c>
      <c r="K4170">
        <v>2055.91</v>
      </c>
      <c r="L4170" s="5">
        <v>46290</v>
      </c>
      <c r="M4170" t="s">
        <v>9048</v>
      </c>
      <c r="N4170" t="s">
        <v>207</v>
      </c>
      <c r="O4170" t="s">
        <v>9054</v>
      </c>
      <c r="P4170" t="s">
        <v>208</v>
      </c>
      <c r="Q4170" t="s">
        <v>209</v>
      </c>
    </row>
    <row r="4171" spans="1:17" x14ac:dyDescent="0.3">
      <c r="A4171" t="s">
        <v>9055</v>
      </c>
      <c r="C4171" t="s">
        <v>9056</v>
      </c>
      <c r="D4171" t="s">
        <v>9056</v>
      </c>
      <c r="E4171" s="5">
        <v>46288</v>
      </c>
      <c r="F4171" t="s">
        <v>204</v>
      </c>
      <c r="G4171" t="s">
        <v>220</v>
      </c>
      <c r="H4171">
        <v>349</v>
      </c>
      <c r="I4171">
        <v>0</v>
      </c>
      <c r="J4171">
        <v>0</v>
      </c>
      <c r="K4171">
        <v>349</v>
      </c>
      <c r="L4171" s="5">
        <v>46290</v>
      </c>
      <c r="M4171" t="s">
        <v>9048</v>
      </c>
      <c r="N4171" t="s">
        <v>207</v>
      </c>
      <c r="O4171" t="s">
        <v>9056</v>
      </c>
      <c r="P4171" t="s">
        <v>208</v>
      </c>
      <c r="Q4171" t="s">
        <v>209</v>
      </c>
    </row>
    <row r="4172" spans="1:17" x14ac:dyDescent="0.3">
      <c r="A4172" t="s">
        <v>9057</v>
      </c>
      <c r="C4172" t="s">
        <v>9058</v>
      </c>
      <c r="D4172" t="s">
        <v>9058</v>
      </c>
      <c r="E4172" s="5">
        <v>46288</v>
      </c>
      <c r="F4172" t="s">
        <v>204</v>
      </c>
      <c r="G4172" t="s">
        <v>255</v>
      </c>
      <c r="H4172">
        <v>349</v>
      </c>
      <c r="I4172">
        <v>5.24</v>
      </c>
      <c r="J4172">
        <v>0.94</v>
      </c>
      <c r="K4172">
        <v>342.82</v>
      </c>
      <c r="L4172" s="5">
        <v>46290</v>
      </c>
      <c r="M4172" t="s">
        <v>9048</v>
      </c>
      <c r="N4172" t="s">
        <v>207</v>
      </c>
      <c r="O4172" t="s">
        <v>9058</v>
      </c>
      <c r="P4172" t="s">
        <v>208</v>
      </c>
      <c r="Q4172" t="s">
        <v>209</v>
      </c>
    </row>
    <row r="4173" spans="1:17" x14ac:dyDescent="0.3">
      <c r="A4173" t="s">
        <v>9059</v>
      </c>
      <c r="C4173" t="s">
        <v>9060</v>
      </c>
      <c r="D4173" t="s">
        <v>9060</v>
      </c>
      <c r="E4173" s="5">
        <v>46288</v>
      </c>
      <c r="F4173" t="s">
        <v>204</v>
      </c>
      <c r="G4173" t="s">
        <v>255</v>
      </c>
      <c r="H4173">
        <v>7999</v>
      </c>
      <c r="I4173">
        <v>95.99</v>
      </c>
      <c r="J4173">
        <v>17.28</v>
      </c>
      <c r="K4173">
        <v>7885.73</v>
      </c>
      <c r="L4173" s="5">
        <v>46290</v>
      </c>
      <c r="M4173" t="s">
        <v>9048</v>
      </c>
      <c r="N4173" t="s">
        <v>207</v>
      </c>
      <c r="O4173" t="s">
        <v>9060</v>
      </c>
      <c r="P4173" t="s">
        <v>208</v>
      </c>
      <c r="Q4173" t="s">
        <v>209</v>
      </c>
    </row>
    <row r="4174" spans="1:17" x14ac:dyDescent="0.3">
      <c r="A4174" t="s">
        <v>9061</v>
      </c>
      <c r="C4174" t="s">
        <v>9062</v>
      </c>
      <c r="D4174" t="s">
        <v>9062</v>
      </c>
      <c r="E4174" s="5">
        <v>46288</v>
      </c>
      <c r="F4174" t="s">
        <v>204</v>
      </c>
      <c r="G4174" t="s">
        <v>220</v>
      </c>
      <c r="H4174">
        <v>1299</v>
      </c>
      <c r="I4174">
        <v>0</v>
      </c>
      <c r="J4174">
        <v>0</v>
      </c>
      <c r="K4174">
        <v>1299</v>
      </c>
      <c r="L4174" s="5">
        <v>46290</v>
      </c>
      <c r="M4174" t="s">
        <v>9048</v>
      </c>
      <c r="N4174" t="s">
        <v>207</v>
      </c>
      <c r="O4174" t="s">
        <v>9062</v>
      </c>
      <c r="P4174" t="s">
        <v>208</v>
      </c>
      <c r="Q4174" t="s">
        <v>209</v>
      </c>
    </row>
    <row r="4175" spans="1:17" x14ac:dyDescent="0.3">
      <c r="A4175" t="s">
        <v>9063</v>
      </c>
      <c r="C4175" t="s">
        <v>9064</v>
      </c>
      <c r="D4175" t="s">
        <v>9064</v>
      </c>
      <c r="E4175" s="5">
        <v>46288</v>
      </c>
      <c r="F4175" t="s">
        <v>204</v>
      </c>
      <c r="G4175" t="s">
        <v>213</v>
      </c>
      <c r="H4175">
        <v>299</v>
      </c>
      <c r="I4175">
        <v>5.38</v>
      </c>
      <c r="J4175">
        <v>0.97</v>
      </c>
      <c r="K4175">
        <v>292.64999999999998</v>
      </c>
      <c r="L4175" s="5">
        <v>46290</v>
      </c>
      <c r="M4175" t="s">
        <v>9048</v>
      </c>
      <c r="N4175" t="s">
        <v>207</v>
      </c>
      <c r="O4175" t="s">
        <v>9064</v>
      </c>
      <c r="P4175" t="s">
        <v>208</v>
      </c>
      <c r="Q4175" t="s">
        <v>209</v>
      </c>
    </row>
    <row r="4176" spans="1:17" x14ac:dyDescent="0.3">
      <c r="A4176" t="s">
        <v>9065</v>
      </c>
      <c r="C4176" t="s">
        <v>9066</v>
      </c>
      <c r="D4176" t="s">
        <v>9066</v>
      </c>
      <c r="E4176" s="5">
        <v>46288</v>
      </c>
      <c r="F4176" t="s">
        <v>204</v>
      </c>
      <c r="G4176" t="s">
        <v>205</v>
      </c>
      <c r="H4176">
        <v>599</v>
      </c>
      <c r="I4176">
        <v>11.38</v>
      </c>
      <c r="J4176">
        <v>2.0499999999999998</v>
      </c>
      <c r="K4176">
        <v>585.57000000000005</v>
      </c>
      <c r="L4176" s="5">
        <v>46290</v>
      </c>
      <c r="M4176" t="s">
        <v>9048</v>
      </c>
      <c r="N4176" t="s">
        <v>207</v>
      </c>
      <c r="O4176" t="s">
        <v>9066</v>
      </c>
      <c r="P4176" t="s">
        <v>208</v>
      </c>
      <c r="Q4176" t="s">
        <v>209</v>
      </c>
    </row>
    <row r="4177" spans="1:17" x14ac:dyDescent="0.3">
      <c r="A4177" t="s">
        <v>9067</v>
      </c>
      <c r="C4177" t="s">
        <v>9068</v>
      </c>
      <c r="D4177" t="s">
        <v>9068</v>
      </c>
      <c r="E4177" s="5">
        <v>46288</v>
      </c>
      <c r="F4177" t="s">
        <v>204</v>
      </c>
      <c r="G4177" t="s">
        <v>255</v>
      </c>
      <c r="H4177">
        <v>5998</v>
      </c>
      <c r="I4177">
        <v>71.98</v>
      </c>
      <c r="J4177">
        <v>12.96</v>
      </c>
      <c r="K4177">
        <v>5913.06</v>
      </c>
      <c r="L4177" s="5">
        <v>46290</v>
      </c>
      <c r="M4177" t="s">
        <v>9048</v>
      </c>
      <c r="N4177" t="s">
        <v>207</v>
      </c>
      <c r="O4177" t="s">
        <v>9068</v>
      </c>
      <c r="P4177" t="s">
        <v>208</v>
      </c>
      <c r="Q4177" t="s">
        <v>209</v>
      </c>
    </row>
    <row r="4178" spans="1:17" x14ac:dyDescent="0.3">
      <c r="A4178" t="s">
        <v>9069</v>
      </c>
      <c r="C4178" t="s">
        <v>9070</v>
      </c>
      <c r="D4178" t="s">
        <v>9070</v>
      </c>
      <c r="E4178" s="5">
        <v>46288</v>
      </c>
      <c r="F4178" t="s">
        <v>204</v>
      </c>
      <c r="G4178" t="s">
        <v>220</v>
      </c>
      <c r="H4178">
        <v>3499</v>
      </c>
      <c r="I4178">
        <v>10.5</v>
      </c>
      <c r="J4178">
        <v>1.89</v>
      </c>
      <c r="K4178">
        <v>3486.61</v>
      </c>
      <c r="L4178" s="5">
        <v>46290</v>
      </c>
      <c r="M4178" t="s">
        <v>9048</v>
      </c>
      <c r="N4178" t="s">
        <v>207</v>
      </c>
      <c r="O4178" t="s">
        <v>9070</v>
      </c>
      <c r="P4178" t="s">
        <v>208</v>
      </c>
      <c r="Q4178" t="s">
        <v>209</v>
      </c>
    </row>
    <row r="4179" spans="1:17" x14ac:dyDescent="0.3">
      <c r="A4179" t="s">
        <v>9071</v>
      </c>
      <c r="C4179" t="s">
        <v>9072</v>
      </c>
      <c r="D4179" t="s">
        <v>9072</v>
      </c>
      <c r="E4179" s="5">
        <v>46288</v>
      </c>
      <c r="F4179" t="s">
        <v>204</v>
      </c>
      <c r="G4179" t="s">
        <v>213</v>
      </c>
      <c r="H4179">
        <v>299</v>
      </c>
      <c r="I4179">
        <v>5.38</v>
      </c>
      <c r="J4179">
        <v>0.97</v>
      </c>
      <c r="K4179">
        <v>292.64999999999998</v>
      </c>
      <c r="L4179" s="5">
        <v>46290</v>
      </c>
      <c r="M4179" t="s">
        <v>9048</v>
      </c>
      <c r="N4179" t="s">
        <v>207</v>
      </c>
      <c r="O4179" t="s">
        <v>9072</v>
      </c>
      <c r="P4179" t="s">
        <v>208</v>
      </c>
      <c r="Q4179" t="s">
        <v>209</v>
      </c>
    </row>
    <row r="4180" spans="1:17" x14ac:dyDescent="0.3">
      <c r="A4180" t="s">
        <v>9073</v>
      </c>
      <c r="C4180" t="s">
        <v>9074</v>
      </c>
      <c r="D4180" t="s">
        <v>9074</v>
      </c>
      <c r="E4180" s="5">
        <v>46288</v>
      </c>
      <c r="F4180" t="s">
        <v>204</v>
      </c>
      <c r="G4180" t="s">
        <v>220</v>
      </c>
      <c r="H4180">
        <v>1798</v>
      </c>
      <c r="I4180">
        <v>0</v>
      </c>
      <c r="J4180">
        <v>0</v>
      </c>
      <c r="K4180">
        <v>1798</v>
      </c>
      <c r="L4180" s="5">
        <v>46290</v>
      </c>
      <c r="M4180" t="s">
        <v>9048</v>
      </c>
      <c r="N4180" t="s">
        <v>207</v>
      </c>
      <c r="O4180" t="s">
        <v>9074</v>
      </c>
      <c r="P4180" t="s">
        <v>208</v>
      </c>
      <c r="Q4180" t="s">
        <v>209</v>
      </c>
    </row>
    <row r="4181" spans="1:17" x14ac:dyDescent="0.3">
      <c r="A4181" t="s">
        <v>9075</v>
      </c>
      <c r="C4181" t="s">
        <v>9076</v>
      </c>
      <c r="D4181" t="s">
        <v>9076</v>
      </c>
      <c r="E4181" s="5">
        <v>46288</v>
      </c>
      <c r="F4181" t="s">
        <v>204</v>
      </c>
      <c r="G4181" t="s">
        <v>220</v>
      </c>
      <c r="H4181">
        <v>4098</v>
      </c>
      <c r="I4181">
        <v>12.29</v>
      </c>
      <c r="J4181">
        <v>2.21</v>
      </c>
      <c r="K4181">
        <v>4083.5</v>
      </c>
      <c r="L4181" s="5">
        <v>46290</v>
      </c>
      <c r="M4181" t="s">
        <v>9048</v>
      </c>
      <c r="N4181" t="s">
        <v>207</v>
      </c>
      <c r="O4181" t="s">
        <v>9076</v>
      </c>
      <c r="P4181" t="s">
        <v>208</v>
      </c>
      <c r="Q4181" t="s">
        <v>209</v>
      </c>
    </row>
    <row r="4182" spans="1:17" x14ac:dyDescent="0.3">
      <c r="A4182" t="s">
        <v>9077</v>
      </c>
      <c r="C4182" t="s">
        <v>9078</v>
      </c>
      <c r="D4182" t="s">
        <v>9079</v>
      </c>
      <c r="E4182" s="5">
        <v>46288</v>
      </c>
      <c r="F4182" t="s">
        <v>204</v>
      </c>
      <c r="G4182" t="s">
        <v>213</v>
      </c>
      <c r="H4182">
        <v>4298</v>
      </c>
      <c r="I4182">
        <v>68.77</v>
      </c>
      <c r="J4182">
        <v>12.38</v>
      </c>
      <c r="K4182">
        <v>4216.8500000000004</v>
      </c>
      <c r="L4182" s="5">
        <v>46290</v>
      </c>
      <c r="M4182" t="s">
        <v>9048</v>
      </c>
      <c r="N4182" t="s">
        <v>207</v>
      </c>
      <c r="O4182" t="s">
        <v>9079</v>
      </c>
      <c r="P4182" t="s">
        <v>208</v>
      </c>
      <c r="Q4182" t="s">
        <v>209</v>
      </c>
    </row>
    <row r="4183" spans="1:17" x14ac:dyDescent="0.3">
      <c r="A4183" t="s">
        <v>9080</v>
      </c>
      <c r="C4183" t="s">
        <v>9081</v>
      </c>
      <c r="D4183" t="s">
        <v>9081</v>
      </c>
      <c r="E4183" s="5">
        <v>46288</v>
      </c>
      <c r="F4183" t="s">
        <v>204</v>
      </c>
      <c r="G4183" t="s">
        <v>220</v>
      </c>
      <c r="H4183">
        <v>2098</v>
      </c>
      <c r="I4183">
        <v>6.29</v>
      </c>
      <c r="J4183">
        <v>1.1299999999999999</v>
      </c>
      <c r="K4183">
        <v>2090.58</v>
      </c>
      <c r="L4183" s="5">
        <v>46290</v>
      </c>
      <c r="M4183" t="s">
        <v>9048</v>
      </c>
      <c r="N4183" t="s">
        <v>207</v>
      </c>
      <c r="O4183" t="s">
        <v>9081</v>
      </c>
      <c r="P4183" t="s">
        <v>208</v>
      </c>
      <c r="Q4183" t="s">
        <v>209</v>
      </c>
    </row>
    <row r="4184" spans="1:17" x14ac:dyDescent="0.3">
      <c r="A4184" t="s">
        <v>9082</v>
      </c>
      <c r="C4184" t="s">
        <v>9083</v>
      </c>
      <c r="D4184" t="s">
        <v>9083</v>
      </c>
      <c r="E4184" s="5">
        <v>46288</v>
      </c>
      <c r="F4184" t="s">
        <v>204</v>
      </c>
      <c r="G4184" t="s">
        <v>220</v>
      </c>
      <c r="H4184">
        <v>1498</v>
      </c>
      <c r="I4184">
        <v>0</v>
      </c>
      <c r="J4184">
        <v>0</v>
      </c>
      <c r="K4184">
        <v>1498</v>
      </c>
      <c r="L4184" s="5">
        <v>46290</v>
      </c>
      <c r="M4184" t="s">
        <v>9048</v>
      </c>
      <c r="N4184" t="s">
        <v>207</v>
      </c>
      <c r="O4184" t="s">
        <v>9083</v>
      </c>
      <c r="P4184" t="s">
        <v>208</v>
      </c>
      <c r="Q4184" t="s">
        <v>209</v>
      </c>
    </row>
    <row r="4185" spans="1:17" x14ac:dyDescent="0.3">
      <c r="A4185" t="s">
        <v>9084</v>
      </c>
      <c r="C4185" t="s">
        <v>9085</v>
      </c>
      <c r="D4185" t="s">
        <v>9085</v>
      </c>
      <c r="E4185" s="5">
        <v>46288</v>
      </c>
      <c r="F4185" t="s">
        <v>204</v>
      </c>
      <c r="G4185" t="s">
        <v>220</v>
      </c>
      <c r="H4185">
        <v>299</v>
      </c>
      <c r="I4185">
        <v>0</v>
      </c>
      <c r="J4185">
        <v>0</v>
      </c>
      <c r="K4185">
        <v>299</v>
      </c>
      <c r="L4185" s="5">
        <v>46290</v>
      </c>
      <c r="M4185" t="s">
        <v>9048</v>
      </c>
      <c r="N4185" t="s">
        <v>207</v>
      </c>
      <c r="O4185" t="s">
        <v>9085</v>
      </c>
      <c r="P4185" t="s">
        <v>208</v>
      </c>
      <c r="Q4185" t="s">
        <v>209</v>
      </c>
    </row>
    <row r="4186" spans="1:17" x14ac:dyDescent="0.3">
      <c r="A4186" t="s">
        <v>9086</v>
      </c>
      <c r="C4186" t="s">
        <v>9087</v>
      </c>
      <c r="D4186" t="s">
        <v>9087</v>
      </c>
      <c r="E4186" s="5">
        <v>46288</v>
      </c>
      <c r="F4186" t="s">
        <v>204</v>
      </c>
      <c r="G4186" t="s">
        <v>220</v>
      </c>
      <c r="H4186">
        <v>4999</v>
      </c>
      <c r="I4186">
        <v>15</v>
      </c>
      <c r="J4186">
        <v>2.7</v>
      </c>
      <c r="K4186">
        <v>4981.3</v>
      </c>
      <c r="L4186" s="5">
        <v>46290</v>
      </c>
      <c r="M4186" t="s">
        <v>9048</v>
      </c>
      <c r="N4186" t="s">
        <v>207</v>
      </c>
      <c r="O4186" t="s">
        <v>9087</v>
      </c>
      <c r="P4186" t="s">
        <v>208</v>
      </c>
      <c r="Q4186" t="s">
        <v>209</v>
      </c>
    </row>
    <row r="4187" spans="1:17" x14ac:dyDescent="0.3">
      <c r="A4187" t="s">
        <v>9088</v>
      </c>
      <c r="C4187" t="s">
        <v>9089</v>
      </c>
      <c r="D4187" t="s">
        <v>9089</v>
      </c>
      <c r="E4187" s="5">
        <v>46288</v>
      </c>
      <c r="F4187" t="s">
        <v>204</v>
      </c>
      <c r="G4187" t="s">
        <v>220</v>
      </c>
      <c r="H4187">
        <v>4147</v>
      </c>
      <c r="I4187">
        <v>12.44</v>
      </c>
      <c r="J4187">
        <v>2.2400000000000002</v>
      </c>
      <c r="K4187">
        <v>4132.32</v>
      </c>
      <c r="L4187" s="5">
        <v>46290</v>
      </c>
      <c r="M4187" t="s">
        <v>9048</v>
      </c>
      <c r="N4187" t="s">
        <v>207</v>
      </c>
      <c r="O4187" t="s">
        <v>9089</v>
      </c>
      <c r="P4187" t="s">
        <v>208</v>
      </c>
      <c r="Q4187" t="s">
        <v>209</v>
      </c>
    </row>
    <row r="4188" spans="1:17" x14ac:dyDescent="0.3">
      <c r="A4188" t="s">
        <v>9090</v>
      </c>
      <c r="C4188" t="s">
        <v>9091</v>
      </c>
      <c r="D4188" t="s">
        <v>9091</v>
      </c>
      <c r="E4188" s="5">
        <v>46288</v>
      </c>
      <c r="F4188" t="s">
        <v>204</v>
      </c>
      <c r="G4188" t="s">
        <v>220</v>
      </c>
      <c r="H4188">
        <v>2999</v>
      </c>
      <c r="I4188">
        <v>9</v>
      </c>
      <c r="J4188">
        <v>1.62</v>
      </c>
      <c r="K4188">
        <v>2988.38</v>
      </c>
      <c r="L4188" s="5">
        <v>46290</v>
      </c>
      <c r="M4188" t="s">
        <v>9048</v>
      </c>
      <c r="N4188" t="s">
        <v>207</v>
      </c>
      <c r="O4188" t="s">
        <v>9091</v>
      </c>
      <c r="P4188" t="s">
        <v>208</v>
      </c>
      <c r="Q4188" t="s">
        <v>209</v>
      </c>
    </row>
    <row r="4189" spans="1:17" x14ac:dyDescent="0.3">
      <c r="A4189" t="s">
        <v>9092</v>
      </c>
      <c r="C4189" t="s">
        <v>9093</v>
      </c>
      <c r="D4189" t="s">
        <v>9094</v>
      </c>
      <c r="E4189" s="5">
        <v>46288</v>
      </c>
      <c r="F4189" t="s">
        <v>204</v>
      </c>
      <c r="G4189" t="s">
        <v>220</v>
      </c>
      <c r="H4189">
        <v>848</v>
      </c>
      <c r="I4189">
        <v>0</v>
      </c>
      <c r="J4189">
        <v>0</v>
      </c>
      <c r="K4189">
        <v>848</v>
      </c>
      <c r="L4189" s="5">
        <v>46290</v>
      </c>
      <c r="M4189" t="s">
        <v>9048</v>
      </c>
      <c r="N4189" t="s">
        <v>207</v>
      </c>
      <c r="O4189" t="s">
        <v>9094</v>
      </c>
      <c r="P4189" t="s">
        <v>208</v>
      </c>
      <c r="Q4189" t="s">
        <v>209</v>
      </c>
    </row>
    <row r="4190" spans="1:17" x14ac:dyDescent="0.3">
      <c r="A4190" t="s">
        <v>9095</v>
      </c>
      <c r="C4190" t="s">
        <v>9096</v>
      </c>
      <c r="D4190" t="s">
        <v>9096</v>
      </c>
      <c r="E4190" s="5">
        <v>46288</v>
      </c>
      <c r="F4190" t="s">
        <v>204</v>
      </c>
      <c r="G4190" t="s">
        <v>220</v>
      </c>
      <c r="H4190">
        <v>4097</v>
      </c>
      <c r="I4190">
        <v>12.29</v>
      </c>
      <c r="J4190">
        <v>2.21</v>
      </c>
      <c r="K4190">
        <v>4082.5</v>
      </c>
      <c r="L4190" s="5">
        <v>46290</v>
      </c>
      <c r="M4190" t="s">
        <v>9048</v>
      </c>
      <c r="N4190" t="s">
        <v>207</v>
      </c>
      <c r="O4190" t="s">
        <v>9096</v>
      </c>
      <c r="P4190" t="s">
        <v>208</v>
      </c>
      <c r="Q4190" t="s">
        <v>209</v>
      </c>
    </row>
    <row r="4191" spans="1:17" x14ac:dyDescent="0.3">
      <c r="A4191" t="s">
        <v>9097</v>
      </c>
      <c r="C4191" t="s">
        <v>9098</v>
      </c>
      <c r="D4191" t="s">
        <v>9098</v>
      </c>
      <c r="E4191" s="5">
        <v>46288</v>
      </c>
      <c r="F4191" t="s">
        <v>204</v>
      </c>
      <c r="G4191" t="s">
        <v>213</v>
      </c>
      <c r="H4191">
        <v>599</v>
      </c>
      <c r="I4191">
        <v>10.78</v>
      </c>
      <c r="J4191">
        <v>1.94</v>
      </c>
      <c r="K4191">
        <v>586.28</v>
      </c>
      <c r="L4191" s="5">
        <v>46290</v>
      </c>
      <c r="M4191" t="s">
        <v>9048</v>
      </c>
      <c r="N4191" t="s">
        <v>207</v>
      </c>
      <c r="O4191" t="s">
        <v>9098</v>
      </c>
      <c r="P4191" t="s">
        <v>208</v>
      </c>
      <c r="Q4191" t="s">
        <v>209</v>
      </c>
    </row>
    <row r="4192" spans="1:17" x14ac:dyDescent="0.3">
      <c r="A4192" t="s">
        <v>9099</v>
      </c>
      <c r="C4192" t="s">
        <v>9100</v>
      </c>
      <c r="D4192" t="s">
        <v>9100</v>
      </c>
      <c r="E4192" s="5">
        <v>46288</v>
      </c>
      <c r="F4192" t="s">
        <v>204</v>
      </c>
      <c r="G4192" t="s">
        <v>220</v>
      </c>
      <c r="H4192">
        <v>1799</v>
      </c>
      <c r="I4192">
        <v>0</v>
      </c>
      <c r="J4192">
        <v>0</v>
      </c>
      <c r="K4192">
        <v>1799</v>
      </c>
      <c r="L4192" s="5">
        <v>46290</v>
      </c>
      <c r="M4192" t="s">
        <v>9048</v>
      </c>
      <c r="N4192" t="s">
        <v>207</v>
      </c>
      <c r="O4192" t="s">
        <v>9100</v>
      </c>
      <c r="P4192" t="s">
        <v>208</v>
      </c>
      <c r="Q4192" t="s">
        <v>209</v>
      </c>
    </row>
    <row r="4193" spans="1:17" x14ac:dyDescent="0.3">
      <c r="A4193" t="s">
        <v>9101</v>
      </c>
      <c r="C4193" t="s">
        <v>9102</v>
      </c>
      <c r="D4193" t="s">
        <v>9102</v>
      </c>
      <c r="E4193" s="5">
        <v>46288</v>
      </c>
      <c r="F4193" t="s">
        <v>204</v>
      </c>
      <c r="G4193" t="s">
        <v>220</v>
      </c>
      <c r="H4193">
        <v>799</v>
      </c>
      <c r="I4193">
        <v>0</v>
      </c>
      <c r="J4193">
        <v>0</v>
      </c>
      <c r="K4193">
        <v>799</v>
      </c>
      <c r="L4193" s="5">
        <v>46290</v>
      </c>
      <c r="M4193" t="s">
        <v>9048</v>
      </c>
      <c r="N4193" t="s">
        <v>207</v>
      </c>
      <c r="O4193" t="s">
        <v>9102</v>
      </c>
      <c r="P4193" t="s">
        <v>208</v>
      </c>
      <c r="Q4193" t="s">
        <v>209</v>
      </c>
    </row>
    <row r="4194" spans="1:17" x14ac:dyDescent="0.3">
      <c r="A4194" t="s">
        <v>9103</v>
      </c>
      <c r="C4194" t="s">
        <v>9104</v>
      </c>
      <c r="D4194" t="s">
        <v>9104</v>
      </c>
      <c r="E4194" s="5">
        <v>46288</v>
      </c>
      <c r="F4194" t="s">
        <v>204</v>
      </c>
      <c r="G4194" t="s">
        <v>220</v>
      </c>
      <c r="H4194">
        <v>499</v>
      </c>
      <c r="I4194">
        <v>0</v>
      </c>
      <c r="J4194">
        <v>0</v>
      </c>
      <c r="K4194">
        <v>499</v>
      </c>
      <c r="L4194" s="5">
        <v>46290</v>
      </c>
      <c r="M4194" t="s">
        <v>9048</v>
      </c>
      <c r="N4194" t="s">
        <v>207</v>
      </c>
      <c r="O4194" t="s">
        <v>9104</v>
      </c>
      <c r="P4194" t="s">
        <v>208</v>
      </c>
      <c r="Q4194" t="s">
        <v>209</v>
      </c>
    </row>
    <row r="4195" spans="1:17" x14ac:dyDescent="0.3">
      <c r="A4195" t="s">
        <v>9105</v>
      </c>
      <c r="C4195" t="s">
        <v>9106</v>
      </c>
      <c r="D4195" t="s">
        <v>9106</v>
      </c>
      <c r="E4195" s="5">
        <v>46288</v>
      </c>
      <c r="F4195" t="s">
        <v>204</v>
      </c>
      <c r="G4195" t="s">
        <v>220</v>
      </c>
      <c r="H4195">
        <v>9297</v>
      </c>
      <c r="I4195">
        <v>27.89</v>
      </c>
      <c r="J4195">
        <v>5.0199999999999996</v>
      </c>
      <c r="K4195">
        <v>9264.09</v>
      </c>
      <c r="L4195" s="5">
        <v>46290</v>
      </c>
      <c r="M4195" t="s">
        <v>9048</v>
      </c>
      <c r="N4195" t="s">
        <v>207</v>
      </c>
      <c r="O4195" t="s">
        <v>9106</v>
      </c>
      <c r="P4195" t="s">
        <v>208</v>
      </c>
      <c r="Q4195" t="s">
        <v>209</v>
      </c>
    </row>
    <row r="4196" spans="1:17" x14ac:dyDescent="0.3">
      <c r="A4196" t="s">
        <v>9107</v>
      </c>
      <c r="C4196" t="s">
        <v>9108</v>
      </c>
      <c r="D4196" t="s">
        <v>9108</v>
      </c>
      <c r="E4196" s="5">
        <v>46288</v>
      </c>
      <c r="F4196" t="s">
        <v>204</v>
      </c>
      <c r="G4196" t="s">
        <v>213</v>
      </c>
      <c r="H4196">
        <v>6498</v>
      </c>
      <c r="I4196">
        <v>103.97</v>
      </c>
      <c r="J4196">
        <v>18.71</v>
      </c>
      <c r="K4196">
        <v>6375.32</v>
      </c>
      <c r="L4196" s="5">
        <v>46290</v>
      </c>
      <c r="M4196" t="s">
        <v>9048</v>
      </c>
      <c r="N4196" t="s">
        <v>207</v>
      </c>
      <c r="O4196" t="s">
        <v>9108</v>
      </c>
      <c r="P4196" t="s">
        <v>208</v>
      </c>
      <c r="Q4196" t="s">
        <v>209</v>
      </c>
    </row>
    <row r="4197" spans="1:17" x14ac:dyDescent="0.3">
      <c r="A4197" t="s">
        <v>9109</v>
      </c>
      <c r="C4197" t="s">
        <v>9110</v>
      </c>
      <c r="D4197" t="s">
        <v>9110</v>
      </c>
      <c r="E4197" s="5">
        <v>46288</v>
      </c>
      <c r="F4197" t="s">
        <v>204</v>
      </c>
      <c r="G4197" t="s">
        <v>220</v>
      </c>
      <c r="H4197">
        <v>1799</v>
      </c>
      <c r="I4197">
        <v>0</v>
      </c>
      <c r="J4197">
        <v>0</v>
      </c>
      <c r="K4197">
        <v>1799</v>
      </c>
      <c r="L4197" s="5">
        <v>46290</v>
      </c>
      <c r="M4197" t="s">
        <v>9048</v>
      </c>
      <c r="N4197" t="s">
        <v>207</v>
      </c>
      <c r="O4197" t="s">
        <v>9110</v>
      </c>
      <c r="P4197" t="s">
        <v>208</v>
      </c>
      <c r="Q4197" t="s">
        <v>209</v>
      </c>
    </row>
    <row r="4198" spans="1:17" x14ac:dyDescent="0.3">
      <c r="A4198" t="s">
        <v>9111</v>
      </c>
      <c r="C4198" t="s">
        <v>9112</v>
      </c>
      <c r="D4198" t="s">
        <v>9112</v>
      </c>
      <c r="E4198" s="5">
        <v>46288</v>
      </c>
      <c r="F4198" t="s">
        <v>204</v>
      </c>
      <c r="G4198" t="s">
        <v>255</v>
      </c>
      <c r="H4198">
        <v>499</v>
      </c>
      <c r="I4198">
        <v>7.49</v>
      </c>
      <c r="J4198">
        <v>1.35</v>
      </c>
      <c r="K4198">
        <v>490.16</v>
      </c>
      <c r="L4198" s="5">
        <v>46290</v>
      </c>
      <c r="M4198" t="s">
        <v>9048</v>
      </c>
      <c r="N4198" t="s">
        <v>207</v>
      </c>
      <c r="O4198" t="s">
        <v>9112</v>
      </c>
      <c r="P4198" t="s">
        <v>208</v>
      </c>
      <c r="Q4198" t="s">
        <v>209</v>
      </c>
    </row>
    <row r="4199" spans="1:17" x14ac:dyDescent="0.3">
      <c r="A4199" t="s">
        <v>9113</v>
      </c>
      <c r="C4199" t="s">
        <v>9114</v>
      </c>
      <c r="D4199" t="s">
        <v>9114</v>
      </c>
      <c r="E4199" s="5">
        <v>46288</v>
      </c>
      <c r="F4199" t="s">
        <v>204</v>
      </c>
      <c r="G4199" t="s">
        <v>220</v>
      </c>
      <c r="H4199">
        <v>4999</v>
      </c>
      <c r="I4199">
        <v>15</v>
      </c>
      <c r="J4199">
        <v>2.7</v>
      </c>
      <c r="K4199">
        <v>4981.3</v>
      </c>
      <c r="L4199" s="5">
        <v>46290</v>
      </c>
      <c r="M4199" t="s">
        <v>9048</v>
      </c>
      <c r="N4199" t="s">
        <v>207</v>
      </c>
      <c r="O4199" t="s">
        <v>9114</v>
      </c>
      <c r="P4199" t="s">
        <v>208</v>
      </c>
      <c r="Q4199" t="s">
        <v>209</v>
      </c>
    </row>
    <row r="4200" spans="1:17" x14ac:dyDescent="0.3">
      <c r="A4200" t="s">
        <v>9115</v>
      </c>
      <c r="C4200" t="s">
        <v>9116</v>
      </c>
      <c r="D4200" t="s">
        <v>9116</v>
      </c>
      <c r="E4200" s="5">
        <v>46288</v>
      </c>
      <c r="F4200" t="s">
        <v>204</v>
      </c>
      <c r="G4200" t="s">
        <v>213</v>
      </c>
      <c r="H4200">
        <v>8248</v>
      </c>
      <c r="I4200">
        <v>131.97</v>
      </c>
      <c r="J4200">
        <v>23.75</v>
      </c>
      <c r="K4200">
        <v>8092.28</v>
      </c>
      <c r="L4200" s="5">
        <v>46290</v>
      </c>
      <c r="M4200" t="s">
        <v>9048</v>
      </c>
      <c r="N4200" t="s">
        <v>207</v>
      </c>
      <c r="O4200" t="s">
        <v>9116</v>
      </c>
      <c r="P4200" t="s">
        <v>208</v>
      </c>
      <c r="Q4200" t="s">
        <v>209</v>
      </c>
    </row>
    <row r="4201" spans="1:17" x14ac:dyDescent="0.3">
      <c r="A4201" t="s">
        <v>9117</v>
      </c>
      <c r="C4201" t="s">
        <v>9118</v>
      </c>
      <c r="D4201" t="s">
        <v>9118</v>
      </c>
      <c r="E4201" s="5">
        <v>46288</v>
      </c>
      <c r="F4201" t="s">
        <v>204</v>
      </c>
      <c r="G4201" t="s">
        <v>220</v>
      </c>
      <c r="H4201">
        <v>299</v>
      </c>
      <c r="I4201">
        <v>0</v>
      </c>
      <c r="J4201">
        <v>0</v>
      </c>
      <c r="K4201">
        <v>299</v>
      </c>
      <c r="L4201" s="5">
        <v>46290</v>
      </c>
      <c r="M4201" t="s">
        <v>9048</v>
      </c>
      <c r="N4201" t="s">
        <v>207</v>
      </c>
      <c r="O4201" t="s">
        <v>9118</v>
      </c>
      <c r="P4201" t="s">
        <v>208</v>
      </c>
      <c r="Q4201" t="s">
        <v>209</v>
      </c>
    </row>
    <row r="4202" spans="1:17" x14ac:dyDescent="0.3">
      <c r="A4202" t="s">
        <v>9119</v>
      </c>
      <c r="C4202" t="s">
        <v>9120</v>
      </c>
      <c r="D4202" t="s">
        <v>9120</v>
      </c>
      <c r="E4202" s="5">
        <v>46288</v>
      </c>
      <c r="F4202" t="s">
        <v>204</v>
      </c>
      <c r="G4202" t="s">
        <v>220</v>
      </c>
      <c r="H4202">
        <v>5998</v>
      </c>
      <c r="I4202">
        <v>17.989999999999998</v>
      </c>
      <c r="J4202">
        <v>3.24</v>
      </c>
      <c r="K4202">
        <v>5976.77</v>
      </c>
      <c r="L4202" s="5">
        <v>46290</v>
      </c>
      <c r="M4202" t="s">
        <v>9048</v>
      </c>
      <c r="N4202" t="s">
        <v>207</v>
      </c>
      <c r="O4202" t="s">
        <v>9120</v>
      </c>
      <c r="P4202" t="s">
        <v>208</v>
      </c>
      <c r="Q4202" t="s">
        <v>209</v>
      </c>
    </row>
    <row r="4203" spans="1:17" x14ac:dyDescent="0.3">
      <c r="A4203" t="s">
        <v>9121</v>
      </c>
      <c r="C4203" t="s">
        <v>9122</v>
      </c>
      <c r="D4203" t="s">
        <v>9122</v>
      </c>
      <c r="E4203" s="5">
        <v>46288</v>
      </c>
      <c r="F4203" t="s">
        <v>204</v>
      </c>
      <c r="G4203" t="s">
        <v>220</v>
      </c>
      <c r="H4203">
        <v>798</v>
      </c>
      <c r="I4203">
        <v>0</v>
      </c>
      <c r="J4203">
        <v>0</v>
      </c>
      <c r="K4203">
        <v>798</v>
      </c>
      <c r="L4203" s="5">
        <v>46290</v>
      </c>
      <c r="M4203" t="s">
        <v>9048</v>
      </c>
      <c r="N4203" t="s">
        <v>207</v>
      </c>
      <c r="O4203" t="s">
        <v>9122</v>
      </c>
      <c r="P4203" t="s">
        <v>208</v>
      </c>
      <c r="Q4203" t="s">
        <v>209</v>
      </c>
    </row>
    <row r="4204" spans="1:17" x14ac:dyDescent="0.3">
      <c r="A4204" t="s">
        <v>9123</v>
      </c>
      <c r="C4204" t="s">
        <v>9124</v>
      </c>
      <c r="D4204" t="s">
        <v>9124</v>
      </c>
      <c r="E4204" s="5">
        <v>46288</v>
      </c>
      <c r="F4204" t="s">
        <v>204</v>
      </c>
      <c r="G4204" t="s">
        <v>220</v>
      </c>
      <c r="H4204">
        <v>5298</v>
      </c>
      <c r="I4204">
        <v>15.89</v>
      </c>
      <c r="J4204">
        <v>2.86</v>
      </c>
      <c r="K4204">
        <v>5279.25</v>
      </c>
      <c r="L4204" s="5">
        <v>46290</v>
      </c>
      <c r="M4204" t="s">
        <v>9048</v>
      </c>
      <c r="N4204" t="s">
        <v>207</v>
      </c>
      <c r="O4204" t="s">
        <v>9124</v>
      </c>
      <c r="P4204" t="s">
        <v>208</v>
      </c>
      <c r="Q4204" t="s">
        <v>209</v>
      </c>
    </row>
    <row r="4205" spans="1:17" x14ac:dyDescent="0.3">
      <c r="A4205" t="s">
        <v>9125</v>
      </c>
      <c r="C4205" t="s">
        <v>9126</v>
      </c>
      <c r="D4205" t="s">
        <v>9126</v>
      </c>
      <c r="E4205" s="5">
        <v>46288</v>
      </c>
      <c r="F4205" t="s">
        <v>204</v>
      </c>
      <c r="G4205" t="s">
        <v>205</v>
      </c>
      <c r="H4205">
        <v>3499</v>
      </c>
      <c r="I4205">
        <v>59.48</v>
      </c>
      <c r="J4205">
        <v>10.71</v>
      </c>
      <c r="K4205">
        <v>3428.81</v>
      </c>
      <c r="L4205" s="5">
        <v>46290</v>
      </c>
      <c r="M4205" t="s">
        <v>9048</v>
      </c>
      <c r="N4205" t="s">
        <v>207</v>
      </c>
      <c r="O4205" t="s">
        <v>9126</v>
      </c>
      <c r="P4205" t="s">
        <v>208</v>
      </c>
      <c r="Q4205" t="s">
        <v>209</v>
      </c>
    </row>
    <row r="4206" spans="1:17" x14ac:dyDescent="0.3">
      <c r="A4206" t="s">
        <v>9127</v>
      </c>
      <c r="C4206" t="s">
        <v>9128</v>
      </c>
      <c r="D4206" t="s">
        <v>9128</v>
      </c>
      <c r="E4206" s="5">
        <v>46288</v>
      </c>
      <c r="F4206" t="s">
        <v>204</v>
      </c>
      <c r="G4206" t="s">
        <v>205</v>
      </c>
      <c r="H4206">
        <v>4297</v>
      </c>
      <c r="I4206">
        <v>73.05</v>
      </c>
      <c r="J4206">
        <v>13.15</v>
      </c>
      <c r="K4206">
        <v>4210.8</v>
      </c>
      <c r="L4206" s="5">
        <v>46290</v>
      </c>
      <c r="M4206" t="s">
        <v>9048</v>
      </c>
      <c r="N4206" t="s">
        <v>207</v>
      </c>
      <c r="O4206" t="s">
        <v>9128</v>
      </c>
      <c r="P4206" t="s">
        <v>208</v>
      </c>
      <c r="Q4206" t="s">
        <v>209</v>
      </c>
    </row>
    <row r="4207" spans="1:17" x14ac:dyDescent="0.3">
      <c r="A4207" t="s">
        <v>9129</v>
      </c>
      <c r="C4207" t="s">
        <v>9130</v>
      </c>
      <c r="D4207" t="s">
        <v>9130</v>
      </c>
      <c r="E4207" s="5">
        <v>46288</v>
      </c>
      <c r="F4207" t="s">
        <v>204</v>
      </c>
      <c r="G4207" t="s">
        <v>213</v>
      </c>
      <c r="H4207">
        <v>299</v>
      </c>
      <c r="I4207">
        <v>5.38</v>
      </c>
      <c r="J4207">
        <v>0.97</v>
      </c>
      <c r="K4207">
        <v>292.64999999999998</v>
      </c>
      <c r="L4207" s="5">
        <v>46290</v>
      </c>
      <c r="M4207" t="s">
        <v>9048</v>
      </c>
      <c r="N4207" t="s">
        <v>207</v>
      </c>
      <c r="O4207" t="s">
        <v>9130</v>
      </c>
      <c r="P4207" t="s">
        <v>208</v>
      </c>
      <c r="Q4207" t="s">
        <v>209</v>
      </c>
    </row>
    <row r="4208" spans="1:17" x14ac:dyDescent="0.3">
      <c r="A4208" t="s">
        <v>9131</v>
      </c>
      <c r="C4208" t="s">
        <v>9132</v>
      </c>
      <c r="D4208" t="s">
        <v>9133</v>
      </c>
      <c r="E4208" s="5">
        <v>46288</v>
      </c>
      <c r="F4208" t="s">
        <v>204</v>
      </c>
      <c r="G4208" t="s">
        <v>255</v>
      </c>
      <c r="H4208">
        <v>12297</v>
      </c>
      <c r="I4208">
        <v>110.67</v>
      </c>
      <c r="J4208">
        <v>19.920000000000002</v>
      </c>
      <c r="K4208">
        <v>12166.41</v>
      </c>
      <c r="L4208" s="5">
        <v>46290</v>
      </c>
      <c r="M4208" t="s">
        <v>9048</v>
      </c>
      <c r="N4208" t="s">
        <v>207</v>
      </c>
      <c r="O4208" t="s">
        <v>9133</v>
      </c>
      <c r="P4208" t="s">
        <v>208</v>
      </c>
      <c r="Q4208" t="s">
        <v>209</v>
      </c>
    </row>
    <row r="4209" spans="1:17" x14ac:dyDescent="0.3">
      <c r="A4209" t="s">
        <v>9134</v>
      </c>
      <c r="C4209" t="s">
        <v>9135</v>
      </c>
      <c r="D4209" t="s">
        <v>9136</v>
      </c>
      <c r="E4209" s="5">
        <v>46288</v>
      </c>
      <c r="F4209" t="s">
        <v>204</v>
      </c>
      <c r="G4209" t="s">
        <v>213</v>
      </c>
      <c r="H4209">
        <v>4498</v>
      </c>
      <c r="I4209">
        <v>71.97</v>
      </c>
      <c r="J4209">
        <v>12.95</v>
      </c>
      <c r="K4209">
        <v>4413.08</v>
      </c>
      <c r="L4209" s="5">
        <v>46290</v>
      </c>
      <c r="M4209" t="s">
        <v>9048</v>
      </c>
      <c r="N4209" t="s">
        <v>207</v>
      </c>
      <c r="O4209" t="s">
        <v>9136</v>
      </c>
      <c r="P4209" t="s">
        <v>208</v>
      </c>
      <c r="Q4209" t="s">
        <v>209</v>
      </c>
    </row>
    <row r="4210" spans="1:17" x14ac:dyDescent="0.3">
      <c r="A4210" t="s">
        <v>9137</v>
      </c>
      <c r="C4210" t="s">
        <v>9138</v>
      </c>
      <c r="D4210" t="s">
        <v>9139</v>
      </c>
      <c r="E4210" s="5">
        <v>46288</v>
      </c>
      <c r="F4210" t="s">
        <v>204</v>
      </c>
      <c r="G4210" t="s">
        <v>220</v>
      </c>
      <c r="H4210">
        <v>3397</v>
      </c>
      <c r="I4210">
        <v>10.19</v>
      </c>
      <c r="J4210">
        <v>1.83</v>
      </c>
      <c r="K4210">
        <v>3384.98</v>
      </c>
      <c r="L4210" s="5">
        <v>46290</v>
      </c>
      <c r="M4210" t="s">
        <v>9048</v>
      </c>
      <c r="N4210" t="s">
        <v>207</v>
      </c>
      <c r="O4210" t="s">
        <v>9139</v>
      </c>
      <c r="P4210" t="s">
        <v>208</v>
      </c>
      <c r="Q4210" t="s">
        <v>209</v>
      </c>
    </row>
    <row r="4211" spans="1:17" x14ac:dyDescent="0.3">
      <c r="A4211" t="s">
        <v>9140</v>
      </c>
      <c r="C4211" t="s">
        <v>9141</v>
      </c>
      <c r="D4211" t="s">
        <v>9142</v>
      </c>
      <c r="E4211" s="5">
        <v>46288</v>
      </c>
      <c r="F4211" t="s">
        <v>204</v>
      </c>
      <c r="G4211" t="s">
        <v>205</v>
      </c>
      <c r="H4211">
        <v>5298</v>
      </c>
      <c r="I4211">
        <v>90.07</v>
      </c>
      <c r="J4211">
        <v>16.21</v>
      </c>
      <c r="K4211">
        <v>5191.72</v>
      </c>
      <c r="L4211" s="5">
        <v>46290</v>
      </c>
      <c r="M4211" t="s">
        <v>9048</v>
      </c>
      <c r="N4211" t="s">
        <v>207</v>
      </c>
      <c r="O4211" t="s">
        <v>9142</v>
      </c>
      <c r="P4211" t="s">
        <v>208</v>
      </c>
      <c r="Q4211" t="s">
        <v>209</v>
      </c>
    </row>
    <row r="4212" spans="1:17" x14ac:dyDescent="0.3">
      <c r="A4212" t="s">
        <v>9143</v>
      </c>
      <c r="C4212" t="s">
        <v>9144</v>
      </c>
      <c r="D4212" t="s">
        <v>9144</v>
      </c>
      <c r="E4212" s="5">
        <v>46288</v>
      </c>
      <c r="F4212" t="s">
        <v>204</v>
      </c>
      <c r="G4212" t="s">
        <v>255</v>
      </c>
      <c r="H4212">
        <v>3298</v>
      </c>
      <c r="I4212">
        <v>39.58</v>
      </c>
      <c r="J4212">
        <v>7.12</v>
      </c>
      <c r="K4212">
        <v>3251.3</v>
      </c>
      <c r="L4212" s="5">
        <v>46290</v>
      </c>
      <c r="M4212" t="s">
        <v>9048</v>
      </c>
      <c r="N4212" t="s">
        <v>207</v>
      </c>
      <c r="O4212" t="s">
        <v>9144</v>
      </c>
      <c r="P4212" t="s">
        <v>208</v>
      </c>
      <c r="Q4212" t="s">
        <v>209</v>
      </c>
    </row>
    <row r="4213" spans="1:17" x14ac:dyDescent="0.3">
      <c r="A4213" t="s">
        <v>9145</v>
      </c>
      <c r="C4213" t="s">
        <v>9146</v>
      </c>
      <c r="D4213" t="s">
        <v>9146</v>
      </c>
      <c r="E4213" s="5">
        <v>46288</v>
      </c>
      <c r="F4213" t="s">
        <v>204</v>
      </c>
      <c r="G4213" t="s">
        <v>220</v>
      </c>
      <c r="H4213">
        <v>2647</v>
      </c>
      <c r="I4213">
        <v>7.94</v>
      </c>
      <c r="J4213">
        <v>1.43</v>
      </c>
      <c r="K4213">
        <v>2637.63</v>
      </c>
      <c r="L4213" s="5">
        <v>46290</v>
      </c>
      <c r="M4213" t="s">
        <v>9048</v>
      </c>
      <c r="N4213" t="s">
        <v>207</v>
      </c>
      <c r="O4213" t="s">
        <v>9146</v>
      </c>
      <c r="P4213" t="s">
        <v>208</v>
      </c>
      <c r="Q4213" t="s">
        <v>209</v>
      </c>
    </row>
    <row r="4214" spans="1:17" x14ac:dyDescent="0.3">
      <c r="A4214" t="s">
        <v>9147</v>
      </c>
      <c r="C4214" t="s">
        <v>9148</v>
      </c>
      <c r="D4214" t="s">
        <v>9148</v>
      </c>
      <c r="E4214" s="5">
        <v>46288</v>
      </c>
      <c r="F4214" t="s">
        <v>204</v>
      </c>
      <c r="G4214" t="s">
        <v>220</v>
      </c>
      <c r="H4214">
        <v>499</v>
      </c>
      <c r="I4214">
        <v>0</v>
      </c>
      <c r="J4214">
        <v>0</v>
      </c>
      <c r="K4214">
        <v>499</v>
      </c>
      <c r="L4214" s="5">
        <v>46290</v>
      </c>
      <c r="M4214" t="s">
        <v>9048</v>
      </c>
      <c r="N4214" t="s">
        <v>207</v>
      </c>
      <c r="O4214" t="s">
        <v>9148</v>
      </c>
      <c r="P4214" t="s">
        <v>208</v>
      </c>
      <c r="Q4214" t="s">
        <v>209</v>
      </c>
    </row>
    <row r="4215" spans="1:17" x14ac:dyDescent="0.3">
      <c r="A4215" t="s">
        <v>9149</v>
      </c>
      <c r="C4215" t="s">
        <v>9150</v>
      </c>
      <c r="D4215" t="s">
        <v>9150</v>
      </c>
      <c r="E4215" s="5">
        <v>46288</v>
      </c>
      <c r="F4215" t="s">
        <v>204</v>
      </c>
      <c r="G4215" t="s">
        <v>220</v>
      </c>
      <c r="H4215">
        <v>12097</v>
      </c>
      <c r="I4215">
        <v>36.29</v>
      </c>
      <c r="J4215">
        <v>6.53</v>
      </c>
      <c r="K4215">
        <v>12054.18</v>
      </c>
      <c r="L4215" s="5">
        <v>46290</v>
      </c>
      <c r="M4215" t="s">
        <v>9048</v>
      </c>
      <c r="N4215" t="s">
        <v>207</v>
      </c>
      <c r="O4215" t="s">
        <v>9150</v>
      </c>
      <c r="P4215" t="s">
        <v>208</v>
      </c>
      <c r="Q4215" t="s">
        <v>209</v>
      </c>
    </row>
    <row r="4216" spans="1:17" x14ac:dyDescent="0.3">
      <c r="A4216" t="s">
        <v>9151</v>
      </c>
      <c r="C4216" t="s">
        <v>9152</v>
      </c>
      <c r="D4216" t="s">
        <v>9152</v>
      </c>
      <c r="E4216" s="5">
        <v>46288</v>
      </c>
      <c r="F4216" t="s">
        <v>204</v>
      </c>
      <c r="G4216" t="s">
        <v>220</v>
      </c>
      <c r="H4216">
        <v>2499</v>
      </c>
      <c r="I4216">
        <v>7.5</v>
      </c>
      <c r="J4216">
        <v>1.35</v>
      </c>
      <c r="K4216">
        <v>2490.15</v>
      </c>
      <c r="L4216" s="5">
        <v>46290</v>
      </c>
      <c r="M4216" t="s">
        <v>9048</v>
      </c>
      <c r="N4216" t="s">
        <v>207</v>
      </c>
      <c r="O4216" t="s">
        <v>9152</v>
      </c>
      <c r="P4216" t="s">
        <v>208</v>
      </c>
      <c r="Q4216" t="s">
        <v>209</v>
      </c>
    </row>
    <row r="4217" spans="1:17" x14ac:dyDescent="0.3">
      <c r="A4217" t="s">
        <v>9153</v>
      </c>
      <c r="C4217" t="s">
        <v>9154</v>
      </c>
      <c r="D4217" t="s">
        <v>9154</v>
      </c>
      <c r="E4217" s="5">
        <v>46288</v>
      </c>
      <c r="F4217" t="s">
        <v>204</v>
      </c>
      <c r="G4217" t="s">
        <v>255</v>
      </c>
      <c r="H4217">
        <v>799</v>
      </c>
      <c r="I4217">
        <v>11.99</v>
      </c>
      <c r="J4217">
        <v>2.16</v>
      </c>
      <c r="K4217">
        <v>784.85</v>
      </c>
      <c r="L4217" s="5">
        <v>46290</v>
      </c>
      <c r="M4217" t="s">
        <v>9048</v>
      </c>
      <c r="N4217" t="s">
        <v>207</v>
      </c>
      <c r="O4217" t="s">
        <v>9154</v>
      </c>
      <c r="P4217" t="s">
        <v>208</v>
      </c>
      <c r="Q4217" t="s">
        <v>209</v>
      </c>
    </row>
    <row r="4218" spans="1:17" x14ac:dyDescent="0.3">
      <c r="A4218" t="s">
        <v>9155</v>
      </c>
      <c r="C4218" t="s">
        <v>9156</v>
      </c>
      <c r="D4218" t="s">
        <v>9156</v>
      </c>
      <c r="E4218" s="5">
        <v>46288</v>
      </c>
      <c r="F4218" t="s">
        <v>204</v>
      </c>
      <c r="G4218" t="s">
        <v>205</v>
      </c>
      <c r="H4218">
        <v>9297</v>
      </c>
      <c r="I4218">
        <v>158.05000000000001</v>
      </c>
      <c r="J4218">
        <v>28.45</v>
      </c>
      <c r="K4218">
        <v>9110.5</v>
      </c>
      <c r="L4218" s="5">
        <v>46290</v>
      </c>
      <c r="M4218" t="s">
        <v>9048</v>
      </c>
      <c r="N4218" t="s">
        <v>207</v>
      </c>
      <c r="O4218" t="s">
        <v>9156</v>
      </c>
      <c r="P4218" t="s">
        <v>208</v>
      </c>
      <c r="Q4218" t="s">
        <v>209</v>
      </c>
    </row>
    <row r="4219" spans="1:17" x14ac:dyDescent="0.3">
      <c r="A4219" t="s">
        <v>9157</v>
      </c>
      <c r="C4219" t="s">
        <v>9158</v>
      </c>
      <c r="D4219" t="s">
        <v>9158</v>
      </c>
      <c r="E4219" s="5">
        <v>46288</v>
      </c>
      <c r="F4219" t="s">
        <v>204</v>
      </c>
      <c r="G4219" t="s">
        <v>213</v>
      </c>
      <c r="H4219">
        <v>2597</v>
      </c>
      <c r="I4219">
        <v>41.55</v>
      </c>
      <c r="J4219">
        <v>7.48</v>
      </c>
      <c r="K4219">
        <v>2547.9699999999998</v>
      </c>
      <c r="L4219" s="5">
        <v>46290</v>
      </c>
      <c r="M4219" t="s">
        <v>9048</v>
      </c>
      <c r="N4219" t="s">
        <v>207</v>
      </c>
      <c r="O4219" t="s">
        <v>9158</v>
      </c>
      <c r="P4219" t="s">
        <v>208</v>
      </c>
      <c r="Q4219" t="s">
        <v>209</v>
      </c>
    </row>
    <row r="4220" spans="1:17" x14ac:dyDescent="0.3">
      <c r="A4220" t="s">
        <v>9159</v>
      </c>
      <c r="C4220" t="s">
        <v>9160</v>
      </c>
      <c r="D4220" t="s">
        <v>9160</v>
      </c>
      <c r="E4220" s="5">
        <v>46288</v>
      </c>
      <c r="F4220" t="s">
        <v>204</v>
      </c>
      <c r="G4220" t="s">
        <v>220</v>
      </c>
      <c r="H4220">
        <v>4798</v>
      </c>
      <c r="I4220">
        <v>14.39</v>
      </c>
      <c r="J4220">
        <v>2.59</v>
      </c>
      <c r="K4220">
        <v>4781.0200000000004</v>
      </c>
      <c r="L4220" s="5">
        <v>46290</v>
      </c>
      <c r="M4220" t="s">
        <v>9048</v>
      </c>
      <c r="N4220" t="s">
        <v>207</v>
      </c>
      <c r="O4220" t="s">
        <v>9160</v>
      </c>
      <c r="P4220" t="s">
        <v>208</v>
      </c>
      <c r="Q4220" t="s">
        <v>209</v>
      </c>
    </row>
    <row r="4221" spans="1:17" x14ac:dyDescent="0.3">
      <c r="A4221" t="s">
        <v>9161</v>
      </c>
      <c r="C4221" t="s">
        <v>9162</v>
      </c>
      <c r="D4221" t="s">
        <v>9162</v>
      </c>
      <c r="E4221" s="5">
        <v>46288</v>
      </c>
      <c r="F4221" t="s">
        <v>204</v>
      </c>
      <c r="G4221" t="s">
        <v>220</v>
      </c>
      <c r="H4221">
        <v>9197</v>
      </c>
      <c r="I4221">
        <v>27.59</v>
      </c>
      <c r="J4221">
        <v>4.97</v>
      </c>
      <c r="K4221">
        <v>9164.44</v>
      </c>
      <c r="L4221" s="5">
        <v>46290</v>
      </c>
      <c r="M4221" t="s">
        <v>9048</v>
      </c>
      <c r="N4221" t="s">
        <v>207</v>
      </c>
      <c r="O4221" t="s">
        <v>9162</v>
      </c>
      <c r="P4221" t="s">
        <v>208</v>
      </c>
      <c r="Q4221" t="s">
        <v>209</v>
      </c>
    </row>
    <row r="4222" spans="1:17" x14ac:dyDescent="0.3">
      <c r="A4222" t="s">
        <v>9163</v>
      </c>
      <c r="C4222" t="s">
        <v>9164</v>
      </c>
      <c r="D4222" t="s">
        <v>9164</v>
      </c>
      <c r="E4222" s="5">
        <v>46288</v>
      </c>
      <c r="F4222" t="s">
        <v>204</v>
      </c>
      <c r="G4222" t="s">
        <v>213</v>
      </c>
      <c r="H4222">
        <v>2897</v>
      </c>
      <c r="I4222">
        <v>46.35</v>
      </c>
      <c r="J4222">
        <v>8.34</v>
      </c>
      <c r="K4222">
        <v>2842.31</v>
      </c>
      <c r="L4222" s="5">
        <v>46290</v>
      </c>
      <c r="M4222" t="s">
        <v>9048</v>
      </c>
      <c r="N4222" t="s">
        <v>207</v>
      </c>
      <c r="O4222" t="s">
        <v>9164</v>
      </c>
      <c r="P4222" t="s">
        <v>208</v>
      </c>
      <c r="Q4222" t="s">
        <v>209</v>
      </c>
    </row>
    <row r="4223" spans="1:17" x14ac:dyDescent="0.3">
      <c r="A4223" t="s">
        <v>9165</v>
      </c>
      <c r="C4223" t="s">
        <v>9166</v>
      </c>
      <c r="D4223" t="s">
        <v>9167</v>
      </c>
      <c r="E4223" s="5">
        <v>46288</v>
      </c>
      <c r="F4223" t="s">
        <v>204</v>
      </c>
      <c r="G4223" t="s">
        <v>205</v>
      </c>
      <c r="H4223">
        <v>2798</v>
      </c>
      <c r="I4223">
        <v>47.57</v>
      </c>
      <c r="J4223">
        <v>8.56</v>
      </c>
      <c r="K4223">
        <v>2741.87</v>
      </c>
      <c r="L4223" s="5">
        <v>46290</v>
      </c>
      <c r="M4223" t="s">
        <v>9048</v>
      </c>
      <c r="N4223" t="s">
        <v>207</v>
      </c>
      <c r="O4223" t="s">
        <v>9167</v>
      </c>
      <c r="P4223" t="s">
        <v>208</v>
      </c>
      <c r="Q4223" t="s">
        <v>209</v>
      </c>
    </row>
    <row r="4224" spans="1:17" x14ac:dyDescent="0.3">
      <c r="A4224" t="s">
        <v>9168</v>
      </c>
      <c r="C4224" t="s">
        <v>9169</v>
      </c>
      <c r="D4224" t="s">
        <v>9169</v>
      </c>
      <c r="E4224" s="5">
        <v>46288</v>
      </c>
      <c r="F4224" t="s">
        <v>204</v>
      </c>
      <c r="G4224" t="s">
        <v>213</v>
      </c>
      <c r="H4224">
        <v>3098</v>
      </c>
      <c r="I4224">
        <v>49.57</v>
      </c>
      <c r="J4224">
        <v>8.92</v>
      </c>
      <c r="K4224">
        <v>3039.51</v>
      </c>
      <c r="L4224" s="5">
        <v>46290</v>
      </c>
      <c r="M4224" t="s">
        <v>9048</v>
      </c>
      <c r="N4224" t="s">
        <v>207</v>
      </c>
      <c r="O4224" t="s">
        <v>9169</v>
      </c>
      <c r="P4224" t="s">
        <v>208</v>
      </c>
      <c r="Q4224" t="s">
        <v>209</v>
      </c>
    </row>
    <row r="4225" spans="1:17" x14ac:dyDescent="0.3">
      <c r="A4225" t="s">
        <v>9170</v>
      </c>
      <c r="C4225" t="s">
        <v>9171</v>
      </c>
      <c r="D4225" t="s">
        <v>9171</v>
      </c>
      <c r="E4225" s="5">
        <v>46288</v>
      </c>
      <c r="F4225" t="s">
        <v>204</v>
      </c>
      <c r="G4225" t="s">
        <v>220</v>
      </c>
      <c r="H4225">
        <v>4397</v>
      </c>
      <c r="I4225">
        <v>13.19</v>
      </c>
      <c r="J4225">
        <v>2.37</v>
      </c>
      <c r="K4225">
        <v>4381.4399999999996</v>
      </c>
      <c r="L4225" s="5">
        <v>46290</v>
      </c>
      <c r="M4225" t="s">
        <v>9048</v>
      </c>
      <c r="N4225" t="s">
        <v>207</v>
      </c>
      <c r="O4225" t="s">
        <v>9171</v>
      </c>
      <c r="P4225" t="s">
        <v>208</v>
      </c>
      <c r="Q4225" t="s">
        <v>209</v>
      </c>
    </row>
    <row r="4226" spans="1:17" x14ac:dyDescent="0.3">
      <c r="A4226" t="s">
        <v>9172</v>
      </c>
      <c r="C4226" t="s">
        <v>9173</v>
      </c>
      <c r="D4226" t="s">
        <v>9173</v>
      </c>
      <c r="E4226" s="5">
        <v>46288</v>
      </c>
      <c r="F4226" t="s">
        <v>204</v>
      </c>
      <c r="G4226" t="s">
        <v>220</v>
      </c>
      <c r="H4226">
        <v>5298</v>
      </c>
      <c r="I4226">
        <v>15.89</v>
      </c>
      <c r="J4226">
        <v>2.86</v>
      </c>
      <c r="K4226">
        <v>5279.25</v>
      </c>
      <c r="L4226" s="5">
        <v>46290</v>
      </c>
      <c r="M4226" t="s">
        <v>9048</v>
      </c>
      <c r="N4226" t="s">
        <v>207</v>
      </c>
      <c r="O4226" t="s">
        <v>9173</v>
      </c>
      <c r="P4226" t="s">
        <v>208</v>
      </c>
      <c r="Q4226" t="s">
        <v>209</v>
      </c>
    </row>
    <row r="4227" spans="1:17" x14ac:dyDescent="0.3">
      <c r="A4227" t="s">
        <v>9174</v>
      </c>
      <c r="C4227" t="s">
        <v>9175</v>
      </c>
      <c r="D4227" t="s">
        <v>9175</v>
      </c>
      <c r="E4227" s="5">
        <v>46288</v>
      </c>
      <c r="F4227" t="s">
        <v>204</v>
      </c>
      <c r="G4227" t="s">
        <v>255</v>
      </c>
      <c r="H4227">
        <v>7999</v>
      </c>
      <c r="I4227">
        <v>95.99</v>
      </c>
      <c r="J4227">
        <v>17.28</v>
      </c>
      <c r="K4227">
        <v>7885.73</v>
      </c>
      <c r="L4227" s="5">
        <v>46290</v>
      </c>
      <c r="M4227" t="s">
        <v>9048</v>
      </c>
      <c r="N4227" t="s">
        <v>207</v>
      </c>
      <c r="O4227" t="s">
        <v>9175</v>
      </c>
      <c r="P4227" t="s">
        <v>208</v>
      </c>
      <c r="Q4227" t="s">
        <v>209</v>
      </c>
    </row>
    <row r="4228" spans="1:17" x14ac:dyDescent="0.3">
      <c r="A4228" t="s">
        <v>9176</v>
      </c>
      <c r="C4228" t="s">
        <v>9177</v>
      </c>
      <c r="D4228" t="s">
        <v>9177</v>
      </c>
      <c r="E4228" s="5">
        <v>46288</v>
      </c>
      <c r="F4228" t="s">
        <v>204</v>
      </c>
      <c r="G4228" t="s">
        <v>220</v>
      </c>
      <c r="H4228">
        <v>1299</v>
      </c>
      <c r="I4228">
        <v>0</v>
      </c>
      <c r="J4228">
        <v>0</v>
      </c>
      <c r="K4228">
        <v>1299</v>
      </c>
      <c r="L4228" s="5">
        <v>46290</v>
      </c>
      <c r="M4228" t="s">
        <v>9048</v>
      </c>
      <c r="N4228" t="s">
        <v>207</v>
      </c>
      <c r="O4228" t="s">
        <v>9177</v>
      </c>
      <c r="P4228" t="s">
        <v>208</v>
      </c>
      <c r="Q4228" t="s">
        <v>209</v>
      </c>
    </row>
    <row r="4229" spans="1:17" x14ac:dyDescent="0.3">
      <c r="A4229" t="s">
        <v>9178</v>
      </c>
      <c r="C4229" t="s">
        <v>9179</v>
      </c>
      <c r="D4229" t="s">
        <v>9179</v>
      </c>
      <c r="E4229" s="5">
        <v>46288</v>
      </c>
      <c r="F4229" t="s">
        <v>204</v>
      </c>
      <c r="G4229" t="s">
        <v>220</v>
      </c>
      <c r="H4229">
        <v>349</v>
      </c>
      <c r="I4229">
        <v>0</v>
      </c>
      <c r="J4229">
        <v>0</v>
      </c>
      <c r="K4229">
        <v>349</v>
      </c>
      <c r="L4229" s="5">
        <v>46290</v>
      </c>
      <c r="M4229" t="s">
        <v>9048</v>
      </c>
      <c r="N4229" t="s">
        <v>207</v>
      </c>
      <c r="O4229" t="s">
        <v>9179</v>
      </c>
      <c r="P4229" t="s">
        <v>208</v>
      </c>
      <c r="Q4229" t="s">
        <v>209</v>
      </c>
    </row>
    <row r="4230" spans="1:17" x14ac:dyDescent="0.3">
      <c r="A4230" t="s">
        <v>9180</v>
      </c>
      <c r="C4230" t="s">
        <v>9181</v>
      </c>
      <c r="D4230" t="s">
        <v>9181</v>
      </c>
      <c r="E4230" s="5">
        <v>46288</v>
      </c>
      <c r="F4230" t="s">
        <v>204</v>
      </c>
      <c r="G4230" t="s">
        <v>220</v>
      </c>
      <c r="H4230">
        <v>4999</v>
      </c>
      <c r="I4230">
        <v>15</v>
      </c>
      <c r="J4230">
        <v>2.7</v>
      </c>
      <c r="K4230">
        <v>4981.3</v>
      </c>
      <c r="L4230" s="5">
        <v>46290</v>
      </c>
      <c r="M4230" t="s">
        <v>9048</v>
      </c>
      <c r="N4230" t="s">
        <v>207</v>
      </c>
      <c r="O4230" t="s">
        <v>9181</v>
      </c>
      <c r="P4230" t="s">
        <v>208</v>
      </c>
      <c r="Q4230" t="s">
        <v>209</v>
      </c>
    </row>
    <row r="4231" spans="1:17" x14ac:dyDescent="0.3">
      <c r="A4231" t="s">
        <v>9182</v>
      </c>
      <c r="C4231" t="s">
        <v>9183</v>
      </c>
      <c r="D4231" t="s">
        <v>9183</v>
      </c>
      <c r="E4231" s="5">
        <v>46288</v>
      </c>
      <c r="F4231" t="s">
        <v>204</v>
      </c>
      <c r="G4231" t="s">
        <v>220</v>
      </c>
      <c r="H4231">
        <v>2999</v>
      </c>
      <c r="I4231">
        <v>9</v>
      </c>
      <c r="J4231">
        <v>1.62</v>
      </c>
      <c r="K4231">
        <v>2988.38</v>
      </c>
      <c r="L4231" s="5">
        <v>46290</v>
      </c>
      <c r="M4231" t="s">
        <v>9048</v>
      </c>
      <c r="N4231" t="s">
        <v>207</v>
      </c>
      <c r="O4231" t="s">
        <v>9183</v>
      </c>
      <c r="P4231" t="s">
        <v>208</v>
      </c>
      <c r="Q4231" t="s">
        <v>209</v>
      </c>
    </row>
    <row r="4232" spans="1:17" x14ac:dyDescent="0.3">
      <c r="A4232" t="s">
        <v>9184</v>
      </c>
      <c r="C4232" t="s">
        <v>9185</v>
      </c>
      <c r="D4232" t="s">
        <v>9185</v>
      </c>
      <c r="E4232" s="5">
        <v>46288</v>
      </c>
      <c r="F4232" t="s">
        <v>204</v>
      </c>
      <c r="G4232" t="s">
        <v>220</v>
      </c>
      <c r="H4232">
        <v>7999</v>
      </c>
      <c r="I4232">
        <v>24</v>
      </c>
      <c r="J4232">
        <v>4.32</v>
      </c>
      <c r="K4232">
        <v>7970.68</v>
      </c>
      <c r="L4232" s="5">
        <v>46290</v>
      </c>
      <c r="M4232" t="s">
        <v>9048</v>
      </c>
      <c r="N4232" t="s">
        <v>207</v>
      </c>
      <c r="O4232" t="s">
        <v>9185</v>
      </c>
      <c r="P4232" t="s">
        <v>208</v>
      </c>
      <c r="Q4232" t="s">
        <v>209</v>
      </c>
    </row>
    <row r="4233" spans="1:17" x14ac:dyDescent="0.3">
      <c r="A4233" t="s">
        <v>9186</v>
      </c>
      <c r="C4233" t="s">
        <v>9187</v>
      </c>
      <c r="D4233" t="s">
        <v>9187</v>
      </c>
      <c r="E4233" s="5">
        <v>46288</v>
      </c>
      <c r="F4233" t="s">
        <v>204</v>
      </c>
      <c r="G4233" t="s">
        <v>213</v>
      </c>
      <c r="H4233">
        <v>2499</v>
      </c>
      <c r="I4233">
        <v>39.979999999999997</v>
      </c>
      <c r="J4233">
        <v>7.2</v>
      </c>
      <c r="K4233">
        <v>2451.8200000000002</v>
      </c>
      <c r="L4233" s="5">
        <v>46290</v>
      </c>
      <c r="M4233" t="s">
        <v>9048</v>
      </c>
      <c r="N4233" t="s">
        <v>207</v>
      </c>
      <c r="O4233" t="s">
        <v>9187</v>
      </c>
      <c r="P4233" t="s">
        <v>208</v>
      </c>
      <c r="Q4233" t="s">
        <v>209</v>
      </c>
    </row>
    <row r="4234" spans="1:17" x14ac:dyDescent="0.3">
      <c r="A4234" t="s">
        <v>9188</v>
      </c>
      <c r="C4234" t="s">
        <v>9189</v>
      </c>
      <c r="D4234" t="s">
        <v>9189</v>
      </c>
      <c r="E4234" s="5">
        <v>46288</v>
      </c>
      <c r="F4234" t="s">
        <v>204</v>
      </c>
      <c r="G4234" t="s">
        <v>220</v>
      </c>
      <c r="H4234">
        <v>7999</v>
      </c>
      <c r="I4234">
        <v>24</v>
      </c>
      <c r="J4234">
        <v>4.32</v>
      </c>
      <c r="K4234">
        <v>7970.68</v>
      </c>
      <c r="L4234" s="5">
        <v>46290</v>
      </c>
      <c r="M4234" t="s">
        <v>9048</v>
      </c>
      <c r="N4234" t="s">
        <v>207</v>
      </c>
      <c r="O4234" t="s">
        <v>9189</v>
      </c>
      <c r="P4234" t="s">
        <v>208</v>
      </c>
      <c r="Q4234" t="s">
        <v>209</v>
      </c>
    </row>
    <row r="4235" spans="1:17" x14ac:dyDescent="0.3">
      <c r="A4235" t="s">
        <v>9190</v>
      </c>
      <c r="C4235" t="s">
        <v>9191</v>
      </c>
      <c r="D4235" t="s">
        <v>9191</v>
      </c>
      <c r="E4235" s="5">
        <v>46288</v>
      </c>
      <c r="F4235" t="s">
        <v>204</v>
      </c>
      <c r="G4235" t="s">
        <v>220</v>
      </c>
      <c r="H4235">
        <v>799</v>
      </c>
      <c r="I4235">
        <v>0</v>
      </c>
      <c r="J4235">
        <v>0</v>
      </c>
      <c r="K4235">
        <v>799</v>
      </c>
      <c r="L4235" s="5">
        <v>46290</v>
      </c>
      <c r="M4235" t="s">
        <v>9048</v>
      </c>
      <c r="N4235" t="s">
        <v>207</v>
      </c>
      <c r="O4235" t="s">
        <v>9191</v>
      </c>
      <c r="P4235" t="s">
        <v>208</v>
      </c>
      <c r="Q4235" t="s">
        <v>209</v>
      </c>
    </row>
    <row r="4236" spans="1:17" x14ac:dyDescent="0.3">
      <c r="A4236" t="s">
        <v>9192</v>
      </c>
      <c r="C4236" t="s">
        <v>9193</v>
      </c>
      <c r="D4236" t="s">
        <v>9194</v>
      </c>
      <c r="E4236" s="5">
        <v>46288</v>
      </c>
      <c r="F4236" t="s">
        <v>204</v>
      </c>
      <c r="G4236" t="s">
        <v>220</v>
      </c>
      <c r="H4236">
        <v>349</v>
      </c>
      <c r="I4236">
        <v>0</v>
      </c>
      <c r="J4236">
        <v>0</v>
      </c>
      <c r="K4236">
        <v>349</v>
      </c>
      <c r="L4236" s="5">
        <v>46290</v>
      </c>
      <c r="M4236" t="s">
        <v>9048</v>
      </c>
      <c r="N4236" t="s">
        <v>207</v>
      </c>
      <c r="O4236" t="s">
        <v>9194</v>
      </c>
      <c r="P4236" t="s">
        <v>208</v>
      </c>
      <c r="Q4236" t="s">
        <v>209</v>
      </c>
    </row>
    <row r="4237" spans="1:17" x14ac:dyDescent="0.3">
      <c r="A4237" t="s">
        <v>9195</v>
      </c>
      <c r="C4237" t="s">
        <v>9196</v>
      </c>
      <c r="D4237" t="s">
        <v>9196</v>
      </c>
      <c r="E4237" s="5">
        <v>46288</v>
      </c>
      <c r="F4237" t="s">
        <v>204</v>
      </c>
      <c r="G4237" t="s">
        <v>213</v>
      </c>
      <c r="H4237">
        <v>799</v>
      </c>
      <c r="I4237">
        <v>14.38</v>
      </c>
      <c r="J4237">
        <v>2.59</v>
      </c>
      <c r="K4237">
        <v>782.03</v>
      </c>
      <c r="L4237" s="5">
        <v>46290</v>
      </c>
      <c r="M4237" t="s">
        <v>9048</v>
      </c>
      <c r="N4237" t="s">
        <v>207</v>
      </c>
      <c r="O4237" t="s">
        <v>9196</v>
      </c>
      <c r="P4237" t="s">
        <v>208</v>
      </c>
      <c r="Q4237" t="s">
        <v>209</v>
      </c>
    </row>
    <row r="4238" spans="1:17" x14ac:dyDescent="0.3">
      <c r="A4238" t="s">
        <v>9197</v>
      </c>
      <c r="C4238" t="s">
        <v>9198</v>
      </c>
      <c r="D4238" t="s">
        <v>9198</v>
      </c>
      <c r="E4238" s="5">
        <v>46288</v>
      </c>
      <c r="F4238" t="s">
        <v>204</v>
      </c>
      <c r="G4238" t="s">
        <v>220</v>
      </c>
      <c r="H4238">
        <v>2999</v>
      </c>
      <c r="I4238">
        <v>9</v>
      </c>
      <c r="J4238">
        <v>1.62</v>
      </c>
      <c r="K4238">
        <v>2988.38</v>
      </c>
      <c r="L4238" s="5">
        <v>46290</v>
      </c>
      <c r="M4238" t="s">
        <v>9048</v>
      </c>
      <c r="N4238" t="s">
        <v>207</v>
      </c>
      <c r="O4238" t="s">
        <v>9198</v>
      </c>
      <c r="P4238" t="s">
        <v>208</v>
      </c>
      <c r="Q4238" t="s">
        <v>209</v>
      </c>
    </row>
    <row r="4239" spans="1:17" x14ac:dyDescent="0.3">
      <c r="A4239" t="s">
        <v>9199</v>
      </c>
      <c r="C4239" t="s">
        <v>9200</v>
      </c>
      <c r="D4239" t="s">
        <v>9200</v>
      </c>
      <c r="E4239" s="5">
        <v>46288</v>
      </c>
      <c r="F4239" t="s">
        <v>204</v>
      </c>
      <c r="G4239" t="s">
        <v>213</v>
      </c>
      <c r="H4239">
        <v>4798</v>
      </c>
      <c r="I4239">
        <v>76.77</v>
      </c>
      <c r="J4239">
        <v>13.82</v>
      </c>
      <c r="K4239">
        <v>4707.41</v>
      </c>
      <c r="L4239" s="5">
        <v>46290</v>
      </c>
      <c r="M4239" t="s">
        <v>9048</v>
      </c>
      <c r="N4239" t="s">
        <v>207</v>
      </c>
      <c r="O4239" t="s">
        <v>9200</v>
      </c>
      <c r="P4239" t="s">
        <v>208</v>
      </c>
      <c r="Q4239" t="s">
        <v>209</v>
      </c>
    </row>
    <row r="4240" spans="1:17" x14ac:dyDescent="0.3">
      <c r="A4240" t="s">
        <v>9201</v>
      </c>
      <c r="C4240" t="s">
        <v>9202</v>
      </c>
      <c r="D4240" t="s">
        <v>9202</v>
      </c>
      <c r="E4240" s="5">
        <v>46288</v>
      </c>
      <c r="F4240" t="s">
        <v>204</v>
      </c>
      <c r="G4240" t="s">
        <v>255</v>
      </c>
      <c r="H4240">
        <v>2347</v>
      </c>
      <c r="I4240">
        <v>28.16</v>
      </c>
      <c r="J4240">
        <v>5.07</v>
      </c>
      <c r="K4240">
        <v>2313.77</v>
      </c>
      <c r="L4240" s="5">
        <v>46290</v>
      </c>
      <c r="M4240" t="s">
        <v>9048</v>
      </c>
      <c r="N4240" t="s">
        <v>207</v>
      </c>
      <c r="O4240" t="s">
        <v>9202</v>
      </c>
      <c r="P4240" t="s">
        <v>208</v>
      </c>
      <c r="Q4240" t="s">
        <v>209</v>
      </c>
    </row>
    <row r="4241" spans="1:17" x14ac:dyDescent="0.3">
      <c r="A4241" t="s">
        <v>9203</v>
      </c>
      <c r="C4241" t="s">
        <v>9204</v>
      </c>
      <c r="D4241" t="s">
        <v>9204</v>
      </c>
      <c r="E4241" s="5">
        <v>46288</v>
      </c>
      <c r="F4241" t="s">
        <v>204</v>
      </c>
      <c r="G4241" t="s">
        <v>220</v>
      </c>
      <c r="H4241">
        <v>7997</v>
      </c>
      <c r="I4241">
        <v>23.99</v>
      </c>
      <c r="J4241">
        <v>4.32</v>
      </c>
      <c r="K4241">
        <v>7968.69</v>
      </c>
      <c r="L4241" s="5">
        <v>46290</v>
      </c>
      <c r="M4241" t="s">
        <v>9048</v>
      </c>
      <c r="N4241" t="s">
        <v>207</v>
      </c>
      <c r="O4241" t="s">
        <v>9204</v>
      </c>
      <c r="P4241" t="s">
        <v>208</v>
      </c>
      <c r="Q4241" t="s">
        <v>209</v>
      </c>
    </row>
    <row r="4242" spans="1:17" x14ac:dyDescent="0.3">
      <c r="A4242" t="s">
        <v>9205</v>
      </c>
      <c r="C4242" t="s">
        <v>9206</v>
      </c>
      <c r="D4242" t="s">
        <v>9206</v>
      </c>
      <c r="E4242" s="5">
        <v>46288</v>
      </c>
      <c r="F4242" t="s">
        <v>204</v>
      </c>
      <c r="G4242" t="s">
        <v>255</v>
      </c>
      <c r="H4242">
        <v>999</v>
      </c>
      <c r="I4242">
        <v>14.99</v>
      </c>
      <c r="J4242">
        <v>2.7</v>
      </c>
      <c r="K4242">
        <v>981.31</v>
      </c>
      <c r="L4242" s="5">
        <v>46290</v>
      </c>
      <c r="M4242" t="s">
        <v>9048</v>
      </c>
      <c r="N4242" t="s">
        <v>207</v>
      </c>
      <c r="O4242" t="s">
        <v>9206</v>
      </c>
      <c r="P4242" t="s">
        <v>208</v>
      </c>
      <c r="Q4242" t="s">
        <v>209</v>
      </c>
    </row>
    <row r="4243" spans="1:17" x14ac:dyDescent="0.3">
      <c r="A4243" t="s">
        <v>9207</v>
      </c>
      <c r="C4243" t="s">
        <v>9208</v>
      </c>
      <c r="D4243" t="s">
        <v>9208</v>
      </c>
      <c r="E4243" s="5">
        <v>46288</v>
      </c>
      <c r="F4243" t="s">
        <v>204</v>
      </c>
      <c r="G4243" t="s">
        <v>220</v>
      </c>
      <c r="H4243">
        <v>3298</v>
      </c>
      <c r="I4243">
        <v>9.89</v>
      </c>
      <c r="J4243">
        <v>1.78</v>
      </c>
      <c r="K4243">
        <v>3286.33</v>
      </c>
      <c r="L4243" s="5">
        <v>46290</v>
      </c>
      <c r="M4243" t="s">
        <v>9048</v>
      </c>
      <c r="N4243" t="s">
        <v>207</v>
      </c>
      <c r="O4243" t="s">
        <v>9208</v>
      </c>
      <c r="P4243" t="s">
        <v>208</v>
      </c>
      <c r="Q4243" t="s">
        <v>209</v>
      </c>
    </row>
    <row r="4244" spans="1:17" x14ac:dyDescent="0.3">
      <c r="A4244" t="s">
        <v>9209</v>
      </c>
      <c r="C4244" t="s">
        <v>9210</v>
      </c>
      <c r="D4244" t="s">
        <v>9211</v>
      </c>
      <c r="E4244" s="5">
        <v>46288</v>
      </c>
      <c r="F4244" t="s">
        <v>204</v>
      </c>
      <c r="G4244" t="s">
        <v>220</v>
      </c>
      <c r="H4244">
        <v>3098</v>
      </c>
      <c r="I4244">
        <v>9.2899999999999991</v>
      </c>
      <c r="J4244">
        <v>1.67</v>
      </c>
      <c r="K4244">
        <v>3087.04</v>
      </c>
      <c r="L4244" s="5">
        <v>46290</v>
      </c>
      <c r="M4244" t="s">
        <v>9048</v>
      </c>
      <c r="N4244" t="s">
        <v>207</v>
      </c>
      <c r="O4244" t="s">
        <v>9211</v>
      </c>
      <c r="P4244" t="s">
        <v>208</v>
      </c>
      <c r="Q4244" t="s">
        <v>209</v>
      </c>
    </row>
    <row r="4245" spans="1:17" x14ac:dyDescent="0.3">
      <c r="A4245" t="s">
        <v>9212</v>
      </c>
      <c r="C4245" t="s">
        <v>9213</v>
      </c>
      <c r="D4245" t="s">
        <v>9214</v>
      </c>
      <c r="E4245" s="5">
        <v>46288</v>
      </c>
      <c r="F4245" t="s">
        <v>204</v>
      </c>
      <c r="G4245" t="s">
        <v>213</v>
      </c>
      <c r="H4245">
        <v>948</v>
      </c>
      <c r="I4245">
        <v>17.059999999999999</v>
      </c>
      <c r="J4245">
        <v>3.07</v>
      </c>
      <c r="K4245">
        <v>927.87</v>
      </c>
      <c r="L4245" s="5">
        <v>46290</v>
      </c>
      <c r="M4245" t="s">
        <v>9048</v>
      </c>
      <c r="N4245" t="s">
        <v>207</v>
      </c>
      <c r="O4245" t="s">
        <v>9214</v>
      </c>
      <c r="P4245" t="s">
        <v>208</v>
      </c>
      <c r="Q4245" t="s">
        <v>209</v>
      </c>
    </row>
    <row r="4246" spans="1:17" x14ac:dyDescent="0.3">
      <c r="A4246" t="s">
        <v>9215</v>
      </c>
      <c r="C4246" t="s">
        <v>9216</v>
      </c>
      <c r="D4246" t="s">
        <v>9217</v>
      </c>
      <c r="E4246" s="5">
        <v>46288</v>
      </c>
      <c r="F4246" t="s">
        <v>204</v>
      </c>
      <c r="G4246" t="s">
        <v>220</v>
      </c>
      <c r="H4246">
        <v>999</v>
      </c>
      <c r="I4246">
        <v>0</v>
      </c>
      <c r="J4246">
        <v>0</v>
      </c>
      <c r="K4246">
        <v>999</v>
      </c>
      <c r="L4246" s="5">
        <v>46290</v>
      </c>
      <c r="M4246" t="s">
        <v>9048</v>
      </c>
      <c r="N4246" t="s">
        <v>207</v>
      </c>
      <c r="O4246" t="s">
        <v>9217</v>
      </c>
      <c r="P4246" t="s">
        <v>208</v>
      </c>
      <c r="Q4246" t="s">
        <v>209</v>
      </c>
    </row>
    <row r="4247" spans="1:17" x14ac:dyDescent="0.3">
      <c r="A4247" t="s">
        <v>9218</v>
      </c>
      <c r="C4247" t="s">
        <v>9219</v>
      </c>
      <c r="D4247" t="s">
        <v>9219</v>
      </c>
      <c r="E4247" s="5">
        <v>46288</v>
      </c>
      <c r="F4247" t="s">
        <v>204</v>
      </c>
      <c r="G4247" t="s">
        <v>220</v>
      </c>
      <c r="H4247">
        <v>7999</v>
      </c>
      <c r="I4247">
        <v>24</v>
      </c>
      <c r="J4247">
        <v>4.32</v>
      </c>
      <c r="K4247">
        <v>7970.68</v>
      </c>
      <c r="L4247" s="5">
        <v>46290</v>
      </c>
      <c r="M4247" t="s">
        <v>9048</v>
      </c>
      <c r="N4247" t="s">
        <v>207</v>
      </c>
      <c r="O4247" t="s">
        <v>9219</v>
      </c>
      <c r="P4247" t="s">
        <v>208</v>
      </c>
      <c r="Q4247" t="s">
        <v>209</v>
      </c>
    </row>
    <row r="4248" spans="1:17" x14ac:dyDescent="0.3">
      <c r="A4248" t="s">
        <v>9220</v>
      </c>
      <c r="C4248" t="s">
        <v>9221</v>
      </c>
      <c r="D4248" t="s">
        <v>9221</v>
      </c>
      <c r="E4248" s="5">
        <v>46288</v>
      </c>
      <c r="F4248" t="s">
        <v>204</v>
      </c>
      <c r="G4248" t="s">
        <v>220</v>
      </c>
      <c r="H4248">
        <v>7998</v>
      </c>
      <c r="I4248">
        <v>23.99</v>
      </c>
      <c r="J4248">
        <v>4.32</v>
      </c>
      <c r="K4248">
        <v>7969.69</v>
      </c>
      <c r="L4248" s="5">
        <v>46290</v>
      </c>
      <c r="M4248" t="s">
        <v>9048</v>
      </c>
      <c r="N4248" t="s">
        <v>207</v>
      </c>
      <c r="O4248" t="s">
        <v>9221</v>
      </c>
      <c r="P4248" t="s">
        <v>208</v>
      </c>
      <c r="Q4248" t="s">
        <v>209</v>
      </c>
    </row>
    <row r="4249" spans="1:17" x14ac:dyDescent="0.3">
      <c r="A4249" t="s">
        <v>9222</v>
      </c>
      <c r="C4249" t="s">
        <v>9223</v>
      </c>
      <c r="D4249" t="s">
        <v>9223</v>
      </c>
      <c r="E4249" s="5">
        <v>46288</v>
      </c>
      <c r="F4249" t="s">
        <v>204</v>
      </c>
      <c r="G4249" t="s">
        <v>213</v>
      </c>
      <c r="H4249">
        <v>798</v>
      </c>
      <c r="I4249">
        <v>14.36</v>
      </c>
      <c r="J4249">
        <v>2.58</v>
      </c>
      <c r="K4249">
        <v>781.06</v>
      </c>
      <c r="L4249" s="5">
        <v>46290</v>
      </c>
      <c r="M4249" t="s">
        <v>9048</v>
      </c>
      <c r="N4249" t="s">
        <v>207</v>
      </c>
      <c r="O4249" t="s">
        <v>9223</v>
      </c>
      <c r="P4249" t="s">
        <v>208</v>
      </c>
      <c r="Q4249" t="s">
        <v>209</v>
      </c>
    </row>
    <row r="4250" spans="1:17" x14ac:dyDescent="0.3">
      <c r="A4250" t="s">
        <v>9224</v>
      </c>
      <c r="C4250" t="s">
        <v>9225</v>
      </c>
      <c r="D4250" t="s">
        <v>9225</v>
      </c>
      <c r="E4250" s="5">
        <v>46288</v>
      </c>
      <c r="F4250" t="s">
        <v>204</v>
      </c>
      <c r="G4250" t="s">
        <v>213</v>
      </c>
      <c r="H4250">
        <v>1799</v>
      </c>
      <c r="I4250">
        <v>32.380000000000003</v>
      </c>
      <c r="J4250">
        <v>5.83</v>
      </c>
      <c r="K4250">
        <v>1760.79</v>
      </c>
      <c r="L4250" s="5">
        <v>46290</v>
      </c>
      <c r="M4250" t="s">
        <v>9048</v>
      </c>
      <c r="N4250" t="s">
        <v>207</v>
      </c>
      <c r="O4250" t="s">
        <v>9225</v>
      </c>
      <c r="P4250" t="s">
        <v>208</v>
      </c>
      <c r="Q4250" t="s">
        <v>209</v>
      </c>
    </row>
    <row r="4251" spans="1:17" x14ac:dyDescent="0.3">
      <c r="A4251" t="s">
        <v>9226</v>
      </c>
      <c r="C4251" t="s">
        <v>9227</v>
      </c>
      <c r="D4251" t="s">
        <v>9227</v>
      </c>
      <c r="E4251" s="5">
        <v>46288</v>
      </c>
      <c r="F4251" t="s">
        <v>204</v>
      </c>
      <c r="G4251" t="s">
        <v>205</v>
      </c>
      <c r="H4251">
        <v>9297</v>
      </c>
      <c r="I4251">
        <v>158.05000000000001</v>
      </c>
      <c r="J4251">
        <v>28.45</v>
      </c>
      <c r="K4251">
        <v>9110.5</v>
      </c>
      <c r="L4251" s="5">
        <v>46290</v>
      </c>
      <c r="M4251" t="s">
        <v>9048</v>
      </c>
      <c r="N4251" t="s">
        <v>207</v>
      </c>
      <c r="O4251" t="s">
        <v>9227</v>
      </c>
      <c r="P4251" t="s">
        <v>208</v>
      </c>
      <c r="Q4251" t="s">
        <v>209</v>
      </c>
    </row>
    <row r="4252" spans="1:17" x14ac:dyDescent="0.3">
      <c r="A4252" t="s">
        <v>9228</v>
      </c>
      <c r="C4252" t="s">
        <v>9229</v>
      </c>
      <c r="D4252" t="s">
        <v>9229</v>
      </c>
      <c r="E4252" s="5">
        <v>46288</v>
      </c>
      <c r="F4252" t="s">
        <v>204</v>
      </c>
      <c r="G4252" t="s">
        <v>213</v>
      </c>
      <c r="H4252">
        <v>13997</v>
      </c>
      <c r="I4252">
        <v>223.95</v>
      </c>
      <c r="J4252">
        <v>40.31</v>
      </c>
      <c r="K4252">
        <v>13732.74</v>
      </c>
      <c r="L4252" s="5">
        <v>46290</v>
      </c>
      <c r="M4252" t="s">
        <v>9048</v>
      </c>
      <c r="N4252" t="s">
        <v>207</v>
      </c>
      <c r="O4252" t="s">
        <v>9229</v>
      </c>
      <c r="P4252" t="s">
        <v>208</v>
      </c>
      <c r="Q4252" t="s">
        <v>209</v>
      </c>
    </row>
    <row r="4253" spans="1:17" x14ac:dyDescent="0.3">
      <c r="A4253" t="s">
        <v>9230</v>
      </c>
      <c r="C4253" t="s">
        <v>9231</v>
      </c>
      <c r="D4253" t="s">
        <v>9231</v>
      </c>
      <c r="E4253" s="5">
        <v>46288</v>
      </c>
      <c r="F4253" t="s">
        <v>204</v>
      </c>
      <c r="G4253" t="s">
        <v>213</v>
      </c>
      <c r="H4253">
        <v>499</v>
      </c>
      <c r="I4253">
        <v>8.98</v>
      </c>
      <c r="J4253">
        <v>1.62</v>
      </c>
      <c r="K4253">
        <v>488.4</v>
      </c>
      <c r="L4253" s="5">
        <v>46290</v>
      </c>
      <c r="M4253" t="s">
        <v>9048</v>
      </c>
      <c r="N4253" t="s">
        <v>207</v>
      </c>
      <c r="O4253" t="s">
        <v>9231</v>
      </c>
      <c r="P4253" t="s">
        <v>208</v>
      </c>
      <c r="Q4253" t="s">
        <v>209</v>
      </c>
    </row>
    <row r="4254" spans="1:17" x14ac:dyDescent="0.3">
      <c r="A4254" t="s">
        <v>9232</v>
      </c>
      <c r="C4254" t="s">
        <v>9233</v>
      </c>
      <c r="D4254" t="s">
        <v>9233</v>
      </c>
      <c r="E4254" s="5">
        <v>46288</v>
      </c>
      <c r="F4254" t="s">
        <v>204</v>
      </c>
      <c r="G4254" t="s">
        <v>220</v>
      </c>
      <c r="H4254">
        <v>999</v>
      </c>
      <c r="I4254">
        <v>0</v>
      </c>
      <c r="J4254">
        <v>0</v>
      </c>
      <c r="K4254">
        <v>999</v>
      </c>
      <c r="L4254" s="5">
        <v>46290</v>
      </c>
      <c r="M4254" t="s">
        <v>9048</v>
      </c>
      <c r="N4254" t="s">
        <v>207</v>
      </c>
      <c r="O4254" t="s">
        <v>9233</v>
      </c>
      <c r="P4254" t="s">
        <v>208</v>
      </c>
      <c r="Q4254" t="s">
        <v>209</v>
      </c>
    </row>
    <row r="4255" spans="1:17" x14ac:dyDescent="0.3">
      <c r="A4255" t="s">
        <v>9234</v>
      </c>
      <c r="C4255" t="s">
        <v>9235</v>
      </c>
      <c r="D4255" t="s">
        <v>9235</v>
      </c>
      <c r="E4255" s="5">
        <v>46288</v>
      </c>
      <c r="F4255" t="s">
        <v>204</v>
      </c>
      <c r="G4255" t="s">
        <v>220</v>
      </c>
      <c r="H4255">
        <v>8498</v>
      </c>
      <c r="I4255">
        <v>25.49</v>
      </c>
      <c r="J4255">
        <v>4.59</v>
      </c>
      <c r="K4255">
        <v>8467.92</v>
      </c>
      <c r="L4255" s="5">
        <v>46290</v>
      </c>
      <c r="M4255" t="s">
        <v>9048</v>
      </c>
      <c r="N4255" t="s">
        <v>207</v>
      </c>
      <c r="O4255" t="s">
        <v>9235</v>
      </c>
      <c r="P4255" t="s">
        <v>208</v>
      </c>
      <c r="Q4255" t="s">
        <v>209</v>
      </c>
    </row>
    <row r="4256" spans="1:17" x14ac:dyDescent="0.3">
      <c r="A4256" t="s">
        <v>9236</v>
      </c>
      <c r="C4256" t="s">
        <v>9237</v>
      </c>
      <c r="D4256" t="s">
        <v>9238</v>
      </c>
      <c r="E4256" s="5">
        <v>46288</v>
      </c>
      <c r="F4256" t="s">
        <v>204</v>
      </c>
      <c r="G4256" t="s">
        <v>220</v>
      </c>
      <c r="H4256">
        <v>999</v>
      </c>
      <c r="I4256">
        <v>0</v>
      </c>
      <c r="J4256">
        <v>0</v>
      </c>
      <c r="K4256">
        <v>999</v>
      </c>
      <c r="L4256" s="5">
        <v>46290</v>
      </c>
      <c r="M4256" t="s">
        <v>9048</v>
      </c>
      <c r="N4256" t="s">
        <v>207</v>
      </c>
      <c r="O4256" t="s">
        <v>9238</v>
      </c>
      <c r="P4256" t="s">
        <v>208</v>
      </c>
      <c r="Q4256" t="s">
        <v>209</v>
      </c>
    </row>
    <row r="4257" spans="1:17" x14ac:dyDescent="0.3">
      <c r="A4257" t="s">
        <v>9239</v>
      </c>
      <c r="C4257" t="s">
        <v>9240</v>
      </c>
      <c r="D4257" t="s">
        <v>9240</v>
      </c>
      <c r="E4257" s="5">
        <v>46288</v>
      </c>
      <c r="F4257" t="s">
        <v>204</v>
      </c>
      <c r="G4257" t="s">
        <v>220</v>
      </c>
      <c r="H4257">
        <v>1598</v>
      </c>
      <c r="I4257">
        <v>0</v>
      </c>
      <c r="J4257">
        <v>0</v>
      </c>
      <c r="K4257">
        <v>1598</v>
      </c>
      <c r="L4257" s="5">
        <v>46290</v>
      </c>
      <c r="M4257" t="s">
        <v>9048</v>
      </c>
      <c r="N4257" t="s">
        <v>207</v>
      </c>
      <c r="O4257" t="s">
        <v>9240</v>
      </c>
      <c r="P4257" t="s">
        <v>208</v>
      </c>
      <c r="Q4257" t="s">
        <v>209</v>
      </c>
    </row>
    <row r="4258" spans="1:17" x14ac:dyDescent="0.3">
      <c r="A4258" t="s">
        <v>9241</v>
      </c>
      <c r="C4258" t="s">
        <v>9242</v>
      </c>
      <c r="D4258" t="s">
        <v>9242</v>
      </c>
      <c r="E4258" s="5">
        <v>46288</v>
      </c>
      <c r="F4258" t="s">
        <v>204</v>
      </c>
      <c r="G4258" t="s">
        <v>220</v>
      </c>
      <c r="H4258">
        <v>2999</v>
      </c>
      <c r="I4258">
        <v>9</v>
      </c>
      <c r="J4258">
        <v>1.62</v>
      </c>
      <c r="K4258">
        <v>2988.38</v>
      </c>
      <c r="L4258" s="5">
        <v>46290</v>
      </c>
      <c r="M4258" t="s">
        <v>9048</v>
      </c>
      <c r="N4258" t="s">
        <v>207</v>
      </c>
      <c r="O4258" t="s">
        <v>9242</v>
      </c>
      <c r="P4258" t="s">
        <v>208</v>
      </c>
      <c r="Q4258" t="s">
        <v>209</v>
      </c>
    </row>
    <row r="4259" spans="1:17" x14ac:dyDescent="0.3">
      <c r="A4259" t="s">
        <v>9243</v>
      </c>
      <c r="C4259" t="s">
        <v>9244</v>
      </c>
      <c r="D4259" t="s">
        <v>9244</v>
      </c>
      <c r="E4259" s="5">
        <v>46288</v>
      </c>
      <c r="F4259" t="s">
        <v>204</v>
      </c>
      <c r="G4259" t="s">
        <v>213</v>
      </c>
      <c r="H4259">
        <v>349</v>
      </c>
      <c r="I4259">
        <v>6.28</v>
      </c>
      <c r="J4259">
        <v>1.1299999999999999</v>
      </c>
      <c r="K4259">
        <v>341.59</v>
      </c>
      <c r="L4259" s="5">
        <v>46290</v>
      </c>
      <c r="M4259" t="s">
        <v>9048</v>
      </c>
      <c r="N4259" t="s">
        <v>207</v>
      </c>
      <c r="O4259" t="s">
        <v>9244</v>
      </c>
      <c r="P4259" t="s">
        <v>208</v>
      </c>
      <c r="Q4259" t="s">
        <v>209</v>
      </c>
    </row>
    <row r="4260" spans="1:17" x14ac:dyDescent="0.3">
      <c r="A4260" t="s">
        <v>9245</v>
      </c>
      <c r="C4260" t="s">
        <v>9246</v>
      </c>
      <c r="D4260" t="s">
        <v>9246</v>
      </c>
      <c r="E4260" s="5">
        <v>46288</v>
      </c>
      <c r="F4260" t="s">
        <v>204</v>
      </c>
      <c r="G4260" t="s">
        <v>220</v>
      </c>
      <c r="H4260">
        <v>1299</v>
      </c>
      <c r="I4260">
        <v>0</v>
      </c>
      <c r="J4260">
        <v>0</v>
      </c>
      <c r="K4260">
        <v>1299</v>
      </c>
      <c r="L4260" s="5">
        <v>46290</v>
      </c>
      <c r="M4260" t="s">
        <v>9048</v>
      </c>
      <c r="N4260" t="s">
        <v>207</v>
      </c>
      <c r="O4260" t="s">
        <v>9246</v>
      </c>
      <c r="P4260" t="s">
        <v>208</v>
      </c>
      <c r="Q4260" t="s">
        <v>209</v>
      </c>
    </row>
    <row r="4261" spans="1:17" x14ac:dyDescent="0.3">
      <c r="A4261" t="s">
        <v>9247</v>
      </c>
      <c r="C4261" t="s">
        <v>9248</v>
      </c>
      <c r="D4261" t="s">
        <v>9248</v>
      </c>
      <c r="E4261" s="5">
        <v>46288</v>
      </c>
      <c r="F4261" t="s">
        <v>204</v>
      </c>
      <c r="G4261" t="s">
        <v>220</v>
      </c>
      <c r="H4261">
        <v>999</v>
      </c>
      <c r="I4261">
        <v>0</v>
      </c>
      <c r="J4261">
        <v>0</v>
      </c>
      <c r="K4261">
        <v>999</v>
      </c>
      <c r="L4261" s="5">
        <v>46290</v>
      </c>
      <c r="M4261" t="s">
        <v>9048</v>
      </c>
      <c r="N4261" t="s">
        <v>207</v>
      </c>
      <c r="O4261" t="s">
        <v>9248</v>
      </c>
      <c r="P4261" t="s">
        <v>208</v>
      </c>
      <c r="Q4261" t="s">
        <v>209</v>
      </c>
    </row>
    <row r="4262" spans="1:17" x14ac:dyDescent="0.3">
      <c r="A4262" t="s">
        <v>9249</v>
      </c>
      <c r="C4262" t="s">
        <v>9250</v>
      </c>
      <c r="D4262" t="s">
        <v>9250</v>
      </c>
      <c r="E4262" s="5">
        <v>46288</v>
      </c>
      <c r="F4262" t="s">
        <v>204</v>
      </c>
      <c r="G4262" t="s">
        <v>220</v>
      </c>
      <c r="H4262">
        <v>599</v>
      </c>
      <c r="I4262">
        <v>0</v>
      </c>
      <c r="J4262">
        <v>0</v>
      </c>
      <c r="K4262">
        <v>599</v>
      </c>
      <c r="L4262" s="5">
        <v>46290</v>
      </c>
      <c r="M4262" t="s">
        <v>9048</v>
      </c>
      <c r="N4262" t="s">
        <v>207</v>
      </c>
      <c r="O4262" t="s">
        <v>9250</v>
      </c>
      <c r="P4262" t="s">
        <v>208</v>
      </c>
      <c r="Q4262" t="s">
        <v>209</v>
      </c>
    </row>
    <row r="4263" spans="1:17" x14ac:dyDescent="0.3">
      <c r="A4263" t="s">
        <v>9251</v>
      </c>
      <c r="C4263" t="s">
        <v>9252</v>
      </c>
      <c r="D4263" t="s">
        <v>9252</v>
      </c>
      <c r="E4263" s="5">
        <v>46288</v>
      </c>
      <c r="F4263" t="s">
        <v>204</v>
      </c>
      <c r="G4263" t="s">
        <v>255</v>
      </c>
      <c r="H4263">
        <v>2798</v>
      </c>
      <c r="I4263">
        <v>33.58</v>
      </c>
      <c r="J4263">
        <v>6.04</v>
      </c>
      <c r="K4263">
        <v>2758.38</v>
      </c>
      <c r="L4263" s="5">
        <v>46290</v>
      </c>
      <c r="M4263" t="s">
        <v>9048</v>
      </c>
      <c r="N4263" t="s">
        <v>207</v>
      </c>
      <c r="O4263" t="s">
        <v>9252</v>
      </c>
      <c r="P4263" t="s">
        <v>208</v>
      </c>
      <c r="Q4263" t="s">
        <v>209</v>
      </c>
    </row>
    <row r="4264" spans="1:17" x14ac:dyDescent="0.3">
      <c r="A4264" t="s">
        <v>9253</v>
      </c>
      <c r="C4264" t="s">
        <v>9254</v>
      </c>
      <c r="D4264" t="s">
        <v>9254</v>
      </c>
      <c r="E4264" s="5">
        <v>46288</v>
      </c>
      <c r="F4264" t="s">
        <v>204</v>
      </c>
      <c r="G4264" t="s">
        <v>220</v>
      </c>
      <c r="H4264">
        <v>349</v>
      </c>
      <c r="I4264">
        <v>0</v>
      </c>
      <c r="J4264">
        <v>0</v>
      </c>
      <c r="K4264">
        <v>349</v>
      </c>
      <c r="L4264" s="5">
        <v>46290</v>
      </c>
      <c r="M4264" t="s">
        <v>9048</v>
      </c>
      <c r="N4264" t="s">
        <v>207</v>
      </c>
      <c r="O4264" t="s">
        <v>9254</v>
      </c>
      <c r="P4264" t="s">
        <v>208</v>
      </c>
      <c r="Q4264" t="s">
        <v>209</v>
      </c>
    </row>
    <row r="4265" spans="1:17" x14ac:dyDescent="0.3">
      <c r="A4265" t="s">
        <v>9255</v>
      </c>
      <c r="C4265" t="s">
        <v>9256</v>
      </c>
      <c r="D4265" t="s">
        <v>9256</v>
      </c>
      <c r="E4265" s="5">
        <v>46288</v>
      </c>
      <c r="F4265" t="s">
        <v>204</v>
      </c>
      <c r="G4265" t="s">
        <v>220</v>
      </c>
      <c r="H4265">
        <v>9297</v>
      </c>
      <c r="I4265">
        <v>27.89</v>
      </c>
      <c r="J4265">
        <v>5.0199999999999996</v>
      </c>
      <c r="K4265">
        <v>9264.09</v>
      </c>
      <c r="L4265" s="5">
        <v>46290</v>
      </c>
      <c r="M4265" t="s">
        <v>9048</v>
      </c>
      <c r="N4265" t="s">
        <v>207</v>
      </c>
      <c r="O4265" t="s">
        <v>9256</v>
      </c>
      <c r="P4265" t="s">
        <v>208</v>
      </c>
      <c r="Q4265" t="s">
        <v>209</v>
      </c>
    </row>
    <row r="4266" spans="1:17" x14ac:dyDescent="0.3">
      <c r="A4266" t="s">
        <v>9257</v>
      </c>
      <c r="C4266" t="s">
        <v>9258</v>
      </c>
      <c r="D4266" t="s">
        <v>9258</v>
      </c>
      <c r="E4266" s="5">
        <v>46288</v>
      </c>
      <c r="F4266" t="s">
        <v>204</v>
      </c>
      <c r="G4266" t="s">
        <v>220</v>
      </c>
      <c r="H4266">
        <v>2999</v>
      </c>
      <c r="I4266">
        <v>9</v>
      </c>
      <c r="J4266">
        <v>1.62</v>
      </c>
      <c r="K4266">
        <v>2988.38</v>
      </c>
      <c r="L4266" s="5">
        <v>46290</v>
      </c>
      <c r="M4266" t="s">
        <v>9048</v>
      </c>
      <c r="N4266" t="s">
        <v>207</v>
      </c>
      <c r="O4266" t="s">
        <v>9258</v>
      </c>
      <c r="P4266" t="s">
        <v>208</v>
      </c>
      <c r="Q4266" t="s">
        <v>209</v>
      </c>
    </row>
    <row r="4267" spans="1:17" x14ac:dyDescent="0.3">
      <c r="A4267" t="s">
        <v>9259</v>
      </c>
      <c r="C4267" t="s">
        <v>9260</v>
      </c>
      <c r="D4267" t="s">
        <v>9260</v>
      </c>
      <c r="E4267" s="5">
        <v>46288</v>
      </c>
      <c r="F4267" t="s">
        <v>204</v>
      </c>
      <c r="G4267" t="s">
        <v>205</v>
      </c>
      <c r="H4267">
        <v>5498</v>
      </c>
      <c r="I4267">
        <v>131.94999999999999</v>
      </c>
      <c r="J4267">
        <v>23.75</v>
      </c>
      <c r="K4267">
        <v>5342.3</v>
      </c>
      <c r="L4267" s="5">
        <v>46290</v>
      </c>
      <c r="M4267" t="s">
        <v>9048</v>
      </c>
      <c r="N4267" t="s">
        <v>207</v>
      </c>
      <c r="O4267" t="s">
        <v>9260</v>
      </c>
      <c r="P4267" t="s">
        <v>208</v>
      </c>
      <c r="Q4267" t="s">
        <v>209</v>
      </c>
    </row>
    <row r="4268" spans="1:17" x14ac:dyDescent="0.3">
      <c r="A4268" t="s">
        <v>9261</v>
      </c>
      <c r="C4268" t="s">
        <v>9262</v>
      </c>
      <c r="D4268" t="s">
        <v>9262</v>
      </c>
      <c r="E4268" s="5">
        <v>46288</v>
      </c>
      <c r="F4268" t="s">
        <v>204</v>
      </c>
      <c r="G4268" t="s">
        <v>213</v>
      </c>
      <c r="H4268">
        <v>9498</v>
      </c>
      <c r="I4268">
        <v>151.97</v>
      </c>
      <c r="J4268">
        <v>27.35</v>
      </c>
      <c r="K4268">
        <v>9318.68</v>
      </c>
      <c r="L4268" s="5">
        <v>46290</v>
      </c>
      <c r="M4268" t="s">
        <v>9048</v>
      </c>
      <c r="N4268" t="s">
        <v>207</v>
      </c>
      <c r="O4268" t="s">
        <v>9262</v>
      </c>
      <c r="P4268" t="s">
        <v>208</v>
      </c>
      <c r="Q4268" t="s">
        <v>209</v>
      </c>
    </row>
    <row r="4269" spans="1:17" x14ac:dyDescent="0.3">
      <c r="A4269" t="s">
        <v>9263</v>
      </c>
      <c r="C4269" t="s">
        <v>9264</v>
      </c>
      <c r="D4269" t="s">
        <v>9264</v>
      </c>
      <c r="E4269" s="5">
        <v>46288</v>
      </c>
      <c r="F4269" t="s">
        <v>204</v>
      </c>
      <c r="G4269" t="s">
        <v>220</v>
      </c>
      <c r="H4269">
        <v>349</v>
      </c>
      <c r="I4269">
        <v>0</v>
      </c>
      <c r="J4269">
        <v>0</v>
      </c>
      <c r="K4269">
        <v>349</v>
      </c>
      <c r="L4269" s="5">
        <v>46290</v>
      </c>
      <c r="M4269" t="s">
        <v>9048</v>
      </c>
      <c r="N4269" t="s">
        <v>207</v>
      </c>
      <c r="O4269" t="s">
        <v>9264</v>
      </c>
      <c r="P4269" t="s">
        <v>208</v>
      </c>
      <c r="Q4269" t="s">
        <v>209</v>
      </c>
    </row>
    <row r="4270" spans="1:17" x14ac:dyDescent="0.3">
      <c r="A4270" t="s">
        <v>9265</v>
      </c>
      <c r="C4270" t="s">
        <v>9266</v>
      </c>
      <c r="D4270" t="s">
        <v>9267</v>
      </c>
      <c r="E4270" s="5">
        <v>46288</v>
      </c>
      <c r="F4270" t="s">
        <v>204</v>
      </c>
      <c r="G4270" t="s">
        <v>220</v>
      </c>
      <c r="H4270">
        <v>999</v>
      </c>
      <c r="I4270">
        <v>0</v>
      </c>
      <c r="J4270">
        <v>0</v>
      </c>
      <c r="K4270">
        <v>999</v>
      </c>
      <c r="L4270" s="5">
        <v>46290</v>
      </c>
      <c r="M4270" t="s">
        <v>9048</v>
      </c>
      <c r="N4270" t="s">
        <v>207</v>
      </c>
      <c r="O4270" t="s">
        <v>9267</v>
      </c>
      <c r="P4270" t="s">
        <v>208</v>
      </c>
      <c r="Q4270" t="s">
        <v>209</v>
      </c>
    </row>
    <row r="4271" spans="1:17" x14ac:dyDescent="0.3">
      <c r="A4271" t="s">
        <v>9268</v>
      </c>
      <c r="C4271" t="s">
        <v>9269</v>
      </c>
      <c r="D4271" t="s">
        <v>9269</v>
      </c>
      <c r="E4271" s="5">
        <v>46288</v>
      </c>
      <c r="F4271" t="s">
        <v>204</v>
      </c>
      <c r="G4271" t="s">
        <v>220</v>
      </c>
      <c r="H4271">
        <v>5598</v>
      </c>
      <c r="I4271">
        <v>16.79</v>
      </c>
      <c r="J4271">
        <v>3.02</v>
      </c>
      <c r="K4271">
        <v>5578.19</v>
      </c>
      <c r="L4271" s="5">
        <v>46290</v>
      </c>
      <c r="M4271" t="s">
        <v>9048</v>
      </c>
      <c r="N4271" t="s">
        <v>207</v>
      </c>
      <c r="O4271" t="s">
        <v>9269</v>
      </c>
      <c r="P4271" t="s">
        <v>208</v>
      </c>
      <c r="Q4271" t="s">
        <v>209</v>
      </c>
    </row>
    <row r="4272" spans="1:17" x14ac:dyDescent="0.3">
      <c r="A4272" t="s">
        <v>9270</v>
      </c>
      <c r="C4272" t="s">
        <v>9271</v>
      </c>
      <c r="D4272" t="s">
        <v>9272</v>
      </c>
      <c r="E4272" s="5">
        <v>46288</v>
      </c>
      <c r="F4272" t="s">
        <v>204</v>
      </c>
      <c r="G4272" t="s">
        <v>255</v>
      </c>
      <c r="H4272">
        <v>7998</v>
      </c>
      <c r="I4272">
        <v>95.98</v>
      </c>
      <c r="J4272">
        <v>17.28</v>
      </c>
      <c r="K4272">
        <v>7884.74</v>
      </c>
      <c r="L4272" s="5">
        <v>46290</v>
      </c>
      <c r="M4272" t="s">
        <v>9048</v>
      </c>
      <c r="N4272" t="s">
        <v>207</v>
      </c>
      <c r="O4272" t="s">
        <v>9272</v>
      </c>
      <c r="P4272" t="s">
        <v>208</v>
      </c>
      <c r="Q4272" t="s">
        <v>209</v>
      </c>
    </row>
    <row r="4273" spans="1:17" x14ac:dyDescent="0.3">
      <c r="A4273" t="s">
        <v>9273</v>
      </c>
      <c r="C4273" t="s">
        <v>9274</v>
      </c>
      <c r="D4273" t="s">
        <v>9275</v>
      </c>
      <c r="E4273" s="5">
        <v>46288</v>
      </c>
      <c r="F4273" t="s">
        <v>204</v>
      </c>
      <c r="G4273" t="s">
        <v>220</v>
      </c>
      <c r="H4273">
        <v>499</v>
      </c>
      <c r="I4273">
        <v>0</v>
      </c>
      <c r="J4273">
        <v>0</v>
      </c>
      <c r="K4273">
        <v>499</v>
      </c>
      <c r="L4273" s="5">
        <v>46290</v>
      </c>
      <c r="M4273" t="s">
        <v>9048</v>
      </c>
      <c r="N4273" t="s">
        <v>207</v>
      </c>
      <c r="O4273" t="s">
        <v>9275</v>
      </c>
      <c r="P4273" t="s">
        <v>208</v>
      </c>
      <c r="Q4273" t="s">
        <v>209</v>
      </c>
    </row>
    <row r="4274" spans="1:17" x14ac:dyDescent="0.3">
      <c r="A4274" t="s">
        <v>9276</v>
      </c>
      <c r="C4274" t="s">
        <v>9277</v>
      </c>
      <c r="D4274" t="s">
        <v>9277</v>
      </c>
      <c r="E4274" s="5">
        <v>46288</v>
      </c>
      <c r="F4274" t="s">
        <v>204</v>
      </c>
      <c r="G4274" t="s">
        <v>220</v>
      </c>
      <c r="H4274">
        <v>5298</v>
      </c>
      <c r="I4274">
        <v>15.89</v>
      </c>
      <c r="J4274">
        <v>2.86</v>
      </c>
      <c r="K4274">
        <v>5279.25</v>
      </c>
      <c r="L4274" s="5">
        <v>46290</v>
      </c>
      <c r="M4274" t="s">
        <v>9048</v>
      </c>
      <c r="N4274" t="s">
        <v>207</v>
      </c>
      <c r="O4274" t="s">
        <v>9277</v>
      </c>
      <c r="P4274" t="s">
        <v>208</v>
      </c>
      <c r="Q4274" t="s">
        <v>209</v>
      </c>
    </row>
    <row r="4275" spans="1:17" x14ac:dyDescent="0.3">
      <c r="A4275" t="s">
        <v>9278</v>
      </c>
      <c r="C4275" t="s">
        <v>9279</v>
      </c>
      <c r="D4275" t="s">
        <v>9279</v>
      </c>
      <c r="E4275" s="5">
        <v>46288</v>
      </c>
      <c r="F4275" t="s">
        <v>204</v>
      </c>
      <c r="G4275" t="s">
        <v>220</v>
      </c>
      <c r="H4275">
        <v>798</v>
      </c>
      <c r="I4275">
        <v>0</v>
      </c>
      <c r="J4275">
        <v>0</v>
      </c>
      <c r="K4275">
        <v>798</v>
      </c>
      <c r="L4275" s="5">
        <v>46290</v>
      </c>
      <c r="M4275" t="s">
        <v>9048</v>
      </c>
      <c r="N4275" t="s">
        <v>207</v>
      </c>
      <c r="O4275" t="s">
        <v>9279</v>
      </c>
      <c r="P4275" t="s">
        <v>208</v>
      </c>
      <c r="Q4275" t="s">
        <v>209</v>
      </c>
    </row>
    <row r="4276" spans="1:17" x14ac:dyDescent="0.3">
      <c r="A4276" t="s">
        <v>9280</v>
      </c>
      <c r="C4276" t="s">
        <v>9281</v>
      </c>
      <c r="D4276" t="s">
        <v>9281</v>
      </c>
      <c r="E4276" s="5">
        <v>46288</v>
      </c>
      <c r="F4276" t="s">
        <v>204</v>
      </c>
      <c r="G4276" t="s">
        <v>220</v>
      </c>
      <c r="H4276">
        <v>349</v>
      </c>
      <c r="I4276">
        <v>0</v>
      </c>
      <c r="J4276">
        <v>0</v>
      </c>
      <c r="K4276">
        <v>349</v>
      </c>
      <c r="L4276" s="5">
        <v>46290</v>
      </c>
      <c r="M4276" t="s">
        <v>9048</v>
      </c>
      <c r="N4276" t="s">
        <v>207</v>
      </c>
      <c r="O4276" t="s">
        <v>9281</v>
      </c>
      <c r="P4276" t="s">
        <v>208</v>
      </c>
      <c r="Q4276" t="s">
        <v>209</v>
      </c>
    </row>
    <row r="4277" spans="1:17" x14ac:dyDescent="0.3">
      <c r="A4277" t="s">
        <v>9282</v>
      </c>
      <c r="C4277" t="s">
        <v>9283</v>
      </c>
      <c r="D4277" t="s">
        <v>9283</v>
      </c>
      <c r="E4277" s="5">
        <v>46288</v>
      </c>
      <c r="F4277" t="s">
        <v>204</v>
      </c>
      <c r="G4277" t="s">
        <v>220</v>
      </c>
      <c r="H4277">
        <v>3197</v>
      </c>
      <c r="I4277">
        <v>9.59</v>
      </c>
      <c r="J4277">
        <v>1.73</v>
      </c>
      <c r="K4277">
        <v>3185.68</v>
      </c>
      <c r="L4277" s="5">
        <v>46290</v>
      </c>
      <c r="M4277" t="s">
        <v>9048</v>
      </c>
      <c r="N4277" t="s">
        <v>207</v>
      </c>
      <c r="O4277" t="s">
        <v>9283</v>
      </c>
      <c r="P4277" t="s">
        <v>208</v>
      </c>
      <c r="Q4277" t="s">
        <v>209</v>
      </c>
    </row>
    <row r="4278" spans="1:17" x14ac:dyDescent="0.3">
      <c r="A4278" t="s">
        <v>9284</v>
      </c>
      <c r="C4278" t="s">
        <v>9285</v>
      </c>
      <c r="D4278" t="s">
        <v>9285</v>
      </c>
      <c r="E4278" s="5">
        <v>46288</v>
      </c>
      <c r="F4278" t="s">
        <v>204</v>
      </c>
      <c r="G4278" t="s">
        <v>220</v>
      </c>
      <c r="H4278">
        <v>3298</v>
      </c>
      <c r="I4278">
        <v>9.89</v>
      </c>
      <c r="J4278">
        <v>1.78</v>
      </c>
      <c r="K4278">
        <v>3286.33</v>
      </c>
      <c r="L4278" s="5">
        <v>46290</v>
      </c>
      <c r="M4278" t="s">
        <v>9048</v>
      </c>
      <c r="N4278" t="s">
        <v>207</v>
      </c>
      <c r="O4278" t="s">
        <v>9285</v>
      </c>
      <c r="P4278" t="s">
        <v>208</v>
      </c>
      <c r="Q4278" t="s">
        <v>209</v>
      </c>
    </row>
    <row r="4279" spans="1:17" x14ac:dyDescent="0.3">
      <c r="A4279" t="s">
        <v>9286</v>
      </c>
      <c r="C4279" t="s">
        <v>9287</v>
      </c>
      <c r="D4279" t="s">
        <v>9287</v>
      </c>
      <c r="E4279" s="5">
        <v>46288</v>
      </c>
      <c r="F4279" t="s">
        <v>204</v>
      </c>
      <c r="G4279" t="s">
        <v>220</v>
      </c>
      <c r="H4279">
        <v>2499</v>
      </c>
      <c r="I4279">
        <v>7.5</v>
      </c>
      <c r="J4279">
        <v>1.35</v>
      </c>
      <c r="K4279">
        <v>2490.15</v>
      </c>
      <c r="L4279" s="5">
        <v>46290</v>
      </c>
      <c r="M4279" t="s">
        <v>9048</v>
      </c>
      <c r="N4279" t="s">
        <v>207</v>
      </c>
      <c r="O4279" t="s">
        <v>9287</v>
      </c>
      <c r="P4279" t="s">
        <v>208</v>
      </c>
      <c r="Q4279" t="s">
        <v>209</v>
      </c>
    </row>
    <row r="4280" spans="1:17" x14ac:dyDescent="0.3">
      <c r="A4280" t="s">
        <v>9288</v>
      </c>
      <c r="C4280" t="s">
        <v>9289</v>
      </c>
      <c r="D4280" t="s">
        <v>9289</v>
      </c>
      <c r="E4280" s="5">
        <v>46288</v>
      </c>
      <c r="F4280" t="s">
        <v>204</v>
      </c>
      <c r="G4280" t="s">
        <v>220</v>
      </c>
      <c r="H4280">
        <v>1598</v>
      </c>
      <c r="I4280">
        <v>0</v>
      </c>
      <c r="J4280">
        <v>0</v>
      </c>
      <c r="K4280">
        <v>1598</v>
      </c>
      <c r="L4280" s="5">
        <v>46290</v>
      </c>
      <c r="M4280" t="s">
        <v>9048</v>
      </c>
      <c r="N4280" t="s">
        <v>207</v>
      </c>
      <c r="O4280" t="s">
        <v>9289</v>
      </c>
      <c r="P4280" t="s">
        <v>208</v>
      </c>
      <c r="Q4280" t="s">
        <v>209</v>
      </c>
    </row>
    <row r="4281" spans="1:17" x14ac:dyDescent="0.3">
      <c r="A4281" t="s">
        <v>9290</v>
      </c>
      <c r="C4281" t="s">
        <v>9291</v>
      </c>
      <c r="D4281" t="s">
        <v>9291</v>
      </c>
      <c r="E4281" s="5">
        <v>46288</v>
      </c>
      <c r="F4281" t="s">
        <v>204</v>
      </c>
      <c r="G4281" t="s">
        <v>213</v>
      </c>
      <c r="H4281">
        <v>2097</v>
      </c>
      <c r="I4281">
        <v>33.549999999999997</v>
      </c>
      <c r="J4281">
        <v>6.04</v>
      </c>
      <c r="K4281">
        <v>2057.41</v>
      </c>
      <c r="L4281" s="5">
        <v>46290</v>
      </c>
      <c r="M4281" t="s">
        <v>9048</v>
      </c>
      <c r="N4281" t="s">
        <v>207</v>
      </c>
      <c r="O4281" t="s">
        <v>9291</v>
      </c>
      <c r="P4281" t="s">
        <v>208</v>
      </c>
      <c r="Q4281" t="s">
        <v>209</v>
      </c>
    </row>
    <row r="4282" spans="1:17" x14ac:dyDescent="0.3">
      <c r="A4282" t="s">
        <v>9292</v>
      </c>
      <c r="C4282" t="s">
        <v>9293</v>
      </c>
      <c r="D4282" t="s">
        <v>9293</v>
      </c>
      <c r="E4282" s="5">
        <v>46288</v>
      </c>
      <c r="F4282" t="s">
        <v>204</v>
      </c>
      <c r="G4282" t="s">
        <v>213</v>
      </c>
      <c r="H4282">
        <v>3798</v>
      </c>
      <c r="I4282">
        <v>60.77</v>
      </c>
      <c r="J4282">
        <v>10.94</v>
      </c>
      <c r="K4282">
        <v>3726.29</v>
      </c>
      <c r="L4282" s="5">
        <v>46290</v>
      </c>
      <c r="M4282" t="s">
        <v>9048</v>
      </c>
      <c r="N4282" t="s">
        <v>207</v>
      </c>
      <c r="O4282" t="s">
        <v>9293</v>
      </c>
      <c r="P4282" t="s">
        <v>208</v>
      </c>
      <c r="Q4282" t="s">
        <v>209</v>
      </c>
    </row>
    <row r="4283" spans="1:17" x14ac:dyDescent="0.3">
      <c r="A4283" t="s">
        <v>9294</v>
      </c>
      <c r="C4283" t="s">
        <v>9295</v>
      </c>
      <c r="D4283" t="s">
        <v>9295</v>
      </c>
      <c r="E4283" s="5">
        <v>46288</v>
      </c>
      <c r="F4283" t="s">
        <v>204</v>
      </c>
      <c r="G4283" t="s">
        <v>220</v>
      </c>
      <c r="H4283">
        <v>6797</v>
      </c>
      <c r="I4283">
        <v>20.39</v>
      </c>
      <c r="J4283">
        <v>3.67</v>
      </c>
      <c r="K4283">
        <v>6772.94</v>
      </c>
      <c r="L4283" s="5">
        <v>46290</v>
      </c>
      <c r="M4283" t="s">
        <v>9048</v>
      </c>
      <c r="N4283" t="s">
        <v>207</v>
      </c>
      <c r="O4283" t="s">
        <v>9295</v>
      </c>
      <c r="P4283" t="s">
        <v>208</v>
      </c>
      <c r="Q4283" t="s">
        <v>209</v>
      </c>
    </row>
    <row r="4284" spans="1:17" x14ac:dyDescent="0.3">
      <c r="A4284" t="s">
        <v>9296</v>
      </c>
      <c r="C4284" t="s">
        <v>9297</v>
      </c>
      <c r="D4284" t="s">
        <v>9297</v>
      </c>
      <c r="E4284" s="5">
        <v>46288</v>
      </c>
      <c r="F4284" t="s">
        <v>204</v>
      </c>
      <c r="G4284" t="s">
        <v>255</v>
      </c>
      <c r="H4284">
        <v>499</v>
      </c>
      <c r="I4284">
        <v>7.49</v>
      </c>
      <c r="J4284">
        <v>1.35</v>
      </c>
      <c r="K4284">
        <v>490.16</v>
      </c>
      <c r="L4284" s="5">
        <v>46290</v>
      </c>
      <c r="M4284" t="s">
        <v>9048</v>
      </c>
      <c r="N4284" t="s">
        <v>207</v>
      </c>
      <c r="O4284" t="s">
        <v>9297</v>
      </c>
      <c r="P4284" t="s">
        <v>208</v>
      </c>
      <c r="Q4284" t="s">
        <v>209</v>
      </c>
    </row>
    <row r="4285" spans="1:17" x14ac:dyDescent="0.3">
      <c r="A4285" t="s">
        <v>9298</v>
      </c>
      <c r="C4285" t="s">
        <v>9299</v>
      </c>
      <c r="D4285" t="s">
        <v>9299</v>
      </c>
      <c r="E4285" s="5">
        <v>46288</v>
      </c>
      <c r="F4285" t="s">
        <v>204</v>
      </c>
      <c r="G4285" t="s">
        <v>220</v>
      </c>
      <c r="H4285">
        <v>7999</v>
      </c>
      <c r="I4285">
        <v>24</v>
      </c>
      <c r="J4285">
        <v>4.32</v>
      </c>
      <c r="K4285">
        <v>7970.68</v>
      </c>
      <c r="L4285" s="5">
        <v>46290</v>
      </c>
      <c r="M4285" t="s">
        <v>9048</v>
      </c>
      <c r="N4285" t="s">
        <v>207</v>
      </c>
      <c r="O4285" t="s">
        <v>9299</v>
      </c>
      <c r="P4285" t="s">
        <v>208</v>
      </c>
      <c r="Q4285" t="s">
        <v>209</v>
      </c>
    </row>
    <row r="4286" spans="1:17" x14ac:dyDescent="0.3">
      <c r="A4286" t="s">
        <v>9300</v>
      </c>
      <c r="C4286" t="s">
        <v>9301</v>
      </c>
      <c r="D4286" t="s">
        <v>9301</v>
      </c>
      <c r="E4286" s="5">
        <v>46288</v>
      </c>
      <c r="F4286" t="s">
        <v>204</v>
      </c>
      <c r="G4286" t="s">
        <v>205</v>
      </c>
      <c r="H4286">
        <v>7999</v>
      </c>
      <c r="I4286">
        <v>135.97999999999999</v>
      </c>
      <c r="J4286">
        <v>24.48</v>
      </c>
      <c r="K4286">
        <v>7838.54</v>
      </c>
      <c r="L4286" s="5">
        <v>46290</v>
      </c>
      <c r="M4286" t="s">
        <v>9048</v>
      </c>
      <c r="N4286" t="s">
        <v>207</v>
      </c>
      <c r="O4286" t="s">
        <v>9301</v>
      </c>
      <c r="P4286" t="s">
        <v>208</v>
      </c>
      <c r="Q4286" t="s">
        <v>209</v>
      </c>
    </row>
    <row r="4287" spans="1:17" x14ac:dyDescent="0.3">
      <c r="A4287" t="s">
        <v>9302</v>
      </c>
      <c r="C4287" t="s">
        <v>9303</v>
      </c>
      <c r="D4287" t="s">
        <v>9303</v>
      </c>
      <c r="E4287" s="5">
        <v>46288</v>
      </c>
      <c r="F4287" t="s">
        <v>204</v>
      </c>
      <c r="G4287" t="s">
        <v>213</v>
      </c>
      <c r="H4287">
        <v>8298</v>
      </c>
      <c r="I4287">
        <v>132.77000000000001</v>
      </c>
      <c r="J4287">
        <v>23.9</v>
      </c>
      <c r="K4287">
        <v>8141.33</v>
      </c>
      <c r="L4287" s="5">
        <v>46290</v>
      </c>
      <c r="M4287" t="s">
        <v>9048</v>
      </c>
      <c r="N4287" t="s">
        <v>207</v>
      </c>
      <c r="O4287" t="s">
        <v>9303</v>
      </c>
      <c r="P4287" t="s">
        <v>208</v>
      </c>
      <c r="Q4287" t="s">
        <v>209</v>
      </c>
    </row>
    <row r="4288" spans="1:17" x14ac:dyDescent="0.3">
      <c r="A4288" t="s">
        <v>9304</v>
      </c>
      <c r="C4288" t="s">
        <v>9305</v>
      </c>
      <c r="D4288" t="s">
        <v>9305</v>
      </c>
      <c r="E4288" s="5">
        <v>46288</v>
      </c>
      <c r="F4288" t="s">
        <v>204</v>
      </c>
      <c r="G4288" t="s">
        <v>213</v>
      </c>
      <c r="H4288">
        <v>15998</v>
      </c>
      <c r="I4288">
        <v>255.97</v>
      </c>
      <c r="J4288">
        <v>46.07</v>
      </c>
      <c r="K4288">
        <v>15695.96</v>
      </c>
      <c r="L4288" s="5">
        <v>46290</v>
      </c>
      <c r="M4288" t="s">
        <v>9048</v>
      </c>
      <c r="N4288" t="s">
        <v>207</v>
      </c>
      <c r="O4288" t="s">
        <v>9305</v>
      </c>
      <c r="P4288" t="s">
        <v>208</v>
      </c>
      <c r="Q4288" t="s">
        <v>209</v>
      </c>
    </row>
    <row r="4289" spans="1:17" x14ac:dyDescent="0.3">
      <c r="A4289" t="s">
        <v>9306</v>
      </c>
      <c r="C4289" t="s">
        <v>9307</v>
      </c>
      <c r="D4289" t="s">
        <v>9307</v>
      </c>
      <c r="E4289" s="5">
        <v>46288</v>
      </c>
      <c r="F4289" t="s">
        <v>204</v>
      </c>
      <c r="G4289" t="s">
        <v>220</v>
      </c>
      <c r="H4289">
        <v>4298</v>
      </c>
      <c r="I4289">
        <v>12.89</v>
      </c>
      <c r="J4289">
        <v>2.3199999999999998</v>
      </c>
      <c r="K4289">
        <v>4282.79</v>
      </c>
      <c r="L4289" s="5">
        <v>46290</v>
      </c>
      <c r="M4289" t="s">
        <v>9048</v>
      </c>
      <c r="N4289" t="s">
        <v>207</v>
      </c>
      <c r="O4289" t="s">
        <v>9307</v>
      </c>
      <c r="P4289" t="s">
        <v>208</v>
      </c>
      <c r="Q4289" t="s">
        <v>209</v>
      </c>
    </row>
    <row r="4290" spans="1:17" x14ac:dyDescent="0.3">
      <c r="A4290" t="s">
        <v>9308</v>
      </c>
      <c r="C4290" t="s">
        <v>9309</v>
      </c>
      <c r="D4290" t="s">
        <v>9309</v>
      </c>
      <c r="E4290" s="5">
        <v>46288</v>
      </c>
      <c r="F4290" t="s">
        <v>204</v>
      </c>
      <c r="G4290" t="s">
        <v>213</v>
      </c>
      <c r="H4290">
        <v>3098</v>
      </c>
      <c r="I4290">
        <v>49.57</v>
      </c>
      <c r="J4290">
        <v>8.92</v>
      </c>
      <c r="K4290">
        <v>3039.51</v>
      </c>
      <c r="L4290" s="5">
        <v>46290</v>
      </c>
      <c r="M4290" t="s">
        <v>9048</v>
      </c>
      <c r="N4290" t="s">
        <v>207</v>
      </c>
      <c r="O4290" t="s">
        <v>9309</v>
      </c>
      <c r="P4290" t="s">
        <v>208</v>
      </c>
      <c r="Q4290" t="s">
        <v>209</v>
      </c>
    </row>
    <row r="4291" spans="1:17" x14ac:dyDescent="0.3">
      <c r="A4291" t="s">
        <v>9310</v>
      </c>
      <c r="C4291" t="s">
        <v>9311</v>
      </c>
      <c r="D4291" t="s">
        <v>9311</v>
      </c>
      <c r="E4291" s="5">
        <v>46288</v>
      </c>
      <c r="F4291" t="s">
        <v>204</v>
      </c>
      <c r="G4291" t="s">
        <v>220</v>
      </c>
      <c r="H4291">
        <v>1298</v>
      </c>
      <c r="I4291">
        <v>0</v>
      </c>
      <c r="J4291">
        <v>0</v>
      </c>
      <c r="K4291">
        <v>1298</v>
      </c>
      <c r="L4291" s="5">
        <v>46290</v>
      </c>
      <c r="M4291" t="s">
        <v>9048</v>
      </c>
      <c r="N4291" t="s">
        <v>207</v>
      </c>
      <c r="O4291" t="s">
        <v>9311</v>
      </c>
      <c r="P4291" t="s">
        <v>208</v>
      </c>
      <c r="Q4291" t="s">
        <v>209</v>
      </c>
    </row>
    <row r="4292" spans="1:17" x14ac:dyDescent="0.3">
      <c r="A4292" t="s">
        <v>9312</v>
      </c>
      <c r="C4292" t="s">
        <v>9313</v>
      </c>
      <c r="D4292" t="s">
        <v>9313</v>
      </c>
      <c r="E4292" s="5">
        <v>46288</v>
      </c>
      <c r="F4292" t="s">
        <v>204</v>
      </c>
      <c r="G4292" t="s">
        <v>220</v>
      </c>
      <c r="H4292">
        <v>2498</v>
      </c>
      <c r="I4292">
        <v>7.49</v>
      </c>
      <c r="J4292">
        <v>1.35</v>
      </c>
      <c r="K4292">
        <v>2489.16</v>
      </c>
      <c r="L4292" s="5">
        <v>46290</v>
      </c>
      <c r="M4292" t="s">
        <v>9048</v>
      </c>
      <c r="N4292" t="s">
        <v>207</v>
      </c>
      <c r="O4292" t="s">
        <v>9313</v>
      </c>
      <c r="P4292" t="s">
        <v>208</v>
      </c>
      <c r="Q4292" t="s">
        <v>209</v>
      </c>
    </row>
    <row r="4293" spans="1:17" x14ac:dyDescent="0.3">
      <c r="A4293" t="s">
        <v>9314</v>
      </c>
      <c r="C4293" t="s">
        <v>9315</v>
      </c>
      <c r="D4293" t="s">
        <v>9316</v>
      </c>
      <c r="E4293" s="5">
        <v>46288</v>
      </c>
      <c r="F4293" t="s">
        <v>204</v>
      </c>
      <c r="G4293" t="s">
        <v>255</v>
      </c>
      <c r="H4293">
        <v>4498</v>
      </c>
      <c r="I4293">
        <v>53.98</v>
      </c>
      <c r="J4293">
        <v>9.7200000000000006</v>
      </c>
      <c r="K4293">
        <v>4434.3</v>
      </c>
      <c r="L4293" s="5">
        <v>46290</v>
      </c>
      <c r="M4293" t="s">
        <v>9048</v>
      </c>
      <c r="N4293" t="s">
        <v>207</v>
      </c>
      <c r="O4293" t="s">
        <v>9316</v>
      </c>
      <c r="P4293" t="s">
        <v>208</v>
      </c>
      <c r="Q4293" t="s">
        <v>209</v>
      </c>
    </row>
    <row r="4294" spans="1:17" x14ac:dyDescent="0.3">
      <c r="A4294" t="s">
        <v>9317</v>
      </c>
      <c r="C4294" t="s">
        <v>9318</v>
      </c>
      <c r="D4294" t="s">
        <v>9318</v>
      </c>
      <c r="E4294" s="5">
        <v>46288</v>
      </c>
      <c r="F4294" t="s">
        <v>204</v>
      </c>
      <c r="G4294" t="s">
        <v>213</v>
      </c>
      <c r="H4294">
        <v>999</v>
      </c>
      <c r="I4294">
        <v>17.98</v>
      </c>
      <c r="J4294">
        <v>3.24</v>
      </c>
      <c r="K4294">
        <v>977.78</v>
      </c>
      <c r="L4294" s="5">
        <v>46290</v>
      </c>
      <c r="M4294" t="s">
        <v>9048</v>
      </c>
      <c r="N4294" t="s">
        <v>207</v>
      </c>
      <c r="O4294" t="s">
        <v>9318</v>
      </c>
      <c r="P4294" t="s">
        <v>208</v>
      </c>
      <c r="Q4294" t="s">
        <v>209</v>
      </c>
    </row>
    <row r="4295" spans="1:17" x14ac:dyDescent="0.3">
      <c r="A4295" t="s">
        <v>9319</v>
      </c>
      <c r="C4295" t="s">
        <v>9320</v>
      </c>
      <c r="D4295" t="s">
        <v>9320</v>
      </c>
      <c r="E4295" s="5">
        <v>46288</v>
      </c>
      <c r="F4295" t="s">
        <v>204</v>
      </c>
      <c r="G4295" t="s">
        <v>220</v>
      </c>
      <c r="H4295">
        <v>8298</v>
      </c>
      <c r="I4295">
        <v>24.89</v>
      </c>
      <c r="J4295">
        <v>4.4800000000000004</v>
      </c>
      <c r="K4295">
        <v>8268.6299999999992</v>
      </c>
      <c r="L4295" s="5">
        <v>46290</v>
      </c>
      <c r="M4295" t="s">
        <v>9048</v>
      </c>
      <c r="N4295" t="s">
        <v>207</v>
      </c>
      <c r="O4295" t="s">
        <v>9320</v>
      </c>
      <c r="P4295" t="s">
        <v>208</v>
      </c>
      <c r="Q4295" t="s">
        <v>209</v>
      </c>
    </row>
    <row r="4296" spans="1:17" x14ac:dyDescent="0.3">
      <c r="A4296" t="s">
        <v>9321</v>
      </c>
      <c r="C4296" t="s">
        <v>9322</v>
      </c>
      <c r="D4296" t="s">
        <v>9323</v>
      </c>
      <c r="E4296" s="5">
        <v>46288</v>
      </c>
      <c r="F4296" t="s">
        <v>204</v>
      </c>
      <c r="G4296" t="s">
        <v>220</v>
      </c>
      <c r="H4296">
        <v>2998</v>
      </c>
      <c r="I4296">
        <v>8.99</v>
      </c>
      <c r="J4296">
        <v>1.62</v>
      </c>
      <c r="K4296">
        <v>2987.39</v>
      </c>
      <c r="L4296" s="5">
        <v>46290</v>
      </c>
      <c r="M4296" t="s">
        <v>9048</v>
      </c>
      <c r="N4296" t="s">
        <v>207</v>
      </c>
      <c r="O4296" t="s">
        <v>9323</v>
      </c>
      <c r="P4296" t="s">
        <v>208</v>
      </c>
      <c r="Q4296" t="s">
        <v>209</v>
      </c>
    </row>
    <row r="4297" spans="1:17" x14ac:dyDescent="0.3">
      <c r="A4297" t="s">
        <v>9324</v>
      </c>
      <c r="C4297" t="s">
        <v>9325</v>
      </c>
      <c r="D4297" t="s">
        <v>9325</v>
      </c>
      <c r="E4297" s="5">
        <v>46288</v>
      </c>
      <c r="F4297" t="s">
        <v>204</v>
      </c>
      <c r="G4297" t="s">
        <v>213</v>
      </c>
      <c r="H4297">
        <v>799</v>
      </c>
      <c r="I4297">
        <v>14.38</v>
      </c>
      <c r="J4297">
        <v>2.59</v>
      </c>
      <c r="K4297">
        <v>782.03</v>
      </c>
      <c r="L4297" s="5">
        <v>46290</v>
      </c>
      <c r="M4297" t="s">
        <v>9048</v>
      </c>
      <c r="N4297" t="s">
        <v>207</v>
      </c>
      <c r="O4297" t="s">
        <v>9325</v>
      </c>
      <c r="P4297" t="s">
        <v>208</v>
      </c>
      <c r="Q4297" t="s">
        <v>209</v>
      </c>
    </row>
    <row r="4298" spans="1:17" x14ac:dyDescent="0.3">
      <c r="A4298" t="s">
        <v>9326</v>
      </c>
      <c r="C4298" t="s">
        <v>9327</v>
      </c>
      <c r="D4298" t="s">
        <v>9327</v>
      </c>
      <c r="E4298" s="5">
        <v>46288</v>
      </c>
      <c r="F4298" t="s">
        <v>204</v>
      </c>
      <c r="G4298" t="s">
        <v>205</v>
      </c>
      <c r="H4298">
        <v>8797</v>
      </c>
      <c r="I4298">
        <v>149.55000000000001</v>
      </c>
      <c r="J4298">
        <v>26.92</v>
      </c>
      <c r="K4298">
        <v>8620.5300000000007</v>
      </c>
      <c r="L4298" s="5">
        <v>46290</v>
      </c>
      <c r="M4298" t="s">
        <v>9048</v>
      </c>
      <c r="N4298" t="s">
        <v>207</v>
      </c>
      <c r="O4298" t="s">
        <v>9327</v>
      </c>
      <c r="P4298" t="s">
        <v>208</v>
      </c>
      <c r="Q4298" t="s">
        <v>209</v>
      </c>
    </row>
    <row r="4299" spans="1:17" x14ac:dyDescent="0.3">
      <c r="A4299" t="s">
        <v>9328</v>
      </c>
      <c r="C4299" t="s">
        <v>9329</v>
      </c>
      <c r="D4299" t="s">
        <v>9329</v>
      </c>
      <c r="E4299" s="5">
        <v>46288</v>
      </c>
      <c r="F4299" t="s">
        <v>204</v>
      </c>
      <c r="G4299" t="s">
        <v>213</v>
      </c>
      <c r="H4299">
        <v>4497</v>
      </c>
      <c r="I4299">
        <v>71.95</v>
      </c>
      <c r="J4299">
        <v>12.95</v>
      </c>
      <c r="K4299">
        <v>4412.1000000000004</v>
      </c>
      <c r="L4299" s="5">
        <v>46290</v>
      </c>
      <c r="M4299" t="s">
        <v>9048</v>
      </c>
      <c r="N4299" t="s">
        <v>207</v>
      </c>
      <c r="O4299" t="s">
        <v>9329</v>
      </c>
      <c r="P4299" t="s">
        <v>208</v>
      </c>
      <c r="Q4299" t="s">
        <v>209</v>
      </c>
    </row>
    <row r="4300" spans="1:17" x14ac:dyDescent="0.3">
      <c r="A4300" t="s">
        <v>9330</v>
      </c>
      <c r="C4300" t="s">
        <v>9331</v>
      </c>
      <c r="D4300" t="s">
        <v>9331</v>
      </c>
      <c r="E4300" s="5">
        <v>46288</v>
      </c>
      <c r="F4300" t="s">
        <v>204</v>
      </c>
      <c r="G4300" t="s">
        <v>213</v>
      </c>
      <c r="H4300">
        <v>3499</v>
      </c>
      <c r="I4300">
        <v>55.98</v>
      </c>
      <c r="J4300">
        <v>10.08</v>
      </c>
      <c r="K4300">
        <v>3432.94</v>
      </c>
      <c r="L4300" s="5">
        <v>46290</v>
      </c>
      <c r="M4300" t="s">
        <v>9048</v>
      </c>
      <c r="N4300" t="s">
        <v>207</v>
      </c>
      <c r="O4300" t="s">
        <v>9331</v>
      </c>
      <c r="P4300" t="s">
        <v>208</v>
      </c>
      <c r="Q4300" t="s">
        <v>209</v>
      </c>
    </row>
    <row r="4301" spans="1:17" x14ac:dyDescent="0.3">
      <c r="A4301" t="s">
        <v>9332</v>
      </c>
      <c r="C4301" t="s">
        <v>9333</v>
      </c>
      <c r="D4301" t="s">
        <v>9333</v>
      </c>
      <c r="E4301" s="5">
        <v>46288</v>
      </c>
      <c r="F4301" t="s">
        <v>204</v>
      </c>
      <c r="G4301" t="s">
        <v>213</v>
      </c>
      <c r="H4301">
        <v>4999</v>
      </c>
      <c r="I4301">
        <v>79.98</v>
      </c>
      <c r="J4301">
        <v>14.4</v>
      </c>
      <c r="K4301">
        <v>4904.62</v>
      </c>
      <c r="L4301" s="5">
        <v>46290</v>
      </c>
      <c r="M4301" t="s">
        <v>9048</v>
      </c>
      <c r="N4301" t="s">
        <v>207</v>
      </c>
      <c r="O4301" t="s">
        <v>9333</v>
      </c>
      <c r="P4301" t="s">
        <v>208</v>
      </c>
      <c r="Q4301" t="s">
        <v>209</v>
      </c>
    </row>
    <row r="4302" spans="1:17" x14ac:dyDescent="0.3">
      <c r="A4302" t="s">
        <v>9334</v>
      </c>
      <c r="C4302" t="s">
        <v>9335</v>
      </c>
      <c r="D4302" t="s">
        <v>9335</v>
      </c>
      <c r="E4302" s="5">
        <v>46288</v>
      </c>
      <c r="F4302" t="s">
        <v>204</v>
      </c>
      <c r="G4302" t="s">
        <v>205</v>
      </c>
      <c r="H4302">
        <v>1299</v>
      </c>
      <c r="I4302">
        <v>24.68</v>
      </c>
      <c r="J4302">
        <v>4.4400000000000004</v>
      </c>
      <c r="K4302">
        <v>1269.8800000000001</v>
      </c>
      <c r="L4302" s="5">
        <v>46290</v>
      </c>
      <c r="M4302" t="s">
        <v>9048</v>
      </c>
      <c r="N4302" t="s">
        <v>207</v>
      </c>
      <c r="O4302" t="s">
        <v>9335</v>
      </c>
      <c r="P4302" t="s">
        <v>208</v>
      </c>
      <c r="Q4302" t="s">
        <v>209</v>
      </c>
    </row>
    <row r="4303" spans="1:17" x14ac:dyDescent="0.3">
      <c r="A4303" t="s">
        <v>9336</v>
      </c>
      <c r="C4303" t="s">
        <v>9337</v>
      </c>
      <c r="D4303" t="s">
        <v>9337</v>
      </c>
      <c r="E4303" s="5">
        <v>46288</v>
      </c>
      <c r="F4303" t="s">
        <v>204</v>
      </c>
      <c r="G4303" t="s">
        <v>220</v>
      </c>
      <c r="H4303">
        <v>349</v>
      </c>
      <c r="I4303">
        <v>0</v>
      </c>
      <c r="J4303">
        <v>0</v>
      </c>
      <c r="K4303">
        <v>349</v>
      </c>
      <c r="L4303" s="5">
        <v>46290</v>
      </c>
      <c r="M4303" t="s">
        <v>9048</v>
      </c>
      <c r="N4303" t="s">
        <v>207</v>
      </c>
      <c r="O4303" t="s">
        <v>9337</v>
      </c>
      <c r="P4303" t="s">
        <v>208</v>
      </c>
      <c r="Q4303" t="s">
        <v>209</v>
      </c>
    </row>
    <row r="4304" spans="1:17" x14ac:dyDescent="0.3">
      <c r="A4304" t="s">
        <v>9338</v>
      </c>
      <c r="C4304" t="s">
        <v>9339</v>
      </c>
      <c r="D4304" t="s">
        <v>9339</v>
      </c>
      <c r="E4304" s="5">
        <v>46288</v>
      </c>
      <c r="F4304" t="s">
        <v>204</v>
      </c>
      <c r="G4304" t="s">
        <v>205</v>
      </c>
      <c r="H4304">
        <v>1498</v>
      </c>
      <c r="I4304">
        <v>28.46</v>
      </c>
      <c r="J4304">
        <v>5.12</v>
      </c>
      <c r="K4304">
        <v>1464.42</v>
      </c>
      <c r="L4304" s="5">
        <v>46290</v>
      </c>
      <c r="M4304" t="s">
        <v>9048</v>
      </c>
      <c r="N4304" t="s">
        <v>207</v>
      </c>
      <c r="O4304" t="s">
        <v>9339</v>
      </c>
      <c r="P4304" t="s">
        <v>208</v>
      </c>
      <c r="Q4304" t="s">
        <v>209</v>
      </c>
    </row>
    <row r="4305" spans="1:17" x14ac:dyDescent="0.3">
      <c r="A4305" t="s">
        <v>9340</v>
      </c>
      <c r="C4305" t="s">
        <v>9341</v>
      </c>
      <c r="D4305" t="s">
        <v>9341</v>
      </c>
      <c r="E4305" s="5">
        <v>46288</v>
      </c>
      <c r="F4305" t="s">
        <v>204</v>
      </c>
      <c r="G4305" t="s">
        <v>205</v>
      </c>
      <c r="H4305">
        <v>2598</v>
      </c>
      <c r="I4305">
        <v>44.17</v>
      </c>
      <c r="J4305">
        <v>7.95</v>
      </c>
      <c r="K4305">
        <v>2545.88</v>
      </c>
      <c r="L4305" s="5">
        <v>46290</v>
      </c>
      <c r="M4305" t="s">
        <v>9048</v>
      </c>
      <c r="N4305" t="s">
        <v>207</v>
      </c>
      <c r="O4305" t="s">
        <v>9341</v>
      </c>
      <c r="P4305" t="s">
        <v>208</v>
      </c>
      <c r="Q4305" t="s">
        <v>209</v>
      </c>
    </row>
    <row r="4306" spans="1:17" x14ac:dyDescent="0.3">
      <c r="A4306" t="s">
        <v>9342</v>
      </c>
      <c r="C4306" t="s">
        <v>9343</v>
      </c>
      <c r="D4306" t="s">
        <v>9343</v>
      </c>
      <c r="E4306" s="5">
        <v>46288</v>
      </c>
      <c r="F4306" t="s">
        <v>204</v>
      </c>
      <c r="G4306" t="s">
        <v>220</v>
      </c>
      <c r="H4306">
        <v>4297</v>
      </c>
      <c r="I4306">
        <v>12.89</v>
      </c>
      <c r="J4306">
        <v>2.3199999999999998</v>
      </c>
      <c r="K4306">
        <v>4281.79</v>
      </c>
      <c r="L4306" s="5">
        <v>46290</v>
      </c>
      <c r="M4306" t="s">
        <v>9048</v>
      </c>
      <c r="N4306" t="s">
        <v>207</v>
      </c>
      <c r="O4306" t="s">
        <v>9343</v>
      </c>
      <c r="P4306" t="s">
        <v>208</v>
      </c>
      <c r="Q4306" t="s">
        <v>209</v>
      </c>
    </row>
    <row r="4307" spans="1:17" x14ac:dyDescent="0.3">
      <c r="A4307" t="s">
        <v>9344</v>
      </c>
      <c r="C4307" t="s">
        <v>9345</v>
      </c>
      <c r="D4307" t="s">
        <v>9345</v>
      </c>
      <c r="E4307" s="5">
        <v>46288</v>
      </c>
      <c r="F4307" t="s">
        <v>204</v>
      </c>
      <c r="G4307" t="s">
        <v>213</v>
      </c>
      <c r="H4307">
        <v>598</v>
      </c>
      <c r="I4307">
        <v>10.76</v>
      </c>
      <c r="J4307">
        <v>1.94</v>
      </c>
      <c r="K4307">
        <v>585.29999999999995</v>
      </c>
      <c r="L4307" s="5">
        <v>46290</v>
      </c>
      <c r="M4307" t="s">
        <v>9048</v>
      </c>
      <c r="N4307" t="s">
        <v>207</v>
      </c>
      <c r="O4307" t="s">
        <v>9345</v>
      </c>
      <c r="P4307" t="s">
        <v>208</v>
      </c>
      <c r="Q4307" t="s">
        <v>209</v>
      </c>
    </row>
    <row r="4308" spans="1:17" x14ac:dyDescent="0.3">
      <c r="A4308" t="s">
        <v>9346</v>
      </c>
      <c r="C4308" t="s">
        <v>9347</v>
      </c>
      <c r="D4308" t="s">
        <v>9347</v>
      </c>
      <c r="E4308" s="5">
        <v>46288</v>
      </c>
      <c r="F4308" t="s">
        <v>204</v>
      </c>
      <c r="G4308" t="s">
        <v>220</v>
      </c>
      <c r="H4308">
        <v>8348</v>
      </c>
      <c r="I4308">
        <v>25.04</v>
      </c>
      <c r="J4308">
        <v>4.51</v>
      </c>
      <c r="K4308">
        <v>8318.4500000000007</v>
      </c>
      <c r="L4308" s="5">
        <v>46290</v>
      </c>
      <c r="M4308" t="s">
        <v>9048</v>
      </c>
      <c r="N4308" t="s">
        <v>207</v>
      </c>
      <c r="O4308" t="s">
        <v>9347</v>
      </c>
      <c r="P4308" t="s">
        <v>208</v>
      </c>
      <c r="Q4308" t="s">
        <v>209</v>
      </c>
    </row>
    <row r="4309" spans="1:17" x14ac:dyDescent="0.3">
      <c r="A4309" t="s">
        <v>9348</v>
      </c>
      <c r="C4309" t="s">
        <v>9349</v>
      </c>
      <c r="D4309" t="s">
        <v>9349</v>
      </c>
      <c r="E4309" s="5">
        <v>46288</v>
      </c>
      <c r="F4309" t="s">
        <v>204</v>
      </c>
      <c r="G4309" t="s">
        <v>220</v>
      </c>
      <c r="H4309">
        <v>3197</v>
      </c>
      <c r="I4309">
        <v>9.59</v>
      </c>
      <c r="J4309">
        <v>1.73</v>
      </c>
      <c r="K4309">
        <v>3185.68</v>
      </c>
      <c r="L4309" s="5">
        <v>46290</v>
      </c>
      <c r="M4309" t="s">
        <v>9048</v>
      </c>
      <c r="N4309" t="s">
        <v>207</v>
      </c>
      <c r="O4309" t="s">
        <v>9349</v>
      </c>
      <c r="P4309" t="s">
        <v>208</v>
      </c>
      <c r="Q4309" t="s">
        <v>209</v>
      </c>
    </row>
    <row r="4310" spans="1:17" x14ac:dyDescent="0.3">
      <c r="A4310" t="s">
        <v>9350</v>
      </c>
      <c r="C4310" t="s">
        <v>9351</v>
      </c>
      <c r="D4310" t="s">
        <v>9351</v>
      </c>
      <c r="E4310" s="5">
        <v>46288</v>
      </c>
      <c r="F4310" t="s">
        <v>204</v>
      </c>
      <c r="G4310" t="s">
        <v>213</v>
      </c>
      <c r="H4310">
        <v>12998</v>
      </c>
      <c r="I4310">
        <v>207.97</v>
      </c>
      <c r="J4310">
        <v>37.43</v>
      </c>
      <c r="K4310">
        <v>12752.6</v>
      </c>
      <c r="L4310" s="5">
        <v>46290</v>
      </c>
      <c r="M4310" t="s">
        <v>9048</v>
      </c>
      <c r="N4310" t="s">
        <v>207</v>
      </c>
      <c r="O4310" t="s">
        <v>9351</v>
      </c>
      <c r="P4310" t="s">
        <v>208</v>
      </c>
      <c r="Q4310" t="s">
        <v>209</v>
      </c>
    </row>
    <row r="4311" spans="1:17" x14ac:dyDescent="0.3">
      <c r="A4311" t="s">
        <v>9352</v>
      </c>
      <c r="C4311" t="s">
        <v>9353</v>
      </c>
      <c r="D4311" t="s">
        <v>9353</v>
      </c>
      <c r="E4311" s="5">
        <v>46288</v>
      </c>
      <c r="F4311" t="s">
        <v>204</v>
      </c>
      <c r="G4311" t="s">
        <v>205</v>
      </c>
      <c r="H4311">
        <v>3499</v>
      </c>
      <c r="I4311">
        <v>59.48</v>
      </c>
      <c r="J4311">
        <v>10.71</v>
      </c>
      <c r="K4311">
        <v>3428.81</v>
      </c>
      <c r="L4311" s="5">
        <v>46290</v>
      </c>
      <c r="M4311" t="s">
        <v>9048</v>
      </c>
      <c r="N4311" t="s">
        <v>207</v>
      </c>
      <c r="O4311" t="s">
        <v>9353</v>
      </c>
      <c r="P4311" t="s">
        <v>208</v>
      </c>
      <c r="Q4311" t="s">
        <v>209</v>
      </c>
    </row>
    <row r="4312" spans="1:17" x14ac:dyDescent="0.3">
      <c r="A4312" t="s">
        <v>9354</v>
      </c>
      <c r="C4312" t="s">
        <v>9355</v>
      </c>
      <c r="D4312" t="s">
        <v>9355</v>
      </c>
      <c r="E4312" s="5">
        <v>46288</v>
      </c>
      <c r="F4312" t="s">
        <v>204</v>
      </c>
      <c r="G4312" t="s">
        <v>220</v>
      </c>
      <c r="H4312">
        <v>1799</v>
      </c>
      <c r="I4312">
        <v>0</v>
      </c>
      <c r="J4312">
        <v>0</v>
      </c>
      <c r="K4312">
        <v>1799</v>
      </c>
      <c r="L4312" s="5">
        <v>46290</v>
      </c>
      <c r="M4312" t="s">
        <v>9048</v>
      </c>
      <c r="N4312" t="s">
        <v>207</v>
      </c>
      <c r="O4312" t="s">
        <v>9355</v>
      </c>
      <c r="P4312" t="s">
        <v>208</v>
      </c>
      <c r="Q4312" t="s">
        <v>209</v>
      </c>
    </row>
    <row r="4313" spans="1:17" x14ac:dyDescent="0.3">
      <c r="A4313" t="s">
        <v>9356</v>
      </c>
      <c r="C4313" t="s">
        <v>9357</v>
      </c>
      <c r="D4313" t="s">
        <v>9357</v>
      </c>
      <c r="E4313" s="5">
        <v>46288</v>
      </c>
      <c r="F4313" t="s">
        <v>204</v>
      </c>
      <c r="G4313" t="s">
        <v>220</v>
      </c>
      <c r="H4313">
        <v>8798</v>
      </c>
      <c r="I4313">
        <v>26.39</v>
      </c>
      <c r="J4313">
        <v>4.75</v>
      </c>
      <c r="K4313">
        <v>8766.86</v>
      </c>
      <c r="L4313" s="5">
        <v>46290</v>
      </c>
      <c r="M4313" t="s">
        <v>9048</v>
      </c>
      <c r="N4313" t="s">
        <v>207</v>
      </c>
      <c r="O4313" t="s">
        <v>9357</v>
      </c>
      <c r="P4313" t="s">
        <v>208</v>
      </c>
      <c r="Q4313" t="s">
        <v>209</v>
      </c>
    </row>
    <row r="4314" spans="1:17" x14ac:dyDescent="0.3">
      <c r="A4314" t="s">
        <v>9358</v>
      </c>
      <c r="C4314" t="s">
        <v>9359</v>
      </c>
      <c r="D4314" t="s">
        <v>9359</v>
      </c>
      <c r="E4314" s="5">
        <v>46288</v>
      </c>
      <c r="F4314" t="s">
        <v>204</v>
      </c>
      <c r="G4314" t="s">
        <v>213</v>
      </c>
      <c r="H4314">
        <v>6798</v>
      </c>
      <c r="I4314">
        <v>108.77</v>
      </c>
      <c r="J4314">
        <v>19.579999999999998</v>
      </c>
      <c r="K4314">
        <v>6669.65</v>
      </c>
      <c r="L4314" s="5">
        <v>46290</v>
      </c>
      <c r="M4314" t="s">
        <v>9048</v>
      </c>
      <c r="N4314" t="s">
        <v>207</v>
      </c>
      <c r="O4314" t="s">
        <v>9359</v>
      </c>
      <c r="P4314" t="s">
        <v>208</v>
      </c>
      <c r="Q4314" t="s">
        <v>209</v>
      </c>
    </row>
    <row r="4315" spans="1:17" x14ac:dyDescent="0.3">
      <c r="A4315" t="s">
        <v>9360</v>
      </c>
      <c r="C4315" t="s">
        <v>9361</v>
      </c>
      <c r="D4315" t="s">
        <v>9361</v>
      </c>
      <c r="E4315" s="5">
        <v>46288</v>
      </c>
      <c r="F4315" t="s">
        <v>204</v>
      </c>
      <c r="G4315" t="s">
        <v>213</v>
      </c>
      <c r="H4315">
        <v>7999</v>
      </c>
      <c r="I4315">
        <v>127.98</v>
      </c>
      <c r="J4315">
        <v>23.04</v>
      </c>
      <c r="K4315">
        <v>7847.98</v>
      </c>
      <c r="L4315" s="5">
        <v>46290</v>
      </c>
      <c r="M4315" t="s">
        <v>9048</v>
      </c>
      <c r="N4315" t="s">
        <v>207</v>
      </c>
      <c r="O4315" t="s">
        <v>9361</v>
      </c>
      <c r="P4315" t="s">
        <v>208</v>
      </c>
      <c r="Q4315" t="s">
        <v>209</v>
      </c>
    </row>
    <row r="4316" spans="1:17" x14ac:dyDescent="0.3">
      <c r="A4316" t="s">
        <v>9362</v>
      </c>
      <c r="C4316" t="s">
        <v>9363</v>
      </c>
      <c r="D4316" t="s">
        <v>9363</v>
      </c>
      <c r="E4316" s="5">
        <v>46288</v>
      </c>
      <c r="F4316" t="s">
        <v>204</v>
      </c>
      <c r="G4316" t="s">
        <v>220</v>
      </c>
      <c r="H4316">
        <v>599</v>
      </c>
      <c r="I4316">
        <v>1.8</v>
      </c>
      <c r="J4316">
        <v>0.32</v>
      </c>
      <c r="K4316">
        <v>596.88</v>
      </c>
      <c r="L4316" s="5">
        <v>46290</v>
      </c>
      <c r="M4316" t="s">
        <v>9048</v>
      </c>
      <c r="N4316" t="s">
        <v>207</v>
      </c>
      <c r="O4316" t="s">
        <v>9363</v>
      </c>
      <c r="P4316" t="s">
        <v>208</v>
      </c>
      <c r="Q4316" t="s">
        <v>209</v>
      </c>
    </row>
    <row r="4317" spans="1:17" x14ac:dyDescent="0.3">
      <c r="A4317" t="s">
        <v>9364</v>
      </c>
      <c r="C4317" t="s">
        <v>9365</v>
      </c>
      <c r="D4317" t="s">
        <v>9365</v>
      </c>
      <c r="E4317" s="5">
        <v>46288</v>
      </c>
      <c r="F4317" t="s">
        <v>204</v>
      </c>
      <c r="G4317" t="s">
        <v>220</v>
      </c>
      <c r="H4317">
        <v>349</v>
      </c>
      <c r="I4317">
        <v>0</v>
      </c>
      <c r="J4317">
        <v>0</v>
      </c>
      <c r="K4317">
        <v>349</v>
      </c>
      <c r="L4317" s="5">
        <v>46290</v>
      </c>
      <c r="M4317" t="s">
        <v>9048</v>
      </c>
      <c r="N4317" t="s">
        <v>207</v>
      </c>
      <c r="O4317" t="s">
        <v>9365</v>
      </c>
      <c r="P4317" t="s">
        <v>208</v>
      </c>
      <c r="Q4317" t="s">
        <v>209</v>
      </c>
    </row>
    <row r="4318" spans="1:17" x14ac:dyDescent="0.3">
      <c r="A4318" t="s">
        <v>9366</v>
      </c>
      <c r="C4318" t="s">
        <v>9367</v>
      </c>
      <c r="D4318" t="s">
        <v>9367</v>
      </c>
      <c r="E4318" s="5">
        <v>46288</v>
      </c>
      <c r="F4318" t="s">
        <v>204</v>
      </c>
      <c r="G4318" t="s">
        <v>220</v>
      </c>
      <c r="H4318">
        <v>3499</v>
      </c>
      <c r="I4318">
        <v>10.5</v>
      </c>
      <c r="J4318">
        <v>1.89</v>
      </c>
      <c r="K4318">
        <v>3486.61</v>
      </c>
      <c r="L4318" s="5">
        <v>46290</v>
      </c>
      <c r="M4318" t="s">
        <v>9048</v>
      </c>
      <c r="N4318" t="s">
        <v>207</v>
      </c>
      <c r="O4318" t="s">
        <v>9367</v>
      </c>
      <c r="P4318" t="s">
        <v>208</v>
      </c>
      <c r="Q4318" t="s">
        <v>209</v>
      </c>
    </row>
    <row r="4319" spans="1:17" x14ac:dyDescent="0.3">
      <c r="A4319" t="s">
        <v>9368</v>
      </c>
      <c r="C4319" t="s">
        <v>9369</v>
      </c>
      <c r="D4319" t="s">
        <v>9369</v>
      </c>
      <c r="E4319" s="5">
        <v>46288</v>
      </c>
      <c r="F4319" t="s">
        <v>204</v>
      </c>
      <c r="G4319" t="s">
        <v>205</v>
      </c>
      <c r="H4319">
        <v>1499</v>
      </c>
      <c r="I4319">
        <v>28.48</v>
      </c>
      <c r="J4319">
        <v>5.13</v>
      </c>
      <c r="K4319">
        <v>1465.39</v>
      </c>
      <c r="L4319" s="5">
        <v>46290</v>
      </c>
      <c r="M4319" t="s">
        <v>9048</v>
      </c>
      <c r="N4319" t="s">
        <v>207</v>
      </c>
      <c r="O4319" t="s">
        <v>9369</v>
      </c>
      <c r="P4319" t="s">
        <v>208</v>
      </c>
      <c r="Q4319" t="s">
        <v>209</v>
      </c>
    </row>
    <row r="4320" spans="1:17" x14ac:dyDescent="0.3">
      <c r="A4320" t="s">
        <v>9370</v>
      </c>
      <c r="C4320" t="s">
        <v>9371</v>
      </c>
      <c r="D4320" t="s">
        <v>9371</v>
      </c>
      <c r="E4320" s="5">
        <v>46288</v>
      </c>
      <c r="F4320" t="s">
        <v>204</v>
      </c>
      <c r="G4320" t="s">
        <v>220</v>
      </c>
      <c r="H4320">
        <v>1299</v>
      </c>
      <c r="I4320">
        <v>0</v>
      </c>
      <c r="J4320">
        <v>0</v>
      </c>
      <c r="K4320">
        <v>1299</v>
      </c>
      <c r="L4320" s="5">
        <v>46290</v>
      </c>
      <c r="M4320" t="s">
        <v>9048</v>
      </c>
      <c r="N4320" t="s">
        <v>207</v>
      </c>
      <c r="O4320" t="s">
        <v>9371</v>
      </c>
      <c r="P4320" t="s">
        <v>208</v>
      </c>
      <c r="Q4320" t="s">
        <v>209</v>
      </c>
    </row>
    <row r="4321" spans="1:17" x14ac:dyDescent="0.3">
      <c r="A4321" t="s">
        <v>9372</v>
      </c>
      <c r="C4321" t="s">
        <v>9373</v>
      </c>
      <c r="D4321" t="s">
        <v>9373</v>
      </c>
      <c r="E4321" s="5">
        <v>46288</v>
      </c>
      <c r="F4321" t="s">
        <v>204</v>
      </c>
      <c r="G4321" t="s">
        <v>255</v>
      </c>
      <c r="H4321">
        <v>3798</v>
      </c>
      <c r="I4321">
        <v>45.58</v>
      </c>
      <c r="J4321">
        <v>8.1999999999999993</v>
      </c>
      <c r="K4321">
        <v>3744.22</v>
      </c>
      <c r="L4321" s="5">
        <v>46290</v>
      </c>
      <c r="M4321" t="s">
        <v>9048</v>
      </c>
      <c r="N4321" t="s">
        <v>207</v>
      </c>
      <c r="O4321" t="s">
        <v>9373</v>
      </c>
      <c r="P4321" t="s">
        <v>208</v>
      </c>
      <c r="Q4321" t="s">
        <v>209</v>
      </c>
    </row>
    <row r="4322" spans="1:17" x14ac:dyDescent="0.3">
      <c r="A4322" t="s">
        <v>9374</v>
      </c>
      <c r="C4322" t="s">
        <v>9375</v>
      </c>
      <c r="D4322" t="s">
        <v>9375</v>
      </c>
      <c r="E4322" s="5">
        <v>46288</v>
      </c>
      <c r="F4322" t="s">
        <v>204</v>
      </c>
      <c r="G4322" t="s">
        <v>220</v>
      </c>
      <c r="H4322">
        <v>2499</v>
      </c>
      <c r="I4322">
        <v>7.5</v>
      </c>
      <c r="J4322">
        <v>1.35</v>
      </c>
      <c r="K4322">
        <v>2490.15</v>
      </c>
      <c r="L4322" s="5">
        <v>46290</v>
      </c>
      <c r="M4322" t="s">
        <v>9048</v>
      </c>
      <c r="N4322" t="s">
        <v>207</v>
      </c>
      <c r="O4322" t="s">
        <v>9375</v>
      </c>
      <c r="P4322" t="s">
        <v>208</v>
      </c>
      <c r="Q4322" t="s">
        <v>209</v>
      </c>
    </row>
    <row r="4323" spans="1:17" x14ac:dyDescent="0.3">
      <c r="A4323" t="s">
        <v>9376</v>
      </c>
      <c r="C4323" t="s">
        <v>9377</v>
      </c>
      <c r="D4323" t="s">
        <v>9377</v>
      </c>
      <c r="E4323" s="5">
        <v>46288</v>
      </c>
      <c r="F4323" t="s">
        <v>204</v>
      </c>
      <c r="G4323" t="s">
        <v>220</v>
      </c>
      <c r="H4323">
        <v>3499</v>
      </c>
      <c r="I4323">
        <v>10.5</v>
      </c>
      <c r="J4323">
        <v>1.89</v>
      </c>
      <c r="K4323">
        <v>3486.61</v>
      </c>
      <c r="L4323" s="5">
        <v>46290</v>
      </c>
      <c r="M4323" t="s">
        <v>9048</v>
      </c>
      <c r="N4323" t="s">
        <v>207</v>
      </c>
      <c r="O4323" t="s">
        <v>9377</v>
      </c>
      <c r="P4323" t="s">
        <v>208</v>
      </c>
      <c r="Q4323" t="s">
        <v>209</v>
      </c>
    </row>
    <row r="4324" spans="1:17" x14ac:dyDescent="0.3">
      <c r="A4324" t="s">
        <v>9378</v>
      </c>
      <c r="C4324" t="s">
        <v>9379</v>
      </c>
      <c r="D4324" t="s">
        <v>9379</v>
      </c>
      <c r="E4324" s="5">
        <v>46288</v>
      </c>
      <c r="F4324" t="s">
        <v>204</v>
      </c>
      <c r="G4324" t="s">
        <v>213</v>
      </c>
      <c r="H4324">
        <v>5798</v>
      </c>
      <c r="I4324">
        <v>92.77</v>
      </c>
      <c r="J4324">
        <v>16.7</v>
      </c>
      <c r="K4324">
        <v>5688.53</v>
      </c>
      <c r="L4324" s="5">
        <v>46290</v>
      </c>
      <c r="M4324" t="s">
        <v>9048</v>
      </c>
      <c r="N4324" t="s">
        <v>207</v>
      </c>
      <c r="O4324" t="s">
        <v>9379</v>
      </c>
      <c r="P4324" t="s">
        <v>208</v>
      </c>
      <c r="Q4324" t="s">
        <v>209</v>
      </c>
    </row>
    <row r="4325" spans="1:17" x14ac:dyDescent="0.3">
      <c r="A4325" t="s">
        <v>9380</v>
      </c>
      <c r="C4325" t="s">
        <v>9381</v>
      </c>
      <c r="D4325" t="s">
        <v>9382</v>
      </c>
      <c r="E4325" s="5">
        <v>46288</v>
      </c>
      <c r="F4325" t="s">
        <v>204</v>
      </c>
      <c r="G4325" t="s">
        <v>220</v>
      </c>
      <c r="H4325">
        <v>1299</v>
      </c>
      <c r="I4325">
        <v>0</v>
      </c>
      <c r="J4325">
        <v>0</v>
      </c>
      <c r="K4325">
        <v>1299</v>
      </c>
      <c r="L4325" s="5">
        <v>46290</v>
      </c>
      <c r="M4325" t="s">
        <v>9048</v>
      </c>
      <c r="N4325" t="s">
        <v>207</v>
      </c>
      <c r="O4325" t="s">
        <v>9382</v>
      </c>
      <c r="P4325" t="s">
        <v>208</v>
      </c>
      <c r="Q4325" t="s">
        <v>209</v>
      </c>
    </row>
    <row r="4326" spans="1:17" x14ac:dyDescent="0.3">
      <c r="A4326" t="s">
        <v>9383</v>
      </c>
      <c r="C4326" t="s">
        <v>9384</v>
      </c>
      <c r="D4326" t="s">
        <v>9384</v>
      </c>
      <c r="E4326" s="5">
        <v>46288</v>
      </c>
      <c r="F4326" t="s">
        <v>204</v>
      </c>
      <c r="G4326" t="s">
        <v>213</v>
      </c>
      <c r="H4326">
        <v>4999</v>
      </c>
      <c r="I4326">
        <v>79.98</v>
      </c>
      <c r="J4326">
        <v>14.4</v>
      </c>
      <c r="K4326">
        <v>4904.62</v>
      </c>
      <c r="L4326" s="5">
        <v>46290</v>
      </c>
      <c r="M4326" t="s">
        <v>9048</v>
      </c>
      <c r="N4326" t="s">
        <v>207</v>
      </c>
      <c r="O4326" t="s">
        <v>9384</v>
      </c>
      <c r="P4326" t="s">
        <v>208</v>
      </c>
      <c r="Q4326" t="s">
        <v>209</v>
      </c>
    </row>
    <row r="4327" spans="1:17" x14ac:dyDescent="0.3">
      <c r="A4327" t="s">
        <v>9385</v>
      </c>
      <c r="C4327" t="s">
        <v>9386</v>
      </c>
      <c r="D4327" t="s">
        <v>9386</v>
      </c>
      <c r="E4327" s="5">
        <v>46288</v>
      </c>
      <c r="F4327" t="s">
        <v>204</v>
      </c>
      <c r="G4327" t="s">
        <v>220</v>
      </c>
      <c r="H4327">
        <v>3597</v>
      </c>
      <c r="I4327">
        <v>10.79</v>
      </c>
      <c r="J4327">
        <v>1.94</v>
      </c>
      <c r="K4327">
        <v>3584.27</v>
      </c>
      <c r="L4327" s="5">
        <v>46290</v>
      </c>
      <c r="M4327" t="s">
        <v>9048</v>
      </c>
      <c r="N4327" t="s">
        <v>207</v>
      </c>
      <c r="O4327" t="s">
        <v>9386</v>
      </c>
      <c r="P4327" t="s">
        <v>208</v>
      </c>
      <c r="Q4327" t="s">
        <v>209</v>
      </c>
    </row>
    <row r="4328" spans="1:17" x14ac:dyDescent="0.3">
      <c r="A4328" t="s">
        <v>9387</v>
      </c>
      <c r="C4328" t="s">
        <v>9388</v>
      </c>
      <c r="D4328" t="s">
        <v>9389</v>
      </c>
      <c r="E4328" s="5">
        <v>46288</v>
      </c>
      <c r="F4328" t="s">
        <v>204</v>
      </c>
      <c r="G4328" t="s">
        <v>220</v>
      </c>
      <c r="H4328">
        <v>4498</v>
      </c>
      <c r="I4328">
        <v>13.49</v>
      </c>
      <c r="J4328">
        <v>2.4300000000000002</v>
      </c>
      <c r="K4328">
        <v>4482.08</v>
      </c>
      <c r="L4328" s="5">
        <v>46290</v>
      </c>
      <c r="M4328" t="s">
        <v>9048</v>
      </c>
      <c r="N4328" t="s">
        <v>207</v>
      </c>
      <c r="O4328" t="s">
        <v>9389</v>
      </c>
      <c r="P4328" t="s">
        <v>208</v>
      </c>
      <c r="Q4328" t="s">
        <v>209</v>
      </c>
    </row>
    <row r="4329" spans="1:17" x14ac:dyDescent="0.3">
      <c r="A4329" t="s">
        <v>9390</v>
      </c>
      <c r="C4329" t="s">
        <v>9391</v>
      </c>
      <c r="D4329" t="s">
        <v>9392</v>
      </c>
      <c r="E4329" s="5">
        <v>46288</v>
      </c>
      <c r="F4329" t="s">
        <v>204</v>
      </c>
      <c r="G4329" t="s">
        <v>213</v>
      </c>
      <c r="H4329">
        <v>1499</v>
      </c>
      <c r="I4329">
        <v>26.98</v>
      </c>
      <c r="J4329">
        <v>4.8600000000000003</v>
      </c>
      <c r="K4329">
        <v>1467.16</v>
      </c>
      <c r="L4329" s="5">
        <v>46290</v>
      </c>
      <c r="M4329" t="s">
        <v>9048</v>
      </c>
      <c r="N4329" t="s">
        <v>207</v>
      </c>
      <c r="O4329" t="s">
        <v>9392</v>
      </c>
      <c r="P4329" t="s">
        <v>208</v>
      </c>
      <c r="Q4329" t="s">
        <v>209</v>
      </c>
    </row>
    <row r="4330" spans="1:17" x14ac:dyDescent="0.3">
      <c r="A4330" t="s">
        <v>9393</v>
      </c>
      <c r="C4330" t="s">
        <v>9394</v>
      </c>
      <c r="D4330" t="s">
        <v>9394</v>
      </c>
      <c r="E4330" s="5">
        <v>46288</v>
      </c>
      <c r="F4330" t="s">
        <v>204</v>
      </c>
      <c r="G4330" t="s">
        <v>205</v>
      </c>
      <c r="H4330">
        <v>1998</v>
      </c>
      <c r="I4330">
        <v>37.96</v>
      </c>
      <c r="J4330">
        <v>6.83</v>
      </c>
      <c r="K4330">
        <v>1953.21</v>
      </c>
      <c r="L4330" s="5">
        <v>46290</v>
      </c>
      <c r="M4330" t="s">
        <v>9048</v>
      </c>
      <c r="N4330" t="s">
        <v>207</v>
      </c>
      <c r="O4330" t="s">
        <v>9394</v>
      </c>
      <c r="P4330" t="s">
        <v>208</v>
      </c>
      <c r="Q4330" t="s">
        <v>209</v>
      </c>
    </row>
    <row r="4331" spans="1:17" x14ac:dyDescent="0.3">
      <c r="A4331" t="s">
        <v>9395</v>
      </c>
      <c r="C4331" t="s">
        <v>9396</v>
      </c>
      <c r="D4331" t="s">
        <v>9396</v>
      </c>
      <c r="E4331" s="5">
        <v>46288</v>
      </c>
      <c r="F4331" t="s">
        <v>204</v>
      </c>
      <c r="G4331" t="s">
        <v>213</v>
      </c>
      <c r="H4331">
        <v>3499</v>
      </c>
      <c r="I4331">
        <v>55.98</v>
      </c>
      <c r="J4331">
        <v>10.08</v>
      </c>
      <c r="K4331">
        <v>3432.94</v>
      </c>
      <c r="L4331" s="5">
        <v>46290</v>
      </c>
      <c r="M4331" t="s">
        <v>9048</v>
      </c>
      <c r="N4331" t="s">
        <v>207</v>
      </c>
      <c r="O4331" t="s">
        <v>9396</v>
      </c>
      <c r="P4331" t="s">
        <v>208</v>
      </c>
      <c r="Q4331" t="s">
        <v>488</v>
      </c>
    </row>
    <row r="4332" spans="1:17" x14ac:dyDescent="0.3">
      <c r="A4332" t="s">
        <v>9397</v>
      </c>
      <c r="B4332" t="s">
        <v>7903</v>
      </c>
      <c r="E4332" s="5">
        <v>46288</v>
      </c>
      <c r="F4332" t="s">
        <v>921</v>
      </c>
      <c r="G4332" t="s">
        <v>220</v>
      </c>
      <c r="H4332">
        <v>7297</v>
      </c>
      <c r="I4332">
        <v>0</v>
      </c>
      <c r="J4332">
        <v>0</v>
      </c>
      <c r="K4332">
        <v>-7297</v>
      </c>
      <c r="L4332" s="5">
        <v>46290</v>
      </c>
      <c r="M4332" t="s">
        <v>9048</v>
      </c>
      <c r="N4332" t="s">
        <v>207</v>
      </c>
      <c r="O4332" t="s">
        <v>7905</v>
      </c>
      <c r="P4332" t="s">
        <v>208</v>
      </c>
    </row>
    <row r="4333" spans="1:17" x14ac:dyDescent="0.3">
      <c r="A4333" t="s">
        <v>9398</v>
      </c>
      <c r="B4333" t="s">
        <v>7013</v>
      </c>
      <c r="E4333" s="5">
        <v>46288</v>
      </c>
      <c r="F4333" t="s">
        <v>921</v>
      </c>
      <c r="G4333" t="s">
        <v>220</v>
      </c>
      <c r="H4333">
        <v>2998</v>
      </c>
      <c r="I4333">
        <v>0</v>
      </c>
      <c r="J4333">
        <v>0</v>
      </c>
      <c r="K4333">
        <v>-2998</v>
      </c>
      <c r="L4333" s="5">
        <v>46290</v>
      </c>
      <c r="M4333" t="s">
        <v>9048</v>
      </c>
      <c r="N4333" t="s">
        <v>207</v>
      </c>
      <c r="O4333" t="s">
        <v>7014</v>
      </c>
      <c r="P4333" t="s">
        <v>208</v>
      </c>
    </row>
    <row r="4334" spans="1:17" x14ac:dyDescent="0.3">
      <c r="A4334" t="s">
        <v>9399</v>
      </c>
      <c r="B4334" t="s">
        <v>8909</v>
      </c>
      <c r="E4334" s="5">
        <v>46288</v>
      </c>
      <c r="F4334" t="s">
        <v>921</v>
      </c>
      <c r="G4334" t="s">
        <v>213</v>
      </c>
      <c r="H4334">
        <v>2798</v>
      </c>
      <c r="I4334">
        <v>0</v>
      </c>
      <c r="J4334">
        <v>0</v>
      </c>
      <c r="K4334">
        <v>-2798</v>
      </c>
      <c r="L4334" s="5">
        <v>46290</v>
      </c>
      <c r="M4334" t="s">
        <v>9048</v>
      </c>
      <c r="N4334" t="s">
        <v>207</v>
      </c>
      <c r="O4334" t="s">
        <v>8911</v>
      </c>
      <c r="P4334" t="s">
        <v>208</v>
      </c>
    </row>
    <row r="4335" spans="1:17" x14ac:dyDescent="0.3">
      <c r="A4335" t="s">
        <v>9400</v>
      </c>
      <c r="C4335" t="s">
        <v>9401</v>
      </c>
      <c r="D4335" t="s">
        <v>9401</v>
      </c>
      <c r="E4335" s="5">
        <v>46289</v>
      </c>
      <c r="F4335" t="s">
        <v>204</v>
      </c>
      <c r="G4335" t="s">
        <v>255</v>
      </c>
      <c r="H4335">
        <v>599</v>
      </c>
      <c r="I4335">
        <v>8.99</v>
      </c>
      <c r="J4335">
        <v>1.62</v>
      </c>
      <c r="K4335">
        <v>588.39</v>
      </c>
      <c r="L4335" s="5">
        <v>46291</v>
      </c>
      <c r="M4335" t="s">
        <v>9402</v>
      </c>
      <c r="N4335" t="s">
        <v>207</v>
      </c>
      <c r="O4335" t="s">
        <v>9401</v>
      </c>
      <c r="P4335" t="s">
        <v>208</v>
      </c>
      <c r="Q4335" t="s">
        <v>209</v>
      </c>
    </row>
    <row r="4336" spans="1:17" x14ac:dyDescent="0.3">
      <c r="A4336" t="s">
        <v>9403</v>
      </c>
      <c r="C4336" t="s">
        <v>9404</v>
      </c>
      <c r="D4336" t="s">
        <v>9404</v>
      </c>
      <c r="E4336" s="5">
        <v>46289</v>
      </c>
      <c r="F4336" t="s">
        <v>204</v>
      </c>
      <c r="G4336" t="s">
        <v>220</v>
      </c>
      <c r="H4336">
        <v>1799</v>
      </c>
      <c r="I4336">
        <v>0</v>
      </c>
      <c r="J4336">
        <v>0</v>
      </c>
      <c r="K4336">
        <v>1799</v>
      </c>
      <c r="L4336" s="5">
        <v>46291</v>
      </c>
      <c r="M4336" t="s">
        <v>9402</v>
      </c>
      <c r="N4336" t="s">
        <v>207</v>
      </c>
      <c r="O4336" t="s">
        <v>9404</v>
      </c>
      <c r="P4336" t="s">
        <v>208</v>
      </c>
      <c r="Q4336" t="s">
        <v>209</v>
      </c>
    </row>
    <row r="4337" spans="1:17" x14ac:dyDescent="0.3">
      <c r="A4337" t="s">
        <v>9405</v>
      </c>
      <c r="C4337" t="s">
        <v>9406</v>
      </c>
      <c r="D4337" t="s">
        <v>9406</v>
      </c>
      <c r="E4337" s="5">
        <v>46289</v>
      </c>
      <c r="F4337" t="s">
        <v>204</v>
      </c>
      <c r="G4337" t="s">
        <v>205</v>
      </c>
      <c r="H4337">
        <v>6798</v>
      </c>
      <c r="I4337">
        <v>115.57</v>
      </c>
      <c r="J4337">
        <v>20.8</v>
      </c>
      <c r="K4337">
        <v>6661.63</v>
      </c>
      <c r="L4337" s="5">
        <v>46291</v>
      </c>
      <c r="M4337" t="s">
        <v>9402</v>
      </c>
      <c r="N4337" t="s">
        <v>207</v>
      </c>
      <c r="O4337" t="s">
        <v>9406</v>
      </c>
      <c r="P4337" t="s">
        <v>208</v>
      </c>
      <c r="Q4337" t="s">
        <v>209</v>
      </c>
    </row>
    <row r="4338" spans="1:17" x14ac:dyDescent="0.3">
      <c r="A4338" t="s">
        <v>9407</v>
      </c>
      <c r="C4338" t="s">
        <v>9408</v>
      </c>
      <c r="D4338" t="s">
        <v>9408</v>
      </c>
      <c r="E4338" s="5">
        <v>46289</v>
      </c>
      <c r="F4338" t="s">
        <v>204</v>
      </c>
      <c r="G4338" t="s">
        <v>220</v>
      </c>
      <c r="H4338">
        <v>8798</v>
      </c>
      <c r="I4338">
        <v>26.39</v>
      </c>
      <c r="J4338">
        <v>4.75</v>
      </c>
      <c r="K4338">
        <v>8766.86</v>
      </c>
      <c r="L4338" s="5">
        <v>46291</v>
      </c>
      <c r="M4338" t="s">
        <v>9402</v>
      </c>
      <c r="N4338" t="s">
        <v>207</v>
      </c>
      <c r="O4338" t="s">
        <v>9408</v>
      </c>
      <c r="P4338" t="s">
        <v>208</v>
      </c>
      <c r="Q4338" t="s">
        <v>209</v>
      </c>
    </row>
    <row r="4339" spans="1:17" x14ac:dyDescent="0.3">
      <c r="A4339" t="s">
        <v>9409</v>
      </c>
      <c r="C4339" t="s">
        <v>9410</v>
      </c>
      <c r="D4339" t="s">
        <v>9410</v>
      </c>
      <c r="E4339" s="5">
        <v>46289</v>
      </c>
      <c r="F4339" t="s">
        <v>204</v>
      </c>
      <c r="G4339" t="s">
        <v>205</v>
      </c>
      <c r="H4339">
        <v>4999</v>
      </c>
      <c r="I4339">
        <v>84.98</v>
      </c>
      <c r="J4339">
        <v>15.3</v>
      </c>
      <c r="K4339">
        <v>4898.72</v>
      </c>
      <c r="L4339" s="5">
        <v>46291</v>
      </c>
      <c r="M4339" t="s">
        <v>9402</v>
      </c>
      <c r="N4339" t="s">
        <v>207</v>
      </c>
      <c r="O4339" t="s">
        <v>9410</v>
      </c>
      <c r="P4339" t="s">
        <v>208</v>
      </c>
      <c r="Q4339" t="s">
        <v>209</v>
      </c>
    </row>
    <row r="4340" spans="1:17" x14ac:dyDescent="0.3">
      <c r="A4340" t="s">
        <v>9411</v>
      </c>
      <c r="C4340" t="s">
        <v>9412</v>
      </c>
      <c r="D4340" t="s">
        <v>9412</v>
      </c>
      <c r="E4340" s="5">
        <v>46289</v>
      </c>
      <c r="F4340" t="s">
        <v>204</v>
      </c>
      <c r="G4340" t="s">
        <v>220</v>
      </c>
      <c r="H4340">
        <v>1299</v>
      </c>
      <c r="I4340">
        <v>0</v>
      </c>
      <c r="J4340">
        <v>0</v>
      </c>
      <c r="K4340">
        <v>1299</v>
      </c>
      <c r="L4340" s="5">
        <v>46291</v>
      </c>
      <c r="M4340" t="s">
        <v>9402</v>
      </c>
      <c r="N4340" t="s">
        <v>207</v>
      </c>
      <c r="O4340" t="s">
        <v>9412</v>
      </c>
      <c r="P4340" t="s">
        <v>208</v>
      </c>
      <c r="Q4340" t="s">
        <v>209</v>
      </c>
    </row>
    <row r="4341" spans="1:17" x14ac:dyDescent="0.3">
      <c r="A4341" t="s">
        <v>9413</v>
      </c>
      <c r="C4341" t="s">
        <v>9414</v>
      </c>
      <c r="D4341" t="s">
        <v>9414</v>
      </c>
      <c r="E4341" s="5">
        <v>46289</v>
      </c>
      <c r="F4341" t="s">
        <v>204</v>
      </c>
      <c r="G4341" t="s">
        <v>213</v>
      </c>
      <c r="H4341">
        <v>1598</v>
      </c>
      <c r="I4341">
        <v>28.76</v>
      </c>
      <c r="J4341">
        <v>5.18</v>
      </c>
      <c r="K4341">
        <v>1564.06</v>
      </c>
      <c r="L4341" s="5">
        <v>46291</v>
      </c>
      <c r="M4341" t="s">
        <v>9402</v>
      </c>
      <c r="N4341" t="s">
        <v>207</v>
      </c>
      <c r="O4341" t="s">
        <v>9414</v>
      </c>
      <c r="P4341" t="s">
        <v>208</v>
      </c>
      <c r="Q4341" t="s">
        <v>209</v>
      </c>
    </row>
    <row r="4342" spans="1:17" x14ac:dyDescent="0.3">
      <c r="A4342" t="s">
        <v>9415</v>
      </c>
      <c r="C4342" t="s">
        <v>9416</v>
      </c>
      <c r="D4342" t="s">
        <v>9417</v>
      </c>
      <c r="E4342" s="5">
        <v>46289</v>
      </c>
      <c r="F4342" t="s">
        <v>204</v>
      </c>
      <c r="G4342" t="s">
        <v>220</v>
      </c>
      <c r="H4342">
        <v>3098</v>
      </c>
      <c r="I4342">
        <v>9.2899999999999991</v>
      </c>
      <c r="J4342">
        <v>1.67</v>
      </c>
      <c r="K4342">
        <v>3087.04</v>
      </c>
      <c r="L4342" s="5">
        <v>46291</v>
      </c>
      <c r="M4342" t="s">
        <v>9402</v>
      </c>
      <c r="N4342" t="s">
        <v>207</v>
      </c>
      <c r="O4342" t="s">
        <v>9417</v>
      </c>
      <c r="P4342" t="s">
        <v>208</v>
      </c>
      <c r="Q4342" t="s">
        <v>209</v>
      </c>
    </row>
    <row r="4343" spans="1:17" x14ac:dyDescent="0.3">
      <c r="A4343" t="s">
        <v>9418</v>
      </c>
      <c r="C4343" t="s">
        <v>9419</v>
      </c>
      <c r="D4343" t="s">
        <v>9419</v>
      </c>
      <c r="E4343" s="5">
        <v>46289</v>
      </c>
      <c r="F4343" t="s">
        <v>204</v>
      </c>
      <c r="G4343" t="s">
        <v>220</v>
      </c>
      <c r="H4343">
        <v>999</v>
      </c>
      <c r="I4343">
        <v>0</v>
      </c>
      <c r="J4343">
        <v>0</v>
      </c>
      <c r="K4343">
        <v>999</v>
      </c>
      <c r="L4343" s="5">
        <v>46291</v>
      </c>
      <c r="M4343" t="s">
        <v>9402</v>
      </c>
      <c r="N4343" t="s">
        <v>207</v>
      </c>
      <c r="O4343" t="s">
        <v>9419</v>
      </c>
      <c r="P4343" t="s">
        <v>208</v>
      </c>
      <c r="Q4343" t="s">
        <v>209</v>
      </c>
    </row>
    <row r="4344" spans="1:17" x14ac:dyDescent="0.3">
      <c r="A4344" t="s">
        <v>9420</v>
      </c>
      <c r="C4344" t="s">
        <v>9421</v>
      </c>
      <c r="D4344" t="s">
        <v>9421</v>
      </c>
      <c r="E4344" s="5">
        <v>46289</v>
      </c>
      <c r="F4344" t="s">
        <v>204</v>
      </c>
      <c r="G4344" t="s">
        <v>220</v>
      </c>
      <c r="H4344">
        <v>7999</v>
      </c>
      <c r="I4344">
        <v>24</v>
      </c>
      <c r="J4344">
        <v>4.32</v>
      </c>
      <c r="K4344">
        <v>7970.68</v>
      </c>
      <c r="L4344" s="5">
        <v>46291</v>
      </c>
      <c r="M4344" t="s">
        <v>9402</v>
      </c>
      <c r="N4344" t="s">
        <v>207</v>
      </c>
      <c r="O4344" t="s">
        <v>9421</v>
      </c>
      <c r="P4344" t="s">
        <v>208</v>
      </c>
      <c r="Q4344" t="s">
        <v>209</v>
      </c>
    </row>
    <row r="4345" spans="1:17" x14ac:dyDescent="0.3">
      <c r="A4345" t="s">
        <v>9422</v>
      </c>
      <c r="C4345" t="s">
        <v>9423</v>
      </c>
      <c r="D4345" t="s">
        <v>9423</v>
      </c>
      <c r="E4345" s="5">
        <v>46289</v>
      </c>
      <c r="F4345" t="s">
        <v>204</v>
      </c>
      <c r="G4345" t="s">
        <v>220</v>
      </c>
      <c r="H4345">
        <v>1299</v>
      </c>
      <c r="I4345">
        <v>0</v>
      </c>
      <c r="J4345">
        <v>0</v>
      </c>
      <c r="K4345">
        <v>1299</v>
      </c>
      <c r="L4345" s="5">
        <v>46291</v>
      </c>
      <c r="M4345" t="s">
        <v>9402</v>
      </c>
      <c r="N4345" t="s">
        <v>207</v>
      </c>
      <c r="O4345" t="s">
        <v>9423</v>
      </c>
      <c r="P4345" t="s">
        <v>208</v>
      </c>
      <c r="Q4345" t="s">
        <v>209</v>
      </c>
    </row>
    <row r="4346" spans="1:17" x14ac:dyDescent="0.3">
      <c r="A4346" t="s">
        <v>9424</v>
      </c>
      <c r="C4346" t="s">
        <v>9425</v>
      </c>
      <c r="D4346" t="s">
        <v>9425</v>
      </c>
      <c r="E4346" s="5">
        <v>46289</v>
      </c>
      <c r="F4346" t="s">
        <v>204</v>
      </c>
      <c r="G4346" t="s">
        <v>220</v>
      </c>
      <c r="H4346">
        <v>299</v>
      </c>
      <c r="I4346">
        <v>0</v>
      </c>
      <c r="J4346">
        <v>0</v>
      </c>
      <c r="K4346">
        <v>299</v>
      </c>
      <c r="L4346" s="5">
        <v>46291</v>
      </c>
      <c r="M4346" t="s">
        <v>9402</v>
      </c>
      <c r="N4346" t="s">
        <v>207</v>
      </c>
      <c r="O4346" t="s">
        <v>9425</v>
      </c>
      <c r="P4346" t="s">
        <v>208</v>
      </c>
      <c r="Q4346" t="s">
        <v>209</v>
      </c>
    </row>
    <row r="4347" spans="1:17" x14ac:dyDescent="0.3">
      <c r="A4347" t="s">
        <v>9426</v>
      </c>
      <c r="C4347" t="s">
        <v>9427</v>
      </c>
      <c r="D4347" t="s">
        <v>9427</v>
      </c>
      <c r="E4347" s="5">
        <v>46289</v>
      </c>
      <c r="F4347" t="s">
        <v>204</v>
      </c>
      <c r="G4347" t="s">
        <v>255</v>
      </c>
      <c r="H4347">
        <v>2847</v>
      </c>
      <c r="I4347">
        <v>34.159999999999997</v>
      </c>
      <c r="J4347">
        <v>6.15</v>
      </c>
      <c r="K4347">
        <v>2806.69</v>
      </c>
      <c r="L4347" s="5">
        <v>46291</v>
      </c>
      <c r="M4347" t="s">
        <v>9402</v>
      </c>
      <c r="N4347" t="s">
        <v>207</v>
      </c>
      <c r="O4347" t="s">
        <v>9427</v>
      </c>
      <c r="P4347" t="s">
        <v>208</v>
      </c>
      <c r="Q4347" t="s">
        <v>209</v>
      </c>
    </row>
    <row r="4348" spans="1:17" x14ac:dyDescent="0.3">
      <c r="A4348" t="s">
        <v>9428</v>
      </c>
      <c r="C4348" t="s">
        <v>9429</v>
      </c>
      <c r="D4348" t="s">
        <v>9429</v>
      </c>
      <c r="E4348" s="5">
        <v>46289</v>
      </c>
      <c r="F4348" t="s">
        <v>204</v>
      </c>
      <c r="G4348" t="s">
        <v>220</v>
      </c>
      <c r="H4348">
        <v>6397</v>
      </c>
      <c r="I4348">
        <v>19.190000000000001</v>
      </c>
      <c r="J4348">
        <v>3.45</v>
      </c>
      <c r="K4348">
        <v>6374.36</v>
      </c>
      <c r="L4348" s="5">
        <v>46291</v>
      </c>
      <c r="M4348" t="s">
        <v>9402</v>
      </c>
      <c r="N4348" t="s">
        <v>207</v>
      </c>
      <c r="O4348" t="s">
        <v>9429</v>
      </c>
      <c r="P4348" t="s">
        <v>208</v>
      </c>
      <c r="Q4348" t="s">
        <v>209</v>
      </c>
    </row>
    <row r="4349" spans="1:17" x14ac:dyDescent="0.3">
      <c r="A4349" t="s">
        <v>9430</v>
      </c>
      <c r="C4349" t="s">
        <v>9431</v>
      </c>
      <c r="D4349" t="s">
        <v>9431</v>
      </c>
      <c r="E4349" s="5">
        <v>46289</v>
      </c>
      <c r="F4349" t="s">
        <v>204</v>
      </c>
      <c r="G4349" t="s">
        <v>220</v>
      </c>
      <c r="H4349">
        <v>3348</v>
      </c>
      <c r="I4349">
        <v>10.039999999999999</v>
      </c>
      <c r="J4349">
        <v>1.81</v>
      </c>
      <c r="K4349">
        <v>3336.15</v>
      </c>
      <c r="L4349" s="5">
        <v>46291</v>
      </c>
      <c r="M4349" t="s">
        <v>9402</v>
      </c>
      <c r="N4349" t="s">
        <v>207</v>
      </c>
      <c r="O4349" t="s">
        <v>9431</v>
      </c>
      <c r="P4349" t="s">
        <v>208</v>
      </c>
      <c r="Q4349" t="s">
        <v>209</v>
      </c>
    </row>
    <row r="4350" spans="1:17" x14ac:dyDescent="0.3">
      <c r="A4350" t="s">
        <v>9432</v>
      </c>
      <c r="C4350" t="s">
        <v>9433</v>
      </c>
      <c r="D4350" t="s">
        <v>9433</v>
      </c>
      <c r="E4350" s="5">
        <v>46289</v>
      </c>
      <c r="F4350" t="s">
        <v>204</v>
      </c>
      <c r="G4350" t="s">
        <v>213</v>
      </c>
      <c r="H4350">
        <v>299</v>
      </c>
      <c r="I4350">
        <v>5.38</v>
      </c>
      <c r="J4350">
        <v>0.97</v>
      </c>
      <c r="K4350">
        <v>292.64999999999998</v>
      </c>
      <c r="L4350" s="5">
        <v>46291</v>
      </c>
      <c r="M4350" t="s">
        <v>9402</v>
      </c>
      <c r="N4350" t="s">
        <v>207</v>
      </c>
      <c r="O4350" t="s">
        <v>9433</v>
      </c>
      <c r="P4350" t="s">
        <v>208</v>
      </c>
      <c r="Q4350" t="s">
        <v>209</v>
      </c>
    </row>
    <row r="4351" spans="1:17" x14ac:dyDescent="0.3">
      <c r="A4351" t="s">
        <v>9434</v>
      </c>
      <c r="C4351" t="s">
        <v>9435</v>
      </c>
      <c r="D4351" t="s">
        <v>9435</v>
      </c>
      <c r="E4351" s="5">
        <v>46289</v>
      </c>
      <c r="F4351" t="s">
        <v>204</v>
      </c>
      <c r="G4351" t="s">
        <v>220</v>
      </c>
      <c r="H4351">
        <v>5498</v>
      </c>
      <c r="I4351">
        <v>16.489999999999998</v>
      </c>
      <c r="J4351">
        <v>2.97</v>
      </c>
      <c r="K4351">
        <v>5478.54</v>
      </c>
      <c r="L4351" s="5">
        <v>46291</v>
      </c>
      <c r="M4351" t="s">
        <v>9402</v>
      </c>
      <c r="N4351" t="s">
        <v>207</v>
      </c>
      <c r="O4351" t="s">
        <v>9435</v>
      </c>
      <c r="P4351" t="s">
        <v>208</v>
      </c>
      <c r="Q4351" t="s">
        <v>209</v>
      </c>
    </row>
    <row r="4352" spans="1:17" x14ac:dyDescent="0.3">
      <c r="A4352" t="s">
        <v>9436</v>
      </c>
      <c r="C4352" t="s">
        <v>9437</v>
      </c>
      <c r="D4352" t="s">
        <v>9437</v>
      </c>
      <c r="E4352" s="5">
        <v>46289</v>
      </c>
      <c r="F4352" t="s">
        <v>204</v>
      </c>
      <c r="G4352" t="s">
        <v>205</v>
      </c>
      <c r="H4352">
        <v>4298</v>
      </c>
      <c r="I4352">
        <v>73.069999999999993</v>
      </c>
      <c r="J4352">
        <v>13.15</v>
      </c>
      <c r="K4352">
        <v>4211.78</v>
      </c>
      <c r="L4352" s="5">
        <v>46291</v>
      </c>
      <c r="M4352" t="s">
        <v>9402</v>
      </c>
      <c r="N4352" t="s">
        <v>207</v>
      </c>
      <c r="O4352" t="s">
        <v>9437</v>
      </c>
      <c r="P4352" t="s">
        <v>208</v>
      </c>
      <c r="Q4352" t="s">
        <v>209</v>
      </c>
    </row>
    <row r="4353" spans="1:17" x14ac:dyDescent="0.3">
      <c r="A4353" t="s">
        <v>9438</v>
      </c>
      <c r="C4353" t="s">
        <v>9439</v>
      </c>
      <c r="D4353" t="s">
        <v>9439</v>
      </c>
      <c r="E4353" s="5">
        <v>46289</v>
      </c>
      <c r="F4353" t="s">
        <v>204</v>
      </c>
      <c r="G4353" t="s">
        <v>220</v>
      </c>
      <c r="H4353">
        <v>1648</v>
      </c>
      <c r="I4353">
        <v>0</v>
      </c>
      <c r="J4353">
        <v>0</v>
      </c>
      <c r="K4353">
        <v>1648</v>
      </c>
      <c r="L4353" s="5">
        <v>46291</v>
      </c>
      <c r="M4353" t="s">
        <v>9402</v>
      </c>
      <c r="N4353" t="s">
        <v>207</v>
      </c>
      <c r="O4353" t="s">
        <v>9439</v>
      </c>
      <c r="P4353" t="s">
        <v>208</v>
      </c>
      <c r="Q4353" t="s">
        <v>209</v>
      </c>
    </row>
    <row r="4354" spans="1:17" x14ac:dyDescent="0.3">
      <c r="A4354" t="s">
        <v>9440</v>
      </c>
      <c r="C4354" t="s">
        <v>9441</v>
      </c>
      <c r="D4354" t="s">
        <v>9441</v>
      </c>
      <c r="E4354" s="5">
        <v>46289</v>
      </c>
      <c r="F4354" t="s">
        <v>204</v>
      </c>
      <c r="G4354" t="s">
        <v>255</v>
      </c>
      <c r="H4354">
        <v>2998</v>
      </c>
      <c r="I4354">
        <v>35.979999999999997</v>
      </c>
      <c r="J4354">
        <v>6.48</v>
      </c>
      <c r="K4354">
        <v>2955.54</v>
      </c>
      <c r="L4354" s="5">
        <v>46291</v>
      </c>
      <c r="M4354" t="s">
        <v>9402</v>
      </c>
      <c r="N4354" t="s">
        <v>207</v>
      </c>
      <c r="O4354" t="s">
        <v>9441</v>
      </c>
      <c r="P4354" t="s">
        <v>208</v>
      </c>
      <c r="Q4354" t="s">
        <v>209</v>
      </c>
    </row>
    <row r="4355" spans="1:17" x14ac:dyDescent="0.3">
      <c r="A4355" t="s">
        <v>9442</v>
      </c>
      <c r="C4355" t="s">
        <v>9443</v>
      </c>
      <c r="D4355" t="s">
        <v>9444</v>
      </c>
      <c r="E4355" s="5">
        <v>46289</v>
      </c>
      <c r="F4355" t="s">
        <v>204</v>
      </c>
      <c r="G4355" t="s">
        <v>220</v>
      </c>
      <c r="H4355">
        <v>2797</v>
      </c>
      <c r="I4355">
        <v>8.39</v>
      </c>
      <c r="J4355">
        <v>1.51</v>
      </c>
      <c r="K4355">
        <v>2787.1</v>
      </c>
      <c r="L4355" s="5">
        <v>46291</v>
      </c>
      <c r="M4355" t="s">
        <v>9402</v>
      </c>
      <c r="N4355" t="s">
        <v>207</v>
      </c>
      <c r="O4355" t="s">
        <v>9444</v>
      </c>
      <c r="P4355" t="s">
        <v>208</v>
      </c>
      <c r="Q4355" t="s">
        <v>209</v>
      </c>
    </row>
    <row r="4356" spans="1:17" x14ac:dyDescent="0.3">
      <c r="A4356" t="s">
        <v>9445</v>
      </c>
      <c r="C4356" t="s">
        <v>9446</v>
      </c>
      <c r="D4356" t="s">
        <v>9446</v>
      </c>
      <c r="E4356" s="5">
        <v>46289</v>
      </c>
      <c r="F4356" t="s">
        <v>204</v>
      </c>
      <c r="G4356" t="s">
        <v>220</v>
      </c>
      <c r="H4356">
        <v>4997</v>
      </c>
      <c r="I4356">
        <v>14.99</v>
      </c>
      <c r="J4356">
        <v>2.7</v>
      </c>
      <c r="K4356">
        <v>4979.3100000000004</v>
      </c>
      <c r="L4356" s="5">
        <v>46291</v>
      </c>
      <c r="M4356" t="s">
        <v>9402</v>
      </c>
      <c r="N4356" t="s">
        <v>207</v>
      </c>
      <c r="O4356" t="s">
        <v>9446</v>
      </c>
      <c r="P4356" t="s">
        <v>208</v>
      </c>
      <c r="Q4356" t="s">
        <v>209</v>
      </c>
    </row>
    <row r="4357" spans="1:17" x14ac:dyDescent="0.3">
      <c r="A4357" t="s">
        <v>9447</v>
      </c>
      <c r="C4357" t="s">
        <v>9448</v>
      </c>
      <c r="D4357" t="s">
        <v>9448</v>
      </c>
      <c r="E4357" s="5">
        <v>46289</v>
      </c>
      <c r="F4357" t="s">
        <v>204</v>
      </c>
      <c r="G4357" t="s">
        <v>205</v>
      </c>
      <c r="H4357">
        <v>1499</v>
      </c>
      <c r="I4357">
        <v>28.48</v>
      </c>
      <c r="J4357">
        <v>5.13</v>
      </c>
      <c r="K4357">
        <v>1465.39</v>
      </c>
      <c r="L4357" s="5">
        <v>46291</v>
      </c>
      <c r="M4357" t="s">
        <v>9402</v>
      </c>
      <c r="N4357" t="s">
        <v>207</v>
      </c>
      <c r="O4357" t="s">
        <v>9448</v>
      </c>
      <c r="P4357" t="s">
        <v>208</v>
      </c>
      <c r="Q4357" t="s">
        <v>209</v>
      </c>
    </row>
    <row r="4358" spans="1:17" x14ac:dyDescent="0.3">
      <c r="A4358" t="s">
        <v>9449</v>
      </c>
      <c r="C4358" t="s">
        <v>9450</v>
      </c>
      <c r="D4358" t="s">
        <v>9451</v>
      </c>
      <c r="E4358" s="5">
        <v>46289</v>
      </c>
      <c r="F4358" t="s">
        <v>204</v>
      </c>
      <c r="G4358" t="s">
        <v>220</v>
      </c>
      <c r="H4358">
        <v>3798</v>
      </c>
      <c r="I4358">
        <v>11.39</v>
      </c>
      <c r="J4358">
        <v>2.0499999999999998</v>
      </c>
      <c r="K4358">
        <v>3784.56</v>
      </c>
      <c r="L4358" s="5">
        <v>46291</v>
      </c>
      <c r="M4358" t="s">
        <v>9402</v>
      </c>
      <c r="N4358" t="s">
        <v>207</v>
      </c>
      <c r="O4358" t="s">
        <v>9451</v>
      </c>
      <c r="P4358" t="s">
        <v>208</v>
      </c>
      <c r="Q4358" t="s">
        <v>209</v>
      </c>
    </row>
    <row r="4359" spans="1:17" x14ac:dyDescent="0.3">
      <c r="A4359" t="s">
        <v>9452</v>
      </c>
      <c r="C4359" t="s">
        <v>9453</v>
      </c>
      <c r="D4359" t="s">
        <v>9453</v>
      </c>
      <c r="E4359" s="5">
        <v>46289</v>
      </c>
      <c r="F4359" t="s">
        <v>204</v>
      </c>
      <c r="G4359" t="s">
        <v>255</v>
      </c>
      <c r="H4359">
        <v>2497</v>
      </c>
      <c r="I4359">
        <v>29.96</v>
      </c>
      <c r="J4359">
        <v>5.39</v>
      </c>
      <c r="K4359">
        <v>2461.65</v>
      </c>
      <c r="L4359" s="5">
        <v>46291</v>
      </c>
      <c r="M4359" t="s">
        <v>9402</v>
      </c>
      <c r="N4359" t="s">
        <v>207</v>
      </c>
      <c r="O4359" t="s">
        <v>9453</v>
      </c>
      <c r="P4359" t="s">
        <v>208</v>
      </c>
      <c r="Q4359" t="s">
        <v>209</v>
      </c>
    </row>
    <row r="4360" spans="1:17" x14ac:dyDescent="0.3">
      <c r="A4360" t="s">
        <v>9454</v>
      </c>
      <c r="C4360" t="s">
        <v>9455</v>
      </c>
      <c r="D4360" t="s">
        <v>9455</v>
      </c>
      <c r="E4360" s="5">
        <v>46289</v>
      </c>
      <c r="F4360" t="s">
        <v>204</v>
      </c>
      <c r="G4360" t="s">
        <v>255</v>
      </c>
      <c r="H4360">
        <v>599</v>
      </c>
      <c r="I4360">
        <v>8.99</v>
      </c>
      <c r="J4360">
        <v>1.62</v>
      </c>
      <c r="K4360">
        <v>588.39</v>
      </c>
      <c r="L4360" s="5">
        <v>46291</v>
      </c>
      <c r="M4360" t="s">
        <v>9402</v>
      </c>
      <c r="N4360" t="s">
        <v>207</v>
      </c>
      <c r="O4360" t="s">
        <v>9455</v>
      </c>
      <c r="P4360" t="s">
        <v>208</v>
      </c>
      <c r="Q4360" t="s">
        <v>209</v>
      </c>
    </row>
    <row r="4361" spans="1:17" x14ac:dyDescent="0.3">
      <c r="A4361" t="s">
        <v>9456</v>
      </c>
      <c r="C4361" t="s">
        <v>9457</v>
      </c>
      <c r="D4361" t="s">
        <v>9457</v>
      </c>
      <c r="E4361" s="5">
        <v>46289</v>
      </c>
      <c r="F4361" t="s">
        <v>204</v>
      </c>
      <c r="G4361" t="s">
        <v>220</v>
      </c>
      <c r="H4361">
        <v>2498</v>
      </c>
      <c r="I4361">
        <v>7.49</v>
      </c>
      <c r="J4361">
        <v>1.35</v>
      </c>
      <c r="K4361">
        <v>2489.16</v>
      </c>
      <c r="L4361" s="5">
        <v>46291</v>
      </c>
      <c r="M4361" t="s">
        <v>9402</v>
      </c>
      <c r="N4361" t="s">
        <v>207</v>
      </c>
      <c r="O4361" t="s">
        <v>9457</v>
      </c>
      <c r="P4361" t="s">
        <v>208</v>
      </c>
      <c r="Q4361" t="s">
        <v>209</v>
      </c>
    </row>
    <row r="4362" spans="1:17" x14ac:dyDescent="0.3">
      <c r="A4362" t="s">
        <v>9458</v>
      </c>
      <c r="C4362" t="s">
        <v>9459</v>
      </c>
      <c r="D4362" t="s">
        <v>9459</v>
      </c>
      <c r="E4362" s="5">
        <v>46289</v>
      </c>
      <c r="F4362" t="s">
        <v>204</v>
      </c>
      <c r="G4362" t="s">
        <v>220</v>
      </c>
      <c r="H4362">
        <v>4447</v>
      </c>
      <c r="I4362">
        <v>13.34</v>
      </c>
      <c r="J4362">
        <v>2.4</v>
      </c>
      <c r="K4362">
        <v>4431.26</v>
      </c>
      <c r="L4362" s="5">
        <v>46291</v>
      </c>
      <c r="M4362" t="s">
        <v>9402</v>
      </c>
      <c r="N4362" t="s">
        <v>207</v>
      </c>
      <c r="O4362" t="s">
        <v>9459</v>
      </c>
      <c r="P4362" t="s">
        <v>208</v>
      </c>
      <c r="Q4362" t="s">
        <v>209</v>
      </c>
    </row>
    <row r="4363" spans="1:17" x14ac:dyDescent="0.3">
      <c r="A4363" t="s">
        <v>9460</v>
      </c>
      <c r="C4363" t="s">
        <v>9461</v>
      </c>
      <c r="D4363" t="s">
        <v>9461</v>
      </c>
      <c r="E4363" s="5">
        <v>46289</v>
      </c>
      <c r="F4363" t="s">
        <v>204</v>
      </c>
      <c r="G4363" t="s">
        <v>220</v>
      </c>
      <c r="H4363">
        <v>599</v>
      </c>
      <c r="I4363">
        <v>0</v>
      </c>
      <c r="J4363">
        <v>0</v>
      </c>
      <c r="K4363">
        <v>599</v>
      </c>
      <c r="L4363" s="5">
        <v>46291</v>
      </c>
      <c r="M4363" t="s">
        <v>9402</v>
      </c>
      <c r="N4363" t="s">
        <v>207</v>
      </c>
      <c r="O4363" t="s">
        <v>9461</v>
      </c>
      <c r="P4363" t="s">
        <v>208</v>
      </c>
      <c r="Q4363" t="s">
        <v>209</v>
      </c>
    </row>
    <row r="4364" spans="1:17" x14ac:dyDescent="0.3">
      <c r="A4364" t="s">
        <v>9462</v>
      </c>
      <c r="C4364" t="s">
        <v>9463</v>
      </c>
      <c r="D4364" t="s">
        <v>9464</v>
      </c>
      <c r="E4364" s="5">
        <v>46289</v>
      </c>
      <c r="F4364" t="s">
        <v>204</v>
      </c>
      <c r="G4364" t="s">
        <v>220</v>
      </c>
      <c r="H4364">
        <v>299</v>
      </c>
      <c r="I4364">
        <v>0</v>
      </c>
      <c r="J4364">
        <v>0</v>
      </c>
      <c r="K4364">
        <v>299</v>
      </c>
      <c r="L4364" s="5">
        <v>46291</v>
      </c>
      <c r="M4364" t="s">
        <v>9402</v>
      </c>
      <c r="N4364" t="s">
        <v>207</v>
      </c>
      <c r="O4364" t="s">
        <v>9464</v>
      </c>
      <c r="P4364" t="s">
        <v>208</v>
      </c>
      <c r="Q4364" t="s">
        <v>209</v>
      </c>
    </row>
    <row r="4365" spans="1:17" x14ac:dyDescent="0.3">
      <c r="A4365" t="s">
        <v>9465</v>
      </c>
      <c r="C4365" t="s">
        <v>9466</v>
      </c>
      <c r="D4365" t="s">
        <v>9467</v>
      </c>
      <c r="E4365" s="5">
        <v>46289</v>
      </c>
      <c r="F4365" t="s">
        <v>204</v>
      </c>
      <c r="G4365" t="s">
        <v>220</v>
      </c>
      <c r="H4365">
        <v>4999</v>
      </c>
      <c r="I4365">
        <v>15</v>
      </c>
      <c r="J4365">
        <v>2.7</v>
      </c>
      <c r="K4365">
        <v>4981.3</v>
      </c>
      <c r="L4365" s="5">
        <v>46291</v>
      </c>
      <c r="M4365" t="s">
        <v>9402</v>
      </c>
      <c r="N4365" t="s">
        <v>207</v>
      </c>
      <c r="O4365" t="s">
        <v>9467</v>
      </c>
      <c r="P4365" t="s">
        <v>208</v>
      </c>
      <c r="Q4365" t="s">
        <v>209</v>
      </c>
    </row>
    <row r="4366" spans="1:17" x14ac:dyDescent="0.3">
      <c r="A4366" t="s">
        <v>9468</v>
      </c>
      <c r="C4366" t="s">
        <v>9469</v>
      </c>
      <c r="D4366" t="s">
        <v>9470</v>
      </c>
      <c r="E4366" s="5">
        <v>46289</v>
      </c>
      <c r="F4366" t="s">
        <v>204</v>
      </c>
      <c r="G4366" t="s">
        <v>205</v>
      </c>
      <c r="H4366">
        <v>1648</v>
      </c>
      <c r="I4366">
        <v>31.31</v>
      </c>
      <c r="J4366">
        <v>5.64</v>
      </c>
      <c r="K4366">
        <v>1611.05</v>
      </c>
      <c r="L4366" s="5">
        <v>46291</v>
      </c>
      <c r="M4366" t="s">
        <v>9402</v>
      </c>
      <c r="N4366" t="s">
        <v>207</v>
      </c>
      <c r="O4366" t="s">
        <v>9470</v>
      </c>
      <c r="P4366" t="s">
        <v>208</v>
      </c>
      <c r="Q4366" t="s">
        <v>209</v>
      </c>
    </row>
    <row r="4367" spans="1:17" x14ac:dyDescent="0.3">
      <c r="A4367" t="s">
        <v>9471</v>
      </c>
      <c r="C4367" t="s">
        <v>9472</v>
      </c>
      <c r="D4367" t="s">
        <v>9472</v>
      </c>
      <c r="E4367" s="5">
        <v>46289</v>
      </c>
      <c r="F4367" t="s">
        <v>204</v>
      </c>
      <c r="G4367" t="s">
        <v>220</v>
      </c>
      <c r="H4367">
        <v>2798</v>
      </c>
      <c r="I4367">
        <v>8.39</v>
      </c>
      <c r="J4367">
        <v>1.51</v>
      </c>
      <c r="K4367">
        <v>2788.1</v>
      </c>
      <c r="L4367" s="5">
        <v>46291</v>
      </c>
      <c r="M4367" t="s">
        <v>9402</v>
      </c>
      <c r="N4367" t="s">
        <v>207</v>
      </c>
      <c r="O4367" t="s">
        <v>9472</v>
      </c>
      <c r="P4367" t="s">
        <v>208</v>
      </c>
      <c r="Q4367" t="s">
        <v>209</v>
      </c>
    </row>
    <row r="4368" spans="1:17" x14ac:dyDescent="0.3">
      <c r="A4368" t="s">
        <v>9473</v>
      </c>
      <c r="C4368" t="s">
        <v>9474</v>
      </c>
      <c r="D4368" t="s">
        <v>9474</v>
      </c>
      <c r="E4368" s="5">
        <v>46289</v>
      </c>
      <c r="F4368" t="s">
        <v>204</v>
      </c>
      <c r="G4368" t="s">
        <v>205</v>
      </c>
      <c r="H4368">
        <v>11297</v>
      </c>
      <c r="I4368">
        <v>192.05</v>
      </c>
      <c r="J4368">
        <v>34.57</v>
      </c>
      <c r="K4368">
        <v>11070.38</v>
      </c>
      <c r="L4368" s="5">
        <v>46291</v>
      </c>
      <c r="M4368" t="s">
        <v>9402</v>
      </c>
      <c r="N4368" t="s">
        <v>207</v>
      </c>
      <c r="O4368" t="s">
        <v>9474</v>
      </c>
      <c r="P4368" t="s">
        <v>208</v>
      </c>
      <c r="Q4368" t="s">
        <v>209</v>
      </c>
    </row>
    <row r="4369" spans="1:17" x14ac:dyDescent="0.3">
      <c r="A4369" t="s">
        <v>9475</v>
      </c>
      <c r="C4369" t="s">
        <v>9476</v>
      </c>
      <c r="D4369" t="s">
        <v>9476</v>
      </c>
      <c r="E4369" s="5">
        <v>46289</v>
      </c>
      <c r="F4369" t="s">
        <v>204</v>
      </c>
      <c r="G4369" t="s">
        <v>213</v>
      </c>
      <c r="H4369">
        <v>799</v>
      </c>
      <c r="I4369">
        <v>14.38</v>
      </c>
      <c r="J4369">
        <v>2.59</v>
      </c>
      <c r="K4369">
        <v>782.03</v>
      </c>
      <c r="L4369" s="5">
        <v>46291</v>
      </c>
      <c r="M4369" t="s">
        <v>9402</v>
      </c>
      <c r="N4369" t="s">
        <v>207</v>
      </c>
      <c r="O4369" t="s">
        <v>9476</v>
      </c>
      <c r="P4369" t="s">
        <v>208</v>
      </c>
      <c r="Q4369" t="s">
        <v>209</v>
      </c>
    </row>
    <row r="4370" spans="1:17" x14ac:dyDescent="0.3">
      <c r="A4370" t="s">
        <v>9477</v>
      </c>
      <c r="C4370" t="s">
        <v>9478</v>
      </c>
      <c r="D4370" t="s">
        <v>9478</v>
      </c>
      <c r="E4370" s="5">
        <v>46289</v>
      </c>
      <c r="F4370" t="s">
        <v>204</v>
      </c>
      <c r="G4370" t="s">
        <v>213</v>
      </c>
      <c r="H4370">
        <v>5597</v>
      </c>
      <c r="I4370">
        <v>89.55</v>
      </c>
      <c r="J4370">
        <v>16.12</v>
      </c>
      <c r="K4370">
        <v>5491.33</v>
      </c>
      <c r="L4370" s="5">
        <v>46291</v>
      </c>
      <c r="M4370" t="s">
        <v>9402</v>
      </c>
      <c r="N4370" t="s">
        <v>207</v>
      </c>
      <c r="O4370" t="s">
        <v>9478</v>
      </c>
      <c r="P4370" t="s">
        <v>208</v>
      </c>
      <c r="Q4370" t="s">
        <v>209</v>
      </c>
    </row>
    <row r="4371" spans="1:17" x14ac:dyDescent="0.3">
      <c r="A4371" t="s">
        <v>9479</v>
      </c>
      <c r="C4371" t="s">
        <v>9480</v>
      </c>
      <c r="D4371" t="s">
        <v>9480</v>
      </c>
      <c r="E4371" s="5">
        <v>46289</v>
      </c>
      <c r="F4371" t="s">
        <v>204</v>
      </c>
      <c r="G4371" t="s">
        <v>220</v>
      </c>
      <c r="H4371">
        <v>3499</v>
      </c>
      <c r="I4371">
        <v>10.5</v>
      </c>
      <c r="J4371">
        <v>1.89</v>
      </c>
      <c r="K4371">
        <v>3486.61</v>
      </c>
      <c r="L4371" s="5">
        <v>46291</v>
      </c>
      <c r="M4371" t="s">
        <v>9402</v>
      </c>
      <c r="N4371" t="s">
        <v>207</v>
      </c>
      <c r="O4371" t="s">
        <v>9480</v>
      </c>
      <c r="P4371" t="s">
        <v>208</v>
      </c>
      <c r="Q4371" t="s">
        <v>209</v>
      </c>
    </row>
    <row r="4372" spans="1:17" x14ac:dyDescent="0.3">
      <c r="A4372" t="s">
        <v>9481</v>
      </c>
      <c r="C4372" t="s">
        <v>9482</v>
      </c>
      <c r="D4372" t="s">
        <v>9482</v>
      </c>
      <c r="E4372" s="5">
        <v>46289</v>
      </c>
      <c r="F4372" t="s">
        <v>204</v>
      </c>
      <c r="G4372" t="s">
        <v>220</v>
      </c>
      <c r="H4372">
        <v>3499</v>
      </c>
      <c r="I4372">
        <v>10.5</v>
      </c>
      <c r="J4372">
        <v>1.89</v>
      </c>
      <c r="K4372">
        <v>3486.61</v>
      </c>
      <c r="L4372" s="5">
        <v>46291</v>
      </c>
      <c r="M4372" t="s">
        <v>9402</v>
      </c>
      <c r="N4372" t="s">
        <v>207</v>
      </c>
      <c r="O4372" t="s">
        <v>9482</v>
      </c>
      <c r="P4372" t="s">
        <v>208</v>
      </c>
      <c r="Q4372" t="s">
        <v>209</v>
      </c>
    </row>
    <row r="4373" spans="1:17" x14ac:dyDescent="0.3">
      <c r="A4373" t="s">
        <v>9483</v>
      </c>
      <c r="C4373" t="s">
        <v>9484</v>
      </c>
      <c r="D4373" t="s">
        <v>9484</v>
      </c>
      <c r="E4373" s="5">
        <v>46289</v>
      </c>
      <c r="F4373" t="s">
        <v>204</v>
      </c>
      <c r="G4373" t="s">
        <v>205</v>
      </c>
      <c r="H4373">
        <v>7999</v>
      </c>
      <c r="I4373">
        <v>135.97999999999999</v>
      </c>
      <c r="J4373">
        <v>24.48</v>
      </c>
      <c r="K4373">
        <v>7838.54</v>
      </c>
      <c r="L4373" s="5">
        <v>46291</v>
      </c>
      <c r="M4373" t="s">
        <v>9402</v>
      </c>
      <c r="N4373" t="s">
        <v>207</v>
      </c>
      <c r="O4373" t="s">
        <v>9484</v>
      </c>
      <c r="P4373" t="s">
        <v>208</v>
      </c>
      <c r="Q4373" t="s">
        <v>209</v>
      </c>
    </row>
    <row r="4374" spans="1:17" x14ac:dyDescent="0.3">
      <c r="A4374" t="s">
        <v>9485</v>
      </c>
      <c r="C4374" t="s">
        <v>9486</v>
      </c>
      <c r="D4374" t="s">
        <v>9486</v>
      </c>
      <c r="E4374" s="5">
        <v>46289</v>
      </c>
      <c r="F4374" t="s">
        <v>204</v>
      </c>
      <c r="G4374" t="s">
        <v>205</v>
      </c>
      <c r="H4374">
        <v>799</v>
      </c>
      <c r="I4374">
        <v>15.18</v>
      </c>
      <c r="J4374">
        <v>2.73</v>
      </c>
      <c r="K4374">
        <v>781.09</v>
      </c>
      <c r="L4374" s="5">
        <v>46291</v>
      </c>
      <c r="M4374" t="s">
        <v>9402</v>
      </c>
      <c r="N4374" t="s">
        <v>207</v>
      </c>
      <c r="O4374" t="s">
        <v>9486</v>
      </c>
      <c r="P4374" t="s">
        <v>208</v>
      </c>
      <c r="Q4374" t="s">
        <v>209</v>
      </c>
    </row>
    <row r="4375" spans="1:17" x14ac:dyDescent="0.3">
      <c r="A4375" t="s">
        <v>9487</v>
      </c>
      <c r="C4375" t="s">
        <v>9488</v>
      </c>
      <c r="D4375" t="s">
        <v>9488</v>
      </c>
      <c r="E4375" s="5">
        <v>46289</v>
      </c>
      <c r="F4375" t="s">
        <v>204</v>
      </c>
      <c r="G4375" t="s">
        <v>220</v>
      </c>
      <c r="H4375">
        <v>6498</v>
      </c>
      <c r="I4375">
        <v>19.489999999999998</v>
      </c>
      <c r="J4375">
        <v>3.51</v>
      </c>
      <c r="K4375">
        <v>6475</v>
      </c>
      <c r="L4375" s="5">
        <v>46291</v>
      </c>
      <c r="M4375" t="s">
        <v>9402</v>
      </c>
      <c r="N4375" t="s">
        <v>207</v>
      </c>
      <c r="O4375" t="s">
        <v>9488</v>
      </c>
      <c r="P4375" t="s">
        <v>208</v>
      </c>
      <c r="Q4375" t="s">
        <v>209</v>
      </c>
    </row>
    <row r="4376" spans="1:17" x14ac:dyDescent="0.3">
      <c r="A4376" t="s">
        <v>9489</v>
      </c>
      <c r="C4376" t="s">
        <v>9490</v>
      </c>
      <c r="D4376" t="s">
        <v>9491</v>
      </c>
      <c r="E4376" s="5">
        <v>46289</v>
      </c>
      <c r="F4376" t="s">
        <v>204</v>
      </c>
      <c r="G4376" t="s">
        <v>205</v>
      </c>
      <c r="H4376">
        <v>599</v>
      </c>
      <c r="I4376">
        <v>11.38</v>
      </c>
      <c r="J4376">
        <v>2.0499999999999998</v>
      </c>
      <c r="K4376">
        <v>585.57000000000005</v>
      </c>
      <c r="L4376" s="5">
        <v>46291</v>
      </c>
      <c r="M4376" t="s">
        <v>9402</v>
      </c>
      <c r="N4376" t="s">
        <v>207</v>
      </c>
      <c r="O4376" t="s">
        <v>9491</v>
      </c>
      <c r="P4376" t="s">
        <v>208</v>
      </c>
      <c r="Q4376" t="s">
        <v>209</v>
      </c>
    </row>
    <row r="4377" spans="1:17" x14ac:dyDescent="0.3">
      <c r="A4377" t="s">
        <v>9492</v>
      </c>
      <c r="C4377" t="s">
        <v>9493</v>
      </c>
      <c r="D4377" t="s">
        <v>9493</v>
      </c>
      <c r="E4377" s="5">
        <v>46289</v>
      </c>
      <c r="F4377" t="s">
        <v>204</v>
      </c>
      <c r="G4377" t="s">
        <v>213</v>
      </c>
      <c r="H4377">
        <v>998</v>
      </c>
      <c r="I4377">
        <v>17.96</v>
      </c>
      <c r="J4377">
        <v>3.23</v>
      </c>
      <c r="K4377">
        <v>976.81</v>
      </c>
      <c r="L4377" s="5">
        <v>46291</v>
      </c>
      <c r="M4377" t="s">
        <v>9402</v>
      </c>
      <c r="N4377" t="s">
        <v>207</v>
      </c>
      <c r="O4377" t="s">
        <v>9493</v>
      </c>
      <c r="P4377" t="s">
        <v>208</v>
      </c>
      <c r="Q4377" t="s">
        <v>209</v>
      </c>
    </row>
    <row r="4378" spans="1:17" x14ac:dyDescent="0.3">
      <c r="A4378" t="s">
        <v>9494</v>
      </c>
      <c r="C4378" t="s">
        <v>9495</v>
      </c>
      <c r="D4378" t="s">
        <v>9495</v>
      </c>
      <c r="E4378" s="5">
        <v>46289</v>
      </c>
      <c r="F4378" t="s">
        <v>204</v>
      </c>
      <c r="G4378" t="s">
        <v>220</v>
      </c>
      <c r="H4378">
        <v>4999</v>
      </c>
      <c r="I4378">
        <v>15</v>
      </c>
      <c r="J4378">
        <v>2.7</v>
      </c>
      <c r="K4378">
        <v>4981.3</v>
      </c>
      <c r="L4378" s="5">
        <v>46291</v>
      </c>
      <c r="M4378" t="s">
        <v>9402</v>
      </c>
      <c r="N4378" t="s">
        <v>207</v>
      </c>
      <c r="O4378" t="s">
        <v>9495</v>
      </c>
      <c r="P4378" t="s">
        <v>208</v>
      </c>
      <c r="Q4378" t="s">
        <v>209</v>
      </c>
    </row>
    <row r="4379" spans="1:17" x14ac:dyDescent="0.3">
      <c r="A4379" t="s">
        <v>9496</v>
      </c>
      <c r="C4379" t="s">
        <v>9497</v>
      </c>
      <c r="D4379" t="s">
        <v>9498</v>
      </c>
      <c r="E4379" s="5">
        <v>46289</v>
      </c>
      <c r="F4379" t="s">
        <v>204</v>
      </c>
      <c r="G4379" t="s">
        <v>213</v>
      </c>
      <c r="H4379">
        <v>2999</v>
      </c>
      <c r="I4379">
        <v>47.98</v>
      </c>
      <c r="J4379">
        <v>8.64</v>
      </c>
      <c r="K4379">
        <v>2942.38</v>
      </c>
      <c r="L4379" s="5">
        <v>46291</v>
      </c>
      <c r="M4379" t="s">
        <v>9402</v>
      </c>
      <c r="N4379" t="s">
        <v>207</v>
      </c>
      <c r="O4379" t="s">
        <v>9498</v>
      </c>
      <c r="P4379" t="s">
        <v>208</v>
      </c>
      <c r="Q4379" t="s">
        <v>209</v>
      </c>
    </row>
    <row r="4380" spans="1:17" x14ac:dyDescent="0.3">
      <c r="A4380" t="s">
        <v>9499</v>
      </c>
      <c r="C4380" t="s">
        <v>9500</v>
      </c>
      <c r="D4380" t="s">
        <v>9500</v>
      </c>
      <c r="E4380" s="5">
        <v>46289</v>
      </c>
      <c r="F4380" t="s">
        <v>204</v>
      </c>
      <c r="G4380" t="s">
        <v>205</v>
      </c>
      <c r="H4380">
        <v>17297</v>
      </c>
      <c r="I4380">
        <v>294.05</v>
      </c>
      <c r="J4380">
        <v>52.93</v>
      </c>
      <c r="K4380">
        <v>16950.02</v>
      </c>
      <c r="L4380" s="5">
        <v>46291</v>
      </c>
      <c r="M4380" t="s">
        <v>9402</v>
      </c>
      <c r="N4380" t="s">
        <v>207</v>
      </c>
      <c r="O4380" t="s">
        <v>9500</v>
      </c>
      <c r="P4380" t="s">
        <v>208</v>
      </c>
      <c r="Q4380" t="s">
        <v>209</v>
      </c>
    </row>
    <row r="4381" spans="1:17" x14ac:dyDescent="0.3">
      <c r="A4381" t="s">
        <v>9501</v>
      </c>
      <c r="C4381" t="s">
        <v>9502</v>
      </c>
      <c r="D4381" t="s">
        <v>9502</v>
      </c>
      <c r="E4381" s="5">
        <v>46289</v>
      </c>
      <c r="F4381" t="s">
        <v>204</v>
      </c>
      <c r="G4381" t="s">
        <v>220</v>
      </c>
      <c r="H4381">
        <v>2197</v>
      </c>
      <c r="I4381">
        <v>6.59</v>
      </c>
      <c r="J4381">
        <v>1.19</v>
      </c>
      <c r="K4381">
        <v>2189.2199999999998</v>
      </c>
      <c r="L4381" s="5">
        <v>46291</v>
      </c>
      <c r="M4381" t="s">
        <v>9402</v>
      </c>
      <c r="N4381" t="s">
        <v>207</v>
      </c>
      <c r="O4381" t="s">
        <v>9502</v>
      </c>
      <c r="P4381" t="s">
        <v>208</v>
      </c>
      <c r="Q4381" t="s">
        <v>209</v>
      </c>
    </row>
    <row r="4382" spans="1:17" x14ac:dyDescent="0.3">
      <c r="A4382" t="s">
        <v>9503</v>
      </c>
      <c r="C4382" t="s">
        <v>9504</v>
      </c>
      <c r="D4382" t="s">
        <v>9504</v>
      </c>
      <c r="E4382" s="5">
        <v>46289</v>
      </c>
      <c r="F4382" t="s">
        <v>204</v>
      </c>
      <c r="G4382" t="s">
        <v>220</v>
      </c>
      <c r="H4382">
        <v>299</v>
      </c>
      <c r="I4382">
        <v>0</v>
      </c>
      <c r="J4382">
        <v>0</v>
      </c>
      <c r="K4382">
        <v>299</v>
      </c>
      <c r="L4382" s="5">
        <v>46291</v>
      </c>
      <c r="M4382" t="s">
        <v>9402</v>
      </c>
      <c r="N4382" t="s">
        <v>207</v>
      </c>
      <c r="O4382" t="s">
        <v>9504</v>
      </c>
      <c r="P4382" t="s">
        <v>208</v>
      </c>
      <c r="Q4382" t="s">
        <v>209</v>
      </c>
    </row>
    <row r="4383" spans="1:17" x14ac:dyDescent="0.3">
      <c r="A4383" t="s">
        <v>9505</v>
      </c>
      <c r="C4383" t="s">
        <v>9506</v>
      </c>
      <c r="D4383" t="s">
        <v>9506</v>
      </c>
      <c r="E4383" s="5">
        <v>46289</v>
      </c>
      <c r="F4383" t="s">
        <v>204</v>
      </c>
      <c r="G4383" t="s">
        <v>213</v>
      </c>
      <c r="H4383">
        <v>7797</v>
      </c>
      <c r="I4383">
        <v>124.75</v>
      </c>
      <c r="J4383">
        <v>22.46</v>
      </c>
      <c r="K4383">
        <v>7649.79</v>
      </c>
      <c r="L4383" s="5">
        <v>46291</v>
      </c>
      <c r="M4383" t="s">
        <v>9402</v>
      </c>
      <c r="N4383" t="s">
        <v>207</v>
      </c>
      <c r="O4383" t="s">
        <v>9506</v>
      </c>
      <c r="P4383" t="s">
        <v>208</v>
      </c>
      <c r="Q4383" t="s">
        <v>209</v>
      </c>
    </row>
    <row r="4384" spans="1:17" x14ac:dyDescent="0.3">
      <c r="A4384" t="s">
        <v>9507</v>
      </c>
      <c r="C4384" t="s">
        <v>9508</v>
      </c>
      <c r="D4384" t="s">
        <v>9508</v>
      </c>
      <c r="E4384" s="5">
        <v>46289</v>
      </c>
      <c r="F4384" t="s">
        <v>204</v>
      </c>
      <c r="G4384" t="s">
        <v>220</v>
      </c>
      <c r="H4384">
        <v>8348</v>
      </c>
      <c r="I4384">
        <v>25.04</v>
      </c>
      <c r="J4384">
        <v>4.51</v>
      </c>
      <c r="K4384">
        <v>8318.4500000000007</v>
      </c>
      <c r="L4384" s="5">
        <v>46291</v>
      </c>
      <c r="M4384" t="s">
        <v>9402</v>
      </c>
      <c r="N4384" t="s">
        <v>207</v>
      </c>
      <c r="O4384" t="s">
        <v>9508</v>
      </c>
      <c r="P4384" t="s">
        <v>208</v>
      </c>
      <c r="Q4384" t="s">
        <v>209</v>
      </c>
    </row>
    <row r="4385" spans="1:17" x14ac:dyDescent="0.3">
      <c r="A4385" t="s">
        <v>9509</v>
      </c>
      <c r="C4385" t="s">
        <v>9510</v>
      </c>
      <c r="D4385" t="s">
        <v>9510</v>
      </c>
      <c r="E4385" s="5">
        <v>46289</v>
      </c>
      <c r="F4385" t="s">
        <v>204</v>
      </c>
      <c r="G4385" t="s">
        <v>220</v>
      </c>
      <c r="H4385">
        <v>3499</v>
      </c>
      <c r="I4385">
        <v>10.5</v>
      </c>
      <c r="J4385">
        <v>1.89</v>
      </c>
      <c r="K4385">
        <v>3486.61</v>
      </c>
      <c r="L4385" s="5">
        <v>46291</v>
      </c>
      <c r="M4385" t="s">
        <v>9402</v>
      </c>
      <c r="N4385" t="s">
        <v>207</v>
      </c>
      <c r="O4385" t="s">
        <v>9510</v>
      </c>
      <c r="P4385" t="s">
        <v>208</v>
      </c>
      <c r="Q4385" t="s">
        <v>209</v>
      </c>
    </row>
    <row r="4386" spans="1:17" x14ac:dyDescent="0.3">
      <c r="A4386" t="s">
        <v>9511</v>
      </c>
      <c r="C4386" t="s">
        <v>9512</v>
      </c>
      <c r="D4386" t="s">
        <v>9512</v>
      </c>
      <c r="E4386" s="5">
        <v>46289</v>
      </c>
      <c r="F4386" t="s">
        <v>204</v>
      </c>
      <c r="G4386" t="s">
        <v>255</v>
      </c>
      <c r="H4386">
        <v>8348</v>
      </c>
      <c r="I4386">
        <v>100.18</v>
      </c>
      <c r="J4386">
        <v>18.03</v>
      </c>
      <c r="K4386">
        <v>8229.7900000000009</v>
      </c>
      <c r="L4386" s="5">
        <v>46291</v>
      </c>
      <c r="M4386" t="s">
        <v>9402</v>
      </c>
      <c r="N4386" t="s">
        <v>207</v>
      </c>
      <c r="O4386" t="s">
        <v>9512</v>
      </c>
      <c r="P4386" t="s">
        <v>208</v>
      </c>
      <c r="Q4386" t="s">
        <v>209</v>
      </c>
    </row>
    <row r="4387" spans="1:17" x14ac:dyDescent="0.3">
      <c r="A4387" t="s">
        <v>9513</v>
      </c>
      <c r="C4387" t="s">
        <v>9514</v>
      </c>
      <c r="D4387" t="s">
        <v>9514</v>
      </c>
      <c r="E4387" s="5">
        <v>46289</v>
      </c>
      <c r="F4387" t="s">
        <v>204</v>
      </c>
      <c r="G4387" t="s">
        <v>220</v>
      </c>
      <c r="H4387">
        <v>5798</v>
      </c>
      <c r="I4387">
        <v>17.39</v>
      </c>
      <c r="J4387">
        <v>3.13</v>
      </c>
      <c r="K4387">
        <v>5777.48</v>
      </c>
      <c r="L4387" s="5">
        <v>46291</v>
      </c>
      <c r="M4387" t="s">
        <v>9402</v>
      </c>
      <c r="N4387" t="s">
        <v>207</v>
      </c>
      <c r="O4387" t="s">
        <v>9514</v>
      </c>
      <c r="P4387" t="s">
        <v>208</v>
      </c>
      <c r="Q4387" t="s">
        <v>209</v>
      </c>
    </row>
    <row r="4388" spans="1:17" x14ac:dyDescent="0.3">
      <c r="A4388" t="s">
        <v>9515</v>
      </c>
      <c r="C4388" t="s">
        <v>9516</v>
      </c>
      <c r="D4388" t="s">
        <v>9517</v>
      </c>
      <c r="E4388" s="5">
        <v>46289</v>
      </c>
      <c r="F4388" t="s">
        <v>204</v>
      </c>
      <c r="G4388" t="s">
        <v>255</v>
      </c>
      <c r="H4388">
        <v>3798</v>
      </c>
      <c r="I4388">
        <v>45.58</v>
      </c>
      <c r="J4388">
        <v>8.1999999999999993</v>
      </c>
      <c r="K4388">
        <v>3744.22</v>
      </c>
      <c r="L4388" s="5">
        <v>46291</v>
      </c>
      <c r="M4388" t="s">
        <v>9402</v>
      </c>
      <c r="N4388" t="s">
        <v>207</v>
      </c>
      <c r="O4388" t="s">
        <v>9517</v>
      </c>
      <c r="P4388" t="s">
        <v>208</v>
      </c>
      <c r="Q4388" t="s">
        <v>209</v>
      </c>
    </row>
    <row r="4389" spans="1:17" x14ac:dyDescent="0.3">
      <c r="A4389" t="s">
        <v>9518</v>
      </c>
      <c r="C4389" t="s">
        <v>9519</v>
      </c>
      <c r="D4389" t="s">
        <v>9520</v>
      </c>
      <c r="E4389" s="5">
        <v>46289</v>
      </c>
      <c r="F4389" t="s">
        <v>204</v>
      </c>
      <c r="G4389" t="s">
        <v>220</v>
      </c>
      <c r="H4389">
        <v>599</v>
      </c>
      <c r="I4389">
        <v>0</v>
      </c>
      <c r="J4389">
        <v>0</v>
      </c>
      <c r="K4389">
        <v>599</v>
      </c>
      <c r="L4389" s="5">
        <v>46291</v>
      </c>
      <c r="M4389" t="s">
        <v>9402</v>
      </c>
      <c r="N4389" t="s">
        <v>207</v>
      </c>
      <c r="O4389" t="s">
        <v>9520</v>
      </c>
      <c r="P4389" t="s">
        <v>208</v>
      </c>
      <c r="Q4389" t="s">
        <v>209</v>
      </c>
    </row>
    <row r="4390" spans="1:17" x14ac:dyDescent="0.3">
      <c r="A4390" t="s">
        <v>9521</v>
      </c>
      <c r="C4390" t="s">
        <v>9522</v>
      </c>
      <c r="D4390" t="s">
        <v>9522</v>
      </c>
      <c r="E4390" s="5">
        <v>46289</v>
      </c>
      <c r="F4390" t="s">
        <v>204</v>
      </c>
      <c r="G4390" t="s">
        <v>220</v>
      </c>
      <c r="H4390">
        <v>349</v>
      </c>
      <c r="I4390">
        <v>0</v>
      </c>
      <c r="J4390">
        <v>0</v>
      </c>
      <c r="K4390">
        <v>349</v>
      </c>
      <c r="L4390" s="5">
        <v>46291</v>
      </c>
      <c r="M4390" t="s">
        <v>9402</v>
      </c>
      <c r="N4390" t="s">
        <v>207</v>
      </c>
      <c r="O4390" t="s">
        <v>9522</v>
      </c>
      <c r="P4390" t="s">
        <v>208</v>
      </c>
      <c r="Q4390" t="s">
        <v>209</v>
      </c>
    </row>
    <row r="4391" spans="1:17" x14ac:dyDescent="0.3">
      <c r="A4391" t="s">
        <v>9523</v>
      </c>
      <c r="C4391" t="s">
        <v>9524</v>
      </c>
      <c r="D4391" t="s">
        <v>9524</v>
      </c>
      <c r="E4391" s="5">
        <v>46289</v>
      </c>
      <c r="F4391" t="s">
        <v>204</v>
      </c>
      <c r="G4391" t="s">
        <v>205</v>
      </c>
      <c r="H4391">
        <v>6798</v>
      </c>
      <c r="I4391">
        <v>115.57</v>
      </c>
      <c r="J4391">
        <v>20.8</v>
      </c>
      <c r="K4391">
        <v>6661.63</v>
      </c>
      <c r="L4391" s="5">
        <v>46291</v>
      </c>
      <c r="M4391" t="s">
        <v>9402</v>
      </c>
      <c r="N4391" t="s">
        <v>207</v>
      </c>
      <c r="O4391" t="s">
        <v>9524</v>
      </c>
      <c r="P4391" t="s">
        <v>208</v>
      </c>
      <c r="Q4391" t="s">
        <v>209</v>
      </c>
    </row>
    <row r="4392" spans="1:17" x14ac:dyDescent="0.3">
      <c r="A4392" t="s">
        <v>9525</v>
      </c>
      <c r="C4392" t="s">
        <v>9526</v>
      </c>
      <c r="D4392" t="s">
        <v>9526</v>
      </c>
      <c r="E4392" s="5">
        <v>46289</v>
      </c>
      <c r="F4392" t="s">
        <v>204</v>
      </c>
      <c r="G4392" t="s">
        <v>220</v>
      </c>
      <c r="H4392">
        <v>2499</v>
      </c>
      <c r="I4392">
        <v>7.5</v>
      </c>
      <c r="J4392">
        <v>1.35</v>
      </c>
      <c r="K4392">
        <v>2490.15</v>
      </c>
      <c r="L4392" s="5">
        <v>46291</v>
      </c>
      <c r="M4392" t="s">
        <v>9402</v>
      </c>
      <c r="N4392" t="s">
        <v>207</v>
      </c>
      <c r="O4392" t="s">
        <v>9526</v>
      </c>
      <c r="P4392" t="s">
        <v>208</v>
      </c>
      <c r="Q4392" t="s">
        <v>209</v>
      </c>
    </row>
    <row r="4393" spans="1:17" x14ac:dyDescent="0.3">
      <c r="A4393" t="s">
        <v>9527</v>
      </c>
      <c r="C4393" t="s">
        <v>9528</v>
      </c>
      <c r="D4393" t="s">
        <v>9528</v>
      </c>
      <c r="E4393" s="5">
        <v>46289</v>
      </c>
      <c r="F4393" t="s">
        <v>204</v>
      </c>
      <c r="G4393" t="s">
        <v>220</v>
      </c>
      <c r="H4393">
        <v>5598</v>
      </c>
      <c r="I4393">
        <v>16.79</v>
      </c>
      <c r="J4393">
        <v>3.02</v>
      </c>
      <c r="K4393">
        <v>5578.19</v>
      </c>
      <c r="L4393" s="5">
        <v>46291</v>
      </c>
      <c r="M4393" t="s">
        <v>9402</v>
      </c>
      <c r="N4393" t="s">
        <v>207</v>
      </c>
      <c r="O4393" t="s">
        <v>9528</v>
      </c>
      <c r="P4393" t="s">
        <v>208</v>
      </c>
      <c r="Q4393" t="s">
        <v>209</v>
      </c>
    </row>
    <row r="4394" spans="1:17" x14ac:dyDescent="0.3">
      <c r="A4394" t="s">
        <v>9529</v>
      </c>
      <c r="C4394" t="s">
        <v>9530</v>
      </c>
      <c r="D4394" t="s">
        <v>9531</v>
      </c>
      <c r="E4394" s="5">
        <v>46289</v>
      </c>
      <c r="F4394" t="s">
        <v>204</v>
      </c>
      <c r="G4394" t="s">
        <v>220</v>
      </c>
      <c r="H4394">
        <v>7999</v>
      </c>
      <c r="I4394">
        <v>24</v>
      </c>
      <c r="J4394">
        <v>4.32</v>
      </c>
      <c r="K4394">
        <v>7970.68</v>
      </c>
      <c r="L4394" s="5">
        <v>46291</v>
      </c>
      <c r="M4394" t="s">
        <v>9402</v>
      </c>
      <c r="N4394" t="s">
        <v>207</v>
      </c>
      <c r="O4394" t="s">
        <v>9531</v>
      </c>
      <c r="P4394" t="s">
        <v>208</v>
      </c>
      <c r="Q4394" t="s">
        <v>209</v>
      </c>
    </row>
    <row r="4395" spans="1:17" x14ac:dyDescent="0.3">
      <c r="A4395" t="s">
        <v>9532</v>
      </c>
      <c r="C4395" t="s">
        <v>9533</v>
      </c>
      <c r="D4395" t="s">
        <v>9533</v>
      </c>
      <c r="E4395" s="5">
        <v>46289</v>
      </c>
      <c r="F4395" t="s">
        <v>204</v>
      </c>
      <c r="G4395" t="s">
        <v>205</v>
      </c>
      <c r="H4395">
        <v>3098</v>
      </c>
      <c r="I4395">
        <v>52.67</v>
      </c>
      <c r="J4395">
        <v>9.48</v>
      </c>
      <c r="K4395">
        <v>3035.85</v>
      </c>
      <c r="L4395" s="5">
        <v>46291</v>
      </c>
      <c r="M4395" t="s">
        <v>9402</v>
      </c>
      <c r="N4395" t="s">
        <v>207</v>
      </c>
      <c r="O4395" t="s">
        <v>9533</v>
      </c>
      <c r="P4395" t="s">
        <v>208</v>
      </c>
      <c r="Q4395" t="s">
        <v>209</v>
      </c>
    </row>
    <row r="4396" spans="1:17" x14ac:dyDescent="0.3">
      <c r="A4396" t="s">
        <v>9534</v>
      </c>
      <c r="C4396" t="s">
        <v>9535</v>
      </c>
      <c r="D4396" t="s">
        <v>9535</v>
      </c>
      <c r="E4396" s="5">
        <v>46289</v>
      </c>
      <c r="F4396" t="s">
        <v>204</v>
      </c>
      <c r="G4396" t="s">
        <v>220</v>
      </c>
      <c r="H4396">
        <v>1597</v>
      </c>
      <c r="I4396">
        <v>0</v>
      </c>
      <c r="J4396">
        <v>0</v>
      </c>
      <c r="K4396">
        <v>1597</v>
      </c>
      <c r="L4396" s="5">
        <v>46291</v>
      </c>
      <c r="M4396" t="s">
        <v>9402</v>
      </c>
      <c r="N4396" t="s">
        <v>207</v>
      </c>
      <c r="O4396" t="s">
        <v>9535</v>
      </c>
      <c r="P4396" t="s">
        <v>208</v>
      </c>
      <c r="Q4396" t="s">
        <v>209</v>
      </c>
    </row>
    <row r="4397" spans="1:17" x14ac:dyDescent="0.3">
      <c r="A4397" t="s">
        <v>9536</v>
      </c>
      <c r="C4397" t="s">
        <v>9537</v>
      </c>
      <c r="D4397" t="s">
        <v>9537</v>
      </c>
      <c r="E4397" s="5">
        <v>46289</v>
      </c>
      <c r="F4397" t="s">
        <v>204</v>
      </c>
      <c r="G4397" t="s">
        <v>213</v>
      </c>
      <c r="H4397">
        <v>2499</v>
      </c>
      <c r="I4397">
        <v>39.979999999999997</v>
      </c>
      <c r="J4397">
        <v>7.2</v>
      </c>
      <c r="K4397">
        <v>2451.8200000000002</v>
      </c>
      <c r="L4397" s="5">
        <v>46291</v>
      </c>
      <c r="M4397" t="s">
        <v>9402</v>
      </c>
      <c r="N4397" t="s">
        <v>207</v>
      </c>
      <c r="O4397" t="s">
        <v>9537</v>
      </c>
      <c r="P4397" t="s">
        <v>208</v>
      </c>
      <c r="Q4397" t="s">
        <v>209</v>
      </c>
    </row>
    <row r="4398" spans="1:17" x14ac:dyDescent="0.3">
      <c r="A4398" t="s">
        <v>9538</v>
      </c>
      <c r="C4398" t="s">
        <v>9539</v>
      </c>
      <c r="D4398" t="s">
        <v>9539</v>
      </c>
      <c r="E4398" s="5">
        <v>46289</v>
      </c>
      <c r="F4398" t="s">
        <v>204</v>
      </c>
      <c r="G4398" t="s">
        <v>213</v>
      </c>
      <c r="H4398">
        <v>299</v>
      </c>
      <c r="I4398">
        <v>5.38</v>
      </c>
      <c r="J4398">
        <v>0.97</v>
      </c>
      <c r="K4398">
        <v>292.64999999999998</v>
      </c>
      <c r="L4398" s="5">
        <v>46291</v>
      </c>
      <c r="M4398" t="s">
        <v>9402</v>
      </c>
      <c r="N4398" t="s">
        <v>207</v>
      </c>
      <c r="O4398" t="s">
        <v>9539</v>
      </c>
      <c r="P4398" t="s">
        <v>208</v>
      </c>
      <c r="Q4398" t="s">
        <v>209</v>
      </c>
    </row>
    <row r="4399" spans="1:17" x14ac:dyDescent="0.3">
      <c r="A4399" t="s">
        <v>9540</v>
      </c>
      <c r="C4399" t="s">
        <v>9541</v>
      </c>
      <c r="D4399" t="s">
        <v>9541</v>
      </c>
      <c r="E4399" s="5">
        <v>46289</v>
      </c>
      <c r="F4399" t="s">
        <v>204</v>
      </c>
      <c r="G4399" t="s">
        <v>213</v>
      </c>
      <c r="H4399">
        <v>3098</v>
      </c>
      <c r="I4399">
        <v>49.57</v>
      </c>
      <c r="J4399">
        <v>8.92</v>
      </c>
      <c r="K4399">
        <v>3039.51</v>
      </c>
      <c r="L4399" s="5">
        <v>46291</v>
      </c>
      <c r="M4399" t="s">
        <v>9402</v>
      </c>
      <c r="N4399" t="s">
        <v>207</v>
      </c>
      <c r="O4399" t="s">
        <v>9541</v>
      </c>
      <c r="P4399" t="s">
        <v>208</v>
      </c>
      <c r="Q4399" t="s">
        <v>209</v>
      </c>
    </row>
    <row r="4400" spans="1:17" x14ac:dyDescent="0.3">
      <c r="A4400" t="s">
        <v>9542</v>
      </c>
      <c r="C4400" t="s">
        <v>9543</v>
      </c>
      <c r="D4400" t="s">
        <v>9543</v>
      </c>
      <c r="E4400" s="5">
        <v>46289</v>
      </c>
      <c r="F4400" t="s">
        <v>204</v>
      </c>
      <c r="G4400" t="s">
        <v>205</v>
      </c>
      <c r="H4400">
        <v>999</v>
      </c>
      <c r="I4400">
        <v>18.98</v>
      </c>
      <c r="J4400">
        <v>3.42</v>
      </c>
      <c r="K4400">
        <v>976.6</v>
      </c>
      <c r="L4400" s="5">
        <v>46291</v>
      </c>
      <c r="M4400" t="s">
        <v>9402</v>
      </c>
      <c r="N4400" t="s">
        <v>207</v>
      </c>
      <c r="O4400" t="s">
        <v>9543</v>
      </c>
      <c r="P4400" t="s">
        <v>208</v>
      </c>
      <c r="Q4400" t="s">
        <v>209</v>
      </c>
    </row>
    <row r="4401" spans="1:17" x14ac:dyDescent="0.3">
      <c r="A4401" t="s">
        <v>9544</v>
      </c>
      <c r="C4401" t="s">
        <v>9545</v>
      </c>
      <c r="D4401" t="s">
        <v>9545</v>
      </c>
      <c r="E4401" s="5">
        <v>46289</v>
      </c>
      <c r="F4401" t="s">
        <v>204</v>
      </c>
      <c r="G4401" t="s">
        <v>220</v>
      </c>
      <c r="H4401">
        <v>9798</v>
      </c>
      <c r="I4401">
        <v>29.39</v>
      </c>
      <c r="J4401">
        <v>5.29</v>
      </c>
      <c r="K4401">
        <v>9763.32</v>
      </c>
      <c r="L4401" s="5">
        <v>46291</v>
      </c>
      <c r="M4401" t="s">
        <v>9402</v>
      </c>
      <c r="N4401" t="s">
        <v>207</v>
      </c>
      <c r="O4401" t="s">
        <v>9545</v>
      </c>
      <c r="P4401" t="s">
        <v>208</v>
      </c>
      <c r="Q4401" t="s">
        <v>209</v>
      </c>
    </row>
    <row r="4402" spans="1:17" x14ac:dyDescent="0.3">
      <c r="A4402" t="s">
        <v>9546</v>
      </c>
      <c r="C4402" t="s">
        <v>9547</v>
      </c>
      <c r="D4402" t="s">
        <v>9547</v>
      </c>
      <c r="E4402" s="5">
        <v>46289</v>
      </c>
      <c r="F4402" t="s">
        <v>204</v>
      </c>
      <c r="G4402" t="s">
        <v>205</v>
      </c>
      <c r="H4402">
        <v>299</v>
      </c>
      <c r="I4402">
        <v>5.68</v>
      </c>
      <c r="J4402">
        <v>1.02</v>
      </c>
      <c r="K4402">
        <v>292.3</v>
      </c>
      <c r="L4402" s="5">
        <v>46291</v>
      </c>
      <c r="M4402" t="s">
        <v>9402</v>
      </c>
      <c r="N4402" t="s">
        <v>207</v>
      </c>
      <c r="O4402" t="s">
        <v>9547</v>
      </c>
      <c r="P4402" t="s">
        <v>208</v>
      </c>
      <c r="Q4402" t="s">
        <v>209</v>
      </c>
    </row>
    <row r="4403" spans="1:17" x14ac:dyDescent="0.3">
      <c r="A4403" t="s">
        <v>9548</v>
      </c>
      <c r="C4403" t="s">
        <v>9549</v>
      </c>
      <c r="D4403" t="s">
        <v>9550</v>
      </c>
      <c r="E4403" s="5">
        <v>46289</v>
      </c>
      <c r="F4403" t="s">
        <v>204</v>
      </c>
      <c r="G4403" t="s">
        <v>205</v>
      </c>
      <c r="H4403">
        <v>1098</v>
      </c>
      <c r="I4403">
        <v>20.86</v>
      </c>
      <c r="J4403">
        <v>3.75</v>
      </c>
      <c r="K4403">
        <v>1073.3900000000001</v>
      </c>
      <c r="L4403" s="5">
        <v>46291</v>
      </c>
      <c r="M4403" t="s">
        <v>9402</v>
      </c>
      <c r="N4403" t="s">
        <v>207</v>
      </c>
      <c r="O4403" t="s">
        <v>9550</v>
      </c>
      <c r="P4403" t="s">
        <v>208</v>
      </c>
      <c r="Q4403" t="s">
        <v>209</v>
      </c>
    </row>
    <row r="4404" spans="1:17" x14ac:dyDescent="0.3">
      <c r="A4404" t="s">
        <v>9551</v>
      </c>
      <c r="C4404" t="s">
        <v>9552</v>
      </c>
      <c r="D4404" t="s">
        <v>9553</v>
      </c>
      <c r="E4404" s="5">
        <v>46289</v>
      </c>
      <c r="F4404" t="s">
        <v>204</v>
      </c>
      <c r="G4404" t="s">
        <v>213</v>
      </c>
      <c r="H4404">
        <v>5598</v>
      </c>
      <c r="I4404">
        <v>89.57</v>
      </c>
      <c r="J4404">
        <v>16.12</v>
      </c>
      <c r="K4404">
        <v>5492.31</v>
      </c>
      <c r="L4404" s="5">
        <v>46291</v>
      </c>
      <c r="M4404" t="s">
        <v>9402</v>
      </c>
      <c r="N4404" t="s">
        <v>207</v>
      </c>
      <c r="O4404" t="s">
        <v>9553</v>
      </c>
      <c r="P4404" t="s">
        <v>208</v>
      </c>
      <c r="Q4404" t="s">
        <v>209</v>
      </c>
    </row>
    <row r="4405" spans="1:17" x14ac:dyDescent="0.3">
      <c r="A4405" t="s">
        <v>9554</v>
      </c>
      <c r="C4405" t="s">
        <v>9555</v>
      </c>
      <c r="D4405" t="s">
        <v>9555</v>
      </c>
      <c r="E4405" s="5">
        <v>46289</v>
      </c>
      <c r="F4405" t="s">
        <v>204</v>
      </c>
      <c r="G4405" t="s">
        <v>213</v>
      </c>
      <c r="H4405">
        <v>2298</v>
      </c>
      <c r="I4405">
        <v>36.770000000000003</v>
      </c>
      <c r="J4405">
        <v>6.62</v>
      </c>
      <c r="K4405">
        <v>2254.61</v>
      </c>
      <c r="L4405" s="5">
        <v>46291</v>
      </c>
      <c r="M4405" t="s">
        <v>9402</v>
      </c>
      <c r="N4405" t="s">
        <v>207</v>
      </c>
      <c r="O4405" t="s">
        <v>9555</v>
      </c>
      <c r="P4405" t="s">
        <v>208</v>
      </c>
      <c r="Q4405" t="s">
        <v>209</v>
      </c>
    </row>
    <row r="4406" spans="1:17" x14ac:dyDescent="0.3">
      <c r="A4406" t="s">
        <v>9556</v>
      </c>
      <c r="C4406" t="s">
        <v>9557</v>
      </c>
      <c r="D4406" t="s">
        <v>9557</v>
      </c>
      <c r="E4406" s="5">
        <v>46289</v>
      </c>
      <c r="F4406" t="s">
        <v>204</v>
      </c>
      <c r="G4406" t="s">
        <v>220</v>
      </c>
      <c r="H4406">
        <v>2999</v>
      </c>
      <c r="I4406">
        <v>9</v>
      </c>
      <c r="J4406">
        <v>1.62</v>
      </c>
      <c r="K4406">
        <v>2988.38</v>
      </c>
      <c r="L4406" s="5">
        <v>46291</v>
      </c>
      <c r="M4406" t="s">
        <v>9402</v>
      </c>
      <c r="N4406" t="s">
        <v>207</v>
      </c>
      <c r="O4406" t="s">
        <v>9557</v>
      </c>
      <c r="P4406" t="s">
        <v>208</v>
      </c>
      <c r="Q4406" t="s">
        <v>209</v>
      </c>
    </row>
    <row r="4407" spans="1:17" x14ac:dyDescent="0.3">
      <c r="A4407" t="s">
        <v>9558</v>
      </c>
      <c r="C4407" t="s">
        <v>9559</v>
      </c>
      <c r="D4407" t="s">
        <v>9559</v>
      </c>
      <c r="E4407" s="5">
        <v>46289</v>
      </c>
      <c r="F4407" t="s">
        <v>204</v>
      </c>
      <c r="G4407" t="s">
        <v>205</v>
      </c>
      <c r="H4407">
        <v>999</v>
      </c>
      <c r="I4407">
        <v>18.98</v>
      </c>
      <c r="J4407">
        <v>3.42</v>
      </c>
      <c r="K4407">
        <v>976.6</v>
      </c>
      <c r="L4407" s="5">
        <v>46291</v>
      </c>
      <c r="M4407" t="s">
        <v>9402</v>
      </c>
      <c r="N4407" t="s">
        <v>207</v>
      </c>
      <c r="O4407" t="s">
        <v>9559</v>
      </c>
      <c r="P4407" t="s">
        <v>208</v>
      </c>
      <c r="Q4407" t="s">
        <v>209</v>
      </c>
    </row>
    <row r="4408" spans="1:17" x14ac:dyDescent="0.3">
      <c r="A4408" t="s">
        <v>9560</v>
      </c>
      <c r="C4408" t="s">
        <v>9561</v>
      </c>
      <c r="D4408" t="s">
        <v>9561</v>
      </c>
      <c r="E4408" s="5">
        <v>46289</v>
      </c>
      <c r="F4408" t="s">
        <v>204</v>
      </c>
      <c r="G4408" t="s">
        <v>220</v>
      </c>
      <c r="H4408">
        <v>3348</v>
      </c>
      <c r="I4408">
        <v>10.039999999999999</v>
      </c>
      <c r="J4408">
        <v>1.81</v>
      </c>
      <c r="K4408">
        <v>3336.15</v>
      </c>
      <c r="L4408" s="5">
        <v>46291</v>
      </c>
      <c r="M4408" t="s">
        <v>9402</v>
      </c>
      <c r="N4408" t="s">
        <v>207</v>
      </c>
      <c r="O4408" t="s">
        <v>9561</v>
      </c>
      <c r="P4408" t="s">
        <v>208</v>
      </c>
      <c r="Q4408" t="s">
        <v>209</v>
      </c>
    </row>
    <row r="4409" spans="1:17" x14ac:dyDescent="0.3">
      <c r="A4409" t="s">
        <v>9562</v>
      </c>
      <c r="C4409" t="s">
        <v>9563</v>
      </c>
      <c r="D4409" t="s">
        <v>9563</v>
      </c>
      <c r="E4409" s="5">
        <v>46289</v>
      </c>
      <c r="F4409" t="s">
        <v>204</v>
      </c>
      <c r="G4409" t="s">
        <v>213</v>
      </c>
      <c r="H4409">
        <v>2499</v>
      </c>
      <c r="I4409">
        <v>39.979999999999997</v>
      </c>
      <c r="J4409">
        <v>7.2</v>
      </c>
      <c r="K4409">
        <v>2451.8200000000002</v>
      </c>
      <c r="L4409" s="5">
        <v>46291</v>
      </c>
      <c r="M4409" t="s">
        <v>9402</v>
      </c>
      <c r="N4409" t="s">
        <v>207</v>
      </c>
      <c r="O4409" t="s">
        <v>9563</v>
      </c>
      <c r="P4409" t="s">
        <v>208</v>
      </c>
      <c r="Q4409" t="s">
        <v>209</v>
      </c>
    </row>
    <row r="4410" spans="1:17" x14ac:dyDescent="0.3">
      <c r="A4410" t="s">
        <v>9564</v>
      </c>
      <c r="C4410" t="s">
        <v>9565</v>
      </c>
      <c r="D4410" t="s">
        <v>9565</v>
      </c>
      <c r="E4410" s="5">
        <v>46289</v>
      </c>
      <c r="F4410" t="s">
        <v>204</v>
      </c>
      <c r="G4410" t="s">
        <v>220</v>
      </c>
      <c r="H4410">
        <v>2999</v>
      </c>
      <c r="I4410">
        <v>9</v>
      </c>
      <c r="J4410">
        <v>1.62</v>
      </c>
      <c r="K4410">
        <v>2988.38</v>
      </c>
      <c r="L4410" s="5">
        <v>46291</v>
      </c>
      <c r="M4410" t="s">
        <v>9402</v>
      </c>
      <c r="N4410" t="s">
        <v>207</v>
      </c>
      <c r="O4410" t="s">
        <v>9565</v>
      </c>
      <c r="P4410" t="s">
        <v>208</v>
      </c>
      <c r="Q4410" t="s">
        <v>209</v>
      </c>
    </row>
    <row r="4411" spans="1:17" x14ac:dyDescent="0.3">
      <c r="A4411" t="s">
        <v>9566</v>
      </c>
      <c r="C4411" t="s">
        <v>9567</v>
      </c>
      <c r="D4411" t="s">
        <v>9567</v>
      </c>
      <c r="E4411" s="5">
        <v>46289</v>
      </c>
      <c r="F4411" t="s">
        <v>204</v>
      </c>
      <c r="G4411" t="s">
        <v>220</v>
      </c>
      <c r="H4411">
        <v>3697</v>
      </c>
      <c r="I4411">
        <v>11.09</v>
      </c>
      <c r="J4411">
        <v>2</v>
      </c>
      <c r="K4411">
        <v>3683.91</v>
      </c>
      <c r="L4411" s="5">
        <v>46291</v>
      </c>
      <c r="M4411" t="s">
        <v>9402</v>
      </c>
      <c r="N4411" t="s">
        <v>207</v>
      </c>
      <c r="O4411" t="s">
        <v>9567</v>
      </c>
      <c r="P4411" t="s">
        <v>208</v>
      </c>
      <c r="Q4411" t="s">
        <v>209</v>
      </c>
    </row>
    <row r="4412" spans="1:17" x14ac:dyDescent="0.3">
      <c r="A4412" t="s">
        <v>9568</v>
      </c>
      <c r="C4412" t="s">
        <v>9569</v>
      </c>
      <c r="D4412" t="s">
        <v>9569</v>
      </c>
      <c r="E4412" s="5">
        <v>46289</v>
      </c>
      <c r="F4412" t="s">
        <v>204</v>
      </c>
      <c r="G4412" t="s">
        <v>220</v>
      </c>
      <c r="H4412">
        <v>5498</v>
      </c>
      <c r="I4412">
        <v>16.489999999999998</v>
      </c>
      <c r="J4412">
        <v>2.97</v>
      </c>
      <c r="K4412">
        <v>5478.54</v>
      </c>
      <c r="L4412" s="5">
        <v>46291</v>
      </c>
      <c r="M4412" t="s">
        <v>9402</v>
      </c>
      <c r="N4412" t="s">
        <v>207</v>
      </c>
      <c r="O4412" t="s">
        <v>9569</v>
      </c>
      <c r="P4412" t="s">
        <v>208</v>
      </c>
      <c r="Q4412" t="s">
        <v>209</v>
      </c>
    </row>
    <row r="4413" spans="1:17" x14ac:dyDescent="0.3">
      <c r="A4413" t="s">
        <v>9570</v>
      </c>
      <c r="C4413" t="s">
        <v>9571</v>
      </c>
      <c r="D4413" t="s">
        <v>9572</v>
      </c>
      <c r="E4413" s="5">
        <v>46289</v>
      </c>
      <c r="F4413" t="s">
        <v>204</v>
      </c>
      <c r="G4413" t="s">
        <v>205</v>
      </c>
      <c r="H4413">
        <v>349</v>
      </c>
      <c r="I4413">
        <v>6.63</v>
      </c>
      <c r="J4413">
        <v>1.19</v>
      </c>
      <c r="K4413">
        <v>341.18</v>
      </c>
      <c r="L4413" s="5">
        <v>46291</v>
      </c>
      <c r="M4413" t="s">
        <v>9402</v>
      </c>
      <c r="N4413" t="s">
        <v>207</v>
      </c>
      <c r="O4413" t="s">
        <v>9572</v>
      </c>
      <c r="P4413" t="s">
        <v>208</v>
      </c>
      <c r="Q4413" t="s">
        <v>209</v>
      </c>
    </row>
    <row r="4414" spans="1:17" x14ac:dyDescent="0.3">
      <c r="A4414" t="s">
        <v>9573</v>
      </c>
      <c r="C4414" t="s">
        <v>9574</v>
      </c>
      <c r="D4414" t="s">
        <v>9574</v>
      </c>
      <c r="E4414" s="5">
        <v>46289</v>
      </c>
      <c r="F4414" t="s">
        <v>204</v>
      </c>
      <c r="G4414" t="s">
        <v>220</v>
      </c>
      <c r="H4414">
        <v>12998</v>
      </c>
      <c r="I4414">
        <v>38.99</v>
      </c>
      <c r="J4414">
        <v>7.02</v>
      </c>
      <c r="K4414">
        <v>12951.99</v>
      </c>
      <c r="L4414" s="5">
        <v>46291</v>
      </c>
      <c r="M4414" t="s">
        <v>9402</v>
      </c>
      <c r="N4414" t="s">
        <v>207</v>
      </c>
      <c r="O4414" t="s">
        <v>9574</v>
      </c>
      <c r="P4414" t="s">
        <v>208</v>
      </c>
      <c r="Q4414" t="s">
        <v>209</v>
      </c>
    </row>
    <row r="4415" spans="1:17" x14ac:dyDescent="0.3">
      <c r="A4415" t="s">
        <v>9575</v>
      </c>
      <c r="C4415" t="s">
        <v>9576</v>
      </c>
      <c r="D4415" t="s">
        <v>9576</v>
      </c>
      <c r="E4415" s="5">
        <v>46289</v>
      </c>
      <c r="F4415" t="s">
        <v>204</v>
      </c>
      <c r="G4415" t="s">
        <v>205</v>
      </c>
      <c r="H4415">
        <v>599</v>
      </c>
      <c r="I4415">
        <v>11.38</v>
      </c>
      <c r="J4415">
        <v>2.0499999999999998</v>
      </c>
      <c r="K4415">
        <v>585.57000000000005</v>
      </c>
      <c r="L4415" s="5">
        <v>46291</v>
      </c>
      <c r="M4415" t="s">
        <v>9402</v>
      </c>
      <c r="N4415" t="s">
        <v>207</v>
      </c>
      <c r="O4415" t="s">
        <v>9576</v>
      </c>
      <c r="P4415" t="s">
        <v>208</v>
      </c>
      <c r="Q4415" t="s">
        <v>209</v>
      </c>
    </row>
    <row r="4416" spans="1:17" x14ac:dyDescent="0.3">
      <c r="A4416" t="s">
        <v>9577</v>
      </c>
      <c r="C4416" t="s">
        <v>9578</v>
      </c>
      <c r="D4416" t="s">
        <v>9578</v>
      </c>
      <c r="E4416" s="5">
        <v>46289</v>
      </c>
      <c r="F4416" t="s">
        <v>204</v>
      </c>
      <c r="G4416" t="s">
        <v>220</v>
      </c>
      <c r="H4416">
        <v>4798</v>
      </c>
      <c r="I4416">
        <v>14.39</v>
      </c>
      <c r="J4416">
        <v>2.59</v>
      </c>
      <c r="K4416">
        <v>4781.0200000000004</v>
      </c>
      <c r="L4416" s="5">
        <v>46291</v>
      </c>
      <c r="M4416" t="s">
        <v>9402</v>
      </c>
      <c r="N4416" t="s">
        <v>207</v>
      </c>
      <c r="O4416" t="s">
        <v>9578</v>
      </c>
      <c r="P4416" t="s">
        <v>208</v>
      </c>
      <c r="Q4416" t="s">
        <v>209</v>
      </c>
    </row>
    <row r="4417" spans="1:17" x14ac:dyDescent="0.3">
      <c r="A4417" t="s">
        <v>9579</v>
      </c>
      <c r="C4417" t="s">
        <v>9580</v>
      </c>
      <c r="D4417" t="s">
        <v>9580</v>
      </c>
      <c r="E4417" s="5">
        <v>46289</v>
      </c>
      <c r="F4417" t="s">
        <v>204</v>
      </c>
      <c r="G4417" t="s">
        <v>220</v>
      </c>
      <c r="H4417">
        <v>5997</v>
      </c>
      <c r="I4417">
        <v>17.989999999999998</v>
      </c>
      <c r="J4417">
        <v>3.24</v>
      </c>
      <c r="K4417">
        <v>5975.77</v>
      </c>
      <c r="L4417" s="5">
        <v>46291</v>
      </c>
      <c r="M4417" t="s">
        <v>9402</v>
      </c>
      <c r="N4417" t="s">
        <v>207</v>
      </c>
      <c r="O4417" t="s">
        <v>9580</v>
      </c>
      <c r="P4417" t="s">
        <v>208</v>
      </c>
      <c r="Q4417" t="s">
        <v>209</v>
      </c>
    </row>
    <row r="4418" spans="1:17" x14ac:dyDescent="0.3">
      <c r="A4418" t="s">
        <v>9581</v>
      </c>
      <c r="C4418" t="s">
        <v>9582</v>
      </c>
      <c r="D4418" t="s">
        <v>9582</v>
      </c>
      <c r="E4418" s="5">
        <v>46289</v>
      </c>
      <c r="F4418" t="s">
        <v>204</v>
      </c>
      <c r="G4418" t="s">
        <v>220</v>
      </c>
      <c r="H4418">
        <v>3998</v>
      </c>
      <c r="I4418">
        <v>11.99</v>
      </c>
      <c r="J4418">
        <v>2.16</v>
      </c>
      <c r="K4418">
        <v>3983.85</v>
      </c>
      <c r="L4418" s="5">
        <v>46291</v>
      </c>
      <c r="M4418" t="s">
        <v>9402</v>
      </c>
      <c r="N4418" t="s">
        <v>207</v>
      </c>
      <c r="O4418" t="s">
        <v>9582</v>
      </c>
      <c r="P4418" t="s">
        <v>208</v>
      </c>
      <c r="Q4418" t="s">
        <v>209</v>
      </c>
    </row>
    <row r="4419" spans="1:17" x14ac:dyDescent="0.3">
      <c r="A4419" t="s">
        <v>9583</v>
      </c>
      <c r="C4419" t="s">
        <v>9584</v>
      </c>
      <c r="D4419" t="s">
        <v>9584</v>
      </c>
      <c r="E4419" s="5">
        <v>46289</v>
      </c>
      <c r="F4419" t="s">
        <v>204</v>
      </c>
      <c r="G4419" t="s">
        <v>255</v>
      </c>
      <c r="H4419">
        <v>8798</v>
      </c>
      <c r="I4419">
        <v>105.58</v>
      </c>
      <c r="J4419">
        <v>19</v>
      </c>
      <c r="K4419">
        <v>8673.42</v>
      </c>
      <c r="L4419" s="5">
        <v>46291</v>
      </c>
      <c r="M4419" t="s">
        <v>9402</v>
      </c>
      <c r="N4419" t="s">
        <v>207</v>
      </c>
      <c r="O4419" t="s">
        <v>9584</v>
      </c>
      <c r="P4419" t="s">
        <v>208</v>
      </c>
      <c r="Q4419" t="s">
        <v>209</v>
      </c>
    </row>
    <row r="4420" spans="1:17" x14ac:dyDescent="0.3">
      <c r="A4420" t="s">
        <v>9585</v>
      </c>
      <c r="C4420" t="s">
        <v>9586</v>
      </c>
      <c r="D4420" t="s">
        <v>9586</v>
      </c>
      <c r="E4420" s="5">
        <v>46289</v>
      </c>
      <c r="F4420" t="s">
        <v>204</v>
      </c>
      <c r="G4420" t="s">
        <v>220</v>
      </c>
      <c r="H4420">
        <v>4999</v>
      </c>
      <c r="I4420">
        <v>15</v>
      </c>
      <c r="J4420">
        <v>2.7</v>
      </c>
      <c r="K4420">
        <v>4981.3</v>
      </c>
      <c r="L4420" s="5">
        <v>46291</v>
      </c>
      <c r="M4420" t="s">
        <v>9402</v>
      </c>
      <c r="N4420" t="s">
        <v>207</v>
      </c>
      <c r="O4420" t="s">
        <v>9586</v>
      </c>
      <c r="P4420" t="s">
        <v>208</v>
      </c>
      <c r="Q4420" t="s">
        <v>209</v>
      </c>
    </row>
    <row r="4421" spans="1:17" x14ac:dyDescent="0.3">
      <c r="A4421" t="s">
        <v>9587</v>
      </c>
      <c r="C4421" t="s">
        <v>9588</v>
      </c>
      <c r="D4421" t="s">
        <v>9588</v>
      </c>
      <c r="E4421" s="5">
        <v>46289</v>
      </c>
      <c r="F4421" t="s">
        <v>204</v>
      </c>
      <c r="G4421" t="s">
        <v>213</v>
      </c>
      <c r="H4421">
        <v>848</v>
      </c>
      <c r="I4421">
        <v>15.26</v>
      </c>
      <c r="J4421">
        <v>2.75</v>
      </c>
      <c r="K4421">
        <v>829.99</v>
      </c>
      <c r="L4421" s="5">
        <v>46291</v>
      </c>
      <c r="M4421" t="s">
        <v>9402</v>
      </c>
      <c r="N4421" t="s">
        <v>207</v>
      </c>
      <c r="O4421" t="s">
        <v>9588</v>
      </c>
      <c r="P4421" t="s">
        <v>208</v>
      </c>
      <c r="Q4421" t="s">
        <v>209</v>
      </c>
    </row>
    <row r="4422" spans="1:17" x14ac:dyDescent="0.3">
      <c r="A4422" t="s">
        <v>9589</v>
      </c>
      <c r="C4422" t="s">
        <v>9590</v>
      </c>
      <c r="D4422" t="s">
        <v>9590</v>
      </c>
      <c r="E4422" s="5">
        <v>46289</v>
      </c>
      <c r="F4422" t="s">
        <v>204</v>
      </c>
      <c r="G4422" t="s">
        <v>220</v>
      </c>
      <c r="H4422">
        <v>2597</v>
      </c>
      <c r="I4422">
        <v>7.79</v>
      </c>
      <c r="J4422">
        <v>1.4</v>
      </c>
      <c r="K4422">
        <v>2587.81</v>
      </c>
      <c r="L4422" s="5">
        <v>46291</v>
      </c>
      <c r="M4422" t="s">
        <v>9402</v>
      </c>
      <c r="N4422" t="s">
        <v>207</v>
      </c>
      <c r="O4422" t="s">
        <v>9590</v>
      </c>
      <c r="P4422" t="s">
        <v>208</v>
      </c>
      <c r="Q4422" t="s">
        <v>209</v>
      </c>
    </row>
    <row r="4423" spans="1:17" x14ac:dyDescent="0.3">
      <c r="A4423" t="s">
        <v>9591</v>
      </c>
      <c r="C4423" t="s">
        <v>9592</v>
      </c>
      <c r="D4423" t="s">
        <v>9592</v>
      </c>
      <c r="E4423" s="5">
        <v>46289</v>
      </c>
      <c r="F4423" t="s">
        <v>204</v>
      </c>
      <c r="G4423" t="s">
        <v>220</v>
      </c>
      <c r="H4423">
        <v>1499</v>
      </c>
      <c r="I4423">
        <v>0</v>
      </c>
      <c r="J4423">
        <v>0</v>
      </c>
      <c r="K4423">
        <v>1499</v>
      </c>
      <c r="L4423" s="5">
        <v>46291</v>
      </c>
      <c r="M4423" t="s">
        <v>9402</v>
      </c>
      <c r="N4423" t="s">
        <v>207</v>
      </c>
      <c r="O4423" t="s">
        <v>9592</v>
      </c>
      <c r="P4423" t="s">
        <v>208</v>
      </c>
      <c r="Q4423" t="s">
        <v>209</v>
      </c>
    </row>
    <row r="4424" spans="1:17" x14ac:dyDescent="0.3">
      <c r="A4424" t="s">
        <v>9593</v>
      </c>
      <c r="C4424" t="s">
        <v>9594</v>
      </c>
      <c r="D4424" t="s">
        <v>9594</v>
      </c>
      <c r="E4424" s="5">
        <v>46289</v>
      </c>
      <c r="F4424" t="s">
        <v>204</v>
      </c>
      <c r="G4424" t="s">
        <v>220</v>
      </c>
      <c r="H4424">
        <v>1499</v>
      </c>
      <c r="I4424">
        <v>0</v>
      </c>
      <c r="J4424">
        <v>0</v>
      </c>
      <c r="K4424">
        <v>1499</v>
      </c>
      <c r="L4424" s="5">
        <v>46291</v>
      </c>
      <c r="M4424" t="s">
        <v>9402</v>
      </c>
      <c r="N4424" t="s">
        <v>207</v>
      </c>
      <c r="O4424" t="s">
        <v>9594</v>
      </c>
      <c r="P4424" t="s">
        <v>208</v>
      </c>
      <c r="Q4424" t="s">
        <v>209</v>
      </c>
    </row>
    <row r="4425" spans="1:17" x14ac:dyDescent="0.3">
      <c r="A4425" t="s">
        <v>9595</v>
      </c>
      <c r="C4425" t="s">
        <v>9596</v>
      </c>
      <c r="D4425" t="s">
        <v>9596</v>
      </c>
      <c r="E4425" s="5">
        <v>46289</v>
      </c>
      <c r="F4425" t="s">
        <v>204</v>
      </c>
      <c r="G4425" t="s">
        <v>220</v>
      </c>
      <c r="H4425">
        <v>4798</v>
      </c>
      <c r="I4425">
        <v>14.39</v>
      </c>
      <c r="J4425">
        <v>2.59</v>
      </c>
      <c r="K4425">
        <v>4781.0200000000004</v>
      </c>
      <c r="L4425" s="5">
        <v>46291</v>
      </c>
      <c r="M4425" t="s">
        <v>9402</v>
      </c>
      <c r="N4425" t="s">
        <v>207</v>
      </c>
      <c r="O4425" t="s">
        <v>9596</v>
      </c>
      <c r="P4425" t="s">
        <v>208</v>
      </c>
      <c r="Q4425" t="s">
        <v>209</v>
      </c>
    </row>
    <row r="4426" spans="1:17" x14ac:dyDescent="0.3">
      <c r="A4426" t="s">
        <v>9597</v>
      </c>
      <c r="C4426" t="s">
        <v>9598</v>
      </c>
      <c r="D4426" t="s">
        <v>9598</v>
      </c>
      <c r="E4426" s="5">
        <v>46289</v>
      </c>
      <c r="F4426" t="s">
        <v>204</v>
      </c>
      <c r="G4426" t="s">
        <v>220</v>
      </c>
      <c r="H4426">
        <v>2298</v>
      </c>
      <c r="I4426">
        <v>6.89</v>
      </c>
      <c r="J4426">
        <v>1.24</v>
      </c>
      <c r="K4426">
        <v>2289.87</v>
      </c>
      <c r="L4426" s="5">
        <v>46291</v>
      </c>
      <c r="M4426" t="s">
        <v>9402</v>
      </c>
      <c r="N4426" t="s">
        <v>207</v>
      </c>
      <c r="O4426" t="s">
        <v>9598</v>
      </c>
      <c r="P4426" t="s">
        <v>208</v>
      </c>
      <c r="Q4426" t="s">
        <v>209</v>
      </c>
    </row>
    <row r="4427" spans="1:17" x14ac:dyDescent="0.3">
      <c r="A4427" t="s">
        <v>9599</v>
      </c>
      <c r="C4427" t="s">
        <v>9600</v>
      </c>
      <c r="D4427" t="s">
        <v>9600</v>
      </c>
      <c r="E4427" s="5">
        <v>46289</v>
      </c>
      <c r="F4427" t="s">
        <v>204</v>
      </c>
      <c r="G4427" t="s">
        <v>205</v>
      </c>
      <c r="H4427">
        <v>7999</v>
      </c>
      <c r="I4427">
        <v>135.97999999999999</v>
      </c>
      <c r="J4427">
        <v>24.48</v>
      </c>
      <c r="K4427">
        <v>7838.54</v>
      </c>
      <c r="L4427" s="5">
        <v>46291</v>
      </c>
      <c r="M4427" t="s">
        <v>9402</v>
      </c>
      <c r="N4427" t="s">
        <v>207</v>
      </c>
      <c r="O4427" t="s">
        <v>9600</v>
      </c>
      <c r="P4427" t="s">
        <v>208</v>
      </c>
      <c r="Q4427" t="s">
        <v>209</v>
      </c>
    </row>
    <row r="4428" spans="1:17" x14ac:dyDescent="0.3">
      <c r="A4428" t="s">
        <v>9601</v>
      </c>
      <c r="C4428" t="s">
        <v>9602</v>
      </c>
      <c r="D4428" t="s">
        <v>9602</v>
      </c>
      <c r="E4428" s="5">
        <v>46289</v>
      </c>
      <c r="F4428" t="s">
        <v>204</v>
      </c>
      <c r="G4428" t="s">
        <v>213</v>
      </c>
      <c r="H4428">
        <v>9798</v>
      </c>
      <c r="I4428">
        <v>156.77000000000001</v>
      </c>
      <c r="J4428">
        <v>28.22</v>
      </c>
      <c r="K4428">
        <v>9613.01</v>
      </c>
      <c r="L4428" s="5">
        <v>46291</v>
      </c>
      <c r="M4428" t="s">
        <v>9402</v>
      </c>
      <c r="N4428" t="s">
        <v>207</v>
      </c>
      <c r="O4428" t="s">
        <v>9602</v>
      </c>
      <c r="P4428" t="s">
        <v>208</v>
      </c>
      <c r="Q4428" t="s">
        <v>209</v>
      </c>
    </row>
    <row r="4429" spans="1:17" x14ac:dyDescent="0.3">
      <c r="A4429" t="s">
        <v>9603</v>
      </c>
      <c r="C4429" t="s">
        <v>9604</v>
      </c>
      <c r="D4429" t="s">
        <v>9604</v>
      </c>
      <c r="E4429" s="5">
        <v>46289</v>
      </c>
      <c r="F4429" t="s">
        <v>204</v>
      </c>
      <c r="G4429" t="s">
        <v>213</v>
      </c>
      <c r="H4429">
        <v>648</v>
      </c>
      <c r="I4429">
        <v>11.66</v>
      </c>
      <c r="J4429">
        <v>2.1</v>
      </c>
      <c r="K4429">
        <v>634.24</v>
      </c>
      <c r="L4429" s="5">
        <v>46291</v>
      </c>
      <c r="M4429" t="s">
        <v>9402</v>
      </c>
      <c r="N4429" t="s">
        <v>207</v>
      </c>
      <c r="O4429" t="s">
        <v>9604</v>
      </c>
      <c r="P4429" t="s">
        <v>208</v>
      </c>
      <c r="Q4429" t="s">
        <v>209</v>
      </c>
    </row>
    <row r="4430" spans="1:17" x14ac:dyDescent="0.3">
      <c r="A4430" t="s">
        <v>9605</v>
      </c>
      <c r="C4430" t="s">
        <v>9606</v>
      </c>
      <c r="D4430" t="s">
        <v>9606</v>
      </c>
      <c r="E4430" s="5">
        <v>46289</v>
      </c>
      <c r="F4430" t="s">
        <v>204</v>
      </c>
      <c r="G4430" t="s">
        <v>205</v>
      </c>
      <c r="H4430">
        <v>2499</v>
      </c>
      <c r="I4430">
        <v>42.48</v>
      </c>
      <c r="J4430">
        <v>7.65</v>
      </c>
      <c r="K4430">
        <v>2448.87</v>
      </c>
      <c r="L4430" s="5">
        <v>46291</v>
      </c>
      <c r="M4430" t="s">
        <v>9402</v>
      </c>
      <c r="N4430" t="s">
        <v>207</v>
      </c>
      <c r="O4430" t="s">
        <v>9606</v>
      </c>
      <c r="P4430" t="s">
        <v>208</v>
      </c>
      <c r="Q4430" t="s">
        <v>209</v>
      </c>
    </row>
    <row r="4431" spans="1:17" x14ac:dyDescent="0.3">
      <c r="A4431" t="s">
        <v>9607</v>
      </c>
      <c r="C4431" t="s">
        <v>9608</v>
      </c>
      <c r="D4431" t="s">
        <v>9608</v>
      </c>
      <c r="E4431" s="5">
        <v>46289</v>
      </c>
      <c r="F4431" t="s">
        <v>204</v>
      </c>
      <c r="G4431" t="s">
        <v>213</v>
      </c>
      <c r="H4431">
        <v>4298</v>
      </c>
      <c r="I4431">
        <v>68.77</v>
      </c>
      <c r="J4431">
        <v>12.38</v>
      </c>
      <c r="K4431">
        <v>4216.8500000000004</v>
      </c>
      <c r="L4431" s="5">
        <v>46291</v>
      </c>
      <c r="M4431" t="s">
        <v>9402</v>
      </c>
      <c r="N4431" t="s">
        <v>207</v>
      </c>
      <c r="O4431" t="s">
        <v>9608</v>
      </c>
      <c r="P4431" t="s">
        <v>208</v>
      </c>
      <c r="Q4431" t="s">
        <v>209</v>
      </c>
    </row>
    <row r="4432" spans="1:17" x14ac:dyDescent="0.3">
      <c r="A4432" t="s">
        <v>9609</v>
      </c>
      <c r="C4432" t="s">
        <v>9610</v>
      </c>
      <c r="D4432" t="s">
        <v>9610</v>
      </c>
      <c r="E4432" s="5">
        <v>46289</v>
      </c>
      <c r="F4432" t="s">
        <v>204</v>
      </c>
      <c r="G4432" t="s">
        <v>220</v>
      </c>
      <c r="H4432">
        <v>6298</v>
      </c>
      <c r="I4432">
        <v>18.89</v>
      </c>
      <c r="J4432">
        <v>3.4</v>
      </c>
      <c r="K4432">
        <v>6275.71</v>
      </c>
      <c r="L4432" s="5">
        <v>46291</v>
      </c>
      <c r="M4432" t="s">
        <v>9402</v>
      </c>
      <c r="N4432" t="s">
        <v>207</v>
      </c>
      <c r="O4432" t="s">
        <v>9610</v>
      </c>
      <c r="P4432" t="s">
        <v>208</v>
      </c>
      <c r="Q4432" t="s">
        <v>209</v>
      </c>
    </row>
    <row r="4433" spans="1:17" x14ac:dyDescent="0.3">
      <c r="A4433" t="s">
        <v>9611</v>
      </c>
      <c r="C4433" t="s">
        <v>9612</v>
      </c>
      <c r="D4433" t="s">
        <v>9612</v>
      </c>
      <c r="E4433" s="5">
        <v>46289</v>
      </c>
      <c r="F4433" t="s">
        <v>204</v>
      </c>
      <c r="G4433" t="s">
        <v>205</v>
      </c>
      <c r="H4433">
        <v>349</v>
      </c>
      <c r="I4433">
        <v>6.63</v>
      </c>
      <c r="J4433">
        <v>1.19</v>
      </c>
      <c r="K4433">
        <v>341.18</v>
      </c>
      <c r="L4433" s="5">
        <v>46291</v>
      </c>
      <c r="M4433" t="s">
        <v>9402</v>
      </c>
      <c r="N4433" t="s">
        <v>207</v>
      </c>
      <c r="O4433" t="s">
        <v>9612</v>
      </c>
      <c r="P4433" t="s">
        <v>208</v>
      </c>
      <c r="Q4433" t="s">
        <v>209</v>
      </c>
    </row>
    <row r="4434" spans="1:17" x14ac:dyDescent="0.3">
      <c r="A4434" t="s">
        <v>9613</v>
      </c>
      <c r="C4434" t="s">
        <v>9614</v>
      </c>
      <c r="D4434" t="s">
        <v>9614</v>
      </c>
      <c r="E4434" s="5">
        <v>46289</v>
      </c>
      <c r="F4434" t="s">
        <v>204</v>
      </c>
      <c r="G4434" t="s">
        <v>220</v>
      </c>
      <c r="H4434">
        <v>1499</v>
      </c>
      <c r="I4434">
        <v>0</v>
      </c>
      <c r="J4434">
        <v>0</v>
      </c>
      <c r="K4434">
        <v>1499</v>
      </c>
      <c r="L4434" s="5">
        <v>46291</v>
      </c>
      <c r="M4434" t="s">
        <v>9402</v>
      </c>
      <c r="N4434" t="s">
        <v>207</v>
      </c>
      <c r="O4434" t="s">
        <v>9614</v>
      </c>
      <c r="P4434" t="s">
        <v>208</v>
      </c>
      <c r="Q4434" t="s">
        <v>209</v>
      </c>
    </row>
    <row r="4435" spans="1:17" x14ac:dyDescent="0.3">
      <c r="A4435" t="s">
        <v>9615</v>
      </c>
      <c r="C4435" t="s">
        <v>9616</v>
      </c>
      <c r="D4435" t="s">
        <v>9616</v>
      </c>
      <c r="E4435" s="5">
        <v>46289</v>
      </c>
      <c r="F4435" t="s">
        <v>204</v>
      </c>
      <c r="G4435" t="s">
        <v>220</v>
      </c>
      <c r="H4435">
        <v>2398</v>
      </c>
      <c r="I4435">
        <v>7.19</v>
      </c>
      <c r="J4435">
        <v>1.29</v>
      </c>
      <c r="K4435">
        <v>2389.52</v>
      </c>
      <c r="L4435" s="5">
        <v>46291</v>
      </c>
      <c r="M4435" t="s">
        <v>9402</v>
      </c>
      <c r="N4435" t="s">
        <v>207</v>
      </c>
      <c r="O4435" t="s">
        <v>9616</v>
      </c>
      <c r="P4435" t="s">
        <v>208</v>
      </c>
      <c r="Q4435" t="s">
        <v>209</v>
      </c>
    </row>
    <row r="4436" spans="1:17" x14ac:dyDescent="0.3">
      <c r="A4436" t="s">
        <v>9617</v>
      </c>
      <c r="C4436" t="s">
        <v>9618</v>
      </c>
      <c r="D4436" t="s">
        <v>9618</v>
      </c>
      <c r="E4436" s="5">
        <v>46289</v>
      </c>
      <c r="F4436" t="s">
        <v>204</v>
      </c>
      <c r="G4436" t="s">
        <v>220</v>
      </c>
      <c r="H4436">
        <v>1647</v>
      </c>
      <c r="I4436">
        <v>0</v>
      </c>
      <c r="J4436">
        <v>0</v>
      </c>
      <c r="K4436">
        <v>1647</v>
      </c>
      <c r="L4436" s="5">
        <v>46291</v>
      </c>
      <c r="M4436" t="s">
        <v>9402</v>
      </c>
      <c r="N4436" t="s">
        <v>207</v>
      </c>
      <c r="O4436" t="s">
        <v>9618</v>
      </c>
      <c r="P4436" t="s">
        <v>208</v>
      </c>
      <c r="Q4436" t="s">
        <v>209</v>
      </c>
    </row>
    <row r="4437" spans="1:17" x14ac:dyDescent="0.3">
      <c r="A4437" t="s">
        <v>9619</v>
      </c>
      <c r="C4437" t="s">
        <v>9620</v>
      </c>
      <c r="D4437" t="s">
        <v>9620</v>
      </c>
      <c r="E4437" s="5">
        <v>46289</v>
      </c>
      <c r="F4437" t="s">
        <v>204</v>
      </c>
      <c r="G4437" t="s">
        <v>220</v>
      </c>
      <c r="H4437">
        <v>299</v>
      </c>
      <c r="I4437">
        <v>0</v>
      </c>
      <c r="J4437">
        <v>0</v>
      </c>
      <c r="K4437">
        <v>299</v>
      </c>
      <c r="L4437" s="5">
        <v>46291</v>
      </c>
      <c r="M4437" t="s">
        <v>9402</v>
      </c>
      <c r="N4437" t="s">
        <v>207</v>
      </c>
      <c r="O4437" t="s">
        <v>9620</v>
      </c>
      <c r="P4437" t="s">
        <v>208</v>
      </c>
      <c r="Q4437" t="s">
        <v>209</v>
      </c>
    </row>
    <row r="4438" spans="1:17" x14ac:dyDescent="0.3">
      <c r="A4438" t="s">
        <v>9621</v>
      </c>
      <c r="C4438" t="s">
        <v>9622</v>
      </c>
      <c r="D4438" t="s">
        <v>9622</v>
      </c>
      <c r="E4438" s="5">
        <v>46289</v>
      </c>
      <c r="F4438" t="s">
        <v>204</v>
      </c>
      <c r="G4438" t="s">
        <v>220</v>
      </c>
      <c r="H4438">
        <v>349</v>
      </c>
      <c r="I4438">
        <v>0</v>
      </c>
      <c r="J4438">
        <v>0</v>
      </c>
      <c r="K4438">
        <v>349</v>
      </c>
      <c r="L4438" s="5">
        <v>46291</v>
      </c>
      <c r="M4438" t="s">
        <v>9402</v>
      </c>
      <c r="N4438" t="s">
        <v>207</v>
      </c>
      <c r="O4438" t="s">
        <v>9622</v>
      </c>
      <c r="P4438" t="s">
        <v>208</v>
      </c>
      <c r="Q4438" t="s">
        <v>209</v>
      </c>
    </row>
    <row r="4439" spans="1:17" x14ac:dyDescent="0.3">
      <c r="A4439" t="s">
        <v>9623</v>
      </c>
      <c r="C4439" t="s">
        <v>9624</v>
      </c>
      <c r="D4439" t="s">
        <v>9625</v>
      </c>
      <c r="E4439" s="5">
        <v>46289</v>
      </c>
      <c r="F4439" t="s">
        <v>204</v>
      </c>
      <c r="G4439" t="s">
        <v>220</v>
      </c>
      <c r="H4439">
        <v>11498</v>
      </c>
      <c r="I4439">
        <v>34.49</v>
      </c>
      <c r="J4439">
        <v>6.21</v>
      </c>
      <c r="K4439">
        <v>11457.3</v>
      </c>
      <c r="L4439" s="5">
        <v>46291</v>
      </c>
      <c r="M4439" t="s">
        <v>9402</v>
      </c>
      <c r="N4439" t="s">
        <v>207</v>
      </c>
      <c r="O4439" t="s">
        <v>9625</v>
      </c>
      <c r="P4439" t="s">
        <v>208</v>
      </c>
      <c r="Q4439" t="s">
        <v>209</v>
      </c>
    </row>
    <row r="4440" spans="1:17" x14ac:dyDescent="0.3">
      <c r="A4440" t="s">
        <v>9626</v>
      </c>
      <c r="C4440" t="s">
        <v>9627</v>
      </c>
      <c r="D4440" t="s">
        <v>9627</v>
      </c>
      <c r="E4440" s="5">
        <v>46289</v>
      </c>
      <c r="F4440" t="s">
        <v>204</v>
      </c>
      <c r="G4440" t="s">
        <v>213</v>
      </c>
      <c r="H4440">
        <v>2998</v>
      </c>
      <c r="I4440">
        <v>47.97</v>
      </c>
      <c r="J4440">
        <v>8.6300000000000008</v>
      </c>
      <c r="K4440">
        <v>2941.4</v>
      </c>
      <c r="L4440" s="5">
        <v>46291</v>
      </c>
      <c r="M4440" t="s">
        <v>9402</v>
      </c>
      <c r="N4440" t="s">
        <v>207</v>
      </c>
      <c r="O4440" t="s">
        <v>9627</v>
      </c>
      <c r="P4440" t="s">
        <v>208</v>
      </c>
      <c r="Q4440" t="s">
        <v>209</v>
      </c>
    </row>
    <row r="4441" spans="1:17" x14ac:dyDescent="0.3">
      <c r="A4441" t="s">
        <v>9628</v>
      </c>
      <c r="C4441" t="s">
        <v>9629</v>
      </c>
      <c r="D4441" t="s">
        <v>9629</v>
      </c>
      <c r="E4441" s="5">
        <v>46289</v>
      </c>
      <c r="F4441" t="s">
        <v>204</v>
      </c>
      <c r="G4441" t="s">
        <v>213</v>
      </c>
      <c r="H4441">
        <v>3498</v>
      </c>
      <c r="I4441">
        <v>55.97</v>
      </c>
      <c r="J4441">
        <v>10.07</v>
      </c>
      <c r="K4441">
        <v>3431.96</v>
      </c>
      <c r="L4441" s="5">
        <v>46291</v>
      </c>
      <c r="M4441" t="s">
        <v>9402</v>
      </c>
      <c r="N4441" t="s">
        <v>207</v>
      </c>
      <c r="O4441" t="s">
        <v>9629</v>
      </c>
      <c r="P4441" t="s">
        <v>208</v>
      </c>
      <c r="Q4441" t="s">
        <v>209</v>
      </c>
    </row>
    <row r="4442" spans="1:17" x14ac:dyDescent="0.3">
      <c r="A4442" t="s">
        <v>9630</v>
      </c>
      <c r="C4442" t="s">
        <v>9631</v>
      </c>
      <c r="D4442" t="s">
        <v>9631</v>
      </c>
      <c r="E4442" s="5">
        <v>46289</v>
      </c>
      <c r="F4442" t="s">
        <v>204</v>
      </c>
      <c r="G4442" t="s">
        <v>220</v>
      </c>
      <c r="H4442">
        <v>3997</v>
      </c>
      <c r="I4442">
        <v>11.99</v>
      </c>
      <c r="J4442">
        <v>2.16</v>
      </c>
      <c r="K4442">
        <v>3982.85</v>
      </c>
      <c r="L4442" s="5">
        <v>46291</v>
      </c>
      <c r="M4442" t="s">
        <v>9402</v>
      </c>
      <c r="N4442" t="s">
        <v>207</v>
      </c>
      <c r="O4442" t="s">
        <v>9631</v>
      </c>
      <c r="P4442" t="s">
        <v>208</v>
      </c>
      <c r="Q4442" t="s">
        <v>209</v>
      </c>
    </row>
    <row r="4443" spans="1:17" x14ac:dyDescent="0.3">
      <c r="A4443" t="s">
        <v>9632</v>
      </c>
      <c r="C4443" t="s">
        <v>9633</v>
      </c>
      <c r="D4443" t="s">
        <v>9633</v>
      </c>
      <c r="E4443" s="5">
        <v>46289</v>
      </c>
      <c r="F4443" t="s">
        <v>204</v>
      </c>
      <c r="G4443" t="s">
        <v>220</v>
      </c>
      <c r="H4443">
        <v>6998</v>
      </c>
      <c r="I4443">
        <v>20.99</v>
      </c>
      <c r="J4443">
        <v>3.78</v>
      </c>
      <c r="K4443">
        <v>6973.23</v>
      </c>
      <c r="L4443" s="5">
        <v>46291</v>
      </c>
      <c r="M4443" t="s">
        <v>9402</v>
      </c>
      <c r="N4443" t="s">
        <v>207</v>
      </c>
      <c r="O4443" t="s">
        <v>9633</v>
      </c>
      <c r="P4443" t="s">
        <v>208</v>
      </c>
      <c r="Q4443" t="s">
        <v>209</v>
      </c>
    </row>
    <row r="4444" spans="1:17" x14ac:dyDescent="0.3">
      <c r="A4444" t="s">
        <v>9634</v>
      </c>
      <c r="C4444" t="s">
        <v>9635</v>
      </c>
      <c r="D4444" t="s">
        <v>9635</v>
      </c>
      <c r="E4444" s="5">
        <v>46289</v>
      </c>
      <c r="F4444" t="s">
        <v>204</v>
      </c>
      <c r="G4444" t="s">
        <v>220</v>
      </c>
      <c r="H4444">
        <v>1499</v>
      </c>
      <c r="I4444">
        <v>0</v>
      </c>
      <c r="J4444">
        <v>0</v>
      </c>
      <c r="K4444">
        <v>1499</v>
      </c>
      <c r="L4444" s="5">
        <v>46291</v>
      </c>
      <c r="M4444" t="s">
        <v>9402</v>
      </c>
      <c r="N4444" t="s">
        <v>207</v>
      </c>
      <c r="O4444" t="s">
        <v>9635</v>
      </c>
      <c r="P4444" t="s">
        <v>208</v>
      </c>
      <c r="Q4444" t="s">
        <v>209</v>
      </c>
    </row>
    <row r="4445" spans="1:17" x14ac:dyDescent="0.3">
      <c r="A4445" t="s">
        <v>9636</v>
      </c>
      <c r="C4445" t="s">
        <v>9637</v>
      </c>
      <c r="D4445" t="s">
        <v>9637</v>
      </c>
      <c r="E4445" s="5">
        <v>46289</v>
      </c>
      <c r="F4445" t="s">
        <v>204</v>
      </c>
      <c r="G4445" t="s">
        <v>205</v>
      </c>
      <c r="H4445">
        <v>12797</v>
      </c>
      <c r="I4445">
        <v>217.55</v>
      </c>
      <c r="J4445">
        <v>39.159999999999997</v>
      </c>
      <c r="K4445">
        <v>12540.29</v>
      </c>
      <c r="L4445" s="5">
        <v>46291</v>
      </c>
      <c r="M4445" t="s">
        <v>9402</v>
      </c>
      <c r="N4445" t="s">
        <v>207</v>
      </c>
      <c r="O4445" t="s">
        <v>9637</v>
      </c>
      <c r="P4445" t="s">
        <v>208</v>
      </c>
      <c r="Q4445" t="s">
        <v>209</v>
      </c>
    </row>
    <row r="4446" spans="1:17" x14ac:dyDescent="0.3">
      <c r="A4446" t="s">
        <v>9638</v>
      </c>
      <c r="C4446" t="s">
        <v>9639</v>
      </c>
      <c r="D4446" t="s">
        <v>9640</v>
      </c>
      <c r="E4446" s="5">
        <v>46289</v>
      </c>
      <c r="F4446" t="s">
        <v>204</v>
      </c>
      <c r="G4446" t="s">
        <v>220</v>
      </c>
      <c r="H4446">
        <v>1499</v>
      </c>
      <c r="I4446">
        <v>0</v>
      </c>
      <c r="J4446">
        <v>0</v>
      </c>
      <c r="K4446">
        <v>1499</v>
      </c>
      <c r="L4446" s="5">
        <v>46291</v>
      </c>
      <c r="M4446" t="s">
        <v>9402</v>
      </c>
      <c r="N4446" t="s">
        <v>207</v>
      </c>
      <c r="O4446" t="s">
        <v>9640</v>
      </c>
      <c r="P4446" t="s">
        <v>208</v>
      </c>
      <c r="Q4446" t="s">
        <v>209</v>
      </c>
    </row>
    <row r="4447" spans="1:17" x14ac:dyDescent="0.3">
      <c r="A4447" t="s">
        <v>9641</v>
      </c>
      <c r="C4447" t="s">
        <v>9642</v>
      </c>
      <c r="D4447" t="s">
        <v>9642</v>
      </c>
      <c r="E4447" s="5">
        <v>46289</v>
      </c>
      <c r="F4447" t="s">
        <v>204</v>
      </c>
      <c r="G4447" t="s">
        <v>220</v>
      </c>
      <c r="H4447">
        <v>2798</v>
      </c>
      <c r="I4447">
        <v>8.39</v>
      </c>
      <c r="J4447">
        <v>1.51</v>
      </c>
      <c r="K4447">
        <v>2788.1</v>
      </c>
      <c r="L4447" s="5">
        <v>46291</v>
      </c>
      <c r="M4447" t="s">
        <v>9402</v>
      </c>
      <c r="N4447" t="s">
        <v>207</v>
      </c>
      <c r="O4447" t="s">
        <v>9642</v>
      </c>
      <c r="P4447" t="s">
        <v>208</v>
      </c>
      <c r="Q4447" t="s">
        <v>209</v>
      </c>
    </row>
    <row r="4448" spans="1:17" x14ac:dyDescent="0.3">
      <c r="A4448" t="s">
        <v>9643</v>
      </c>
      <c r="C4448" t="s">
        <v>9644</v>
      </c>
      <c r="D4448" t="s">
        <v>9645</v>
      </c>
      <c r="E4448" s="5">
        <v>46289</v>
      </c>
      <c r="F4448" t="s">
        <v>204</v>
      </c>
      <c r="G4448" t="s">
        <v>220</v>
      </c>
      <c r="H4448">
        <v>7498</v>
      </c>
      <c r="I4448">
        <v>22.49</v>
      </c>
      <c r="J4448">
        <v>4.05</v>
      </c>
      <c r="K4448">
        <v>7471.46</v>
      </c>
      <c r="L4448" s="5">
        <v>46291</v>
      </c>
      <c r="M4448" t="s">
        <v>9402</v>
      </c>
      <c r="N4448" t="s">
        <v>207</v>
      </c>
      <c r="O4448" t="s">
        <v>9645</v>
      </c>
      <c r="P4448" t="s">
        <v>208</v>
      </c>
      <c r="Q4448" t="s">
        <v>209</v>
      </c>
    </row>
    <row r="4449" spans="1:17" x14ac:dyDescent="0.3">
      <c r="A4449" t="s">
        <v>9646</v>
      </c>
      <c r="C4449" t="s">
        <v>9647</v>
      </c>
      <c r="D4449" t="s">
        <v>9647</v>
      </c>
      <c r="E4449" s="5">
        <v>46289</v>
      </c>
      <c r="F4449" t="s">
        <v>204</v>
      </c>
      <c r="G4449" t="s">
        <v>220</v>
      </c>
      <c r="H4449">
        <v>349</v>
      </c>
      <c r="I4449">
        <v>0</v>
      </c>
      <c r="J4449">
        <v>0</v>
      </c>
      <c r="K4449">
        <v>349</v>
      </c>
      <c r="L4449" s="5">
        <v>46291</v>
      </c>
      <c r="M4449" t="s">
        <v>9402</v>
      </c>
      <c r="N4449" t="s">
        <v>207</v>
      </c>
      <c r="O4449" t="s">
        <v>9647</v>
      </c>
      <c r="P4449" t="s">
        <v>208</v>
      </c>
      <c r="Q4449" t="s">
        <v>209</v>
      </c>
    </row>
    <row r="4450" spans="1:17" x14ac:dyDescent="0.3">
      <c r="A4450" t="s">
        <v>9648</v>
      </c>
      <c r="C4450" t="s">
        <v>9649</v>
      </c>
      <c r="D4450" t="s">
        <v>9649</v>
      </c>
      <c r="E4450" s="5">
        <v>46289</v>
      </c>
      <c r="F4450" t="s">
        <v>204</v>
      </c>
      <c r="G4450" t="s">
        <v>220</v>
      </c>
      <c r="H4450">
        <v>799</v>
      </c>
      <c r="I4450">
        <v>0</v>
      </c>
      <c r="J4450">
        <v>0</v>
      </c>
      <c r="K4450">
        <v>799</v>
      </c>
      <c r="L4450" s="5">
        <v>46291</v>
      </c>
      <c r="M4450" t="s">
        <v>9402</v>
      </c>
      <c r="N4450" t="s">
        <v>207</v>
      </c>
      <c r="O4450" t="s">
        <v>9649</v>
      </c>
      <c r="P4450" t="s">
        <v>208</v>
      </c>
      <c r="Q4450" t="s">
        <v>209</v>
      </c>
    </row>
    <row r="4451" spans="1:17" x14ac:dyDescent="0.3">
      <c r="A4451" t="s">
        <v>9650</v>
      </c>
      <c r="C4451" t="s">
        <v>9651</v>
      </c>
      <c r="D4451" t="s">
        <v>9652</v>
      </c>
      <c r="E4451" s="5">
        <v>46289</v>
      </c>
      <c r="F4451" t="s">
        <v>204</v>
      </c>
      <c r="G4451" t="s">
        <v>213</v>
      </c>
      <c r="H4451">
        <v>349</v>
      </c>
      <c r="I4451">
        <v>6.28</v>
      </c>
      <c r="J4451">
        <v>1.1299999999999999</v>
      </c>
      <c r="K4451">
        <v>341.59</v>
      </c>
      <c r="L4451" s="5">
        <v>46291</v>
      </c>
      <c r="M4451" t="s">
        <v>9402</v>
      </c>
      <c r="N4451" t="s">
        <v>207</v>
      </c>
      <c r="O4451" t="s">
        <v>9652</v>
      </c>
      <c r="P4451" t="s">
        <v>208</v>
      </c>
      <c r="Q4451" t="s">
        <v>209</v>
      </c>
    </row>
    <row r="4452" spans="1:17" x14ac:dyDescent="0.3">
      <c r="A4452" t="s">
        <v>9653</v>
      </c>
      <c r="C4452" t="s">
        <v>9654</v>
      </c>
      <c r="D4452" t="s">
        <v>9654</v>
      </c>
      <c r="E4452" s="5">
        <v>46289</v>
      </c>
      <c r="F4452" t="s">
        <v>204</v>
      </c>
      <c r="G4452" t="s">
        <v>213</v>
      </c>
      <c r="H4452">
        <v>9298</v>
      </c>
      <c r="I4452">
        <v>148.77000000000001</v>
      </c>
      <c r="J4452">
        <v>26.78</v>
      </c>
      <c r="K4452">
        <v>9122.4500000000007</v>
      </c>
      <c r="L4452" s="5">
        <v>46291</v>
      </c>
      <c r="M4452" t="s">
        <v>9402</v>
      </c>
      <c r="N4452" t="s">
        <v>207</v>
      </c>
      <c r="O4452" t="s">
        <v>9654</v>
      </c>
      <c r="P4452" t="s">
        <v>208</v>
      </c>
      <c r="Q4452" t="s">
        <v>209</v>
      </c>
    </row>
    <row r="4453" spans="1:17" x14ac:dyDescent="0.3">
      <c r="A4453" t="s">
        <v>9655</v>
      </c>
      <c r="C4453" t="s">
        <v>9656</v>
      </c>
      <c r="D4453" t="s">
        <v>9656</v>
      </c>
      <c r="E4453" s="5">
        <v>46289</v>
      </c>
      <c r="F4453" t="s">
        <v>204</v>
      </c>
      <c r="G4453" t="s">
        <v>220</v>
      </c>
      <c r="H4453">
        <v>3298</v>
      </c>
      <c r="I4453">
        <v>9.89</v>
      </c>
      <c r="J4453">
        <v>1.78</v>
      </c>
      <c r="K4453">
        <v>3286.33</v>
      </c>
      <c r="L4453" s="5">
        <v>46291</v>
      </c>
      <c r="M4453" t="s">
        <v>9402</v>
      </c>
      <c r="N4453" t="s">
        <v>207</v>
      </c>
      <c r="O4453" t="s">
        <v>9656</v>
      </c>
      <c r="P4453" t="s">
        <v>208</v>
      </c>
      <c r="Q4453" t="s">
        <v>209</v>
      </c>
    </row>
    <row r="4454" spans="1:17" x14ac:dyDescent="0.3">
      <c r="A4454" t="s">
        <v>9657</v>
      </c>
      <c r="C4454" t="s">
        <v>9658</v>
      </c>
      <c r="D4454" t="s">
        <v>9659</v>
      </c>
      <c r="E4454" s="5">
        <v>46289</v>
      </c>
      <c r="F4454" t="s">
        <v>204</v>
      </c>
      <c r="G4454" t="s">
        <v>220</v>
      </c>
      <c r="H4454">
        <v>1947</v>
      </c>
      <c r="I4454">
        <v>0</v>
      </c>
      <c r="J4454">
        <v>0</v>
      </c>
      <c r="K4454">
        <v>1947</v>
      </c>
      <c r="L4454" s="5">
        <v>46291</v>
      </c>
      <c r="M4454" t="s">
        <v>9402</v>
      </c>
      <c r="N4454" t="s">
        <v>207</v>
      </c>
      <c r="O4454" t="s">
        <v>9659</v>
      </c>
      <c r="P4454" t="s">
        <v>208</v>
      </c>
      <c r="Q4454" t="s">
        <v>209</v>
      </c>
    </row>
    <row r="4455" spans="1:17" x14ac:dyDescent="0.3">
      <c r="A4455" t="s">
        <v>9660</v>
      </c>
      <c r="C4455" t="s">
        <v>9661</v>
      </c>
      <c r="D4455" t="s">
        <v>9661</v>
      </c>
      <c r="E4455" s="5">
        <v>46289</v>
      </c>
      <c r="F4455" t="s">
        <v>204</v>
      </c>
      <c r="G4455" t="s">
        <v>220</v>
      </c>
      <c r="H4455">
        <v>10997</v>
      </c>
      <c r="I4455">
        <v>32.99</v>
      </c>
      <c r="J4455">
        <v>5.94</v>
      </c>
      <c r="K4455">
        <v>10958.07</v>
      </c>
      <c r="L4455" s="5">
        <v>46291</v>
      </c>
      <c r="M4455" t="s">
        <v>9402</v>
      </c>
      <c r="N4455" t="s">
        <v>207</v>
      </c>
      <c r="O4455" t="s">
        <v>9661</v>
      </c>
      <c r="P4455" t="s">
        <v>208</v>
      </c>
      <c r="Q4455" t="s">
        <v>209</v>
      </c>
    </row>
    <row r="4456" spans="1:17" x14ac:dyDescent="0.3">
      <c r="A4456" t="s">
        <v>9662</v>
      </c>
      <c r="C4456" t="s">
        <v>9663</v>
      </c>
      <c r="D4456" t="s">
        <v>9663</v>
      </c>
      <c r="E4456" s="5">
        <v>46289</v>
      </c>
      <c r="F4456" t="s">
        <v>204</v>
      </c>
      <c r="G4456" t="s">
        <v>255</v>
      </c>
      <c r="H4456">
        <v>9798</v>
      </c>
      <c r="I4456">
        <v>117.58</v>
      </c>
      <c r="J4456">
        <v>21.16</v>
      </c>
      <c r="K4456">
        <v>9659.26</v>
      </c>
      <c r="L4456" s="5">
        <v>46291</v>
      </c>
      <c r="M4456" t="s">
        <v>9402</v>
      </c>
      <c r="N4456" t="s">
        <v>207</v>
      </c>
      <c r="O4456" t="s">
        <v>9663</v>
      </c>
      <c r="P4456" t="s">
        <v>208</v>
      </c>
      <c r="Q4456" t="s">
        <v>209</v>
      </c>
    </row>
    <row r="4457" spans="1:17" x14ac:dyDescent="0.3">
      <c r="A4457" t="s">
        <v>9664</v>
      </c>
      <c r="C4457" t="s">
        <v>9665</v>
      </c>
      <c r="D4457" t="s">
        <v>9665</v>
      </c>
      <c r="E4457" s="5">
        <v>46289</v>
      </c>
      <c r="F4457" t="s">
        <v>204</v>
      </c>
      <c r="G4457" t="s">
        <v>213</v>
      </c>
      <c r="H4457">
        <v>6297</v>
      </c>
      <c r="I4457">
        <v>100.75</v>
      </c>
      <c r="J4457">
        <v>18.14</v>
      </c>
      <c r="K4457">
        <v>6178.11</v>
      </c>
      <c r="L4457" s="5">
        <v>46291</v>
      </c>
      <c r="M4457" t="s">
        <v>9402</v>
      </c>
      <c r="N4457" t="s">
        <v>207</v>
      </c>
      <c r="O4457" t="s">
        <v>9665</v>
      </c>
      <c r="P4457" t="s">
        <v>208</v>
      </c>
      <c r="Q4457" t="s">
        <v>209</v>
      </c>
    </row>
    <row r="4458" spans="1:17" x14ac:dyDescent="0.3">
      <c r="A4458" t="s">
        <v>9666</v>
      </c>
      <c r="C4458" t="s">
        <v>9667</v>
      </c>
      <c r="D4458" t="s">
        <v>9667</v>
      </c>
      <c r="E4458" s="5">
        <v>46289</v>
      </c>
      <c r="F4458" t="s">
        <v>204</v>
      </c>
      <c r="G4458" t="s">
        <v>220</v>
      </c>
      <c r="H4458">
        <v>5297</v>
      </c>
      <c r="I4458">
        <v>15.89</v>
      </c>
      <c r="J4458">
        <v>2.86</v>
      </c>
      <c r="K4458">
        <v>5278.25</v>
      </c>
      <c r="L4458" s="5">
        <v>46291</v>
      </c>
      <c r="M4458" t="s">
        <v>9402</v>
      </c>
      <c r="N4458" t="s">
        <v>207</v>
      </c>
      <c r="O4458" t="s">
        <v>9667</v>
      </c>
      <c r="P4458" t="s">
        <v>208</v>
      </c>
      <c r="Q4458" t="s">
        <v>209</v>
      </c>
    </row>
    <row r="4459" spans="1:17" x14ac:dyDescent="0.3">
      <c r="A4459" t="s">
        <v>9668</v>
      </c>
      <c r="C4459" t="s">
        <v>9669</v>
      </c>
      <c r="D4459" t="s">
        <v>9669</v>
      </c>
      <c r="E4459" s="5">
        <v>46289</v>
      </c>
      <c r="F4459" t="s">
        <v>204</v>
      </c>
      <c r="G4459" t="s">
        <v>220</v>
      </c>
      <c r="H4459">
        <v>7297</v>
      </c>
      <c r="I4459">
        <v>21.89</v>
      </c>
      <c r="J4459">
        <v>3.94</v>
      </c>
      <c r="K4459">
        <v>7271.17</v>
      </c>
      <c r="L4459" s="5">
        <v>46291</v>
      </c>
      <c r="M4459" t="s">
        <v>9402</v>
      </c>
      <c r="N4459" t="s">
        <v>207</v>
      </c>
      <c r="O4459" t="s">
        <v>9669</v>
      </c>
      <c r="P4459" t="s">
        <v>208</v>
      </c>
      <c r="Q4459" t="s">
        <v>209</v>
      </c>
    </row>
    <row r="4460" spans="1:17" x14ac:dyDescent="0.3">
      <c r="A4460" t="s">
        <v>9670</v>
      </c>
      <c r="C4460" t="s">
        <v>9671</v>
      </c>
      <c r="D4460" t="s">
        <v>9671</v>
      </c>
      <c r="E4460" s="5">
        <v>46289</v>
      </c>
      <c r="F4460" t="s">
        <v>204</v>
      </c>
      <c r="G4460" t="s">
        <v>205</v>
      </c>
      <c r="H4460">
        <v>2998</v>
      </c>
      <c r="I4460">
        <v>50.97</v>
      </c>
      <c r="J4460">
        <v>9.17</v>
      </c>
      <c r="K4460">
        <v>2937.86</v>
      </c>
      <c r="L4460" s="5">
        <v>46291</v>
      </c>
      <c r="M4460" t="s">
        <v>9402</v>
      </c>
      <c r="N4460" t="s">
        <v>207</v>
      </c>
      <c r="O4460" t="s">
        <v>9671</v>
      </c>
      <c r="P4460" t="s">
        <v>208</v>
      </c>
      <c r="Q4460" t="s">
        <v>209</v>
      </c>
    </row>
    <row r="4461" spans="1:17" x14ac:dyDescent="0.3">
      <c r="A4461" t="s">
        <v>9672</v>
      </c>
      <c r="C4461" t="s">
        <v>9673</v>
      </c>
      <c r="D4461" t="s">
        <v>9673</v>
      </c>
      <c r="E4461" s="5">
        <v>46289</v>
      </c>
      <c r="F4461" t="s">
        <v>204</v>
      </c>
      <c r="G4461" t="s">
        <v>220</v>
      </c>
      <c r="H4461">
        <v>7999</v>
      </c>
      <c r="I4461">
        <v>24</v>
      </c>
      <c r="J4461">
        <v>4.32</v>
      </c>
      <c r="K4461">
        <v>7970.68</v>
      </c>
      <c r="L4461" s="5">
        <v>46291</v>
      </c>
      <c r="M4461" t="s">
        <v>9402</v>
      </c>
      <c r="N4461" t="s">
        <v>207</v>
      </c>
      <c r="O4461" t="s">
        <v>9673</v>
      </c>
      <c r="P4461" t="s">
        <v>208</v>
      </c>
      <c r="Q4461" t="s">
        <v>209</v>
      </c>
    </row>
    <row r="4462" spans="1:17" x14ac:dyDescent="0.3">
      <c r="A4462" t="s">
        <v>9674</v>
      </c>
      <c r="C4462" t="s">
        <v>9675</v>
      </c>
      <c r="D4462" t="s">
        <v>9676</v>
      </c>
      <c r="E4462" s="5">
        <v>46289</v>
      </c>
      <c r="F4462" t="s">
        <v>204</v>
      </c>
      <c r="G4462" t="s">
        <v>220</v>
      </c>
      <c r="H4462">
        <v>9498</v>
      </c>
      <c r="I4462">
        <v>28.49</v>
      </c>
      <c r="J4462">
        <v>5.13</v>
      </c>
      <c r="K4462">
        <v>9464.3799999999992</v>
      </c>
      <c r="L4462" s="5">
        <v>46291</v>
      </c>
      <c r="M4462" t="s">
        <v>9402</v>
      </c>
      <c r="N4462" t="s">
        <v>207</v>
      </c>
      <c r="O4462" t="s">
        <v>9676</v>
      </c>
      <c r="P4462" t="s">
        <v>208</v>
      </c>
      <c r="Q4462" t="s">
        <v>209</v>
      </c>
    </row>
    <row r="4463" spans="1:17" x14ac:dyDescent="0.3">
      <c r="A4463" t="s">
        <v>9677</v>
      </c>
      <c r="C4463" t="s">
        <v>9678</v>
      </c>
      <c r="D4463" t="s">
        <v>9678</v>
      </c>
      <c r="E4463" s="5">
        <v>46289</v>
      </c>
      <c r="F4463" t="s">
        <v>204</v>
      </c>
      <c r="G4463" t="s">
        <v>220</v>
      </c>
      <c r="H4463">
        <v>1299</v>
      </c>
      <c r="I4463">
        <v>0</v>
      </c>
      <c r="J4463">
        <v>0</v>
      </c>
      <c r="K4463">
        <v>1299</v>
      </c>
      <c r="L4463" s="5">
        <v>46291</v>
      </c>
      <c r="M4463" t="s">
        <v>9402</v>
      </c>
      <c r="N4463" t="s">
        <v>207</v>
      </c>
      <c r="O4463" t="s">
        <v>9678</v>
      </c>
      <c r="P4463" t="s">
        <v>208</v>
      </c>
      <c r="Q4463" t="s">
        <v>209</v>
      </c>
    </row>
    <row r="4464" spans="1:17" x14ac:dyDescent="0.3">
      <c r="A4464" t="s">
        <v>9679</v>
      </c>
      <c r="C4464" t="s">
        <v>9680</v>
      </c>
      <c r="D4464" t="s">
        <v>9680</v>
      </c>
      <c r="E4464" s="5">
        <v>46289</v>
      </c>
      <c r="F4464" t="s">
        <v>204</v>
      </c>
      <c r="G4464" t="s">
        <v>213</v>
      </c>
      <c r="H4464">
        <v>499</v>
      </c>
      <c r="I4464">
        <v>8.98</v>
      </c>
      <c r="J4464">
        <v>1.62</v>
      </c>
      <c r="K4464">
        <v>488.4</v>
      </c>
      <c r="L4464" s="5">
        <v>46291</v>
      </c>
      <c r="M4464" t="s">
        <v>9402</v>
      </c>
      <c r="N4464" t="s">
        <v>207</v>
      </c>
      <c r="O4464" t="s">
        <v>9680</v>
      </c>
      <c r="P4464" t="s">
        <v>208</v>
      </c>
      <c r="Q4464" t="s">
        <v>209</v>
      </c>
    </row>
    <row r="4465" spans="1:17" x14ac:dyDescent="0.3">
      <c r="A4465" t="s">
        <v>9681</v>
      </c>
      <c r="C4465" t="s">
        <v>9682</v>
      </c>
      <c r="D4465" t="s">
        <v>9682</v>
      </c>
      <c r="E4465" s="5">
        <v>46289</v>
      </c>
      <c r="F4465" t="s">
        <v>204</v>
      </c>
      <c r="G4465" t="s">
        <v>220</v>
      </c>
      <c r="H4465">
        <v>2999</v>
      </c>
      <c r="I4465">
        <v>9</v>
      </c>
      <c r="J4465">
        <v>1.62</v>
      </c>
      <c r="K4465">
        <v>2988.38</v>
      </c>
      <c r="L4465" s="5">
        <v>46291</v>
      </c>
      <c r="M4465" t="s">
        <v>9402</v>
      </c>
      <c r="N4465" t="s">
        <v>207</v>
      </c>
      <c r="O4465" t="s">
        <v>9682</v>
      </c>
      <c r="P4465" t="s">
        <v>208</v>
      </c>
      <c r="Q4465" t="s">
        <v>209</v>
      </c>
    </row>
    <row r="4466" spans="1:17" x14ac:dyDescent="0.3">
      <c r="A4466" t="s">
        <v>9683</v>
      </c>
      <c r="C4466" t="s">
        <v>9684</v>
      </c>
      <c r="D4466" t="s">
        <v>9684</v>
      </c>
      <c r="E4466" s="5">
        <v>46289</v>
      </c>
      <c r="F4466" t="s">
        <v>204</v>
      </c>
      <c r="G4466" t="s">
        <v>205</v>
      </c>
      <c r="H4466">
        <v>349</v>
      </c>
      <c r="I4466">
        <v>6.63</v>
      </c>
      <c r="J4466">
        <v>1.19</v>
      </c>
      <c r="K4466">
        <v>341.18</v>
      </c>
      <c r="L4466" s="5">
        <v>46291</v>
      </c>
      <c r="M4466" t="s">
        <v>9402</v>
      </c>
      <c r="N4466" t="s">
        <v>207</v>
      </c>
      <c r="O4466" t="s">
        <v>9684</v>
      </c>
      <c r="P4466" t="s">
        <v>208</v>
      </c>
      <c r="Q4466" t="s">
        <v>209</v>
      </c>
    </row>
    <row r="4467" spans="1:17" x14ac:dyDescent="0.3">
      <c r="A4467" t="s">
        <v>9685</v>
      </c>
      <c r="C4467" t="s">
        <v>9686</v>
      </c>
      <c r="D4467" t="s">
        <v>9686</v>
      </c>
      <c r="E4467" s="5">
        <v>46289</v>
      </c>
      <c r="F4467" t="s">
        <v>204</v>
      </c>
      <c r="G4467" t="s">
        <v>220</v>
      </c>
      <c r="H4467">
        <v>4999</v>
      </c>
      <c r="I4467">
        <v>15</v>
      </c>
      <c r="J4467">
        <v>2.7</v>
      </c>
      <c r="K4467">
        <v>4981.3</v>
      </c>
      <c r="L4467" s="5">
        <v>46291</v>
      </c>
      <c r="M4467" t="s">
        <v>9402</v>
      </c>
      <c r="N4467" t="s">
        <v>207</v>
      </c>
      <c r="O4467" t="s">
        <v>9686</v>
      </c>
      <c r="P4467" t="s">
        <v>208</v>
      </c>
      <c r="Q4467" t="s">
        <v>209</v>
      </c>
    </row>
    <row r="4468" spans="1:17" x14ac:dyDescent="0.3">
      <c r="A4468" t="s">
        <v>9687</v>
      </c>
      <c r="C4468" t="s">
        <v>9688</v>
      </c>
      <c r="D4468" t="s">
        <v>9688</v>
      </c>
      <c r="E4468" s="5">
        <v>46289</v>
      </c>
      <c r="F4468" t="s">
        <v>204</v>
      </c>
      <c r="G4468" t="s">
        <v>220</v>
      </c>
      <c r="H4468">
        <v>2999</v>
      </c>
      <c r="I4468">
        <v>9</v>
      </c>
      <c r="J4468">
        <v>1.62</v>
      </c>
      <c r="K4468">
        <v>2988.38</v>
      </c>
      <c r="L4468" s="5">
        <v>46291</v>
      </c>
      <c r="M4468" t="s">
        <v>9402</v>
      </c>
      <c r="N4468" t="s">
        <v>207</v>
      </c>
      <c r="O4468" t="s">
        <v>9688</v>
      </c>
      <c r="P4468" t="s">
        <v>208</v>
      </c>
      <c r="Q4468" t="s">
        <v>209</v>
      </c>
    </row>
    <row r="4469" spans="1:17" x14ac:dyDescent="0.3">
      <c r="A4469" t="s">
        <v>9689</v>
      </c>
      <c r="C4469" t="s">
        <v>9690</v>
      </c>
      <c r="D4469" t="s">
        <v>9690</v>
      </c>
      <c r="E4469" s="5">
        <v>46289</v>
      </c>
      <c r="F4469" t="s">
        <v>204</v>
      </c>
      <c r="G4469" t="s">
        <v>220</v>
      </c>
      <c r="H4469">
        <v>3347</v>
      </c>
      <c r="I4469">
        <v>10.039999999999999</v>
      </c>
      <c r="J4469">
        <v>1.81</v>
      </c>
      <c r="K4469">
        <v>3335.15</v>
      </c>
      <c r="L4469" s="5">
        <v>46291</v>
      </c>
      <c r="M4469" t="s">
        <v>9402</v>
      </c>
      <c r="N4469" t="s">
        <v>207</v>
      </c>
      <c r="O4469" t="s">
        <v>9690</v>
      </c>
      <c r="P4469" t="s">
        <v>208</v>
      </c>
      <c r="Q4469" t="s">
        <v>209</v>
      </c>
    </row>
    <row r="4470" spans="1:17" x14ac:dyDescent="0.3">
      <c r="A4470" t="s">
        <v>9691</v>
      </c>
      <c r="C4470" t="s">
        <v>9692</v>
      </c>
      <c r="D4470" t="s">
        <v>9692</v>
      </c>
      <c r="E4470" s="5">
        <v>46289</v>
      </c>
      <c r="F4470" t="s">
        <v>204</v>
      </c>
      <c r="G4470" t="s">
        <v>220</v>
      </c>
      <c r="H4470">
        <v>999</v>
      </c>
      <c r="I4470">
        <v>0</v>
      </c>
      <c r="J4470">
        <v>0</v>
      </c>
      <c r="K4470">
        <v>999</v>
      </c>
      <c r="L4470" s="5">
        <v>46291</v>
      </c>
      <c r="M4470" t="s">
        <v>9402</v>
      </c>
      <c r="N4470" t="s">
        <v>207</v>
      </c>
      <c r="O4470" t="s">
        <v>9692</v>
      </c>
      <c r="P4470" t="s">
        <v>208</v>
      </c>
      <c r="Q4470" t="s">
        <v>209</v>
      </c>
    </row>
    <row r="4471" spans="1:17" x14ac:dyDescent="0.3">
      <c r="A4471" t="s">
        <v>9693</v>
      </c>
      <c r="C4471" t="s">
        <v>9694</v>
      </c>
      <c r="D4471" t="s">
        <v>9694</v>
      </c>
      <c r="E4471" s="5">
        <v>46289</v>
      </c>
      <c r="F4471" t="s">
        <v>204</v>
      </c>
      <c r="G4471" t="s">
        <v>220</v>
      </c>
      <c r="H4471">
        <v>10498</v>
      </c>
      <c r="I4471">
        <v>31.49</v>
      </c>
      <c r="J4471">
        <v>5.67</v>
      </c>
      <c r="K4471">
        <v>10460.84</v>
      </c>
      <c r="L4471" s="5">
        <v>46291</v>
      </c>
      <c r="M4471" t="s">
        <v>9402</v>
      </c>
      <c r="N4471" t="s">
        <v>207</v>
      </c>
      <c r="O4471" t="s">
        <v>9694</v>
      </c>
      <c r="P4471" t="s">
        <v>208</v>
      </c>
      <c r="Q4471" t="s">
        <v>209</v>
      </c>
    </row>
    <row r="4472" spans="1:17" x14ac:dyDescent="0.3">
      <c r="A4472" t="s">
        <v>9695</v>
      </c>
      <c r="C4472" t="s">
        <v>9696</v>
      </c>
      <c r="D4472" t="s">
        <v>9697</v>
      </c>
      <c r="E4472" s="5">
        <v>46289</v>
      </c>
      <c r="F4472" t="s">
        <v>204</v>
      </c>
      <c r="G4472" t="s">
        <v>205</v>
      </c>
      <c r="H4472">
        <v>1299</v>
      </c>
      <c r="I4472">
        <v>24.68</v>
      </c>
      <c r="J4472">
        <v>4.4400000000000004</v>
      </c>
      <c r="K4472">
        <v>1269.8800000000001</v>
      </c>
      <c r="L4472" s="5">
        <v>46291</v>
      </c>
      <c r="M4472" t="s">
        <v>9402</v>
      </c>
      <c r="N4472" t="s">
        <v>207</v>
      </c>
      <c r="O4472" t="s">
        <v>9697</v>
      </c>
      <c r="P4472" t="s">
        <v>208</v>
      </c>
      <c r="Q4472" t="s">
        <v>209</v>
      </c>
    </row>
    <row r="4473" spans="1:17" x14ac:dyDescent="0.3">
      <c r="A4473" t="s">
        <v>9698</v>
      </c>
      <c r="C4473" t="s">
        <v>9699</v>
      </c>
      <c r="D4473" t="s">
        <v>9699</v>
      </c>
      <c r="E4473" s="5">
        <v>46289</v>
      </c>
      <c r="F4473" t="s">
        <v>204</v>
      </c>
      <c r="G4473" t="s">
        <v>213</v>
      </c>
      <c r="H4473">
        <v>2298</v>
      </c>
      <c r="I4473">
        <v>36.770000000000003</v>
      </c>
      <c r="J4473">
        <v>6.62</v>
      </c>
      <c r="K4473">
        <v>2254.61</v>
      </c>
      <c r="L4473" s="5">
        <v>46291</v>
      </c>
      <c r="M4473" t="s">
        <v>9402</v>
      </c>
      <c r="N4473" t="s">
        <v>207</v>
      </c>
      <c r="O4473" t="s">
        <v>9699</v>
      </c>
      <c r="P4473" t="s">
        <v>208</v>
      </c>
      <c r="Q4473" t="s">
        <v>209</v>
      </c>
    </row>
    <row r="4474" spans="1:17" x14ac:dyDescent="0.3">
      <c r="A4474" t="s">
        <v>9700</v>
      </c>
      <c r="C4474" t="s">
        <v>9701</v>
      </c>
      <c r="D4474" t="s">
        <v>9701</v>
      </c>
      <c r="E4474" s="5">
        <v>46289</v>
      </c>
      <c r="F4474" t="s">
        <v>204</v>
      </c>
      <c r="G4474" t="s">
        <v>255</v>
      </c>
      <c r="H4474">
        <v>1799</v>
      </c>
      <c r="I4474">
        <v>26.99</v>
      </c>
      <c r="J4474">
        <v>4.8600000000000003</v>
      </c>
      <c r="K4474">
        <v>1767.15</v>
      </c>
      <c r="L4474" s="5">
        <v>46291</v>
      </c>
      <c r="M4474" t="s">
        <v>9402</v>
      </c>
      <c r="N4474" t="s">
        <v>207</v>
      </c>
      <c r="O4474" t="s">
        <v>9701</v>
      </c>
      <c r="P4474" t="s">
        <v>208</v>
      </c>
      <c r="Q4474" t="s">
        <v>209</v>
      </c>
    </row>
    <row r="4475" spans="1:17" x14ac:dyDescent="0.3">
      <c r="A4475" t="s">
        <v>9702</v>
      </c>
      <c r="C4475" t="s">
        <v>9703</v>
      </c>
      <c r="D4475" t="s">
        <v>9703</v>
      </c>
      <c r="E4475" s="5">
        <v>46289</v>
      </c>
      <c r="F4475" t="s">
        <v>204</v>
      </c>
      <c r="G4475" t="s">
        <v>220</v>
      </c>
      <c r="H4475">
        <v>4697</v>
      </c>
      <c r="I4475">
        <v>14.09</v>
      </c>
      <c r="J4475">
        <v>2.54</v>
      </c>
      <c r="K4475">
        <v>4680.37</v>
      </c>
      <c r="L4475" s="5">
        <v>46291</v>
      </c>
      <c r="M4475" t="s">
        <v>9402</v>
      </c>
      <c r="N4475" t="s">
        <v>207</v>
      </c>
      <c r="O4475" t="s">
        <v>9703</v>
      </c>
      <c r="P4475" t="s">
        <v>208</v>
      </c>
      <c r="Q4475" t="s">
        <v>209</v>
      </c>
    </row>
    <row r="4476" spans="1:17" x14ac:dyDescent="0.3">
      <c r="A4476" t="s">
        <v>9704</v>
      </c>
      <c r="C4476" t="s">
        <v>9705</v>
      </c>
      <c r="D4476" t="s">
        <v>9705</v>
      </c>
      <c r="E4476" s="5">
        <v>46289</v>
      </c>
      <c r="F4476" t="s">
        <v>204</v>
      </c>
      <c r="G4476" t="s">
        <v>255</v>
      </c>
      <c r="H4476">
        <v>2598</v>
      </c>
      <c r="I4476">
        <v>31.18</v>
      </c>
      <c r="J4476">
        <v>5.61</v>
      </c>
      <c r="K4476">
        <v>2561.21</v>
      </c>
      <c r="L4476" s="5">
        <v>46291</v>
      </c>
      <c r="M4476" t="s">
        <v>9402</v>
      </c>
      <c r="N4476" t="s">
        <v>207</v>
      </c>
      <c r="O4476" t="s">
        <v>9705</v>
      </c>
      <c r="P4476" t="s">
        <v>208</v>
      </c>
      <c r="Q4476" t="s">
        <v>209</v>
      </c>
    </row>
    <row r="4477" spans="1:17" x14ac:dyDescent="0.3">
      <c r="A4477" t="s">
        <v>9706</v>
      </c>
      <c r="C4477" t="s">
        <v>9707</v>
      </c>
      <c r="D4477" t="s">
        <v>9707</v>
      </c>
      <c r="E4477" s="5">
        <v>46289</v>
      </c>
      <c r="F4477" t="s">
        <v>204</v>
      </c>
      <c r="G4477" t="s">
        <v>255</v>
      </c>
      <c r="H4477">
        <v>4999</v>
      </c>
      <c r="I4477">
        <v>59.99</v>
      </c>
      <c r="J4477">
        <v>10.8</v>
      </c>
      <c r="K4477">
        <v>4928.21</v>
      </c>
      <c r="L4477" s="5">
        <v>46291</v>
      </c>
      <c r="M4477" t="s">
        <v>9402</v>
      </c>
      <c r="N4477" t="s">
        <v>207</v>
      </c>
      <c r="O4477" t="s">
        <v>9707</v>
      </c>
      <c r="P4477" t="s">
        <v>208</v>
      </c>
      <c r="Q4477" t="s">
        <v>209</v>
      </c>
    </row>
    <row r="4478" spans="1:17" x14ac:dyDescent="0.3">
      <c r="A4478" t="s">
        <v>9708</v>
      </c>
      <c r="C4478" t="s">
        <v>9709</v>
      </c>
      <c r="D4478" t="s">
        <v>9709</v>
      </c>
      <c r="E4478" s="5">
        <v>46289</v>
      </c>
      <c r="F4478" t="s">
        <v>204</v>
      </c>
      <c r="G4478" t="s">
        <v>220</v>
      </c>
      <c r="H4478">
        <v>299</v>
      </c>
      <c r="I4478">
        <v>0</v>
      </c>
      <c r="J4478">
        <v>0</v>
      </c>
      <c r="K4478">
        <v>299</v>
      </c>
      <c r="L4478" s="5">
        <v>46291</v>
      </c>
      <c r="M4478" t="s">
        <v>9402</v>
      </c>
      <c r="N4478" t="s">
        <v>207</v>
      </c>
      <c r="O4478" t="s">
        <v>9709</v>
      </c>
      <c r="P4478" t="s">
        <v>208</v>
      </c>
      <c r="Q4478" t="s">
        <v>209</v>
      </c>
    </row>
    <row r="4479" spans="1:17" x14ac:dyDescent="0.3">
      <c r="A4479" t="s">
        <v>9710</v>
      </c>
      <c r="C4479" t="s">
        <v>9711</v>
      </c>
      <c r="D4479" t="s">
        <v>9711</v>
      </c>
      <c r="E4479" s="5">
        <v>46289</v>
      </c>
      <c r="F4479" t="s">
        <v>204</v>
      </c>
      <c r="G4479" t="s">
        <v>205</v>
      </c>
      <c r="H4479">
        <v>2798</v>
      </c>
      <c r="I4479">
        <v>47.57</v>
      </c>
      <c r="J4479">
        <v>8.56</v>
      </c>
      <c r="K4479">
        <v>2741.87</v>
      </c>
      <c r="L4479" s="5">
        <v>46291</v>
      </c>
      <c r="M4479" t="s">
        <v>9402</v>
      </c>
      <c r="N4479" t="s">
        <v>207</v>
      </c>
      <c r="O4479" t="s">
        <v>9711</v>
      </c>
      <c r="P4479" t="s">
        <v>208</v>
      </c>
      <c r="Q4479" t="s">
        <v>209</v>
      </c>
    </row>
    <row r="4480" spans="1:17" x14ac:dyDescent="0.3">
      <c r="A4480" t="s">
        <v>9712</v>
      </c>
      <c r="C4480" t="s">
        <v>9713</v>
      </c>
      <c r="D4480" t="s">
        <v>9713</v>
      </c>
      <c r="E4480" s="5">
        <v>46289</v>
      </c>
      <c r="F4480" t="s">
        <v>204</v>
      </c>
      <c r="G4480" t="s">
        <v>255</v>
      </c>
      <c r="H4480">
        <v>11597</v>
      </c>
      <c r="I4480">
        <v>104.37</v>
      </c>
      <c r="J4480">
        <v>18.79</v>
      </c>
      <c r="K4480">
        <v>11473.84</v>
      </c>
      <c r="L4480" s="5">
        <v>46291</v>
      </c>
      <c r="M4480" t="s">
        <v>9402</v>
      </c>
      <c r="N4480" t="s">
        <v>207</v>
      </c>
      <c r="O4480" t="s">
        <v>9713</v>
      </c>
      <c r="P4480" t="s">
        <v>208</v>
      </c>
      <c r="Q4480" t="s">
        <v>209</v>
      </c>
    </row>
    <row r="4481" spans="1:17" x14ac:dyDescent="0.3">
      <c r="A4481" t="s">
        <v>9714</v>
      </c>
      <c r="C4481" t="s">
        <v>9715</v>
      </c>
      <c r="D4481" t="s">
        <v>9715</v>
      </c>
      <c r="E4481" s="5">
        <v>46289</v>
      </c>
      <c r="F4481" t="s">
        <v>204</v>
      </c>
      <c r="G4481" t="s">
        <v>213</v>
      </c>
      <c r="H4481">
        <v>1747</v>
      </c>
      <c r="I4481">
        <v>31.45</v>
      </c>
      <c r="J4481">
        <v>5.66</v>
      </c>
      <c r="K4481">
        <v>1709.89</v>
      </c>
      <c r="L4481" s="5">
        <v>46291</v>
      </c>
      <c r="M4481" t="s">
        <v>9402</v>
      </c>
      <c r="N4481" t="s">
        <v>207</v>
      </c>
      <c r="O4481" t="s">
        <v>9715</v>
      </c>
      <c r="P4481" t="s">
        <v>208</v>
      </c>
      <c r="Q4481" t="s">
        <v>209</v>
      </c>
    </row>
    <row r="4482" spans="1:17" x14ac:dyDescent="0.3">
      <c r="A4482" t="s">
        <v>9716</v>
      </c>
      <c r="C4482" t="s">
        <v>9717</v>
      </c>
      <c r="D4482" t="s">
        <v>9718</v>
      </c>
      <c r="E4482" s="5">
        <v>46289</v>
      </c>
      <c r="F4482" t="s">
        <v>204</v>
      </c>
      <c r="G4482" t="s">
        <v>213</v>
      </c>
      <c r="H4482">
        <v>2098</v>
      </c>
      <c r="I4482">
        <v>33.57</v>
      </c>
      <c r="J4482">
        <v>6.04</v>
      </c>
      <c r="K4482">
        <v>2058.39</v>
      </c>
      <c r="L4482" s="5">
        <v>46291</v>
      </c>
      <c r="M4482" t="s">
        <v>9402</v>
      </c>
      <c r="N4482" t="s">
        <v>207</v>
      </c>
      <c r="O4482" t="s">
        <v>9718</v>
      </c>
      <c r="P4482" t="s">
        <v>208</v>
      </c>
      <c r="Q4482" t="s">
        <v>209</v>
      </c>
    </row>
    <row r="4483" spans="1:17" x14ac:dyDescent="0.3">
      <c r="A4483" t="s">
        <v>9719</v>
      </c>
      <c r="C4483" t="s">
        <v>9720</v>
      </c>
      <c r="D4483" t="s">
        <v>9720</v>
      </c>
      <c r="E4483" s="5">
        <v>46289</v>
      </c>
      <c r="F4483" t="s">
        <v>204</v>
      </c>
      <c r="G4483" t="s">
        <v>220</v>
      </c>
      <c r="H4483">
        <v>1598</v>
      </c>
      <c r="I4483">
        <v>0</v>
      </c>
      <c r="J4483">
        <v>0</v>
      </c>
      <c r="K4483">
        <v>1598</v>
      </c>
      <c r="L4483" s="5">
        <v>46291</v>
      </c>
      <c r="M4483" t="s">
        <v>9402</v>
      </c>
      <c r="N4483" t="s">
        <v>207</v>
      </c>
      <c r="O4483" t="s">
        <v>9720</v>
      </c>
      <c r="P4483" t="s">
        <v>208</v>
      </c>
      <c r="Q4483" t="s">
        <v>209</v>
      </c>
    </row>
    <row r="4484" spans="1:17" x14ac:dyDescent="0.3">
      <c r="A4484" t="s">
        <v>9721</v>
      </c>
      <c r="C4484" t="s">
        <v>9722</v>
      </c>
      <c r="D4484" t="s">
        <v>9722</v>
      </c>
      <c r="E4484" s="5">
        <v>46289</v>
      </c>
      <c r="F4484" t="s">
        <v>204</v>
      </c>
      <c r="G4484" t="s">
        <v>220</v>
      </c>
      <c r="H4484">
        <v>4998</v>
      </c>
      <c r="I4484">
        <v>14.99</v>
      </c>
      <c r="J4484">
        <v>2.7</v>
      </c>
      <c r="K4484">
        <v>4980.3100000000004</v>
      </c>
      <c r="L4484" s="5">
        <v>46291</v>
      </c>
      <c r="M4484" t="s">
        <v>9402</v>
      </c>
      <c r="N4484" t="s">
        <v>207</v>
      </c>
      <c r="O4484" t="s">
        <v>9722</v>
      </c>
      <c r="P4484" t="s">
        <v>208</v>
      </c>
      <c r="Q4484" t="s">
        <v>209</v>
      </c>
    </row>
    <row r="4485" spans="1:17" x14ac:dyDescent="0.3">
      <c r="A4485" t="s">
        <v>9723</v>
      </c>
      <c r="C4485" t="s">
        <v>9724</v>
      </c>
      <c r="D4485" t="s">
        <v>9724</v>
      </c>
      <c r="E4485" s="5">
        <v>46289</v>
      </c>
      <c r="F4485" t="s">
        <v>204</v>
      </c>
      <c r="G4485" t="s">
        <v>213</v>
      </c>
      <c r="H4485">
        <v>4597</v>
      </c>
      <c r="I4485">
        <v>73.55</v>
      </c>
      <c r="J4485">
        <v>13.24</v>
      </c>
      <c r="K4485">
        <v>4510.21</v>
      </c>
      <c r="L4485" s="5">
        <v>46291</v>
      </c>
      <c r="M4485" t="s">
        <v>9402</v>
      </c>
      <c r="N4485" t="s">
        <v>207</v>
      </c>
      <c r="O4485" t="s">
        <v>9724</v>
      </c>
      <c r="P4485" t="s">
        <v>208</v>
      </c>
      <c r="Q4485" t="s">
        <v>209</v>
      </c>
    </row>
    <row r="4486" spans="1:17" x14ac:dyDescent="0.3">
      <c r="A4486" t="s">
        <v>9725</v>
      </c>
      <c r="C4486" t="s">
        <v>9726</v>
      </c>
      <c r="D4486" t="s">
        <v>9727</v>
      </c>
      <c r="E4486" s="5">
        <v>46289</v>
      </c>
      <c r="F4486" t="s">
        <v>204</v>
      </c>
      <c r="G4486" t="s">
        <v>213</v>
      </c>
      <c r="H4486">
        <v>3098</v>
      </c>
      <c r="I4486">
        <v>49.57</v>
      </c>
      <c r="J4486">
        <v>8.92</v>
      </c>
      <c r="K4486">
        <v>3039.51</v>
      </c>
      <c r="L4486" s="5">
        <v>46291</v>
      </c>
      <c r="M4486" t="s">
        <v>9402</v>
      </c>
      <c r="N4486" t="s">
        <v>207</v>
      </c>
      <c r="O4486" t="s">
        <v>9727</v>
      </c>
      <c r="P4486" t="s">
        <v>208</v>
      </c>
      <c r="Q4486" t="s">
        <v>209</v>
      </c>
    </row>
    <row r="4487" spans="1:17" x14ac:dyDescent="0.3">
      <c r="A4487" t="s">
        <v>9728</v>
      </c>
      <c r="C4487" t="s">
        <v>9729</v>
      </c>
      <c r="D4487" t="s">
        <v>9729</v>
      </c>
      <c r="E4487" s="5">
        <v>46289</v>
      </c>
      <c r="F4487" t="s">
        <v>204</v>
      </c>
      <c r="G4487" t="s">
        <v>213</v>
      </c>
      <c r="H4487">
        <v>3147</v>
      </c>
      <c r="I4487">
        <v>50.35</v>
      </c>
      <c r="J4487">
        <v>9.06</v>
      </c>
      <c r="K4487">
        <v>3087.59</v>
      </c>
      <c r="L4487" s="5">
        <v>46291</v>
      </c>
      <c r="M4487" t="s">
        <v>9402</v>
      </c>
      <c r="N4487" t="s">
        <v>207</v>
      </c>
      <c r="O4487" t="s">
        <v>9729</v>
      </c>
      <c r="P4487" t="s">
        <v>208</v>
      </c>
      <c r="Q4487" t="s">
        <v>209</v>
      </c>
    </row>
    <row r="4488" spans="1:17" x14ac:dyDescent="0.3">
      <c r="A4488" t="s">
        <v>9730</v>
      </c>
      <c r="C4488" t="s">
        <v>9731</v>
      </c>
      <c r="D4488" t="s">
        <v>9731</v>
      </c>
      <c r="E4488" s="5">
        <v>46289</v>
      </c>
      <c r="F4488" t="s">
        <v>204</v>
      </c>
      <c r="G4488" t="s">
        <v>220</v>
      </c>
      <c r="H4488">
        <v>3848</v>
      </c>
      <c r="I4488">
        <v>11.54</v>
      </c>
      <c r="J4488">
        <v>2.08</v>
      </c>
      <c r="K4488">
        <v>3834.38</v>
      </c>
      <c r="L4488" s="5">
        <v>46291</v>
      </c>
      <c r="M4488" t="s">
        <v>9402</v>
      </c>
      <c r="N4488" t="s">
        <v>207</v>
      </c>
      <c r="O4488" t="s">
        <v>9731</v>
      </c>
      <c r="P4488" t="s">
        <v>208</v>
      </c>
      <c r="Q4488" t="s">
        <v>209</v>
      </c>
    </row>
    <row r="4489" spans="1:17" x14ac:dyDescent="0.3">
      <c r="A4489" t="s">
        <v>9732</v>
      </c>
      <c r="C4489" t="s">
        <v>9733</v>
      </c>
      <c r="D4489" t="s">
        <v>9734</v>
      </c>
      <c r="E4489" s="5">
        <v>46289</v>
      </c>
      <c r="F4489" t="s">
        <v>204</v>
      </c>
      <c r="G4489" t="s">
        <v>220</v>
      </c>
      <c r="H4489">
        <v>999</v>
      </c>
      <c r="I4489">
        <v>0</v>
      </c>
      <c r="J4489">
        <v>0</v>
      </c>
      <c r="K4489">
        <v>999</v>
      </c>
      <c r="L4489" s="5">
        <v>46291</v>
      </c>
      <c r="M4489" t="s">
        <v>9402</v>
      </c>
      <c r="N4489" t="s">
        <v>207</v>
      </c>
      <c r="O4489" t="s">
        <v>9734</v>
      </c>
      <c r="P4489" t="s">
        <v>208</v>
      </c>
      <c r="Q4489" t="s">
        <v>209</v>
      </c>
    </row>
    <row r="4490" spans="1:17" x14ac:dyDescent="0.3">
      <c r="A4490" t="s">
        <v>9735</v>
      </c>
      <c r="C4490" t="s">
        <v>9736</v>
      </c>
      <c r="D4490" t="s">
        <v>9736</v>
      </c>
      <c r="E4490" s="5">
        <v>46289</v>
      </c>
      <c r="F4490" t="s">
        <v>204</v>
      </c>
      <c r="G4490" t="s">
        <v>255</v>
      </c>
      <c r="H4490">
        <v>3499</v>
      </c>
      <c r="I4490">
        <v>41.99</v>
      </c>
      <c r="J4490">
        <v>7.56</v>
      </c>
      <c r="K4490">
        <v>3449.45</v>
      </c>
      <c r="L4490" s="5">
        <v>46291</v>
      </c>
      <c r="M4490" t="s">
        <v>9402</v>
      </c>
      <c r="N4490" t="s">
        <v>207</v>
      </c>
      <c r="O4490" t="s">
        <v>9736</v>
      </c>
      <c r="P4490" t="s">
        <v>208</v>
      </c>
      <c r="Q4490" t="s">
        <v>209</v>
      </c>
    </row>
    <row r="4491" spans="1:17" x14ac:dyDescent="0.3">
      <c r="A4491" t="s">
        <v>9737</v>
      </c>
      <c r="C4491" t="s">
        <v>9738</v>
      </c>
      <c r="D4491" t="s">
        <v>9738</v>
      </c>
      <c r="E4491" s="5">
        <v>46289</v>
      </c>
      <c r="F4491" t="s">
        <v>204</v>
      </c>
      <c r="G4491" t="s">
        <v>255</v>
      </c>
      <c r="H4491">
        <v>4798</v>
      </c>
      <c r="I4491">
        <v>57.58</v>
      </c>
      <c r="J4491">
        <v>10.36</v>
      </c>
      <c r="K4491">
        <v>4730.0600000000004</v>
      </c>
      <c r="L4491" s="5">
        <v>46291</v>
      </c>
      <c r="M4491" t="s">
        <v>9402</v>
      </c>
      <c r="N4491" t="s">
        <v>207</v>
      </c>
      <c r="O4491" t="s">
        <v>9738</v>
      </c>
      <c r="P4491" t="s">
        <v>208</v>
      </c>
      <c r="Q4491" t="s">
        <v>209</v>
      </c>
    </row>
    <row r="4492" spans="1:17" x14ac:dyDescent="0.3">
      <c r="A4492" t="s">
        <v>9739</v>
      </c>
      <c r="C4492" t="s">
        <v>9740</v>
      </c>
      <c r="D4492" t="s">
        <v>9740</v>
      </c>
      <c r="E4492" s="5">
        <v>46289</v>
      </c>
      <c r="F4492" t="s">
        <v>204</v>
      </c>
      <c r="G4492" t="s">
        <v>220</v>
      </c>
      <c r="H4492">
        <v>12297</v>
      </c>
      <c r="I4492">
        <v>36.89</v>
      </c>
      <c r="J4492">
        <v>6.64</v>
      </c>
      <c r="K4492">
        <v>12253.47</v>
      </c>
      <c r="L4492" s="5">
        <v>46291</v>
      </c>
      <c r="M4492" t="s">
        <v>9402</v>
      </c>
      <c r="N4492" t="s">
        <v>207</v>
      </c>
      <c r="O4492" t="s">
        <v>9740</v>
      </c>
      <c r="P4492" t="s">
        <v>208</v>
      </c>
      <c r="Q4492" t="s">
        <v>209</v>
      </c>
    </row>
    <row r="4493" spans="1:17" x14ac:dyDescent="0.3">
      <c r="A4493" t="s">
        <v>9741</v>
      </c>
      <c r="C4493" t="s">
        <v>9742</v>
      </c>
      <c r="D4493" t="s">
        <v>9742</v>
      </c>
      <c r="E4493" s="5">
        <v>46289</v>
      </c>
      <c r="F4493" t="s">
        <v>204</v>
      </c>
      <c r="G4493" t="s">
        <v>220</v>
      </c>
      <c r="H4493">
        <v>1098</v>
      </c>
      <c r="I4493">
        <v>0</v>
      </c>
      <c r="J4493">
        <v>0</v>
      </c>
      <c r="K4493">
        <v>1098</v>
      </c>
      <c r="L4493" s="5">
        <v>46291</v>
      </c>
      <c r="M4493" t="s">
        <v>9402</v>
      </c>
      <c r="N4493" t="s">
        <v>207</v>
      </c>
      <c r="O4493" t="s">
        <v>9742</v>
      </c>
      <c r="P4493" t="s">
        <v>208</v>
      </c>
      <c r="Q4493" t="s">
        <v>209</v>
      </c>
    </row>
    <row r="4494" spans="1:17" x14ac:dyDescent="0.3">
      <c r="A4494" t="s">
        <v>9743</v>
      </c>
      <c r="C4494" t="s">
        <v>9744</v>
      </c>
      <c r="D4494" t="s">
        <v>9744</v>
      </c>
      <c r="E4494" s="5">
        <v>46289</v>
      </c>
      <c r="F4494" t="s">
        <v>204</v>
      </c>
      <c r="G4494" t="s">
        <v>220</v>
      </c>
      <c r="H4494">
        <v>299</v>
      </c>
      <c r="I4494">
        <v>0.9</v>
      </c>
      <c r="J4494">
        <v>0.16</v>
      </c>
      <c r="K4494">
        <v>297.94</v>
      </c>
      <c r="L4494" s="5">
        <v>46291</v>
      </c>
      <c r="M4494" t="s">
        <v>9402</v>
      </c>
      <c r="N4494" t="s">
        <v>207</v>
      </c>
      <c r="O4494" t="s">
        <v>9744</v>
      </c>
      <c r="P4494" t="s">
        <v>208</v>
      </c>
      <c r="Q4494" t="s">
        <v>209</v>
      </c>
    </row>
    <row r="4495" spans="1:17" x14ac:dyDescent="0.3">
      <c r="A4495" t="s">
        <v>9745</v>
      </c>
      <c r="C4495" t="s">
        <v>9746</v>
      </c>
      <c r="D4495" t="s">
        <v>9746</v>
      </c>
      <c r="E4495" s="5">
        <v>46289</v>
      </c>
      <c r="F4495" t="s">
        <v>204</v>
      </c>
      <c r="G4495" t="s">
        <v>255</v>
      </c>
      <c r="H4495">
        <v>4397</v>
      </c>
      <c r="I4495">
        <v>52.76</v>
      </c>
      <c r="J4495">
        <v>9.5</v>
      </c>
      <c r="K4495">
        <v>4334.74</v>
      </c>
      <c r="L4495" s="5">
        <v>46291</v>
      </c>
      <c r="M4495" t="s">
        <v>9402</v>
      </c>
      <c r="N4495" t="s">
        <v>207</v>
      </c>
      <c r="O4495" t="s">
        <v>9746</v>
      </c>
      <c r="P4495" t="s">
        <v>208</v>
      </c>
      <c r="Q4495" t="s">
        <v>209</v>
      </c>
    </row>
    <row r="4496" spans="1:17" x14ac:dyDescent="0.3">
      <c r="A4496" t="s">
        <v>9747</v>
      </c>
      <c r="C4496" t="s">
        <v>9748</v>
      </c>
      <c r="D4496" t="s">
        <v>9749</v>
      </c>
      <c r="E4496" s="5">
        <v>46289</v>
      </c>
      <c r="F4496" t="s">
        <v>204</v>
      </c>
      <c r="G4496" t="s">
        <v>213</v>
      </c>
      <c r="H4496">
        <v>3798</v>
      </c>
      <c r="I4496">
        <v>60.77</v>
      </c>
      <c r="J4496">
        <v>10.94</v>
      </c>
      <c r="K4496">
        <v>3726.29</v>
      </c>
      <c r="L4496" s="5">
        <v>46291</v>
      </c>
      <c r="M4496" t="s">
        <v>9402</v>
      </c>
      <c r="N4496" t="s">
        <v>207</v>
      </c>
      <c r="O4496" t="s">
        <v>9749</v>
      </c>
      <c r="P4496" t="s">
        <v>208</v>
      </c>
      <c r="Q4496" t="s">
        <v>209</v>
      </c>
    </row>
    <row r="4497" spans="1:17" x14ac:dyDescent="0.3">
      <c r="A4497" t="s">
        <v>9750</v>
      </c>
      <c r="C4497" t="s">
        <v>9751</v>
      </c>
      <c r="D4497" t="s">
        <v>9751</v>
      </c>
      <c r="E4497" s="5">
        <v>46289</v>
      </c>
      <c r="F4497" t="s">
        <v>204</v>
      </c>
      <c r="G4497" t="s">
        <v>220</v>
      </c>
      <c r="H4497">
        <v>6297</v>
      </c>
      <c r="I4497">
        <v>18.89</v>
      </c>
      <c r="J4497">
        <v>3.4</v>
      </c>
      <c r="K4497">
        <v>6274.71</v>
      </c>
      <c r="L4497" s="5">
        <v>46291</v>
      </c>
      <c r="M4497" t="s">
        <v>9402</v>
      </c>
      <c r="N4497" t="s">
        <v>207</v>
      </c>
      <c r="O4497" t="s">
        <v>9751</v>
      </c>
      <c r="P4497" t="s">
        <v>208</v>
      </c>
      <c r="Q4497" t="s">
        <v>209</v>
      </c>
    </row>
    <row r="4498" spans="1:17" x14ac:dyDescent="0.3">
      <c r="A4498" t="s">
        <v>9752</v>
      </c>
      <c r="C4498" t="s">
        <v>9753</v>
      </c>
      <c r="D4498" t="s">
        <v>9753</v>
      </c>
      <c r="E4498" s="5">
        <v>46289</v>
      </c>
      <c r="F4498" t="s">
        <v>204</v>
      </c>
      <c r="G4498" t="s">
        <v>220</v>
      </c>
      <c r="H4498">
        <v>3597</v>
      </c>
      <c r="I4498">
        <v>10.79</v>
      </c>
      <c r="J4498">
        <v>1.94</v>
      </c>
      <c r="K4498">
        <v>3584.27</v>
      </c>
      <c r="L4498" s="5">
        <v>46291</v>
      </c>
      <c r="M4498" t="s">
        <v>9402</v>
      </c>
      <c r="N4498" t="s">
        <v>207</v>
      </c>
      <c r="O4498" t="s">
        <v>9753</v>
      </c>
      <c r="P4498" t="s">
        <v>208</v>
      </c>
      <c r="Q4498" t="s">
        <v>209</v>
      </c>
    </row>
    <row r="4499" spans="1:17" x14ac:dyDescent="0.3">
      <c r="A4499" t="s">
        <v>9754</v>
      </c>
      <c r="C4499" t="s">
        <v>9755</v>
      </c>
      <c r="D4499" t="s">
        <v>9755</v>
      </c>
      <c r="E4499" s="5">
        <v>46289</v>
      </c>
      <c r="F4499" t="s">
        <v>204</v>
      </c>
      <c r="G4499" t="s">
        <v>255</v>
      </c>
      <c r="H4499">
        <v>349</v>
      </c>
      <c r="I4499">
        <v>5.24</v>
      </c>
      <c r="J4499">
        <v>0.94</v>
      </c>
      <c r="K4499">
        <v>342.82</v>
      </c>
      <c r="L4499" s="5">
        <v>46291</v>
      </c>
      <c r="M4499" t="s">
        <v>9402</v>
      </c>
      <c r="N4499" t="s">
        <v>207</v>
      </c>
      <c r="O4499" t="s">
        <v>9755</v>
      </c>
      <c r="P4499" t="s">
        <v>208</v>
      </c>
      <c r="Q4499" t="s">
        <v>209</v>
      </c>
    </row>
    <row r="4500" spans="1:17" x14ac:dyDescent="0.3">
      <c r="A4500" t="s">
        <v>9756</v>
      </c>
      <c r="C4500" t="s">
        <v>9757</v>
      </c>
      <c r="D4500" t="s">
        <v>9757</v>
      </c>
      <c r="E4500" s="5">
        <v>46289</v>
      </c>
      <c r="F4500" t="s">
        <v>204</v>
      </c>
      <c r="G4500" t="s">
        <v>220</v>
      </c>
      <c r="H4500">
        <v>1299</v>
      </c>
      <c r="I4500">
        <v>0</v>
      </c>
      <c r="J4500">
        <v>0</v>
      </c>
      <c r="K4500">
        <v>1299</v>
      </c>
      <c r="L4500" s="5">
        <v>46291</v>
      </c>
      <c r="M4500" t="s">
        <v>9402</v>
      </c>
      <c r="N4500" t="s">
        <v>207</v>
      </c>
      <c r="O4500" t="s">
        <v>9757</v>
      </c>
      <c r="P4500" t="s">
        <v>208</v>
      </c>
      <c r="Q4500" t="s">
        <v>209</v>
      </c>
    </row>
    <row r="4501" spans="1:17" x14ac:dyDescent="0.3">
      <c r="A4501" t="s">
        <v>9758</v>
      </c>
      <c r="C4501" t="s">
        <v>9759</v>
      </c>
      <c r="D4501" t="s">
        <v>9760</v>
      </c>
      <c r="E4501" s="5">
        <v>46289</v>
      </c>
      <c r="F4501" t="s">
        <v>204</v>
      </c>
      <c r="G4501" t="s">
        <v>220</v>
      </c>
      <c r="H4501">
        <v>1098</v>
      </c>
      <c r="I4501">
        <v>0</v>
      </c>
      <c r="J4501">
        <v>0</v>
      </c>
      <c r="K4501">
        <v>1098</v>
      </c>
      <c r="L4501" s="5">
        <v>46291</v>
      </c>
      <c r="M4501" t="s">
        <v>9402</v>
      </c>
      <c r="N4501" t="s">
        <v>207</v>
      </c>
      <c r="O4501" t="s">
        <v>9760</v>
      </c>
      <c r="P4501" t="s">
        <v>208</v>
      </c>
      <c r="Q4501" t="s">
        <v>209</v>
      </c>
    </row>
    <row r="4502" spans="1:17" x14ac:dyDescent="0.3">
      <c r="A4502" t="s">
        <v>9761</v>
      </c>
      <c r="C4502" t="s">
        <v>9762</v>
      </c>
      <c r="D4502" t="s">
        <v>9762</v>
      </c>
      <c r="E4502" s="5">
        <v>46289</v>
      </c>
      <c r="F4502" t="s">
        <v>204</v>
      </c>
      <c r="G4502" t="s">
        <v>213</v>
      </c>
      <c r="H4502">
        <v>1847</v>
      </c>
      <c r="I4502">
        <v>33.25</v>
      </c>
      <c r="J4502">
        <v>5.99</v>
      </c>
      <c r="K4502">
        <v>1807.76</v>
      </c>
      <c r="L4502" s="5">
        <v>46291</v>
      </c>
      <c r="M4502" t="s">
        <v>9402</v>
      </c>
      <c r="N4502" t="s">
        <v>207</v>
      </c>
      <c r="O4502" t="s">
        <v>9762</v>
      </c>
      <c r="P4502" t="s">
        <v>208</v>
      </c>
      <c r="Q4502" t="s">
        <v>209</v>
      </c>
    </row>
    <row r="4503" spans="1:17" x14ac:dyDescent="0.3">
      <c r="A4503" t="s">
        <v>9763</v>
      </c>
      <c r="C4503" t="s">
        <v>9764</v>
      </c>
      <c r="D4503" t="s">
        <v>9764</v>
      </c>
      <c r="E4503" s="5">
        <v>46289</v>
      </c>
      <c r="F4503" t="s">
        <v>204</v>
      </c>
      <c r="G4503" t="s">
        <v>220</v>
      </c>
      <c r="H4503">
        <v>1898</v>
      </c>
      <c r="I4503">
        <v>0</v>
      </c>
      <c r="J4503">
        <v>0</v>
      </c>
      <c r="K4503">
        <v>1898</v>
      </c>
      <c r="L4503" s="5">
        <v>46291</v>
      </c>
      <c r="M4503" t="s">
        <v>9402</v>
      </c>
      <c r="N4503" t="s">
        <v>207</v>
      </c>
      <c r="O4503" t="s">
        <v>9764</v>
      </c>
      <c r="P4503" t="s">
        <v>208</v>
      </c>
      <c r="Q4503" t="s">
        <v>209</v>
      </c>
    </row>
    <row r="4504" spans="1:17" x14ac:dyDescent="0.3">
      <c r="A4504" t="s">
        <v>9765</v>
      </c>
      <c r="C4504" t="s">
        <v>9766</v>
      </c>
      <c r="D4504" t="s">
        <v>9766</v>
      </c>
      <c r="E4504" s="5">
        <v>46289</v>
      </c>
      <c r="F4504" t="s">
        <v>204</v>
      </c>
      <c r="G4504" t="s">
        <v>213</v>
      </c>
      <c r="H4504">
        <v>7998</v>
      </c>
      <c r="I4504">
        <v>127.97</v>
      </c>
      <c r="J4504">
        <v>23.03</v>
      </c>
      <c r="K4504">
        <v>7847</v>
      </c>
      <c r="L4504" s="5">
        <v>46291</v>
      </c>
      <c r="M4504" t="s">
        <v>9402</v>
      </c>
      <c r="N4504" t="s">
        <v>207</v>
      </c>
      <c r="O4504" t="s">
        <v>9766</v>
      </c>
      <c r="P4504" t="s">
        <v>208</v>
      </c>
      <c r="Q4504" t="s">
        <v>209</v>
      </c>
    </row>
    <row r="4505" spans="1:17" x14ac:dyDescent="0.3">
      <c r="A4505" t="s">
        <v>9767</v>
      </c>
      <c r="C4505" t="s">
        <v>9768</v>
      </c>
      <c r="D4505" t="s">
        <v>9768</v>
      </c>
      <c r="E4505" s="5">
        <v>46289</v>
      </c>
      <c r="F4505" t="s">
        <v>204</v>
      </c>
      <c r="G4505" t="s">
        <v>220</v>
      </c>
      <c r="H4505">
        <v>4999</v>
      </c>
      <c r="I4505">
        <v>15</v>
      </c>
      <c r="J4505">
        <v>2.7</v>
      </c>
      <c r="K4505">
        <v>4981.3</v>
      </c>
      <c r="L4505" s="5">
        <v>46291</v>
      </c>
      <c r="M4505" t="s">
        <v>9402</v>
      </c>
      <c r="N4505" t="s">
        <v>207</v>
      </c>
      <c r="O4505" t="s">
        <v>9768</v>
      </c>
      <c r="P4505" t="s">
        <v>208</v>
      </c>
      <c r="Q4505" t="s">
        <v>209</v>
      </c>
    </row>
    <row r="4506" spans="1:17" x14ac:dyDescent="0.3">
      <c r="A4506" t="s">
        <v>9769</v>
      </c>
      <c r="C4506" t="s">
        <v>9770</v>
      </c>
      <c r="D4506" t="s">
        <v>9770</v>
      </c>
      <c r="E4506" s="5">
        <v>46289</v>
      </c>
      <c r="F4506" t="s">
        <v>204</v>
      </c>
      <c r="G4506" t="s">
        <v>220</v>
      </c>
      <c r="H4506">
        <v>2697</v>
      </c>
      <c r="I4506">
        <v>8.09</v>
      </c>
      <c r="J4506">
        <v>1.46</v>
      </c>
      <c r="K4506">
        <v>2687.45</v>
      </c>
      <c r="L4506" s="5">
        <v>46291</v>
      </c>
      <c r="M4506" t="s">
        <v>9402</v>
      </c>
      <c r="N4506" t="s">
        <v>207</v>
      </c>
      <c r="O4506" t="s">
        <v>9770</v>
      </c>
      <c r="P4506" t="s">
        <v>208</v>
      </c>
      <c r="Q4506" t="s">
        <v>209</v>
      </c>
    </row>
    <row r="4507" spans="1:17" x14ac:dyDescent="0.3">
      <c r="A4507" t="s">
        <v>9771</v>
      </c>
      <c r="C4507" t="s">
        <v>9772</v>
      </c>
      <c r="D4507" t="s">
        <v>9772</v>
      </c>
      <c r="E4507" s="5">
        <v>46289</v>
      </c>
      <c r="F4507" t="s">
        <v>204</v>
      </c>
      <c r="G4507" t="s">
        <v>255</v>
      </c>
      <c r="H4507">
        <v>1799</v>
      </c>
      <c r="I4507">
        <v>26.99</v>
      </c>
      <c r="J4507">
        <v>4.8600000000000003</v>
      </c>
      <c r="K4507">
        <v>1767.15</v>
      </c>
      <c r="L4507" s="5">
        <v>46291</v>
      </c>
      <c r="M4507" t="s">
        <v>9402</v>
      </c>
      <c r="N4507" t="s">
        <v>207</v>
      </c>
      <c r="O4507" t="s">
        <v>9772</v>
      </c>
      <c r="P4507" t="s">
        <v>208</v>
      </c>
      <c r="Q4507" t="s">
        <v>209</v>
      </c>
    </row>
    <row r="4508" spans="1:17" x14ac:dyDescent="0.3">
      <c r="A4508" t="s">
        <v>9773</v>
      </c>
      <c r="C4508" t="s">
        <v>9774</v>
      </c>
      <c r="D4508" t="s">
        <v>9774</v>
      </c>
      <c r="E4508" s="5">
        <v>46289</v>
      </c>
      <c r="F4508" t="s">
        <v>204</v>
      </c>
      <c r="G4508" t="s">
        <v>213</v>
      </c>
      <c r="H4508">
        <v>9097</v>
      </c>
      <c r="I4508">
        <v>145.55000000000001</v>
      </c>
      <c r="J4508">
        <v>26.2</v>
      </c>
      <c r="K4508">
        <v>8925.25</v>
      </c>
      <c r="L4508" s="5">
        <v>46291</v>
      </c>
      <c r="M4508" t="s">
        <v>9402</v>
      </c>
      <c r="N4508" t="s">
        <v>207</v>
      </c>
      <c r="O4508" t="s">
        <v>9774</v>
      </c>
      <c r="P4508" t="s">
        <v>208</v>
      </c>
      <c r="Q4508" t="s">
        <v>209</v>
      </c>
    </row>
    <row r="4509" spans="1:17" x14ac:dyDescent="0.3">
      <c r="A4509" t="s">
        <v>9775</v>
      </c>
      <c r="C4509" t="s">
        <v>9776</v>
      </c>
      <c r="D4509" t="s">
        <v>9776</v>
      </c>
      <c r="E4509" s="5">
        <v>46289</v>
      </c>
      <c r="F4509" t="s">
        <v>204</v>
      </c>
      <c r="G4509" t="s">
        <v>220</v>
      </c>
      <c r="H4509">
        <v>1299</v>
      </c>
      <c r="I4509">
        <v>0</v>
      </c>
      <c r="J4509">
        <v>0</v>
      </c>
      <c r="K4509">
        <v>1299</v>
      </c>
      <c r="L4509" s="5">
        <v>46291</v>
      </c>
      <c r="M4509" t="s">
        <v>9402</v>
      </c>
      <c r="N4509" t="s">
        <v>207</v>
      </c>
      <c r="O4509" t="s">
        <v>9776</v>
      </c>
      <c r="P4509" t="s">
        <v>208</v>
      </c>
      <c r="Q4509" t="s">
        <v>209</v>
      </c>
    </row>
    <row r="4510" spans="1:17" x14ac:dyDescent="0.3">
      <c r="A4510" t="s">
        <v>9777</v>
      </c>
      <c r="C4510" t="s">
        <v>9778</v>
      </c>
      <c r="D4510" t="s">
        <v>9778</v>
      </c>
      <c r="E4510" s="5">
        <v>46289</v>
      </c>
      <c r="F4510" t="s">
        <v>204</v>
      </c>
      <c r="G4510" t="s">
        <v>213</v>
      </c>
      <c r="H4510">
        <v>2798</v>
      </c>
      <c r="I4510">
        <v>44.77</v>
      </c>
      <c r="J4510">
        <v>8.06</v>
      </c>
      <c r="K4510">
        <v>2745.17</v>
      </c>
      <c r="L4510" s="5">
        <v>46291</v>
      </c>
      <c r="M4510" t="s">
        <v>9402</v>
      </c>
      <c r="N4510" t="s">
        <v>207</v>
      </c>
      <c r="O4510" t="s">
        <v>9778</v>
      </c>
      <c r="P4510" t="s">
        <v>208</v>
      </c>
      <c r="Q4510" t="s">
        <v>209</v>
      </c>
    </row>
    <row r="4511" spans="1:17" x14ac:dyDescent="0.3">
      <c r="A4511" t="s">
        <v>9779</v>
      </c>
      <c r="C4511" t="s">
        <v>9780</v>
      </c>
      <c r="D4511" t="s">
        <v>9780</v>
      </c>
      <c r="E4511" s="5">
        <v>46289</v>
      </c>
      <c r="F4511" t="s">
        <v>204</v>
      </c>
      <c r="G4511" t="s">
        <v>255</v>
      </c>
      <c r="H4511">
        <v>1848</v>
      </c>
      <c r="I4511">
        <v>27.72</v>
      </c>
      <c r="J4511">
        <v>4.99</v>
      </c>
      <c r="K4511">
        <v>1815.29</v>
      </c>
      <c r="L4511" s="5">
        <v>46291</v>
      </c>
      <c r="M4511" t="s">
        <v>9402</v>
      </c>
      <c r="N4511" t="s">
        <v>207</v>
      </c>
      <c r="O4511" t="s">
        <v>9780</v>
      </c>
      <c r="P4511" t="s">
        <v>208</v>
      </c>
      <c r="Q4511" t="s">
        <v>209</v>
      </c>
    </row>
    <row r="4512" spans="1:17" x14ac:dyDescent="0.3">
      <c r="A4512" t="s">
        <v>9781</v>
      </c>
      <c r="C4512" t="s">
        <v>9782</v>
      </c>
      <c r="D4512" t="s">
        <v>9782</v>
      </c>
      <c r="E4512" s="5">
        <v>46289</v>
      </c>
      <c r="F4512" t="s">
        <v>204</v>
      </c>
      <c r="G4512" t="s">
        <v>205</v>
      </c>
      <c r="H4512">
        <v>2598</v>
      </c>
      <c r="I4512">
        <v>44.17</v>
      </c>
      <c r="J4512">
        <v>7.95</v>
      </c>
      <c r="K4512">
        <v>2545.88</v>
      </c>
      <c r="L4512" s="5">
        <v>46291</v>
      </c>
      <c r="M4512" t="s">
        <v>9402</v>
      </c>
      <c r="N4512" t="s">
        <v>207</v>
      </c>
      <c r="O4512" t="s">
        <v>9782</v>
      </c>
      <c r="P4512" t="s">
        <v>208</v>
      </c>
      <c r="Q4512" t="s">
        <v>209</v>
      </c>
    </row>
    <row r="4513" spans="1:17" x14ac:dyDescent="0.3">
      <c r="A4513" t="s">
        <v>9783</v>
      </c>
      <c r="C4513" t="s">
        <v>9784</v>
      </c>
      <c r="D4513" t="s">
        <v>9784</v>
      </c>
      <c r="E4513" s="5">
        <v>46289</v>
      </c>
      <c r="F4513" t="s">
        <v>204</v>
      </c>
      <c r="G4513" t="s">
        <v>220</v>
      </c>
      <c r="H4513">
        <v>12998</v>
      </c>
      <c r="I4513">
        <v>38.99</v>
      </c>
      <c r="J4513">
        <v>7.02</v>
      </c>
      <c r="K4513">
        <v>12951.99</v>
      </c>
      <c r="L4513" s="5">
        <v>46291</v>
      </c>
      <c r="M4513" t="s">
        <v>9402</v>
      </c>
      <c r="N4513" t="s">
        <v>207</v>
      </c>
      <c r="O4513" t="s">
        <v>9784</v>
      </c>
      <c r="P4513" t="s">
        <v>208</v>
      </c>
      <c r="Q4513" t="s">
        <v>209</v>
      </c>
    </row>
    <row r="4514" spans="1:17" x14ac:dyDescent="0.3">
      <c r="A4514" t="s">
        <v>9785</v>
      </c>
      <c r="C4514" t="s">
        <v>9786</v>
      </c>
      <c r="D4514" t="s">
        <v>9786</v>
      </c>
      <c r="E4514" s="5">
        <v>46289</v>
      </c>
      <c r="F4514" t="s">
        <v>204</v>
      </c>
      <c r="G4514" t="s">
        <v>220</v>
      </c>
      <c r="H4514">
        <v>2499</v>
      </c>
      <c r="I4514">
        <v>7.5</v>
      </c>
      <c r="J4514">
        <v>1.35</v>
      </c>
      <c r="K4514">
        <v>2490.15</v>
      </c>
      <c r="L4514" s="5">
        <v>46291</v>
      </c>
      <c r="M4514" t="s">
        <v>9402</v>
      </c>
      <c r="N4514" t="s">
        <v>207</v>
      </c>
      <c r="O4514" t="s">
        <v>9786</v>
      </c>
      <c r="P4514" t="s">
        <v>208</v>
      </c>
      <c r="Q4514" t="s">
        <v>209</v>
      </c>
    </row>
    <row r="4515" spans="1:17" x14ac:dyDescent="0.3">
      <c r="A4515" t="s">
        <v>9787</v>
      </c>
      <c r="C4515" t="s">
        <v>9788</v>
      </c>
      <c r="D4515" t="s">
        <v>9788</v>
      </c>
      <c r="E4515" s="5">
        <v>46289</v>
      </c>
      <c r="F4515" t="s">
        <v>204</v>
      </c>
      <c r="G4515" t="s">
        <v>220</v>
      </c>
      <c r="H4515">
        <v>3348</v>
      </c>
      <c r="I4515">
        <v>10.039999999999999</v>
      </c>
      <c r="J4515">
        <v>1.81</v>
      </c>
      <c r="K4515">
        <v>3336.15</v>
      </c>
      <c r="L4515" s="5">
        <v>46291</v>
      </c>
      <c r="M4515" t="s">
        <v>9402</v>
      </c>
      <c r="N4515" t="s">
        <v>207</v>
      </c>
      <c r="O4515" t="s">
        <v>9788</v>
      </c>
      <c r="P4515" t="s">
        <v>208</v>
      </c>
      <c r="Q4515" t="s">
        <v>209</v>
      </c>
    </row>
    <row r="4516" spans="1:17" x14ac:dyDescent="0.3">
      <c r="A4516" t="s">
        <v>9789</v>
      </c>
      <c r="C4516" t="s">
        <v>9790</v>
      </c>
      <c r="D4516" t="s">
        <v>9790</v>
      </c>
      <c r="E4516" s="5">
        <v>46289</v>
      </c>
      <c r="F4516" t="s">
        <v>204</v>
      </c>
      <c r="G4516" t="s">
        <v>220</v>
      </c>
      <c r="H4516">
        <v>4999</v>
      </c>
      <c r="I4516">
        <v>15</v>
      </c>
      <c r="J4516">
        <v>2.7</v>
      </c>
      <c r="K4516">
        <v>4981.3</v>
      </c>
      <c r="L4516" s="5">
        <v>46291</v>
      </c>
      <c r="M4516" t="s">
        <v>9402</v>
      </c>
      <c r="N4516" t="s">
        <v>207</v>
      </c>
      <c r="O4516" t="s">
        <v>9790</v>
      </c>
      <c r="P4516" t="s">
        <v>208</v>
      </c>
      <c r="Q4516" t="s">
        <v>209</v>
      </c>
    </row>
    <row r="4517" spans="1:17" x14ac:dyDescent="0.3">
      <c r="A4517" t="s">
        <v>9791</v>
      </c>
      <c r="C4517" t="s">
        <v>9792</v>
      </c>
      <c r="D4517" t="s">
        <v>9792</v>
      </c>
      <c r="E4517" s="5">
        <v>46289</v>
      </c>
      <c r="F4517" t="s">
        <v>204</v>
      </c>
      <c r="G4517" t="s">
        <v>220</v>
      </c>
      <c r="H4517">
        <v>6097</v>
      </c>
      <c r="I4517">
        <v>18.29</v>
      </c>
      <c r="J4517">
        <v>3.29</v>
      </c>
      <c r="K4517">
        <v>6075.42</v>
      </c>
      <c r="L4517" s="5">
        <v>46291</v>
      </c>
      <c r="M4517" t="s">
        <v>9402</v>
      </c>
      <c r="N4517" t="s">
        <v>207</v>
      </c>
      <c r="O4517" t="s">
        <v>9792</v>
      </c>
      <c r="P4517" t="s">
        <v>208</v>
      </c>
      <c r="Q4517" t="s">
        <v>209</v>
      </c>
    </row>
    <row r="4518" spans="1:17" x14ac:dyDescent="0.3">
      <c r="A4518" t="s">
        <v>9793</v>
      </c>
      <c r="C4518" t="s">
        <v>9794</v>
      </c>
      <c r="D4518" t="s">
        <v>9794</v>
      </c>
      <c r="E4518" s="5">
        <v>46289</v>
      </c>
      <c r="F4518" t="s">
        <v>204</v>
      </c>
      <c r="G4518" t="s">
        <v>220</v>
      </c>
      <c r="H4518">
        <v>1299</v>
      </c>
      <c r="I4518">
        <v>0</v>
      </c>
      <c r="J4518">
        <v>0</v>
      </c>
      <c r="K4518">
        <v>1299</v>
      </c>
      <c r="L4518" s="5">
        <v>46291</v>
      </c>
      <c r="M4518" t="s">
        <v>9402</v>
      </c>
      <c r="N4518" t="s">
        <v>207</v>
      </c>
      <c r="O4518" t="s">
        <v>9794</v>
      </c>
      <c r="P4518" t="s">
        <v>208</v>
      </c>
      <c r="Q4518" t="s">
        <v>209</v>
      </c>
    </row>
    <row r="4519" spans="1:17" x14ac:dyDescent="0.3">
      <c r="A4519" t="s">
        <v>9795</v>
      </c>
      <c r="C4519" t="s">
        <v>9796</v>
      </c>
      <c r="D4519" t="s">
        <v>9796</v>
      </c>
      <c r="E4519" s="5">
        <v>46289</v>
      </c>
      <c r="F4519" t="s">
        <v>204</v>
      </c>
      <c r="G4519" t="s">
        <v>255</v>
      </c>
      <c r="H4519">
        <v>499</v>
      </c>
      <c r="I4519">
        <v>7.49</v>
      </c>
      <c r="J4519">
        <v>1.35</v>
      </c>
      <c r="K4519">
        <v>490.16</v>
      </c>
      <c r="L4519" s="5">
        <v>46291</v>
      </c>
      <c r="M4519" t="s">
        <v>9402</v>
      </c>
      <c r="N4519" t="s">
        <v>207</v>
      </c>
      <c r="O4519" t="s">
        <v>9796</v>
      </c>
      <c r="P4519" t="s">
        <v>208</v>
      </c>
      <c r="Q4519" t="s">
        <v>209</v>
      </c>
    </row>
    <row r="4520" spans="1:17" x14ac:dyDescent="0.3">
      <c r="A4520" t="s">
        <v>9797</v>
      </c>
      <c r="C4520" t="s">
        <v>9798</v>
      </c>
      <c r="D4520" t="s">
        <v>9799</v>
      </c>
      <c r="E4520" s="5">
        <v>46289</v>
      </c>
      <c r="F4520" t="s">
        <v>204</v>
      </c>
      <c r="G4520" t="s">
        <v>220</v>
      </c>
      <c r="H4520">
        <v>2499</v>
      </c>
      <c r="I4520">
        <v>7.5</v>
      </c>
      <c r="J4520">
        <v>1.35</v>
      </c>
      <c r="K4520">
        <v>2490.15</v>
      </c>
      <c r="L4520" s="5">
        <v>46291</v>
      </c>
      <c r="M4520" t="s">
        <v>9402</v>
      </c>
      <c r="N4520" t="s">
        <v>207</v>
      </c>
      <c r="O4520" t="s">
        <v>9799</v>
      </c>
      <c r="P4520" t="s">
        <v>208</v>
      </c>
      <c r="Q4520" t="s">
        <v>209</v>
      </c>
    </row>
    <row r="4521" spans="1:17" x14ac:dyDescent="0.3">
      <c r="A4521" t="s">
        <v>9800</v>
      </c>
      <c r="C4521" t="s">
        <v>9801</v>
      </c>
      <c r="D4521" t="s">
        <v>9801</v>
      </c>
      <c r="E4521" s="5">
        <v>46289</v>
      </c>
      <c r="F4521" t="s">
        <v>204</v>
      </c>
      <c r="G4521" t="s">
        <v>220</v>
      </c>
      <c r="H4521">
        <v>9998</v>
      </c>
      <c r="I4521">
        <v>29.99</v>
      </c>
      <c r="J4521">
        <v>5.4</v>
      </c>
      <c r="K4521">
        <v>9962.61</v>
      </c>
      <c r="L4521" s="5">
        <v>46291</v>
      </c>
      <c r="M4521" t="s">
        <v>9402</v>
      </c>
      <c r="N4521" t="s">
        <v>207</v>
      </c>
      <c r="O4521" t="s">
        <v>9801</v>
      </c>
      <c r="P4521" t="s">
        <v>208</v>
      </c>
      <c r="Q4521" t="s">
        <v>209</v>
      </c>
    </row>
    <row r="4522" spans="1:17" x14ac:dyDescent="0.3">
      <c r="A4522" t="s">
        <v>9802</v>
      </c>
      <c r="C4522" t="s">
        <v>9803</v>
      </c>
      <c r="D4522" t="s">
        <v>9803</v>
      </c>
      <c r="E4522" s="5">
        <v>46289</v>
      </c>
      <c r="F4522" t="s">
        <v>204</v>
      </c>
      <c r="G4522" t="s">
        <v>220</v>
      </c>
      <c r="H4522">
        <v>1598</v>
      </c>
      <c r="I4522">
        <v>0</v>
      </c>
      <c r="J4522">
        <v>0</v>
      </c>
      <c r="K4522">
        <v>1598</v>
      </c>
      <c r="L4522" s="5">
        <v>46291</v>
      </c>
      <c r="M4522" t="s">
        <v>9402</v>
      </c>
      <c r="N4522" t="s">
        <v>207</v>
      </c>
      <c r="O4522" t="s">
        <v>9803</v>
      </c>
      <c r="P4522" t="s">
        <v>208</v>
      </c>
      <c r="Q4522" t="s">
        <v>209</v>
      </c>
    </row>
    <row r="4523" spans="1:17" x14ac:dyDescent="0.3">
      <c r="A4523" t="s">
        <v>9804</v>
      </c>
      <c r="C4523" t="s">
        <v>9805</v>
      </c>
      <c r="D4523" t="s">
        <v>9805</v>
      </c>
      <c r="E4523" s="5">
        <v>46289</v>
      </c>
      <c r="F4523" t="s">
        <v>204</v>
      </c>
      <c r="G4523" t="s">
        <v>220</v>
      </c>
      <c r="H4523">
        <v>6297</v>
      </c>
      <c r="I4523">
        <v>18.89</v>
      </c>
      <c r="J4523">
        <v>3.4</v>
      </c>
      <c r="K4523">
        <v>6274.71</v>
      </c>
      <c r="L4523" s="5">
        <v>46291</v>
      </c>
      <c r="M4523" t="s">
        <v>9402</v>
      </c>
      <c r="N4523" t="s">
        <v>207</v>
      </c>
      <c r="O4523" t="s">
        <v>9805</v>
      </c>
      <c r="P4523" t="s">
        <v>208</v>
      </c>
      <c r="Q4523" t="s">
        <v>209</v>
      </c>
    </row>
    <row r="4524" spans="1:17" x14ac:dyDescent="0.3">
      <c r="A4524" t="s">
        <v>9806</v>
      </c>
      <c r="C4524" t="s">
        <v>9807</v>
      </c>
      <c r="D4524" t="s">
        <v>9807</v>
      </c>
      <c r="E4524" s="5">
        <v>46289</v>
      </c>
      <c r="F4524" t="s">
        <v>204</v>
      </c>
      <c r="G4524" t="s">
        <v>220</v>
      </c>
      <c r="H4524">
        <v>3447</v>
      </c>
      <c r="I4524">
        <v>10.34</v>
      </c>
      <c r="J4524">
        <v>1.86</v>
      </c>
      <c r="K4524">
        <v>3434.8</v>
      </c>
      <c r="L4524" s="5">
        <v>46291</v>
      </c>
      <c r="M4524" t="s">
        <v>9402</v>
      </c>
      <c r="N4524" t="s">
        <v>207</v>
      </c>
      <c r="O4524" t="s">
        <v>9807</v>
      </c>
      <c r="P4524" t="s">
        <v>208</v>
      </c>
      <c r="Q4524" t="s">
        <v>209</v>
      </c>
    </row>
    <row r="4525" spans="1:17" x14ac:dyDescent="0.3">
      <c r="A4525" t="s">
        <v>9808</v>
      </c>
      <c r="C4525" t="s">
        <v>9809</v>
      </c>
      <c r="D4525" t="s">
        <v>9809</v>
      </c>
      <c r="E4525" s="5">
        <v>46289</v>
      </c>
      <c r="F4525" t="s">
        <v>204</v>
      </c>
      <c r="G4525" t="s">
        <v>213</v>
      </c>
      <c r="H4525">
        <v>7998</v>
      </c>
      <c r="I4525">
        <v>127.97</v>
      </c>
      <c r="J4525">
        <v>23.03</v>
      </c>
      <c r="K4525">
        <v>7847</v>
      </c>
      <c r="L4525" s="5">
        <v>46291</v>
      </c>
      <c r="M4525" t="s">
        <v>9402</v>
      </c>
      <c r="N4525" t="s">
        <v>207</v>
      </c>
      <c r="O4525" t="s">
        <v>9809</v>
      </c>
      <c r="P4525" t="s">
        <v>208</v>
      </c>
      <c r="Q4525" t="s">
        <v>209</v>
      </c>
    </row>
    <row r="4526" spans="1:17" x14ac:dyDescent="0.3">
      <c r="A4526" t="s">
        <v>9810</v>
      </c>
      <c r="B4526" t="s">
        <v>7267</v>
      </c>
      <c r="E4526" s="5">
        <v>46289</v>
      </c>
      <c r="F4526" t="s">
        <v>921</v>
      </c>
      <c r="G4526" t="s">
        <v>220</v>
      </c>
      <c r="H4526">
        <v>4597</v>
      </c>
      <c r="I4526">
        <v>0</v>
      </c>
      <c r="J4526">
        <v>0</v>
      </c>
      <c r="K4526">
        <v>-4597</v>
      </c>
      <c r="L4526" s="5">
        <v>46291</v>
      </c>
      <c r="M4526" t="s">
        <v>9402</v>
      </c>
      <c r="N4526" t="s">
        <v>207</v>
      </c>
      <c r="O4526" t="s">
        <v>7268</v>
      </c>
      <c r="P4526" t="s">
        <v>208</v>
      </c>
    </row>
    <row r="4527" spans="1:17" x14ac:dyDescent="0.3">
      <c r="A4527" t="s">
        <v>9811</v>
      </c>
      <c r="B4527" t="s">
        <v>8641</v>
      </c>
      <c r="E4527" s="5">
        <v>46289</v>
      </c>
      <c r="F4527" t="s">
        <v>921</v>
      </c>
      <c r="G4527" t="s">
        <v>205</v>
      </c>
      <c r="H4527">
        <v>599</v>
      </c>
      <c r="I4527">
        <v>0</v>
      </c>
      <c r="J4527">
        <v>0</v>
      </c>
      <c r="K4527">
        <v>-599</v>
      </c>
      <c r="L4527" s="5">
        <v>46291</v>
      </c>
      <c r="M4527" t="s">
        <v>9402</v>
      </c>
      <c r="N4527" t="s">
        <v>207</v>
      </c>
      <c r="O4527" t="s">
        <v>8642</v>
      </c>
      <c r="P4527" t="s">
        <v>208</v>
      </c>
    </row>
    <row r="4528" spans="1:17" x14ac:dyDescent="0.3">
      <c r="A4528" t="s">
        <v>9812</v>
      </c>
      <c r="B4528" t="s">
        <v>8161</v>
      </c>
      <c r="E4528" s="5">
        <v>46289</v>
      </c>
      <c r="F4528" t="s">
        <v>921</v>
      </c>
      <c r="G4528" t="s">
        <v>213</v>
      </c>
      <c r="H4528">
        <v>1848</v>
      </c>
      <c r="I4528">
        <v>0</v>
      </c>
      <c r="J4528">
        <v>0</v>
      </c>
      <c r="K4528">
        <v>-1848</v>
      </c>
      <c r="L4528" s="5">
        <v>46291</v>
      </c>
      <c r="M4528" t="s">
        <v>9402</v>
      </c>
      <c r="N4528" t="s">
        <v>207</v>
      </c>
      <c r="O4528" t="s">
        <v>8162</v>
      </c>
      <c r="P4528" t="s">
        <v>208</v>
      </c>
    </row>
    <row r="4529" spans="1:17" x14ac:dyDescent="0.3">
      <c r="A4529" t="s">
        <v>9813</v>
      </c>
      <c r="B4529" t="s">
        <v>9263</v>
      </c>
      <c r="E4529" s="5">
        <v>46289</v>
      </c>
      <c r="F4529" t="s">
        <v>921</v>
      </c>
      <c r="G4529" t="s">
        <v>220</v>
      </c>
      <c r="H4529">
        <v>349</v>
      </c>
      <c r="I4529">
        <v>0</v>
      </c>
      <c r="J4529">
        <v>0</v>
      </c>
      <c r="K4529">
        <v>-349</v>
      </c>
      <c r="L4529" s="5">
        <v>46291</v>
      </c>
      <c r="M4529" t="s">
        <v>9402</v>
      </c>
      <c r="N4529" t="s">
        <v>207</v>
      </c>
      <c r="O4529" t="s">
        <v>9264</v>
      </c>
      <c r="P4529" t="s">
        <v>208</v>
      </c>
    </row>
    <row r="4530" spans="1:17" x14ac:dyDescent="0.3">
      <c r="A4530" t="s">
        <v>9814</v>
      </c>
      <c r="B4530" t="s">
        <v>8672</v>
      </c>
      <c r="E4530" s="5">
        <v>46289</v>
      </c>
      <c r="F4530" t="s">
        <v>921</v>
      </c>
      <c r="G4530" t="s">
        <v>213</v>
      </c>
      <c r="H4530">
        <v>1499</v>
      </c>
      <c r="I4530">
        <v>0</v>
      </c>
      <c r="J4530">
        <v>0</v>
      </c>
      <c r="K4530">
        <v>-1499</v>
      </c>
      <c r="L4530" s="5">
        <v>46291</v>
      </c>
      <c r="M4530" t="s">
        <v>9402</v>
      </c>
      <c r="N4530" t="s">
        <v>207</v>
      </c>
      <c r="O4530" t="s">
        <v>8674</v>
      </c>
      <c r="P4530" t="s">
        <v>208</v>
      </c>
    </row>
    <row r="4531" spans="1:17" x14ac:dyDescent="0.3">
      <c r="A4531" t="s">
        <v>9815</v>
      </c>
      <c r="B4531" t="s">
        <v>8337</v>
      </c>
      <c r="E4531" s="5">
        <v>46289</v>
      </c>
      <c r="F4531" t="s">
        <v>921</v>
      </c>
      <c r="G4531" t="s">
        <v>220</v>
      </c>
      <c r="H4531">
        <v>4999</v>
      </c>
      <c r="I4531">
        <v>0</v>
      </c>
      <c r="J4531">
        <v>0</v>
      </c>
      <c r="K4531">
        <v>-4999</v>
      </c>
      <c r="L4531" s="5">
        <v>46291</v>
      </c>
      <c r="M4531" t="s">
        <v>9402</v>
      </c>
      <c r="N4531" t="s">
        <v>207</v>
      </c>
      <c r="O4531" t="s">
        <v>8338</v>
      </c>
      <c r="P4531" t="s">
        <v>208</v>
      </c>
    </row>
    <row r="4532" spans="1:17" x14ac:dyDescent="0.3">
      <c r="A4532" t="s">
        <v>9816</v>
      </c>
      <c r="B4532" t="s">
        <v>8606</v>
      </c>
      <c r="E4532" s="5">
        <v>46289</v>
      </c>
      <c r="F4532" t="s">
        <v>921</v>
      </c>
      <c r="G4532" t="s">
        <v>213</v>
      </c>
      <c r="H4532">
        <v>8998</v>
      </c>
      <c r="I4532">
        <v>0</v>
      </c>
      <c r="J4532">
        <v>0</v>
      </c>
      <c r="K4532">
        <v>-8998</v>
      </c>
      <c r="L4532" s="5">
        <v>46291</v>
      </c>
      <c r="M4532" t="s">
        <v>9402</v>
      </c>
      <c r="N4532" t="s">
        <v>207</v>
      </c>
      <c r="O4532" t="s">
        <v>8607</v>
      </c>
      <c r="P4532" t="s">
        <v>208</v>
      </c>
    </row>
    <row r="4533" spans="1:17" x14ac:dyDescent="0.3">
      <c r="A4533" t="s">
        <v>9817</v>
      </c>
      <c r="C4533" t="s">
        <v>9818</v>
      </c>
      <c r="D4533" t="s">
        <v>9818</v>
      </c>
      <c r="E4533" s="5">
        <v>46290</v>
      </c>
      <c r="F4533" t="s">
        <v>204</v>
      </c>
      <c r="G4533" t="s">
        <v>255</v>
      </c>
      <c r="H4533">
        <v>349</v>
      </c>
      <c r="I4533">
        <v>5.24</v>
      </c>
      <c r="J4533">
        <v>0.94</v>
      </c>
      <c r="K4533">
        <v>342.82</v>
      </c>
      <c r="L4533" s="5">
        <v>46292</v>
      </c>
      <c r="M4533" t="s">
        <v>9819</v>
      </c>
      <c r="N4533" t="s">
        <v>207</v>
      </c>
      <c r="O4533" t="s">
        <v>9818</v>
      </c>
      <c r="P4533" t="s">
        <v>208</v>
      </c>
      <c r="Q4533" t="s">
        <v>209</v>
      </c>
    </row>
    <row r="4534" spans="1:17" x14ac:dyDescent="0.3">
      <c r="A4534" t="s">
        <v>9820</v>
      </c>
      <c r="C4534" t="s">
        <v>9821</v>
      </c>
      <c r="D4534" t="s">
        <v>9821</v>
      </c>
      <c r="E4534" s="5">
        <v>46290</v>
      </c>
      <c r="F4534" t="s">
        <v>204</v>
      </c>
      <c r="G4534" t="s">
        <v>220</v>
      </c>
      <c r="H4534">
        <v>5498</v>
      </c>
      <c r="I4534">
        <v>16.489999999999998</v>
      </c>
      <c r="J4534">
        <v>2.97</v>
      </c>
      <c r="K4534">
        <v>5478.54</v>
      </c>
      <c r="L4534" s="5">
        <v>46292</v>
      </c>
      <c r="M4534" t="s">
        <v>9819</v>
      </c>
      <c r="N4534" t="s">
        <v>207</v>
      </c>
      <c r="O4534" t="s">
        <v>9821</v>
      </c>
      <c r="P4534" t="s">
        <v>208</v>
      </c>
      <c r="Q4534" t="s">
        <v>209</v>
      </c>
    </row>
    <row r="4535" spans="1:17" x14ac:dyDescent="0.3">
      <c r="A4535" t="s">
        <v>9822</v>
      </c>
      <c r="C4535" t="s">
        <v>9823</v>
      </c>
      <c r="D4535" t="s">
        <v>9823</v>
      </c>
      <c r="E4535" s="5">
        <v>46290</v>
      </c>
      <c r="F4535" t="s">
        <v>204</v>
      </c>
      <c r="G4535" t="s">
        <v>220</v>
      </c>
      <c r="H4535">
        <v>4998</v>
      </c>
      <c r="I4535">
        <v>14.99</v>
      </c>
      <c r="J4535">
        <v>2.7</v>
      </c>
      <c r="K4535">
        <v>4980.3100000000004</v>
      </c>
      <c r="L4535" s="5">
        <v>46292</v>
      </c>
      <c r="M4535" t="s">
        <v>9819</v>
      </c>
      <c r="N4535" t="s">
        <v>207</v>
      </c>
      <c r="O4535" t="s">
        <v>9823</v>
      </c>
      <c r="P4535" t="s">
        <v>208</v>
      </c>
      <c r="Q4535" t="s">
        <v>209</v>
      </c>
    </row>
    <row r="4536" spans="1:17" x14ac:dyDescent="0.3">
      <c r="A4536" t="s">
        <v>9824</v>
      </c>
      <c r="C4536" t="s">
        <v>9825</v>
      </c>
      <c r="D4536" t="s">
        <v>9826</v>
      </c>
      <c r="E4536" s="5">
        <v>46290</v>
      </c>
      <c r="F4536" t="s">
        <v>204</v>
      </c>
      <c r="G4536" t="s">
        <v>220</v>
      </c>
      <c r="H4536">
        <v>1348</v>
      </c>
      <c r="I4536">
        <v>0</v>
      </c>
      <c r="J4536">
        <v>0</v>
      </c>
      <c r="K4536">
        <v>1348</v>
      </c>
      <c r="L4536" s="5">
        <v>46292</v>
      </c>
      <c r="M4536" t="s">
        <v>9819</v>
      </c>
      <c r="N4536" t="s">
        <v>207</v>
      </c>
      <c r="O4536" t="s">
        <v>9826</v>
      </c>
      <c r="P4536" t="s">
        <v>208</v>
      </c>
      <c r="Q4536" t="s">
        <v>209</v>
      </c>
    </row>
    <row r="4537" spans="1:17" x14ac:dyDescent="0.3">
      <c r="A4537" t="s">
        <v>9827</v>
      </c>
      <c r="C4537" t="s">
        <v>9828</v>
      </c>
      <c r="D4537" t="s">
        <v>9828</v>
      </c>
      <c r="E4537" s="5">
        <v>46290</v>
      </c>
      <c r="F4537" t="s">
        <v>204</v>
      </c>
      <c r="G4537" t="s">
        <v>220</v>
      </c>
      <c r="H4537">
        <v>1198</v>
      </c>
      <c r="I4537">
        <v>0</v>
      </c>
      <c r="J4537">
        <v>0</v>
      </c>
      <c r="K4537">
        <v>1198</v>
      </c>
      <c r="L4537" s="5">
        <v>46292</v>
      </c>
      <c r="M4537" t="s">
        <v>9819</v>
      </c>
      <c r="N4537" t="s">
        <v>207</v>
      </c>
      <c r="O4537" t="s">
        <v>9828</v>
      </c>
      <c r="P4537" t="s">
        <v>208</v>
      </c>
      <c r="Q4537" t="s">
        <v>209</v>
      </c>
    </row>
    <row r="4538" spans="1:17" x14ac:dyDescent="0.3">
      <c r="A4538" t="s">
        <v>9829</v>
      </c>
      <c r="C4538" t="s">
        <v>9830</v>
      </c>
      <c r="D4538" t="s">
        <v>9830</v>
      </c>
      <c r="E4538" s="5">
        <v>46290</v>
      </c>
      <c r="F4538" t="s">
        <v>204</v>
      </c>
      <c r="G4538" t="s">
        <v>220</v>
      </c>
      <c r="H4538">
        <v>599</v>
      </c>
      <c r="I4538">
        <v>0</v>
      </c>
      <c r="J4538">
        <v>0</v>
      </c>
      <c r="K4538">
        <v>599</v>
      </c>
      <c r="L4538" s="5">
        <v>46292</v>
      </c>
      <c r="M4538" t="s">
        <v>9819</v>
      </c>
      <c r="N4538" t="s">
        <v>207</v>
      </c>
      <c r="O4538" t="s">
        <v>9830</v>
      </c>
      <c r="P4538" t="s">
        <v>208</v>
      </c>
      <c r="Q4538" t="s">
        <v>209</v>
      </c>
    </row>
    <row r="4539" spans="1:17" x14ac:dyDescent="0.3">
      <c r="A4539" t="s">
        <v>9831</v>
      </c>
      <c r="C4539" t="s">
        <v>9832</v>
      </c>
      <c r="D4539" t="s">
        <v>9832</v>
      </c>
      <c r="E4539" s="5">
        <v>46290</v>
      </c>
      <c r="F4539" t="s">
        <v>204</v>
      </c>
      <c r="G4539" t="s">
        <v>220</v>
      </c>
      <c r="H4539">
        <v>8498</v>
      </c>
      <c r="I4539">
        <v>25.49</v>
      </c>
      <c r="J4539">
        <v>4.59</v>
      </c>
      <c r="K4539">
        <v>8467.92</v>
      </c>
      <c r="L4539" s="5">
        <v>46292</v>
      </c>
      <c r="M4539" t="s">
        <v>9819</v>
      </c>
      <c r="N4539" t="s">
        <v>207</v>
      </c>
      <c r="O4539" t="s">
        <v>9832</v>
      </c>
      <c r="P4539" t="s">
        <v>208</v>
      </c>
      <c r="Q4539" t="s">
        <v>209</v>
      </c>
    </row>
    <row r="4540" spans="1:17" x14ac:dyDescent="0.3">
      <c r="A4540" t="s">
        <v>9833</v>
      </c>
      <c r="C4540" t="s">
        <v>9834</v>
      </c>
      <c r="D4540" t="s">
        <v>9834</v>
      </c>
      <c r="E4540" s="5">
        <v>46290</v>
      </c>
      <c r="F4540" t="s">
        <v>204</v>
      </c>
      <c r="G4540" t="s">
        <v>213</v>
      </c>
      <c r="H4540">
        <v>9498</v>
      </c>
      <c r="I4540">
        <v>151.97</v>
      </c>
      <c r="J4540">
        <v>27.35</v>
      </c>
      <c r="K4540">
        <v>9318.68</v>
      </c>
      <c r="L4540" s="5">
        <v>46292</v>
      </c>
      <c r="M4540" t="s">
        <v>9819</v>
      </c>
      <c r="N4540" t="s">
        <v>207</v>
      </c>
      <c r="O4540" t="s">
        <v>9834</v>
      </c>
      <c r="P4540" t="s">
        <v>208</v>
      </c>
      <c r="Q4540" t="s">
        <v>209</v>
      </c>
    </row>
    <row r="4541" spans="1:17" x14ac:dyDescent="0.3">
      <c r="A4541" t="s">
        <v>9835</v>
      </c>
      <c r="C4541" t="s">
        <v>9836</v>
      </c>
      <c r="D4541" t="s">
        <v>9836</v>
      </c>
      <c r="E4541" s="5">
        <v>46290</v>
      </c>
      <c r="F4541" t="s">
        <v>204</v>
      </c>
      <c r="G4541" t="s">
        <v>205</v>
      </c>
      <c r="H4541">
        <v>799</v>
      </c>
      <c r="I4541">
        <v>15.18</v>
      </c>
      <c r="J4541">
        <v>2.73</v>
      </c>
      <c r="K4541">
        <v>781.09</v>
      </c>
      <c r="L4541" s="5">
        <v>46292</v>
      </c>
      <c r="M4541" t="s">
        <v>9819</v>
      </c>
      <c r="N4541" t="s">
        <v>207</v>
      </c>
      <c r="O4541" t="s">
        <v>9836</v>
      </c>
      <c r="P4541" t="s">
        <v>208</v>
      </c>
      <c r="Q4541" t="s">
        <v>209</v>
      </c>
    </row>
    <row r="4542" spans="1:17" x14ac:dyDescent="0.3">
      <c r="A4542" t="s">
        <v>9837</v>
      </c>
      <c r="C4542" t="s">
        <v>9838</v>
      </c>
      <c r="D4542" t="s">
        <v>9838</v>
      </c>
      <c r="E4542" s="5">
        <v>46290</v>
      </c>
      <c r="F4542" t="s">
        <v>204</v>
      </c>
      <c r="G4542" t="s">
        <v>205</v>
      </c>
      <c r="H4542">
        <v>3897</v>
      </c>
      <c r="I4542">
        <v>66.25</v>
      </c>
      <c r="J4542">
        <v>11.93</v>
      </c>
      <c r="K4542">
        <v>3818.82</v>
      </c>
      <c r="L4542" s="5">
        <v>46292</v>
      </c>
      <c r="M4542" t="s">
        <v>9819</v>
      </c>
      <c r="N4542" t="s">
        <v>207</v>
      </c>
      <c r="O4542" t="s">
        <v>9838</v>
      </c>
      <c r="P4542" t="s">
        <v>208</v>
      </c>
      <c r="Q4542" t="s">
        <v>209</v>
      </c>
    </row>
    <row r="4543" spans="1:17" x14ac:dyDescent="0.3">
      <c r="A4543" t="s">
        <v>9839</v>
      </c>
      <c r="C4543" t="s">
        <v>9840</v>
      </c>
      <c r="D4543" t="s">
        <v>9840</v>
      </c>
      <c r="E4543" s="5">
        <v>46290</v>
      </c>
      <c r="F4543" t="s">
        <v>204</v>
      </c>
      <c r="G4543" t="s">
        <v>213</v>
      </c>
      <c r="H4543">
        <v>1299</v>
      </c>
      <c r="I4543">
        <v>23.38</v>
      </c>
      <c r="J4543">
        <v>4.21</v>
      </c>
      <c r="K4543">
        <v>1271.4100000000001</v>
      </c>
      <c r="L4543" s="5">
        <v>46292</v>
      </c>
      <c r="M4543" t="s">
        <v>9819</v>
      </c>
      <c r="N4543" t="s">
        <v>207</v>
      </c>
      <c r="O4543" t="s">
        <v>9840</v>
      </c>
      <c r="P4543" t="s">
        <v>208</v>
      </c>
      <c r="Q4543" t="s">
        <v>209</v>
      </c>
    </row>
    <row r="4544" spans="1:17" x14ac:dyDescent="0.3">
      <c r="A4544" t="s">
        <v>9841</v>
      </c>
      <c r="C4544" t="s">
        <v>9842</v>
      </c>
      <c r="D4544" t="s">
        <v>9842</v>
      </c>
      <c r="E4544" s="5">
        <v>46290</v>
      </c>
      <c r="F4544" t="s">
        <v>204</v>
      </c>
      <c r="G4544" t="s">
        <v>220</v>
      </c>
      <c r="H4544">
        <v>349</v>
      </c>
      <c r="I4544">
        <v>0</v>
      </c>
      <c r="J4544">
        <v>0</v>
      </c>
      <c r="K4544">
        <v>349</v>
      </c>
      <c r="L4544" s="5">
        <v>46292</v>
      </c>
      <c r="M4544" t="s">
        <v>9819</v>
      </c>
      <c r="N4544" t="s">
        <v>207</v>
      </c>
      <c r="O4544" t="s">
        <v>9842</v>
      </c>
      <c r="P4544" t="s">
        <v>208</v>
      </c>
      <c r="Q4544" t="s">
        <v>209</v>
      </c>
    </row>
    <row r="4545" spans="1:17" x14ac:dyDescent="0.3">
      <c r="A4545" t="s">
        <v>9843</v>
      </c>
      <c r="C4545" t="s">
        <v>9844</v>
      </c>
      <c r="D4545" t="s">
        <v>9844</v>
      </c>
      <c r="E4545" s="5">
        <v>46290</v>
      </c>
      <c r="F4545" t="s">
        <v>204</v>
      </c>
      <c r="G4545" t="s">
        <v>213</v>
      </c>
      <c r="H4545">
        <v>3098</v>
      </c>
      <c r="I4545">
        <v>49.57</v>
      </c>
      <c r="J4545">
        <v>8.92</v>
      </c>
      <c r="K4545">
        <v>3039.51</v>
      </c>
      <c r="L4545" s="5">
        <v>46292</v>
      </c>
      <c r="M4545" t="s">
        <v>9819</v>
      </c>
      <c r="N4545" t="s">
        <v>207</v>
      </c>
      <c r="O4545" t="s">
        <v>9844</v>
      </c>
      <c r="P4545" t="s">
        <v>208</v>
      </c>
      <c r="Q4545" t="s">
        <v>209</v>
      </c>
    </row>
    <row r="4546" spans="1:17" x14ac:dyDescent="0.3">
      <c r="A4546" t="s">
        <v>9845</v>
      </c>
      <c r="C4546" t="s">
        <v>9846</v>
      </c>
      <c r="D4546" t="s">
        <v>9846</v>
      </c>
      <c r="E4546" s="5">
        <v>46290</v>
      </c>
      <c r="F4546" t="s">
        <v>204</v>
      </c>
      <c r="G4546" t="s">
        <v>220</v>
      </c>
      <c r="H4546">
        <v>1098</v>
      </c>
      <c r="I4546">
        <v>0</v>
      </c>
      <c r="J4546">
        <v>0</v>
      </c>
      <c r="K4546">
        <v>1098</v>
      </c>
      <c r="L4546" s="5">
        <v>46292</v>
      </c>
      <c r="M4546" t="s">
        <v>9819</v>
      </c>
      <c r="N4546" t="s">
        <v>207</v>
      </c>
      <c r="O4546" t="s">
        <v>9846</v>
      </c>
      <c r="P4546" t="s">
        <v>208</v>
      </c>
      <c r="Q4546" t="s">
        <v>209</v>
      </c>
    </row>
    <row r="4547" spans="1:17" x14ac:dyDescent="0.3">
      <c r="A4547" t="s">
        <v>9847</v>
      </c>
      <c r="C4547" t="s">
        <v>9848</v>
      </c>
      <c r="D4547" t="s">
        <v>9848</v>
      </c>
      <c r="E4547" s="5">
        <v>46290</v>
      </c>
      <c r="F4547" t="s">
        <v>204</v>
      </c>
      <c r="G4547" t="s">
        <v>220</v>
      </c>
      <c r="H4547">
        <v>999</v>
      </c>
      <c r="I4547">
        <v>0</v>
      </c>
      <c r="J4547">
        <v>0</v>
      </c>
      <c r="K4547">
        <v>999</v>
      </c>
      <c r="L4547" s="5">
        <v>46292</v>
      </c>
      <c r="M4547" t="s">
        <v>9819</v>
      </c>
      <c r="N4547" t="s">
        <v>207</v>
      </c>
      <c r="O4547" t="s">
        <v>9848</v>
      </c>
      <c r="P4547" t="s">
        <v>208</v>
      </c>
      <c r="Q4547" t="s">
        <v>209</v>
      </c>
    </row>
    <row r="4548" spans="1:17" x14ac:dyDescent="0.3">
      <c r="A4548" t="s">
        <v>9849</v>
      </c>
      <c r="C4548" t="s">
        <v>9850</v>
      </c>
      <c r="D4548" t="s">
        <v>9850</v>
      </c>
      <c r="E4548" s="5">
        <v>46290</v>
      </c>
      <c r="F4548" t="s">
        <v>204</v>
      </c>
      <c r="G4548" t="s">
        <v>220</v>
      </c>
      <c r="H4548">
        <v>8998</v>
      </c>
      <c r="I4548">
        <v>26.99</v>
      </c>
      <c r="J4548">
        <v>4.8600000000000003</v>
      </c>
      <c r="K4548">
        <v>8966.15</v>
      </c>
      <c r="L4548" s="5">
        <v>46292</v>
      </c>
      <c r="M4548" t="s">
        <v>9819</v>
      </c>
      <c r="N4548" t="s">
        <v>207</v>
      </c>
      <c r="O4548" t="s">
        <v>9850</v>
      </c>
      <c r="P4548" t="s">
        <v>208</v>
      </c>
      <c r="Q4548" t="s">
        <v>209</v>
      </c>
    </row>
    <row r="4549" spans="1:17" x14ac:dyDescent="0.3">
      <c r="A4549" t="s">
        <v>9851</v>
      </c>
      <c r="C4549" t="s">
        <v>9852</v>
      </c>
      <c r="D4549" t="s">
        <v>9852</v>
      </c>
      <c r="E4549" s="5">
        <v>46290</v>
      </c>
      <c r="F4549" t="s">
        <v>204</v>
      </c>
      <c r="G4549" t="s">
        <v>205</v>
      </c>
      <c r="H4549">
        <v>8497</v>
      </c>
      <c r="I4549">
        <v>203.93</v>
      </c>
      <c r="J4549">
        <v>36.71</v>
      </c>
      <c r="K4549">
        <v>8256.36</v>
      </c>
      <c r="L4549" s="5">
        <v>46292</v>
      </c>
      <c r="M4549" t="s">
        <v>9819</v>
      </c>
      <c r="N4549" t="s">
        <v>207</v>
      </c>
      <c r="O4549" t="s">
        <v>9852</v>
      </c>
      <c r="P4549" t="s">
        <v>208</v>
      </c>
      <c r="Q4549" t="s">
        <v>209</v>
      </c>
    </row>
    <row r="4550" spans="1:17" x14ac:dyDescent="0.3">
      <c r="A4550" t="s">
        <v>9853</v>
      </c>
      <c r="C4550" t="s">
        <v>9854</v>
      </c>
      <c r="D4550" t="s">
        <v>9854</v>
      </c>
      <c r="E4550" s="5">
        <v>46290</v>
      </c>
      <c r="F4550" t="s">
        <v>204</v>
      </c>
      <c r="G4550" t="s">
        <v>213</v>
      </c>
      <c r="H4550">
        <v>3298</v>
      </c>
      <c r="I4550">
        <v>52.77</v>
      </c>
      <c r="J4550">
        <v>9.5</v>
      </c>
      <c r="K4550">
        <v>3235.73</v>
      </c>
      <c r="L4550" s="5">
        <v>46292</v>
      </c>
      <c r="M4550" t="s">
        <v>9819</v>
      </c>
      <c r="N4550" t="s">
        <v>207</v>
      </c>
      <c r="O4550" t="s">
        <v>9854</v>
      </c>
      <c r="P4550" t="s">
        <v>208</v>
      </c>
      <c r="Q4550" t="s">
        <v>209</v>
      </c>
    </row>
    <row r="4551" spans="1:17" x14ac:dyDescent="0.3">
      <c r="A4551" t="s">
        <v>9855</v>
      </c>
      <c r="C4551" t="s">
        <v>9856</v>
      </c>
      <c r="D4551" t="s">
        <v>9856</v>
      </c>
      <c r="E4551" s="5">
        <v>46290</v>
      </c>
      <c r="F4551" t="s">
        <v>204</v>
      </c>
      <c r="G4551" t="s">
        <v>213</v>
      </c>
      <c r="H4551">
        <v>2897</v>
      </c>
      <c r="I4551">
        <v>46.35</v>
      </c>
      <c r="J4551">
        <v>8.34</v>
      </c>
      <c r="K4551">
        <v>2842.31</v>
      </c>
      <c r="L4551" s="5">
        <v>46292</v>
      </c>
      <c r="M4551" t="s">
        <v>9819</v>
      </c>
      <c r="N4551" t="s">
        <v>207</v>
      </c>
      <c r="O4551" t="s">
        <v>9856</v>
      </c>
      <c r="P4551" t="s">
        <v>208</v>
      </c>
      <c r="Q4551" t="s">
        <v>209</v>
      </c>
    </row>
    <row r="4552" spans="1:17" x14ac:dyDescent="0.3">
      <c r="A4552" t="s">
        <v>9857</v>
      </c>
      <c r="C4552" t="s">
        <v>9858</v>
      </c>
      <c r="D4552" t="s">
        <v>9858</v>
      </c>
      <c r="E4552" s="5">
        <v>46290</v>
      </c>
      <c r="F4552" t="s">
        <v>204</v>
      </c>
      <c r="G4552" t="s">
        <v>220</v>
      </c>
      <c r="H4552">
        <v>2098</v>
      </c>
      <c r="I4552">
        <v>6.29</v>
      </c>
      <c r="J4552">
        <v>1.1299999999999999</v>
      </c>
      <c r="K4552">
        <v>2090.58</v>
      </c>
      <c r="L4552" s="5">
        <v>46292</v>
      </c>
      <c r="M4552" t="s">
        <v>9819</v>
      </c>
      <c r="N4552" t="s">
        <v>207</v>
      </c>
      <c r="O4552" t="s">
        <v>9858</v>
      </c>
      <c r="P4552" t="s">
        <v>208</v>
      </c>
      <c r="Q4552" t="s">
        <v>209</v>
      </c>
    </row>
    <row r="4553" spans="1:17" x14ac:dyDescent="0.3">
      <c r="A4553" t="s">
        <v>9859</v>
      </c>
      <c r="C4553" t="s">
        <v>9860</v>
      </c>
      <c r="D4553" t="s">
        <v>9861</v>
      </c>
      <c r="E4553" s="5">
        <v>46290</v>
      </c>
      <c r="F4553" t="s">
        <v>204</v>
      </c>
      <c r="G4553" t="s">
        <v>220</v>
      </c>
      <c r="H4553">
        <v>2297</v>
      </c>
      <c r="I4553">
        <v>6.89</v>
      </c>
      <c r="J4553">
        <v>1.24</v>
      </c>
      <c r="K4553">
        <v>2288.87</v>
      </c>
      <c r="L4553" s="5">
        <v>46292</v>
      </c>
      <c r="M4553" t="s">
        <v>9819</v>
      </c>
      <c r="N4553" t="s">
        <v>207</v>
      </c>
      <c r="O4553" t="s">
        <v>9861</v>
      </c>
      <c r="P4553" t="s">
        <v>208</v>
      </c>
      <c r="Q4553" t="s">
        <v>209</v>
      </c>
    </row>
    <row r="4554" spans="1:17" x14ac:dyDescent="0.3">
      <c r="A4554" t="s">
        <v>9862</v>
      </c>
      <c r="C4554" t="s">
        <v>9863</v>
      </c>
      <c r="D4554" t="s">
        <v>9863</v>
      </c>
      <c r="E4554" s="5">
        <v>46290</v>
      </c>
      <c r="F4554" t="s">
        <v>204</v>
      </c>
      <c r="G4554" t="s">
        <v>213</v>
      </c>
      <c r="H4554">
        <v>1998</v>
      </c>
      <c r="I4554">
        <v>35.96</v>
      </c>
      <c r="J4554">
        <v>6.47</v>
      </c>
      <c r="K4554">
        <v>1955.57</v>
      </c>
      <c r="L4554" s="5">
        <v>46292</v>
      </c>
      <c r="M4554" t="s">
        <v>9819</v>
      </c>
      <c r="N4554" t="s">
        <v>207</v>
      </c>
      <c r="O4554" t="s">
        <v>9863</v>
      </c>
      <c r="P4554" t="s">
        <v>208</v>
      </c>
      <c r="Q4554" t="s">
        <v>209</v>
      </c>
    </row>
    <row r="4555" spans="1:17" x14ac:dyDescent="0.3">
      <c r="A4555" t="s">
        <v>9864</v>
      </c>
      <c r="C4555" t="s">
        <v>9865</v>
      </c>
      <c r="D4555" t="s">
        <v>9865</v>
      </c>
      <c r="E4555" s="5">
        <v>46290</v>
      </c>
      <c r="F4555" t="s">
        <v>204</v>
      </c>
      <c r="G4555" t="s">
        <v>220</v>
      </c>
      <c r="H4555">
        <v>2999</v>
      </c>
      <c r="I4555">
        <v>9</v>
      </c>
      <c r="J4555">
        <v>1.62</v>
      </c>
      <c r="K4555">
        <v>2988.38</v>
      </c>
      <c r="L4555" s="5">
        <v>46292</v>
      </c>
      <c r="M4555" t="s">
        <v>9819</v>
      </c>
      <c r="N4555" t="s">
        <v>207</v>
      </c>
      <c r="O4555" t="s">
        <v>9865</v>
      </c>
      <c r="P4555" t="s">
        <v>208</v>
      </c>
      <c r="Q4555" t="s">
        <v>209</v>
      </c>
    </row>
    <row r="4556" spans="1:17" x14ac:dyDescent="0.3">
      <c r="A4556" t="s">
        <v>9866</v>
      </c>
      <c r="C4556" t="s">
        <v>9867</v>
      </c>
      <c r="D4556" t="s">
        <v>9867</v>
      </c>
      <c r="E4556" s="5">
        <v>46290</v>
      </c>
      <c r="F4556" t="s">
        <v>204</v>
      </c>
      <c r="G4556" t="s">
        <v>213</v>
      </c>
      <c r="H4556">
        <v>3998</v>
      </c>
      <c r="I4556">
        <v>63.97</v>
      </c>
      <c r="J4556">
        <v>11.51</v>
      </c>
      <c r="K4556">
        <v>3922.52</v>
      </c>
      <c r="L4556" s="5">
        <v>46292</v>
      </c>
      <c r="M4556" t="s">
        <v>9819</v>
      </c>
      <c r="N4556" t="s">
        <v>207</v>
      </c>
      <c r="O4556" t="s">
        <v>9867</v>
      </c>
      <c r="P4556" t="s">
        <v>208</v>
      </c>
      <c r="Q4556" t="s">
        <v>209</v>
      </c>
    </row>
    <row r="4557" spans="1:17" x14ac:dyDescent="0.3">
      <c r="A4557" t="s">
        <v>9868</v>
      </c>
      <c r="C4557" t="s">
        <v>9869</v>
      </c>
      <c r="D4557" t="s">
        <v>9869</v>
      </c>
      <c r="E4557" s="5">
        <v>46290</v>
      </c>
      <c r="F4557" t="s">
        <v>204</v>
      </c>
      <c r="G4557" t="s">
        <v>220</v>
      </c>
      <c r="H4557">
        <v>4999</v>
      </c>
      <c r="I4557">
        <v>15</v>
      </c>
      <c r="J4557">
        <v>2.7</v>
      </c>
      <c r="K4557">
        <v>4981.3</v>
      </c>
      <c r="L4557" s="5">
        <v>46292</v>
      </c>
      <c r="M4557" t="s">
        <v>9819</v>
      </c>
      <c r="N4557" t="s">
        <v>207</v>
      </c>
      <c r="O4557" t="s">
        <v>9869</v>
      </c>
      <c r="P4557" t="s">
        <v>208</v>
      </c>
      <c r="Q4557" t="s">
        <v>209</v>
      </c>
    </row>
    <row r="4558" spans="1:17" x14ac:dyDescent="0.3">
      <c r="A4558" t="s">
        <v>9870</v>
      </c>
      <c r="C4558" t="s">
        <v>9871</v>
      </c>
      <c r="D4558" t="s">
        <v>9871</v>
      </c>
      <c r="E4558" s="5">
        <v>46290</v>
      </c>
      <c r="F4558" t="s">
        <v>204</v>
      </c>
      <c r="G4558" t="s">
        <v>220</v>
      </c>
      <c r="H4558">
        <v>299</v>
      </c>
      <c r="I4558">
        <v>0</v>
      </c>
      <c r="J4558">
        <v>0</v>
      </c>
      <c r="K4558">
        <v>299</v>
      </c>
      <c r="L4558" s="5">
        <v>46292</v>
      </c>
      <c r="M4558" t="s">
        <v>9819</v>
      </c>
      <c r="N4558" t="s">
        <v>207</v>
      </c>
      <c r="O4558" t="s">
        <v>9871</v>
      </c>
      <c r="P4558" t="s">
        <v>208</v>
      </c>
      <c r="Q4558" t="s">
        <v>209</v>
      </c>
    </row>
    <row r="4559" spans="1:17" x14ac:dyDescent="0.3">
      <c r="A4559" t="s">
        <v>9872</v>
      </c>
      <c r="C4559" t="s">
        <v>9873</v>
      </c>
      <c r="D4559" t="s">
        <v>9873</v>
      </c>
      <c r="E4559" s="5">
        <v>46290</v>
      </c>
      <c r="F4559" t="s">
        <v>204</v>
      </c>
      <c r="G4559" t="s">
        <v>220</v>
      </c>
      <c r="H4559">
        <v>1299</v>
      </c>
      <c r="I4559">
        <v>0</v>
      </c>
      <c r="J4559">
        <v>0</v>
      </c>
      <c r="K4559">
        <v>1299</v>
      </c>
      <c r="L4559" s="5">
        <v>46292</v>
      </c>
      <c r="M4559" t="s">
        <v>9819</v>
      </c>
      <c r="N4559" t="s">
        <v>207</v>
      </c>
      <c r="O4559" t="s">
        <v>9873</v>
      </c>
      <c r="P4559" t="s">
        <v>208</v>
      </c>
      <c r="Q4559" t="s">
        <v>209</v>
      </c>
    </row>
    <row r="4560" spans="1:17" x14ac:dyDescent="0.3">
      <c r="A4560" t="s">
        <v>9874</v>
      </c>
      <c r="C4560" t="s">
        <v>9875</v>
      </c>
      <c r="D4560" t="s">
        <v>9875</v>
      </c>
      <c r="E4560" s="5">
        <v>46290</v>
      </c>
      <c r="F4560" t="s">
        <v>204</v>
      </c>
      <c r="G4560" t="s">
        <v>205</v>
      </c>
      <c r="H4560">
        <v>349</v>
      </c>
      <c r="I4560">
        <v>6.63</v>
      </c>
      <c r="J4560">
        <v>1.19</v>
      </c>
      <c r="K4560">
        <v>341.18</v>
      </c>
      <c r="L4560" s="5">
        <v>46292</v>
      </c>
      <c r="M4560" t="s">
        <v>9819</v>
      </c>
      <c r="N4560" t="s">
        <v>207</v>
      </c>
      <c r="O4560" t="s">
        <v>9875</v>
      </c>
      <c r="P4560" t="s">
        <v>208</v>
      </c>
      <c r="Q4560" t="s">
        <v>209</v>
      </c>
    </row>
    <row r="4561" spans="1:17" x14ac:dyDescent="0.3">
      <c r="A4561" t="s">
        <v>9876</v>
      </c>
      <c r="C4561" t="s">
        <v>9877</v>
      </c>
      <c r="D4561" t="s">
        <v>9877</v>
      </c>
      <c r="E4561" s="5">
        <v>46290</v>
      </c>
      <c r="F4561" t="s">
        <v>204</v>
      </c>
      <c r="G4561" t="s">
        <v>205</v>
      </c>
      <c r="H4561">
        <v>4498</v>
      </c>
      <c r="I4561">
        <v>76.47</v>
      </c>
      <c r="J4561">
        <v>13.76</v>
      </c>
      <c r="K4561">
        <v>4407.7700000000004</v>
      </c>
      <c r="L4561" s="5">
        <v>46292</v>
      </c>
      <c r="M4561" t="s">
        <v>9819</v>
      </c>
      <c r="N4561" t="s">
        <v>207</v>
      </c>
      <c r="O4561" t="s">
        <v>9877</v>
      </c>
      <c r="P4561" t="s">
        <v>208</v>
      </c>
      <c r="Q4561" t="s">
        <v>209</v>
      </c>
    </row>
    <row r="4562" spans="1:17" x14ac:dyDescent="0.3">
      <c r="A4562" t="s">
        <v>9878</v>
      </c>
      <c r="C4562" t="s">
        <v>9879</v>
      </c>
      <c r="D4562" t="s">
        <v>9879</v>
      </c>
      <c r="E4562" s="5">
        <v>46290</v>
      </c>
      <c r="F4562" t="s">
        <v>204</v>
      </c>
      <c r="G4562" t="s">
        <v>220</v>
      </c>
      <c r="H4562">
        <v>2998</v>
      </c>
      <c r="I4562">
        <v>8.99</v>
      </c>
      <c r="J4562">
        <v>1.62</v>
      </c>
      <c r="K4562">
        <v>2987.39</v>
      </c>
      <c r="L4562" s="5">
        <v>46292</v>
      </c>
      <c r="M4562" t="s">
        <v>9819</v>
      </c>
      <c r="N4562" t="s">
        <v>207</v>
      </c>
      <c r="O4562" t="s">
        <v>9879</v>
      </c>
      <c r="P4562" t="s">
        <v>208</v>
      </c>
      <c r="Q4562" t="s">
        <v>209</v>
      </c>
    </row>
    <row r="4563" spans="1:17" x14ac:dyDescent="0.3">
      <c r="A4563" t="s">
        <v>9880</v>
      </c>
      <c r="C4563" t="s">
        <v>9881</v>
      </c>
      <c r="D4563" t="s">
        <v>9881</v>
      </c>
      <c r="E4563" s="5">
        <v>46290</v>
      </c>
      <c r="F4563" t="s">
        <v>204</v>
      </c>
      <c r="G4563" t="s">
        <v>220</v>
      </c>
      <c r="H4563">
        <v>499</v>
      </c>
      <c r="I4563">
        <v>0</v>
      </c>
      <c r="J4563">
        <v>0</v>
      </c>
      <c r="K4563">
        <v>499</v>
      </c>
      <c r="L4563" s="5">
        <v>46292</v>
      </c>
      <c r="M4563" t="s">
        <v>9819</v>
      </c>
      <c r="N4563" t="s">
        <v>207</v>
      </c>
      <c r="O4563" t="s">
        <v>9881</v>
      </c>
      <c r="P4563" t="s">
        <v>208</v>
      </c>
      <c r="Q4563" t="s">
        <v>209</v>
      </c>
    </row>
    <row r="4564" spans="1:17" x14ac:dyDescent="0.3">
      <c r="A4564" t="s">
        <v>9882</v>
      </c>
      <c r="C4564" t="s">
        <v>9883</v>
      </c>
      <c r="D4564" t="s">
        <v>9883</v>
      </c>
      <c r="E4564" s="5">
        <v>46290</v>
      </c>
      <c r="F4564" t="s">
        <v>204</v>
      </c>
      <c r="G4564" t="s">
        <v>220</v>
      </c>
      <c r="H4564">
        <v>2999</v>
      </c>
      <c r="I4564">
        <v>9</v>
      </c>
      <c r="J4564">
        <v>1.62</v>
      </c>
      <c r="K4564">
        <v>2988.38</v>
      </c>
      <c r="L4564" s="5">
        <v>46292</v>
      </c>
      <c r="M4564" t="s">
        <v>9819</v>
      </c>
      <c r="N4564" t="s">
        <v>207</v>
      </c>
      <c r="O4564" t="s">
        <v>9883</v>
      </c>
      <c r="P4564" t="s">
        <v>208</v>
      </c>
      <c r="Q4564" t="s">
        <v>209</v>
      </c>
    </row>
    <row r="4565" spans="1:17" x14ac:dyDescent="0.3">
      <c r="A4565" t="s">
        <v>9884</v>
      </c>
      <c r="C4565" t="s">
        <v>9885</v>
      </c>
      <c r="D4565" t="s">
        <v>9885</v>
      </c>
      <c r="E4565" s="5">
        <v>46290</v>
      </c>
      <c r="F4565" t="s">
        <v>204</v>
      </c>
      <c r="G4565" t="s">
        <v>220</v>
      </c>
      <c r="H4565">
        <v>14797</v>
      </c>
      <c r="I4565">
        <v>44.39</v>
      </c>
      <c r="J4565">
        <v>7.99</v>
      </c>
      <c r="K4565">
        <v>14744.62</v>
      </c>
      <c r="L4565" s="5">
        <v>46292</v>
      </c>
      <c r="M4565" t="s">
        <v>9819</v>
      </c>
      <c r="N4565" t="s">
        <v>207</v>
      </c>
      <c r="O4565" t="s">
        <v>9885</v>
      </c>
      <c r="P4565" t="s">
        <v>208</v>
      </c>
      <c r="Q4565" t="s">
        <v>209</v>
      </c>
    </row>
    <row r="4566" spans="1:17" x14ac:dyDescent="0.3">
      <c r="A4566" t="s">
        <v>9886</v>
      </c>
      <c r="C4566" t="s">
        <v>9887</v>
      </c>
      <c r="D4566" t="s">
        <v>9887</v>
      </c>
      <c r="E4566" s="5">
        <v>46290</v>
      </c>
      <c r="F4566" t="s">
        <v>204</v>
      </c>
      <c r="G4566" t="s">
        <v>213</v>
      </c>
      <c r="H4566">
        <v>1098</v>
      </c>
      <c r="I4566">
        <v>19.760000000000002</v>
      </c>
      <c r="J4566">
        <v>3.56</v>
      </c>
      <c r="K4566">
        <v>1074.68</v>
      </c>
      <c r="L4566" s="5">
        <v>46292</v>
      </c>
      <c r="M4566" t="s">
        <v>9819</v>
      </c>
      <c r="N4566" t="s">
        <v>207</v>
      </c>
      <c r="O4566" t="s">
        <v>9887</v>
      </c>
      <c r="P4566" t="s">
        <v>208</v>
      </c>
      <c r="Q4566" t="s">
        <v>209</v>
      </c>
    </row>
    <row r="4567" spans="1:17" x14ac:dyDescent="0.3">
      <c r="A4567" t="s">
        <v>9888</v>
      </c>
      <c r="C4567" t="s">
        <v>9889</v>
      </c>
      <c r="D4567" t="s">
        <v>9890</v>
      </c>
      <c r="E4567" s="5">
        <v>46290</v>
      </c>
      <c r="F4567" t="s">
        <v>204</v>
      </c>
      <c r="G4567" t="s">
        <v>205</v>
      </c>
      <c r="H4567">
        <v>4999</v>
      </c>
      <c r="I4567">
        <v>84.98</v>
      </c>
      <c r="J4567">
        <v>15.3</v>
      </c>
      <c r="K4567">
        <v>4898.72</v>
      </c>
      <c r="L4567" s="5">
        <v>46292</v>
      </c>
      <c r="M4567" t="s">
        <v>9819</v>
      </c>
      <c r="N4567" t="s">
        <v>207</v>
      </c>
      <c r="O4567" t="s">
        <v>9890</v>
      </c>
      <c r="P4567" t="s">
        <v>208</v>
      </c>
      <c r="Q4567" t="s">
        <v>209</v>
      </c>
    </row>
    <row r="4568" spans="1:17" x14ac:dyDescent="0.3">
      <c r="A4568" t="s">
        <v>9891</v>
      </c>
      <c r="C4568" t="s">
        <v>9892</v>
      </c>
      <c r="D4568" t="s">
        <v>9892</v>
      </c>
      <c r="E4568" s="5">
        <v>46290</v>
      </c>
      <c r="F4568" t="s">
        <v>204</v>
      </c>
      <c r="G4568" t="s">
        <v>220</v>
      </c>
      <c r="H4568">
        <v>948</v>
      </c>
      <c r="I4568">
        <v>0</v>
      </c>
      <c r="J4568">
        <v>0</v>
      </c>
      <c r="K4568">
        <v>948</v>
      </c>
      <c r="L4568" s="5">
        <v>46292</v>
      </c>
      <c r="M4568" t="s">
        <v>9819</v>
      </c>
      <c r="N4568" t="s">
        <v>207</v>
      </c>
      <c r="O4568" t="s">
        <v>9892</v>
      </c>
      <c r="P4568" t="s">
        <v>208</v>
      </c>
      <c r="Q4568" t="s">
        <v>209</v>
      </c>
    </row>
    <row r="4569" spans="1:17" x14ac:dyDescent="0.3">
      <c r="A4569" t="s">
        <v>9893</v>
      </c>
      <c r="C4569" t="s">
        <v>9894</v>
      </c>
      <c r="D4569" t="s">
        <v>9894</v>
      </c>
      <c r="E4569" s="5">
        <v>46290</v>
      </c>
      <c r="F4569" t="s">
        <v>204</v>
      </c>
      <c r="G4569" t="s">
        <v>220</v>
      </c>
      <c r="H4569">
        <v>4397</v>
      </c>
      <c r="I4569">
        <v>13.19</v>
      </c>
      <c r="J4569">
        <v>2.37</v>
      </c>
      <c r="K4569">
        <v>4381.4399999999996</v>
      </c>
      <c r="L4569" s="5">
        <v>46292</v>
      </c>
      <c r="M4569" t="s">
        <v>9819</v>
      </c>
      <c r="N4569" t="s">
        <v>207</v>
      </c>
      <c r="O4569" t="s">
        <v>9894</v>
      </c>
      <c r="P4569" t="s">
        <v>208</v>
      </c>
      <c r="Q4569" t="s">
        <v>209</v>
      </c>
    </row>
    <row r="4570" spans="1:17" x14ac:dyDescent="0.3">
      <c r="A4570" t="s">
        <v>9895</v>
      </c>
      <c r="C4570" t="s">
        <v>9896</v>
      </c>
      <c r="D4570" t="s">
        <v>9897</v>
      </c>
      <c r="E4570" s="5">
        <v>46290</v>
      </c>
      <c r="F4570" t="s">
        <v>204</v>
      </c>
      <c r="G4570" t="s">
        <v>220</v>
      </c>
      <c r="H4570">
        <v>6597</v>
      </c>
      <c r="I4570">
        <v>19.79</v>
      </c>
      <c r="J4570">
        <v>3.56</v>
      </c>
      <c r="K4570">
        <v>6573.65</v>
      </c>
      <c r="L4570" s="5">
        <v>46292</v>
      </c>
      <c r="M4570" t="s">
        <v>9819</v>
      </c>
      <c r="N4570" t="s">
        <v>207</v>
      </c>
      <c r="O4570" t="s">
        <v>9897</v>
      </c>
      <c r="P4570" t="s">
        <v>208</v>
      </c>
      <c r="Q4570" t="s">
        <v>209</v>
      </c>
    </row>
    <row r="4571" spans="1:17" x14ac:dyDescent="0.3">
      <c r="A4571" t="s">
        <v>9898</v>
      </c>
      <c r="C4571" t="s">
        <v>9899</v>
      </c>
      <c r="D4571" t="s">
        <v>9899</v>
      </c>
      <c r="E4571" s="5">
        <v>46290</v>
      </c>
      <c r="F4571" t="s">
        <v>204</v>
      </c>
      <c r="G4571" t="s">
        <v>220</v>
      </c>
      <c r="H4571">
        <v>6597</v>
      </c>
      <c r="I4571">
        <v>19.79</v>
      </c>
      <c r="J4571">
        <v>3.56</v>
      </c>
      <c r="K4571">
        <v>6573.65</v>
      </c>
      <c r="L4571" s="5">
        <v>46292</v>
      </c>
      <c r="M4571" t="s">
        <v>9819</v>
      </c>
      <c r="N4571" t="s">
        <v>207</v>
      </c>
      <c r="O4571" t="s">
        <v>9899</v>
      </c>
      <c r="P4571" t="s">
        <v>208</v>
      </c>
      <c r="Q4571" t="s">
        <v>209</v>
      </c>
    </row>
    <row r="4572" spans="1:17" x14ac:dyDescent="0.3">
      <c r="A4572" t="s">
        <v>9900</v>
      </c>
      <c r="C4572" t="s">
        <v>9901</v>
      </c>
      <c r="D4572" t="s">
        <v>9901</v>
      </c>
      <c r="E4572" s="5">
        <v>46290</v>
      </c>
      <c r="F4572" t="s">
        <v>204</v>
      </c>
      <c r="G4572" t="s">
        <v>220</v>
      </c>
      <c r="H4572">
        <v>1499</v>
      </c>
      <c r="I4572">
        <v>0</v>
      </c>
      <c r="J4572">
        <v>0</v>
      </c>
      <c r="K4572">
        <v>1499</v>
      </c>
      <c r="L4572" s="5">
        <v>46292</v>
      </c>
      <c r="M4572" t="s">
        <v>9819</v>
      </c>
      <c r="N4572" t="s">
        <v>207</v>
      </c>
      <c r="O4572" t="s">
        <v>9901</v>
      </c>
      <c r="P4572" t="s">
        <v>208</v>
      </c>
      <c r="Q4572" t="s">
        <v>209</v>
      </c>
    </row>
    <row r="4573" spans="1:17" x14ac:dyDescent="0.3">
      <c r="A4573" t="s">
        <v>9902</v>
      </c>
      <c r="C4573" t="s">
        <v>9903</v>
      </c>
      <c r="D4573" t="s">
        <v>9903</v>
      </c>
      <c r="E4573" s="5">
        <v>46290</v>
      </c>
      <c r="F4573" t="s">
        <v>204</v>
      </c>
      <c r="G4573" t="s">
        <v>220</v>
      </c>
      <c r="H4573">
        <v>5847</v>
      </c>
      <c r="I4573">
        <v>17.54</v>
      </c>
      <c r="J4573">
        <v>3.16</v>
      </c>
      <c r="K4573">
        <v>5826.3</v>
      </c>
      <c r="L4573" s="5">
        <v>46292</v>
      </c>
      <c r="M4573" t="s">
        <v>9819</v>
      </c>
      <c r="N4573" t="s">
        <v>207</v>
      </c>
      <c r="O4573" t="s">
        <v>9903</v>
      </c>
      <c r="P4573" t="s">
        <v>208</v>
      </c>
      <c r="Q4573" t="s">
        <v>209</v>
      </c>
    </row>
    <row r="4574" spans="1:17" x14ac:dyDescent="0.3">
      <c r="A4574" t="s">
        <v>9904</v>
      </c>
      <c r="C4574" t="s">
        <v>9905</v>
      </c>
      <c r="D4574" t="s">
        <v>9905</v>
      </c>
      <c r="E4574" s="5">
        <v>46290</v>
      </c>
      <c r="F4574" t="s">
        <v>204</v>
      </c>
      <c r="G4574" t="s">
        <v>213</v>
      </c>
      <c r="H4574">
        <v>2999</v>
      </c>
      <c r="I4574">
        <v>47.98</v>
      </c>
      <c r="J4574">
        <v>8.64</v>
      </c>
      <c r="K4574">
        <v>2942.38</v>
      </c>
      <c r="L4574" s="5">
        <v>46292</v>
      </c>
      <c r="M4574" t="s">
        <v>9819</v>
      </c>
      <c r="N4574" t="s">
        <v>207</v>
      </c>
      <c r="O4574" t="s">
        <v>9905</v>
      </c>
      <c r="P4574" t="s">
        <v>208</v>
      </c>
      <c r="Q4574" t="s">
        <v>209</v>
      </c>
    </row>
    <row r="4575" spans="1:17" x14ac:dyDescent="0.3">
      <c r="A4575" t="s">
        <v>9906</v>
      </c>
      <c r="C4575" t="s">
        <v>9907</v>
      </c>
      <c r="D4575" t="s">
        <v>9907</v>
      </c>
      <c r="E4575" s="5">
        <v>46290</v>
      </c>
      <c r="F4575" t="s">
        <v>204</v>
      </c>
      <c r="G4575" t="s">
        <v>220</v>
      </c>
      <c r="H4575">
        <v>10998</v>
      </c>
      <c r="I4575">
        <v>32.99</v>
      </c>
      <c r="J4575">
        <v>5.94</v>
      </c>
      <c r="K4575">
        <v>10959.07</v>
      </c>
      <c r="L4575" s="5">
        <v>46292</v>
      </c>
      <c r="M4575" t="s">
        <v>9819</v>
      </c>
      <c r="N4575" t="s">
        <v>207</v>
      </c>
      <c r="O4575" t="s">
        <v>9907</v>
      </c>
      <c r="P4575" t="s">
        <v>208</v>
      </c>
      <c r="Q4575" t="s">
        <v>209</v>
      </c>
    </row>
    <row r="4576" spans="1:17" x14ac:dyDescent="0.3">
      <c r="A4576" t="s">
        <v>9908</v>
      </c>
      <c r="C4576" t="s">
        <v>9909</v>
      </c>
      <c r="D4576" t="s">
        <v>9909</v>
      </c>
      <c r="E4576" s="5">
        <v>46290</v>
      </c>
      <c r="F4576" t="s">
        <v>204</v>
      </c>
      <c r="G4576" t="s">
        <v>220</v>
      </c>
      <c r="H4576">
        <v>2647</v>
      </c>
      <c r="I4576">
        <v>7.94</v>
      </c>
      <c r="J4576">
        <v>1.43</v>
      </c>
      <c r="K4576">
        <v>2637.63</v>
      </c>
      <c r="L4576" s="5">
        <v>46292</v>
      </c>
      <c r="M4576" t="s">
        <v>9819</v>
      </c>
      <c r="N4576" t="s">
        <v>207</v>
      </c>
      <c r="O4576" t="s">
        <v>9909</v>
      </c>
      <c r="P4576" t="s">
        <v>208</v>
      </c>
      <c r="Q4576" t="s">
        <v>209</v>
      </c>
    </row>
    <row r="4577" spans="1:17" x14ac:dyDescent="0.3">
      <c r="A4577" t="s">
        <v>9910</v>
      </c>
      <c r="C4577" t="s">
        <v>9911</v>
      </c>
      <c r="D4577" t="s">
        <v>9911</v>
      </c>
      <c r="E4577" s="5">
        <v>46290</v>
      </c>
      <c r="F4577" t="s">
        <v>204</v>
      </c>
      <c r="G4577" t="s">
        <v>213</v>
      </c>
      <c r="H4577">
        <v>1799</v>
      </c>
      <c r="I4577">
        <v>32.380000000000003</v>
      </c>
      <c r="J4577">
        <v>5.83</v>
      </c>
      <c r="K4577">
        <v>1760.79</v>
      </c>
      <c r="L4577" s="5">
        <v>46292</v>
      </c>
      <c r="M4577" t="s">
        <v>9819</v>
      </c>
      <c r="N4577" t="s">
        <v>207</v>
      </c>
      <c r="O4577" t="s">
        <v>9911</v>
      </c>
      <c r="P4577" t="s">
        <v>208</v>
      </c>
      <c r="Q4577" t="s">
        <v>209</v>
      </c>
    </row>
    <row r="4578" spans="1:17" x14ac:dyDescent="0.3">
      <c r="A4578" t="s">
        <v>9912</v>
      </c>
      <c r="C4578" t="s">
        <v>9913</v>
      </c>
      <c r="D4578" t="s">
        <v>9913</v>
      </c>
      <c r="E4578" s="5">
        <v>46290</v>
      </c>
      <c r="F4578" t="s">
        <v>204</v>
      </c>
      <c r="G4578" t="s">
        <v>213</v>
      </c>
      <c r="H4578">
        <v>2499</v>
      </c>
      <c r="I4578">
        <v>39.979999999999997</v>
      </c>
      <c r="J4578">
        <v>7.2</v>
      </c>
      <c r="K4578">
        <v>2451.8200000000002</v>
      </c>
      <c r="L4578" s="5">
        <v>46292</v>
      </c>
      <c r="M4578" t="s">
        <v>9819</v>
      </c>
      <c r="N4578" t="s">
        <v>207</v>
      </c>
      <c r="O4578" t="s">
        <v>9913</v>
      </c>
      <c r="P4578" t="s">
        <v>208</v>
      </c>
      <c r="Q4578" t="s">
        <v>209</v>
      </c>
    </row>
    <row r="4579" spans="1:17" x14ac:dyDescent="0.3">
      <c r="A4579" t="s">
        <v>9914</v>
      </c>
      <c r="C4579" t="s">
        <v>9915</v>
      </c>
      <c r="D4579" t="s">
        <v>9915</v>
      </c>
      <c r="E4579" s="5">
        <v>46290</v>
      </c>
      <c r="F4579" t="s">
        <v>204</v>
      </c>
      <c r="G4579" t="s">
        <v>220</v>
      </c>
      <c r="H4579">
        <v>3499</v>
      </c>
      <c r="I4579">
        <v>10.5</v>
      </c>
      <c r="J4579">
        <v>1.89</v>
      </c>
      <c r="K4579">
        <v>3486.61</v>
      </c>
      <c r="L4579" s="5">
        <v>46292</v>
      </c>
      <c r="M4579" t="s">
        <v>9819</v>
      </c>
      <c r="N4579" t="s">
        <v>207</v>
      </c>
      <c r="O4579" t="s">
        <v>9915</v>
      </c>
      <c r="P4579" t="s">
        <v>208</v>
      </c>
      <c r="Q4579" t="s">
        <v>209</v>
      </c>
    </row>
    <row r="4580" spans="1:17" x14ac:dyDescent="0.3">
      <c r="A4580" t="s">
        <v>9916</v>
      </c>
      <c r="C4580" t="s">
        <v>9917</v>
      </c>
      <c r="D4580" t="s">
        <v>9917</v>
      </c>
      <c r="E4580" s="5">
        <v>46290</v>
      </c>
      <c r="F4580" t="s">
        <v>204</v>
      </c>
      <c r="G4580" t="s">
        <v>213</v>
      </c>
      <c r="H4580">
        <v>799</v>
      </c>
      <c r="I4580">
        <v>14.38</v>
      </c>
      <c r="J4580">
        <v>2.59</v>
      </c>
      <c r="K4580">
        <v>782.03</v>
      </c>
      <c r="L4580" s="5">
        <v>46292</v>
      </c>
      <c r="M4580" t="s">
        <v>9819</v>
      </c>
      <c r="N4580" t="s">
        <v>207</v>
      </c>
      <c r="O4580" t="s">
        <v>9917</v>
      </c>
      <c r="P4580" t="s">
        <v>208</v>
      </c>
      <c r="Q4580" t="s">
        <v>209</v>
      </c>
    </row>
    <row r="4581" spans="1:17" x14ac:dyDescent="0.3">
      <c r="A4581" t="s">
        <v>9918</v>
      </c>
      <c r="C4581" t="s">
        <v>9919</v>
      </c>
      <c r="D4581" t="s">
        <v>9919</v>
      </c>
      <c r="E4581" s="5">
        <v>46290</v>
      </c>
      <c r="F4581" t="s">
        <v>204</v>
      </c>
      <c r="G4581" t="s">
        <v>220</v>
      </c>
      <c r="H4581">
        <v>1348</v>
      </c>
      <c r="I4581">
        <v>0</v>
      </c>
      <c r="J4581">
        <v>0</v>
      </c>
      <c r="K4581">
        <v>1348</v>
      </c>
      <c r="L4581" s="5">
        <v>46292</v>
      </c>
      <c r="M4581" t="s">
        <v>9819</v>
      </c>
      <c r="N4581" t="s">
        <v>207</v>
      </c>
      <c r="O4581" t="s">
        <v>9919</v>
      </c>
      <c r="P4581" t="s">
        <v>208</v>
      </c>
      <c r="Q4581" t="s">
        <v>209</v>
      </c>
    </row>
    <row r="4582" spans="1:17" x14ac:dyDescent="0.3">
      <c r="A4582" t="s">
        <v>9920</v>
      </c>
      <c r="C4582" t="s">
        <v>9921</v>
      </c>
      <c r="D4582" t="s">
        <v>9921</v>
      </c>
      <c r="E4582" s="5">
        <v>46290</v>
      </c>
      <c r="F4582" t="s">
        <v>204</v>
      </c>
      <c r="G4582" t="s">
        <v>205</v>
      </c>
      <c r="H4582">
        <v>9298</v>
      </c>
      <c r="I4582">
        <v>158.07</v>
      </c>
      <c r="J4582">
        <v>28.45</v>
      </c>
      <c r="K4582">
        <v>9111.48</v>
      </c>
      <c r="L4582" s="5">
        <v>46292</v>
      </c>
      <c r="M4582" t="s">
        <v>9819</v>
      </c>
      <c r="N4582" t="s">
        <v>207</v>
      </c>
      <c r="O4582" t="s">
        <v>9921</v>
      </c>
      <c r="P4582" t="s">
        <v>208</v>
      </c>
      <c r="Q4582" t="s">
        <v>209</v>
      </c>
    </row>
    <row r="4583" spans="1:17" x14ac:dyDescent="0.3">
      <c r="A4583" t="s">
        <v>9922</v>
      </c>
      <c r="C4583" t="s">
        <v>9923</v>
      </c>
      <c r="D4583" t="s">
        <v>9923</v>
      </c>
      <c r="E4583" s="5">
        <v>46290</v>
      </c>
      <c r="F4583" t="s">
        <v>204</v>
      </c>
      <c r="G4583" t="s">
        <v>213</v>
      </c>
      <c r="H4583">
        <v>8697</v>
      </c>
      <c r="I4583">
        <v>139.15</v>
      </c>
      <c r="J4583">
        <v>25.05</v>
      </c>
      <c r="K4583">
        <v>8532.7999999999993</v>
      </c>
      <c r="L4583" s="5">
        <v>46292</v>
      </c>
      <c r="M4583" t="s">
        <v>9819</v>
      </c>
      <c r="N4583" t="s">
        <v>207</v>
      </c>
      <c r="O4583" t="s">
        <v>9923</v>
      </c>
      <c r="P4583" t="s">
        <v>208</v>
      </c>
      <c r="Q4583" t="s">
        <v>209</v>
      </c>
    </row>
    <row r="4584" spans="1:17" x14ac:dyDescent="0.3">
      <c r="A4584" t="s">
        <v>9924</v>
      </c>
      <c r="C4584" t="s">
        <v>9925</v>
      </c>
      <c r="D4584" t="s">
        <v>9926</v>
      </c>
      <c r="E4584" s="5">
        <v>46290</v>
      </c>
      <c r="F4584" t="s">
        <v>204</v>
      </c>
      <c r="G4584" t="s">
        <v>220</v>
      </c>
      <c r="H4584">
        <v>15998</v>
      </c>
      <c r="I4584">
        <v>47.99</v>
      </c>
      <c r="J4584">
        <v>8.64</v>
      </c>
      <c r="K4584">
        <v>15941.37</v>
      </c>
      <c r="L4584" s="5">
        <v>46292</v>
      </c>
      <c r="M4584" t="s">
        <v>9819</v>
      </c>
      <c r="N4584" t="s">
        <v>207</v>
      </c>
      <c r="O4584" t="s">
        <v>9926</v>
      </c>
      <c r="P4584" t="s">
        <v>208</v>
      </c>
      <c r="Q4584" t="s">
        <v>209</v>
      </c>
    </row>
    <row r="4585" spans="1:17" x14ac:dyDescent="0.3">
      <c r="A4585" t="s">
        <v>9927</v>
      </c>
      <c r="C4585" t="s">
        <v>9928</v>
      </c>
      <c r="D4585" t="s">
        <v>9928</v>
      </c>
      <c r="E4585" s="5">
        <v>46290</v>
      </c>
      <c r="F4585" t="s">
        <v>204</v>
      </c>
      <c r="G4585" t="s">
        <v>220</v>
      </c>
      <c r="H4585">
        <v>3098</v>
      </c>
      <c r="I4585">
        <v>9.2899999999999991</v>
      </c>
      <c r="J4585">
        <v>1.67</v>
      </c>
      <c r="K4585">
        <v>3087.04</v>
      </c>
      <c r="L4585" s="5">
        <v>46292</v>
      </c>
      <c r="M4585" t="s">
        <v>9819</v>
      </c>
      <c r="N4585" t="s">
        <v>207</v>
      </c>
      <c r="O4585" t="s">
        <v>9928</v>
      </c>
      <c r="P4585" t="s">
        <v>208</v>
      </c>
      <c r="Q4585" t="s">
        <v>209</v>
      </c>
    </row>
    <row r="4586" spans="1:17" x14ac:dyDescent="0.3">
      <c r="A4586" t="s">
        <v>9929</v>
      </c>
      <c r="C4586" t="s">
        <v>9930</v>
      </c>
      <c r="D4586" t="s">
        <v>9931</v>
      </c>
      <c r="E4586" s="5">
        <v>46290</v>
      </c>
      <c r="F4586" t="s">
        <v>204</v>
      </c>
      <c r="G4586" t="s">
        <v>213</v>
      </c>
      <c r="H4586">
        <v>7999</v>
      </c>
      <c r="I4586">
        <v>127.98</v>
      </c>
      <c r="J4586">
        <v>23.04</v>
      </c>
      <c r="K4586">
        <v>7847.98</v>
      </c>
      <c r="L4586" s="5">
        <v>46292</v>
      </c>
      <c r="M4586" t="s">
        <v>9819</v>
      </c>
      <c r="N4586" t="s">
        <v>207</v>
      </c>
      <c r="O4586" t="s">
        <v>9931</v>
      </c>
      <c r="P4586" t="s">
        <v>208</v>
      </c>
      <c r="Q4586" t="s">
        <v>209</v>
      </c>
    </row>
    <row r="4587" spans="1:17" x14ac:dyDescent="0.3">
      <c r="A4587" t="s">
        <v>9932</v>
      </c>
      <c r="C4587" t="s">
        <v>9933</v>
      </c>
      <c r="D4587" t="s">
        <v>9933</v>
      </c>
      <c r="E4587" s="5">
        <v>46290</v>
      </c>
      <c r="F4587" t="s">
        <v>204</v>
      </c>
      <c r="G4587" t="s">
        <v>213</v>
      </c>
      <c r="H4587">
        <v>599</v>
      </c>
      <c r="I4587">
        <v>10.78</v>
      </c>
      <c r="J4587">
        <v>1.94</v>
      </c>
      <c r="K4587">
        <v>586.28</v>
      </c>
      <c r="L4587" s="5">
        <v>46292</v>
      </c>
      <c r="M4587" t="s">
        <v>9819</v>
      </c>
      <c r="N4587" t="s">
        <v>207</v>
      </c>
      <c r="O4587" t="s">
        <v>9933</v>
      </c>
      <c r="P4587" t="s">
        <v>208</v>
      </c>
      <c r="Q4587" t="s">
        <v>209</v>
      </c>
    </row>
    <row r="4588" spans="1:17" x14ac:dyDescent="0.3">
      <c r="A4588" t="s">
        <v>9934</v>
      </c>
      <c r="C4588" t="s">
        <v>9935</v>
      </c>
      <c r="D4588" t="s">
        <v>9935</v>
      </c>
      <c r="E4588" s="5">
        <v>46290</v>
      </c>
      <c r="F4588" t="s">
        <v>204</v>
      </c>
      <c r="G4588" t="s">
        <v>213</v>
      </c>
      <c r="H4588">
        <v>4097</v>
      </c>
      <c r="I4588">
        <v>65.55</v>
      </c>
      <c r="J4588">
        <v>11.8</v>
      </c>
      <c r="K4588">
        <v>4019.65</v>
      </c>
      <c r="L4588" s="5">
        <v>46292</v>
      </c>
      <c r="M4588" t="s">
        <v>9819</v>
      </c>
      <c r="N4588" t="s">
        <v>207</v>
      </c>
      <c r="O4588" t="s">
        <v>9935</v>
      </c>
      <c r="P4588" t="s">
        <v>208</v>
      </c>
      <c r="Q4588" t="s">
        <v>209</v>
      </c>
    </row>
    <row r="4589" spans="1:17" x14ac:dyDescent="0.3">
      <c r="A4589" t="s">
        <v>9936</v>
      </c>
      <c r="C4589" t="s">
        <v>9937</v>
      </c>
      <c r="D4589" t="s">
        <v>9938</v>
      </c>
      <c r="E4589" s="5">
        <v>46290</v>
      </c>
      <c r="F4589" t="s">
        <v>204</v>
      </c>
      <c r="G4589" t="s">
        <v>220</v>
      </c>
      <c r="H4589">
        <v>2499</v>
      </c>
      <c r="I4589">
        <v>7.5</v>
      </c>
      <c r="J4589">
        <v>1.35</v>
      </c>
      <c r="K4589">
        <v>2490.15</v>
      </c>
      <c r="L4589" s="5">
        <v>46292</v>
      </c>
      <c r="M4589" t="s">
        <v>9819</v>
      </c>
      <c r="N4589" t="s">
        <v>207</v>
      </c>
      <c r="O4589" t="s">
        <v>9938</v>
      </c>
      <c r="P4589" t="s">
        <v>208</v>
      </c>
      <c r="Q4589" t="s">
        <v>209</v>
      </c>
    </row>
    <row r="4590" spans="1:17" x14ac:dyDescent="0.3">
      <c r="A4590" t="s">
        <v>9939</v>
      </c>
      <c r="C4590" t="s">
        <v>9940</v>
      </c>
      <c r="D4590" t="s">
        <v>9940</v>
      </c>
      <c r="E4590" s="5">
        <v>46290</v>
      </c>
      <c r="F4590" t="s">
        <v>204</v>
      </c>
      <c r="G4590" t="s">
        <v>220</v>
      </c>
      <c r="H4590">
        <v>23997</v>
      </c>
      <c r="I4590">
        <v>71.989999999999995</v>
      </c>
      <c r="J4590">
        <v>12.96</v>
      </c>
      <c r="K4590">
        <v>23912.05</v>
      </c>
      <c r="L4590" s="5">
        <v>46292</v>
      </c>
      <c r="M4590" t="s">
        <v>9819</v>
      </c>
      <c r="N4590" t="s">
        <v>207</v>
      </c>
      <c r="O4590" t="s">
        <v>9940</v>
      </c>
      <c r="P4590" t="s">
        <v>208</v>
      </c>
      <c r="Q4590" t="s">
        <v>209</v>
      </c>
    </row>
    <row r="4591" spans="1:17" x14ac:dyDescent="0.3">
      <c r="A4591" t="s">
        <v>9941</v>
      </c>
      <c r="C4591" t="s">
        <v>9942</v>
      </c>
      <c r="D4591" t="s">
        <v>9943</v>
      </c>
      <c r="E4591" s="5">
        <v>46290</v>
      </c>
      <c r="F4591" t="s">
        <v>204</v>
      </c>
      <c r="G4591" t="s">
        <v>213</v>
      </c>
      <c r="H4591">
        <v>2097</v>
      </c>
      <c r="I4591">
        <v>33.549999999999997</v>
      </c>
      <c r="J4591">
        <v>6.04</v>
      </c>
      <c r="K4591">
        <v>2057.41</v>
      </c>
      <c r="L4591" s="5">
        <v>46292</v>
      </c>
      <c r="M4591" t="s">
        <v>9819</v>
      </c>
      <c r="N4591" t="s">
        <v>207</v>
      </c>
      <c r="O4591" t="s">
        <v>9943</v>
      </c>
      <c r="P4591" t="s">
        <v>208</v>
      </c>
      <c r="Q4591" t="s">
        <v>209</v>
      </c>
    </row>
    <row r="4592" spans="1:17" x14ac:dyDescent="0.3">
      <c r="A4592" t="s">
        <v>9944</v>
      </c>
      <c r="C4592" t="s">
        <v>9945</v>
      </c>
      <c r="D4592" t="s">
        <v>9945</v>
      </c>
      <c r="E4592" s="5">
        <v>46290</v>
      </c>
      <c r="F4592" t="s">
        <v>204</v>
      </c>
      <c r="G4592" t="s">
        <v>220</v>
      </c>
      <c r="H4592">
        <v>3998</v>
      </c>
      <c r="I4592">
        <v>11.99</v>
      </c>
      <c r="J4592">
        <v>2.16</v>
      </c>
      <c r="K4592">
        <v>3983.85</v>
      </c>
      <c r="L4592" s="5">
        <v>46292</v>
      </c>
      <c r="M4592" t="s">
        <v>9819</v>
      </c>
      <c r="N4592" t="s">
        <v>207</v>
      </c>
      <c r="O4592" t="s">
        <v>9945</v>
      </c>
      <c r="P4592" t="s">
        <v>208</v>
      </c>
      <c r="Q4592" t="s">
        <v>209</v>
      </c>
    </row>
    <row r="4593" spans="1:17" x14ac:dyDescent="0.3">
      <c r="A4593" t="s">
        <v>9946</v>
      </c>
      <c r="C4593" t="s">
        <v>9947</v>
      </c>
      <c r="D4593" t="s">
        <v>9947</v>
      </c>
      <c r="E4593" s="5">
        <v>46290</v>
      </c>
      <c r="F4593" t="s">
        <v>204</v>
      </c>
      <c r="G4593" t="s">
        <v>220</v>
      </c>
      <c r="H4593">
        <v>2798</v>
      </c>
      <c r="I4593">
        <v>8.39</v>
      </c>
      <c r="J4593">
        <v>1.51</v>
      </c>
      <c r="K4593">
        <v>2788.1</v>
      </c>
      <c r="L4593" s="5">
        <v>46292</v>
      </c>
      <c r="M4593" t="s">
        <v>9819</v>
      </c>
      <c r="N4593" t="s">
        <v>207</v>
      </c>
      <c r="O4593" t="s">
        <v>9947</v>
      </c>
      <c r="P4593" t="s">
        <v>208</v>
      </c>
      <c r="Q4593" t="s">
        <v>209</v>
      </c>
    </row>
    <row r="4594" spans="1:17" x14ac:dyDescent="0.3">
      <c r="A4594" t="s">
        <v>9948</v>
      </c>
      <c r="C4594" t="s">
        <v>9949</v>
      </c>
      <c r="D4594" t="s">
        <v>9949</v>
      </c>
      <c r="E4594" s="5">
        <v>46290</v>
      </c>
      <c r="F4594" t="s">
        <v>204</v>
      </c>
      <c r="G4594" t="s">
        <v>220</v>
      </c>
      <c r="H4594">
        <v>1798</v>
      </c>
      <c r="I4594">
        <v>0</v>
      </c>
      <c r="J4594">
        <v>0</v>
      </c>
      <c r="K4594">
        <v>1798</v>
      </c>
      <c r="L4594" s="5">
        <v>46292</v>
      </c>
      <c r="M4594" t="s">
        <v>9819</v>
      </c>
      <c r="N4594" t="s">
        <v>207</v>
      </c>
      <c r="O4594" t="s">
        <v>9949</v>
      </c>
      <c r="P4594" t="s">
        <v>208</v>
      </c>
      <c r="Q4594" t="s">
        <v>209</v>
      </c>
    </row>
    <row r="4595" spans="1:17" x14ac:dyDescent="0.3">
      <c r="A4595" t="s">
        <v>9950</v>
      </c>
      <c r="C4595" t="s">
        <v>9951</v>
      </c>
      <c r="D4595" t="s">
        <v>9951</v>
      </c>
      <c r="E4595" s="5">
        <v>46290</v>
      </c>
      <c r="F4595" t="s">
        <v>204</v>
      </c>
      <c r="G4595" t="s">
        <v>213</v>
      </c>
      <c r="H4595">
        <v>1499</v>
      </c>
      <c r="I4595">
        <v>26.98</v>
      </c>
      <c r="J4595">
        <v>4.8600000000000003</v>
      </c>
      <c r="K4595">
        <v>1467.16</v>
      </c>
      <c r="L4595" s="5">
        <v>46292</v>
      </c>
      <c r="M4595" t="s">
        <v>9819</v>
      </c>
      <c r="N4595" t="s">
        <v>207</v>
      </c>
      <c r="O4595" t="s">
        <v>9951</v>
      </c>
      <c r="P4595" t="s">
        <v>208</v>
      </c>
      <c r="Q4595" t="s">
        <v>209</v>
      </c>
    </row>
    <row r="4596" spans="1:17" x14ac:dyDescent="0.3">
      <c r="A4596" t="s">
        <v>9952</v>
      </c>
      <c r="C4596" t="s">
        <v>9953</v>
      </c>
      <c r="D4596" t="s">
        <v>9953</v>
      </c>
      <c r="E4596" s="5">
        <v>46290</v>
      </c>
      <c r="F4596" t="s">
        <v>204</v>
      </c>
      <c r="G4596" t="s">
        <v>220</v>
      </c>
      <c r="H4596">
        <v>299</v>
      </c>
      <c r="I4596">
        <v>0</v>
      </c>
      <c r="J4596">
        <v>0</v>
      </c>
      <c r="K4596">
        <v>299</v>
      </c>
      <c r="L4596" s="5">
        <v>46292</v>
      </c>
      <c r="M4596" t="s">
        <v>9819</v>
      </c>
      <c r="N4596" t="s">
        <v>207</v>
      </c>
      <c r="O4596" t="s">
        <v>9953</v>
      </c>
      <c r="P4596" t="s">
        <v>208</v>
      </c>
      <c r="Q4596" t="s">
        <v>209</v>
      </c>
    </row>
    <row r="4597" spans="1:17" x14ac:dyDescent="0.3">
      <c r="A4597" t="s">
        <v>9954</v>
      </c>
      <c r="C4597" t="s">
        <v>9955</v>
      </c>
      <c r="D4597" t="s">
        <v>9956</v>
      </c>
      <c r="E4597" s="5">
        <v>46290</v>
      </c>
      <c r="F4597" t="s">
        <v>204</v>
      </c>
      <c r="G4597" t="s">
        <v>255</v>
      </c>
      <c r="H4597">
        <v>4998</v>
      </c>
      <c r="I4597">
        <v>59.98</v>
      </c>
      <c r="J4597">
        <v>10.8</v>
      </c>
      <c r="K4597">
        <v>4927.22</v>
      </c>
      <c r="L4597" s="5">
        <v>46292</v>
      </c>
      <c r="M4597" t="s">
        <v>9819</v>
      </c>
      <c r="N4597" t="s">
        <v>207</v>
      </c>
      <c r="O4597" t="s">
        <v>9956</v>
      </c>
      <c r="P4597" t="s">
        <v>208</v>
      </c>
      <c r="Q4597" t="s">
        <v>209</v>
      </c>
    </row>
    <row r="4598" spans="1:17" x14ac:dyDescent="0.3">
      <c r="A4598" t="s">
        <v>9957</v>
      </c>
      <c r="C4598" t="s">
        <v>9958</v>
      </c>
      <c r="D4598" t="s">
        <v>9958</v>
      </c>
      <c r="E4598" s="5">
        <v>46290</v>
      </c>
      <c r="F4598" t="s">
        <v>204</v>
      </c>
      <c r="G4598" t="s">
        <v>213</v>
      </c>
      <c r="H4598">
        <v>499</v>
      </c>
      <c r="I4598">
        <v>8.98</v>
      </c>
      <c r="J4598">
        <v>1.62</v>
      </c>
      <c r="K4598">
        <v>488.4</v>
      </c>
      <c r="L4598" s="5">
        <v>46292</v>
      </c>
      <c r="M4598" t="s">
        <v>9819</v>
      </c>
      <c r="N4598" t="s">
        <v>207</v>
      </c>
      <c r="O4598" t="s">
        <v>9958</v>
      </c>
      <c r="P4598" t="s">
        <v>208</v>
      </c>
      <c r="Q4598" t="s">
        <v>209</v>
      </c>
    </row>
    <row r="4599" spans="1:17" x14ac:dyDescent="0.3">
      <c r="A4599" t="s">
        <v>9959</v>
      </c>
      <c r="C4599" t="s">
        <v>9960</v>
      </c>
      <c r="D4599" t="s">
        <v>9960</v>
      </c>
      <c r="E4599" s="5">
        <v>46290</v>
      </c>
      <c r="F4599" t="s">
        <v>204</v>
      </c>
      <c r="G4599" t="s">
        <v>213</v>
      </c>
      <c r="H4599">
        <v>799</v>
      </c>
      <c r="I4599">
        <v>14.38</v>
      </c>
      <c r="J4599">
        <v>2.59</v>
      </c>
      <c r="K4599">
        <v>782.03</v>
      </c>
      <c r="L4599" s="5">
        <v>46292</v>
      </c>
      <c r="M4599" t="s">
        <v>9819</v>
      </c>
      <c r="N4599" t="s">
        <v>207</v>
      </c>
      <c r="O4599" t="s">
        <v>9960</v>
      </c>
      <c r="P4599" t="s">
        <v>208</v>
      </c>
      <c r="Q4599" t="s">
        <v>209</v>
      </c>
    </row>
    <row r="4600" spans="1:17" x14ac:dyDescent="0.3">
      <c r="A4600" t="s">
        <v>9961</v>
      </c>
      <c r="C4600" t="s">
        <v>9962</v>
      </c>
      <c r="D4600" t="s">
        <v>9962</v>
      </c>
      <c r="E4600" s="5">
        <v>46290</v>
      </c>
      <c r="F4600" t="s">
        <v>204</v>
      </c>
      <c r="G4600" t="s">
        <v>220</v>
      </c>
      <c r="H4600">
        <v>3498</v>
      </c>
      <c r="I4600">
        <v>10.49</v>
      </c>
      <c r="J4600">
        <v>1.89</v>
      </c>
      <c r="K4600">
        <v>3485.62</v>
      </c>
      <c r="L4600" s="5">
        <v>46292</v>
      </c>
      <c r="M4600" t="s">
        <v>9819</v>
      </c>
      <c r="N4600" t="s">
        <v>207</v>
      </c>
      <c r="O4600" t="s">
        <v>9962</v>
      </c>
      <c r="P4600" t="s">
        <v>208</v>
      </c>
      <c r="Q4600" t="s">
        <v>209</v>
      </c>
    </row>
    <row r="4601" spans="1:17" x14ac:dyDescent="0.3">
      <c r="A4601" t="s">
        <v>9963</v>
      </c>
      <c r="C4601" t="s">
        <v>9964</v>
      </c>
      <c r="D4601" t="s">
        <v>9964</v>
      </c>
      <c r="E4601" s="5">
        <v>46290</v>
      </c>
      <c r="F4601" t="s">
        <v>204</v>
      </c>
      <c r="G4601" t="s">
        <v>220</v>
      </c>
      <c r="H4601">
        <v>3499</v>
      </c>
      <c r="I4601">
        <v>10.5</v>
      </c>
      <c r="J4601">
        <v>1.89</v>
      </c>
      <c r="K4601">
        <v>3486.61</v>
      </c>
      <c r="L4601" s="5">
        <v>46292</v>
      </c>
      <c r="M4601" t="s">
        <v>9819</v>
      </c>
      <c r="N4601" t="s">
        <v>207</v>
      </c>
      <c r="O4601" t="s">
        <v>9964</v>
      </c>
      <c r="P4601" t="s">
        <v>208</v>
      </c>
      <c r="Q4601" t="s">
        <v>209</v>
      </c>
    </row>
    <row r="4602" spans="1:17" x14ac:dyDescent="0.3">
      <c r="A4602" t="s">
        <v>9965</v>
      </c>
      <c r="C4602" t="s">
        <v>9966</v>
      </c>
      <c r="D4602" t="s">
        <v>9966</v>
      </c>
      <c r="E4602" s="5">
        <v>46290</v>
      </c>
      <c r="F4602" t="s">
        <v>204</v>
      </c>
      <c r="G4602" t="s">
        <v>220</v>
      </c>
      <c r="H4602">
        <v>999</v>
      </c>
      <c r="I4602">
        <v>0</v>
      </c>
      <c r="J4602">
        <v>0</v>
      </c>
      <c r="K4602">
        <v>999</v>
      </c>
      <c r="L4602" s="5">
        <v>46292</v>
      </c>
      <c r="M4602" t="s">
        <v>9819</v>
      </c>
      <c r="N4602" t="s">
        <v>207</v>
      </c>
      <c r="O4602" t="s">
        <v>9966</v>
      </c>
      <c r="P4602" t="s">
        <v>208</v>
      </c>
      <c r="Q4602" t="s">
        <v>209</v>
      </c>
    </row>
    <row r="4603" spans="1:17" x14ac:dyDescent="0.3">
      <c r="A4603" t="s">
        <v>9967</v>
      </c>
      <c r="C4603" t="s">
        <v>9968</v>
      </c>
      <c r="D4603" t="s">
        <v>9968</v>
      </c>
      <c r="E4603" s="5">
        <v>46290</v>
      </c>
      <c r="F4603" t="s">
        <v>204</v>
      </c>
      <c r="G4603" t="s">
        <v>213</v>
      </c>
      <c r="H4603">
        <v>8097</v>
      </c>
      <c r="I4603">
        <v>129.55000000000001</v>
      </c>
      <c r="J4603">
        <v>23.32</v>
      </c>
      <c r="K4603">
        <v>7944.13</v>
      </c>
      <c r="L4603" s="5">
        <v>46292</v>
      </c>
      <c r="M4603" t="s">
        <v>9819</v>
      </c>
      <c r="N4603" t="s">
        <v>207</v>
      </c>
      <c r="O4603" t="s">
        <v>9968</v>
      </c>
      <c r="P4603" t="s">
        <v>208</v>
      </c>
      <c r="Q4603" t="s">
        <v>209</v>
      </c>
    </row>
    <row r="4604" spans="1:17" x14ac:dyDescent="0.3">
      <c r="A4604" t="s">
        <v>9969</v>
      </c>
      <c r="C4604" t="s">
        <v>9970</v>
      </c>
      <c r="D4604" t="s">
        <v>9970</v>
      </c>
      <c r="E4604" s="5">
        <v>46290</v>
      </c>
      <c r="F4604" t="s">
        <v>204</v>
      </c>
      <c r="G4604" t="s">
        <v>220</v>
      </c>
      <c r="H4604">
        <v>3298</v>
      </c>
      <c r="I4604">
        <v>9.89</v>
      </c>
      <c r="J4604">
        <v>1.78</v>
      </c>
      <c r="K4604">
        <v>3286.33</v>
      </c>
      <c r="L4604" s="5">
        <v>46292</v>
      </c>
      <c r="M4604" t="s">
        <v>9819</v>
      </c>
      <c r="N4604" t="s">
        <v>207</v>
      </c>
      <c r="O4604" t="s">
        <v>9970</v>
      </c>
      <c r="P4604" t="s">
        <v>208</v>
      </c>
      <c r="Q4604" t="s">
        <v>209</v>
      </c>
    </row>
    <row r="4605" spans="1:17" x14ac:dyDescent="0.3">
      <c r="A4605" t="s">
        <v>9971</v>
      </c>
      <c r="C4605" t="s">
        <v>9972</v>
      </c>
      <c r="D4605" t="s">
        <v>9972</v>
      </c>
      <c r="E4605" s="5">
        <v>46290</v>
      </c>
      <c r="F4605" t="s">
        <v>204</v>
      </c>
      <c r="G4605" t="s">
        <v>213</v>
      </c>
      <c r="H4605">
        <v>4397</v>
      </c>
      <c r="I4605">
        <v>70.349999999999994</v>
      </c>
      <c r="J4605">
        <v>12.66</v>
      </c>
      <c r="K4605">
        <v>4313.99</v>
      </c>
      <c r="L4605" s="5">
        <v>46292</v>
      </c>
      <c r="M4605" t="s">
        <v>9819</v>
      </c>
      <c r="N4605" t="s">
        <v>207</v>
      </c>
      <c r="O4605" t="s">
        <v>9972</v>
      </c>
      <c r="P4605" t="s">
        <v>208</v>
      </c>
      <c r="Q4605" t="s">
        <v>209</v>
      </c>
    </row>
    <row r="4606" spans="1:17" x14ac:dyDescent="0.3">
      <c r="A4606" t="s">
        <v>9973</v>
      </c>
      <c r="C4606" t="s">
        <v>9974</v>
      </c>
      <c r="D4606" t="s">
        <v>9974</v>
      </c>
      <c r="E4606" s="5">
        <v>46290</v>
      </c>
      <c r="F4606" t="s">
        <v>204</v>
      </c>
      <c r="G4606" t="s">
        <v>255</v>
      </c>
      <c r="H4606">
        <v>4498</v>
      </c>
      <c r="I4606">
        <v>53.98</v>
      </c>
      <c r="J4606">
        <v>9.7200000000000006</v>
      </c>
      <c r="K4606">
        <v>4434.3</v>
      </c>
      <c r="L4606" s="5">
        <v>46292</v>
      </c>
      <c r="M4606" t="s">
        <v>9819</v>
      </c>
      <c r="N4606" t="s">
        <v>207</v>
      </c>
      <c r="O4606" t="s">
        <v>9974</v>
      </c>
      <c r="P4606" t="s">
        <v>208</v>
      </c>
      <c r="Q4606" t="s">
        <v>209</v>
      </c>
    </row>
    <row r="4607" spans="1:17" x14ac:dyDescent="0.3">
      <c r="A4607" t="s">
        <v>9975</v>
      </c>
      <c r="C4607" t="s">
        <v>9976</v>
      </c>
      <c r="D4607" t="s">
        <v>9976</v>
      </c>
      <c r="E4607" s="5">
        <v>46290</v>
      </c>
      <c r="F4607" t="s">
        <v>204</v>
      </c>
      <c r="G4607" t="s">
        <v>213</v>
      </c>
      <c r="H4607">
        <v>5297</v>
      </c>
      <c r="I4607">
        <v>84.75</v>
      </c>
      <c r="J4607">
        <v>15.26</v>
      </c>
      <c r="K4607">
        <v>5196.99</v>
      </c>
      <c r="L4607" s="5">
        <v>46292</v>
      </c>
      <c r="M4607" t="s">
        <v>9819</v>
      </c>
      <c r="N4607" t="s">
        <v>207</v>
      </c>
      <c r="O4607" t="s">
        <v>9976</v>
      </c>
      <c r="P4607" t="s">
        <v>208</v>
      </c>
      <c r="Q4607" t="s">
        <v>209</v>
      </c>
    </row>
    <row r="4608" spans="1:17" x14ac:dyDescent="0.3">
      <c r="A4608" t="s">
        <v>9977</v>
      </c>
      <c r="C4608" t="s">
        <v>9978</v>
      </c>
      <c r="D4608" t="s">
        <v>9978</v>
      </c>
      <c r="E4608" s="5">
        <v>46290</v>
      </c>
      <c r="F4608" t="s">
        <v>204</v>
      </c>
      <c r="G4608" t="s">
        <v>255</v>
      </c>
      <c r="H4608">
        <v>599</v>
      </c>
      <c r="I4608">
        <v>8.99</v>
      </c>
      <c r="J4608">
        <v>1.62</v>
      </c>
      <c r="K4608">
        <v>588.39</v>
      </c>
      <c r="L4608" s="5">
        <v>46292</v>
      </c>
      <c r="M4608" t="s">
        <v>9819</v>
      </c>
      <c r="N4608" t="s">
        <v>207</v>
      </c>
      <c r="O4608" t="s">
        <v>9978</v>
      </c>
      <c r="P4608" t="s">
        <v>208</v>
      </c>
      <c r="Q4608" t="s">
        <v>209</v>
      </c>
    </row>
    <row r="4609" spans="1:17" x14ac:dyDescent="0.3">
      <c r="A4609" t="s">
        <v>9979</v>
      </c>
      <c r="C4609" t="s">
        <v>9980</v>
      </c>
      <c r="D4609" t="s">
        <v>9980</v>
      </c>
      <c r="E4609" s="5">
        <v>46290</v>
      </c>
      <c r="F4609" t="s">
        <v>204</v>
      </c>
      <c r="G4609" t="s">
        <v>220</v>
      </c>
      <c r="H4609">
        <v>5998</v>
      </c>
      <c r="I4609">
        <v>17.989999999999998</v>
      </c>
      <c r="J4609">
        <v>3.24</v>
      </c>
      <c r="K4609">
        <v>5976.77</v>
      </c>
      <c r="L4609" s="5">
        <v>46292</v>
      </c>
      <c r="M4609" t="s">
        <v>9819</v>
      </c>
      <c r="N4609" t="s">
        <v>207</v>
      </c>
      <c r="O4609" t="s">
        <v>9980</v>
      </c>
      <c r="P4609" t="s">
        <v>208</v>
      </c>
      <c r="Q4609" t="s">
        <v>209</v>
      </c>
    </row>
    <row r="4610" spans="1:17" x14ac:dyDescent="0.3">
      <c r="A4610" t="s">
        <v>9981</v>
      </c>
      <c r="C4610" t="s">
        <v>9982</v>
      </c>
      <c r="D4610" t="s">
        <v>9982</v>
      </c>
      <c r="E4610" s="5">
        <v>46290</v>
      </c>
      <c r="F4610" t="s">
        <v>204</v>
      </c>
      <c r="G4610" t="s">
        <v>205</v>
      </c>
      <c r="H4610">
        <v>1799</v>
      </c>
      <c r="I4610">
        <v>34.18</v>
      </c>
      <c r="J4610">
        <v>6.15</v>
      </c>
      <c r="K4610">
        <v>1758.67</v>
      </c>
      <c r="L4610" s="5">
        <v>46292</v>
      </c>
      <c r="M4610" t="s">
        <v>9819</v>
      </c>
      <c r="N4610" t="s">
        <v>207</v>
      </c>
      <c r="O4610" t="s">
        <v>9982</v>
      </c>
      <c r="P4610" t="s">
        <v>208</v>
      </c>
      <c r="Q4610" t="s">
        <v>209</v>
      </c>
    </row>
    <row r="4611" spans="1:17" x14ac:dyDescent="0.3">
      <c r="A4611" t="s">
        <v>9983</v>
      </c>
      <c r="C4611" t="s">
        <v>9984</v>
      </c>
      <c r="D4611" t="s">
        <v>9984</v>
      </c>
      <c r="E4611" s="5">
        <v>46290</v>
      </c>
      <c r="F4611" t="s">
        <v>204</v>
      </c>
      <c r="G4611" t="s">
        <v>220</v>
      </c>
      <c r="H4611">
        <v>999</v>
      </c>
      <c r="I4611">
        <v>0</v>
      </c>
      <c r="J4611">
        <v>0</v>
      </c>
      <c r="K4611">
        <v>999</v>
      </c>
      <c r="L4611" s="5">
        <v>46292</v>
      </c>
      <c r="M4611" t="s">
        <v>9819</v>
      </c>
      <c r="N4611" t="s">
        <v>207</v>
      </c>
      <c r="O4611" t="s">
        <v>9984</v>
      </c>
      <c r="P4611" t="s">
        <v>208</v>
      </c>
      <c r="Q4611" t="s">
        <v>209</v>
      </c>
    </row>
    <row r="4612" spans="1:17" x14ac:dyDescent="0.3">
      <c r="A4612" t="s">
        <v>9985</v>
      </c>
      <c r="C4612" t="s">
        <v>9986</v>
      </c>
      <c r="D4612" t="s">
        <v>9986</v>
      </c>
      <c r="E4612" s="5">
        <v>46290</v>
      </c>
      <c r="F4612" t="s">
        <v>204</v>
      </c>
      <c r="G4612" t="s">
        <v>213</v>
      </c>
      <c r="H4612">
        <v>6998</v>
      </c>
      <c r="I4612">
        <v>111.97</v>
      </c>
      <c r="J4612">
        <v>20.149999999999999</v>
      </c>
      <c r="K4612">
        <v>6865.88</v>
      </c>
      <c r="L4612" s="5">
        <v>46292</v>
      </c>
      <c r="M4612" t="s">
        <v>9819</v>
      </c>
      <c r="N4612" t="s">
        <v>207</v>
      </c>
      <c r="O4612" t="s">
        <v>9986</v>
      </c>
      <c r="P4612" t="s">
        <v>208</v>
      </c>
      <c r="Q4612" t="s">
        <v>209</v>
      </c>
    </row>
    <row r="4613" spans="1:17" x14ac:dyDescent="0.3">
      <c r="A4613" t="s">
        <v>9987</v>
      </c>
      <c r="C4613" t="s">
        <v>9988</v>
      </c>
      <c r="D4613" t="s">
        <v>9988</v>
      </c>
      <c r="E4613" s="5">
        <v>46290</v>
      </c>
      <c r="F4613" t="s">
        <v>204</v>
      </c>
      <c r="G4613" t="s">
        <v>213</v>
      </c>
      <c r="H4613">
        <v>8798</v>
      </c>
      <c r="I4613">
        <v>140.77000000000001</v>
      </c>
      <c r="J4613">
        <v>25.34</v>
      </c>
      <c r="K4613">
        <v>8631.89</v>
      </c>
      <c r="L4613" s="5">
        <v>46292</v>
      </c>
      <c r="M4613" t="s">
        <v>9819</v>
      </c>
      <c r="N4613" t="s">
        <v>207</v>
      </c>
      <c r="O4613" t="s">
        <v>9988</v>
      </c>
      <c r="P4613" t="s">
        <v>208</v>
      </c>
      <c r="Q4613" t="s">
        <v>209</v>
      </c>
    </row>
    <row r="4614" spans="1:17" x14ac:dyDescent="0.3">
      <c r="A4614" t="s">
        <v>9989</v>
      </c>
      <c r="C4614" t="s">
        <v>9990</v>
      </c>
      <c r="D4614" t="s">
        <v>9990</v>
      </c>
      <c r="E4614" s="5">
        <v>46290</v>
      </c>
      <c r="F4614" t="s">
        <v>204</v>
      </c>
      <c r="G4614" t="s">
        <v>220</v>
      </c>
      <c r="H4614">
        <v>10097</v>
      </c>
      <c r="I4614">
        <v>30.29</v>
      </c>
      <c r="J4614">
        <v>5.45</v>
      </c>
      <c r="K4614">
        <v>10061.26</v>
      </c>
      <c r="L4614" s="5">
        <v>46292</v>
      </c>
      <c r="M4614" t="s">
        <v>9819</v>
      </c>
      <c r="N4614" t="s">
        <v>207</v>
      </c>
      <c r="O4614" t="s">
        <v>9990</v>
      </c>
      <c r="P4614" t="s">
        <v>208</v>
      </c>
      <c r="Q4614" t="s">
        <v>209</v>
      </c>
    </row>
    <row r="4615" spans="1:17" x14ac:dyDescent="0.3">
      <c r="A4615" t="s">
        <v>9991</v>
      </c>
      <c r="C4615" t="s">
        <v>9992</v>
      </c>
      <c r="D4615" t="s">
        <v>9992</v>
      </c>
      <c r="E4615" s="5">
        <v>46290</v>
      </c>
      <c r="F4615" t="s">
        <v>204</v>
      </c>
      <c r="G4615" t="s">
        <v>220</v>
      </c>
      <c r="H4615">
        <v>1098</v>
      </c>
      <c r="I4615">
        <v>0</v>
      </c>
      <c r="J4615">
        <v>0</v>
      </c>
      <c r="K4615">
        <v>1098</v>
      </c>
      <c r="L4615" s="5">
        <v>46292</v>
      </c>
      <c r="M4615" t="s">
        <v>9819</v>
      </c>
      <c r="N4615" t="s">
        <v>207</v>
      </c>
      <c r="O4615" t="s">
        <v>9992</v>
      </c>
      <c r="P4615" t="s">
        <v>208</v>
      </c>
      <c r="Q4615" t="s">
        <v>209</v>
      </c>
    </row>
    <row r="4616" spans="1:17" x14ac:dyDescent="0.3">
      <c r="A4616" t="s">
        <v>9993</v>
      </c>
      <c r="C4616" t="s">
        <v>9994</v>
      </c>
      <c r="D4616" t="s">
        <v>9995</v>
      </c>
      <c r="E4616" s="5">
        <v>46290</v>
      </c>
      <c r="F4616" t="s">
        <v>204</v>
      </c>
      <c r="G4616" t="s">
        <v>220</v>
      </c>
      <c r="H4616">
        <v>349</v>
      </c>
      <c r="I4616">
        <v>0</v>
      </c>
      <c r="J4616">
        <v>0</v>
      </c>
      <c r="K4616">
        <v>349</v>
      </c>
      <c r="L4616" s="5">
        <v>46292</v>
      </c>
      <c r="M4616" t="s">
        <v>9819</v>
      </c>
      <c r="N4616" t="s">
        <v>207</v>
      </c>
      <c r="O4616" t="s">
        <v>9995</v>
      </c>
      <c r="P4616" t="s">
        <v>208</v>
      </c>
      <c r="Q4616" t="s">
        <v>209</v>
      </c>
    </row>
    <row r="4617" spans="1:17" x14ac:dyDescent="0.3">
      <c r="A4617" t="s">
        <v>9996</v>
      </c>
      <c r="C4617" t="s">
        <v>9997</v>
      </c>
      <c r="D4617" t="s">
        <v>9997</v>
      </c>
      <c r="E4617" s="5">
        <v>46290</v>
      </c>
      <c r="F4617" t="s">
        <v>204</v>
      </c>
      <c r="G4617" t="s">
        <v>220</v>
      </c>
      <c r="H4617">
        <v>4647</v>
      </c>
      <c r="I4617">
        <v>13.94</v>
      </c>
      <c r="J4617">
        <v>2.5099999999999998</v>
      </c>
      <c r="K4617">
        <v>4630.55</v>
      </c>
      <c r="L4617" s="5">
        <v>46292</v>
      </c>
      <c r="M4617" t="s">
        <v>9819</v>
      </c>
      <c r="N4617" t="s">
        <v>207</v>
      </c>
      <c r="O4617" t="s">
        <v>9997</v>
      </c>
      <c r="P4617" t="s">
        <v>208</v>
      </c>
      <c r="Q4617" t="s">
        <v>209</v>
      </c>
    </row>
    <row r="4618" spans="1:17" x14ac:dyDescent="0.3">
      <c r="A4618" t="s">
        <v>9998</v>
      </c>
      <c r="C4618" t="s">
        <v>9999</v>
      </c>
      <c r="D4618" t="s">
        <v>9999</v>
      </c>
      <c r="E4618" s="5">
        <v>46290</v>
      </c>
      <c r="F4618" t="s">
        <v>204</v>
      </c>
      <c r="G4618" t="s">
        <v>205</v>
      </c>
      <c r="H4618">
        <v>5348</v>
      </c>
      <c r="I4618">
        <v>90.92</v>
      </c>
      <c r="J4618">
        <v>16.37</v>
      </c>
      <c r="K4618">
        <v>5240.71</v>
      </c>
      <c r="L4618" s="5">
        <v>46292</v>
      </c>
      <c r="M4618" t="s">
        <v>9819</v>
      </c>
      <c r="N4618" t="s">
        <v>207</v>
      </c>
      <c r="O4618" t="s">
        <v>9999</v>
      </c>
      <c r="P4618" t="s">
        <v>208</v>
      </c>
      <c r="Q4618" t="s">
        <v>209</v>
      </c>
    </row>
    <row r="4619" spans="1:17" x14ac:dyDescent="0.3">
      <c r="A4619" t="s">
        <v>10000</v>
      </c>
      <c r="C4619" t="s">
        <v>10001</v>
      </c>
      <c r="D4619" t="s">
        <v>10001</v>
      </c>
      <c r="E4619" s="5">
        <v>46290</v>
      </c>
      <c r="F4619" t="s">
        <v>204</v>
      </c>
      <c r="G4619" t="s">
        <v>255</v>
      </c>
      <c r="H4619">
        <v>299</v>
      </c>
      <c r="I4619">
        <v>4.49</v>
      </c>
      <c r="J4619">
        <v>0.81</v>
      </c>
      <c r="K4619">
        <v>293.7</v>
      </c>
      <c r="L4619" s="5">
        <v>46292</v>
      </c>
      <c r="M4619" t="s">
        <v>9819</v>
      </c>
      <c r="N4619" t="s">
        <v>207</v>
      </c>
      <c r="O4619" t="s">
        <v>10001</v>
      </c>
      <c r="P4619" t="s">
        <v>208</v>
      </c>
      <c r="Q4619" t="s">
        <v>209</v>
      </c>
    </row>
    <row r="4620" spans="1:17" x14ac:dyDescent="0.3">
      <c r="A4620" t="s">
        <v>10002</v>
      </c>
      <c r="C4620" t="s">
        <v>10003</v>
      </c>
      <c r="D4620" t="s">
        <v>10003</v>
      </c>
      <c r="E4620" s="5">
        <v>46290</v>
      </c>
      <c r="F4620" t="s">
        <v>204</v>
      </c>
      <c r="G4620" t="s">
        <v>220</v>
      </c>
      <c r="H4620">
        <v>4298</v>
      </c>
      <c r="I4620">
        <v>12.89</v>
      </c>
      <c r="J4620">
        <v>2.3199999999999998</v>
      </c>
      <c r="K4620">
        <v>4282.79</v>
      </c>
      <c r="L4620" s="5">
        <v>46292</v>
      </c>
      <c r="M4620" t="s">
        <v>9819</v>
      </c>
      <c r="N4620" t="s">
        <v>207</v>
      </c>
      <c r="O4620" t="s">
        <v>10003</v>
      </c>
      <c r="P4620" t="s">
        <v>208</v>
      </c>
      <c r="Q4620" t="s">
        <v>209</v>
      </c>
    </row>
    <row r="4621" spans="1:17" x14ac:dyDescent="0.3">
      <c r="A4621" t="s">
        <v>10004</v>
      </c>
      <c r="C4621" t="s">
        <v>10005</v>
      </c>
      <c r="D4621" t="s">
        <v>10005</v>
      </c>
      <c r="E4621" s="5">
        <v>46290</v>
      </c>
      <c r="F4621" t="s">
        <v>204</v>
      </c>
      <c r="G4621" t="s">
        <v>213</v>
      </c>
      <c r="H4621">
        <v>1198</v>
      </c>
      <c r="I4621">
        <v>21.56</v>
      </c>
      <c r="J4621">
        <v>3.88</v>
      </c>
      <c r="K4621">
        <v>1172.56</v>
      </c>
      <c r="L4621" s="5">
        <v>46292</v>
      </c>
      <c r="M4621" t="s">
        <v>9819</v>
      </c>
      <c r="N4621" t="s">
        <v>207</v>
      </c>
      <c r="O4621" t="s">
        <v>10005</v>
      </c>
      <c r="P4621" t="s">
        <v>208</v>
      </c>
      <c r="Q4621" t="s">
        <v>209</v>
      </c>
    </row>
    <row r="4622" spans="1:17" x14ac:dyDescent="0.3">
      <c r="A4622" t="s">
        <v>10006</v>
      </c>
      <c r="C4622" t="s">
        <v>10007</v>
      </c>
      <c r="D4622" t="s">
        <v>10007</v>
      </c>
      <c r="E4622" s="5">
        <v>46290</v>
      </c>
      <c r="F4622" t="s">
        <v>204</v>
      </c>
      <c r="G4622" t="s">
        <v>255</v>
      </c>
      <c r="H4622">
        <v>3499</v>
      </c>
      <c r="I4622">
        <v>41.99</v>
      </c>
      <c r="J4622">
        <v>7.56</v>
      </c>
      <c r="K4622">
        <v>3449.45</v>
      </c>
      <c r="L4622" s="5">
        <v>46292</v>
      </c>
      <c r="M4622" t="s">
        <v>9819</v>
      </c>
      <c r="N4622" t="s">
        <v>207</v>
      </c>
      <c r="O4622" t="s">
        <v>10007</v>
      </c>
      <c r="P4622" t="s">
        <v>208</v>
      </c>
      <c r="Q4622" t="s">
        <v>209</v>
      </c>
    </row>
    <row r="4623" spans="1:17" x14ac:dyDescent="0.3">
      <c r="A4623" t="s">
        <v>10008</v>
      </c>
      <c r="C4623" t="s">
        <v>10009</v>
      </c>
      <c r="D4623" t="s">
        <v>10009</v>
      </c>
      <c r="E4623" s="5">
        <v>46290</v>
      </c>
      <c r="F4623" t="s">
        <v>204</v>
      </c>
      <c r="G4623" t="s">
        <v>213</v>
      </c>
      <c r="H4623">
        <v>4597</v>
      </c>
      <c r="I4623">
        <v>73.55</v>
      </c>
      <c r="J4623">
        <v>13.24</v>
      </c>
      <c r="K4623">
        <v>4510.21</v>
      </c>
      <c r="L4623" s="5">
        <v>46292</v>
      </c>
      <c r="M4623" t="s">
        <v>9819</v>
      </c>
      <c r="N4623" t="s">
        <v>207</v>
      </c>
      <c r="O4623" t="s">
        <v>10009</v>
      </c>
      <c r="P4623" t="s">
        <v>208</v>
      </c>
      <c r="Q4623" t="s">
        <v>209</v>
      </c>
    </row>
    <row r="4624" spans="1:17" x14ac:dyDescent="0.3">
      <c r="A4624" t="s">
        <v>10010</v>
      </c>
      <c r="C4624" t="s">
        <v>10011</v>
      </c>
      <c r="D4624" t="s">
        <v>10011</v>
      </c>
      <c r="E4624" s="5">
        <v>46290</v>
      </c>
      <c r="F4624" t="s">
        <v>204</v>
      </c>
      <c r="G4624" t="s">
        <v>220</v>
      </c>
      <c r="H4624">
        <v>10297</v>
      </c>
      <c r="I4624">
        <v>30.89</v>
      </c>
      <c r="J4624">
        <v>5.56</v>
      </c>
      <c r="K4624">
        <v>10260.549999999999</v>
      </c>
      <c r="L4624" s="5">
        <v>46292</v>
      </c>
      <c r="M4624" t="s">
        <v>9819</v>
      </c>
      <c r="N4624" t="s">
        <v>207</v>
      </c>
      <c r="O4624" t="s">
        <v>10011</v>
      </c>
      <c r="P4624" t="s">
        <v>208</v>
      </c>
      <c r="Q4624" t="s">
        <v>209</v>
      </c>
    </row>
    <row r="4625" spans="1:17" x14ac:dyDescent="0.3">
      <c r="A4625" t="s">
        <v>10012</v>
      </c>
      <c r="C4625" t="s">
        <v>10013</v>
      </c>
      <c r="D4625" t="s">
        <v>10013</v>
      </c>
      <c r="E4625" s="5">
        <v>46290</v>
      </c>
      <c r="F4625" t="s">
        <v>204</v>
      </c>
      <c r="G4625" t="s">
        <v>220</v>
      </c>
      <c r="H4625">
        <v>11097</v>
      </c>
      <c r="I4625">
        <v>33.29</v>
      </c>
      <c r="J4625">
        <v>5.99</v>
      </c>
      <c r="K4625">
        <v>11057.72</v>
      </c>
      <c r="L4625" s="5">
        <v>46292</v>
      </c>
      <c r="M4625" t="s">
        <v>9819</v>
      </c>
      <c r="N4625" t="s">
        <v>207</v>
      </c>
      <c r="O4625" t="s">
        <v>10013</v>
      </c>
      <c r="P4625" t="s">
        <v>208</v>
      </c>
      <c r="Q4625" t="s">
        <v>209</v>
      </c>
    </row>
    <row r="4626" spans="1:17" x14ac:dyDescent="0.3">
      <c r="A4626" t="s">
        <v>10014</v>
      </c>
      <c r="C4626" t="s">
        <v>10015</v>
      </c>
      <c r="D4626" t="s">
        <v>10016</v>
      </c>
      <c r="E4626" s="5">
        <v>46290</v>
      </c>
      <c r="F4626" t="s">
        <v>204</v>
      </c>
      <c r="G4626" t="s">
        <v>220</v>
      </c>
      <c r="H4626">
        <v>599</v>
      </c>
      <c r="I4626">
        <v>0</v>
      </c>
      <c r="J4626">
        <v>0</v>
      </c>
      <c r="K4626">
        <v>599</v>
      </c>
      <c r="L4626" s="5">
        <v>46292</v>
      </c>
      <c r="M4626" t="s">
        <v>9819</v>
      </c>
      <c r="N4626" t="s">
        <v>207</v>
      </c>
      <c r="O4626" t="s">
        <v>10016</v>
      </c>
      <c r="P4626" t="s">
        <v>208</v>
      </c>
      <c r="Q4626" t="s">
        <v>209</v>
      </c>
    </row>
    <row r="4627" spans="1:17" x14ac:dyDescent="0.3">
      <c r="A4627" t="s">
        <v>10017</v>
      </c>
      <c r="C4627" t="s">
        <v>10018</v>
      </c>
      <c r="D4627" t="s">
        <v>10018</v>
      </c>
      <c r="E4627" s="5">
        <v>46290</v>
      </c>
      <c r="F4627" t="s">
        <v>204</v>
      </c>
      <c r="G4627" t="s">
        <v>220</v>
      </c>
      <c r="H4627">
        <v>1798</v>
      </c>
      <c r="I4627">
        <v>0</v>
      </c>
      <c r="J4627">
        <v>0</v>
      </c>
      <c r="K4627">
        <v>1798</v>
      </c>
      <c r="L4627" s="5">
        <v>46292</v>
      </c>
      <c r="M4627" t="s">
        <v>9819</v>
      </c>
      <c r="N4627" t="s">
        <v>207</v>
      </c>
      <c r="O4627" t="s">
        <v>10018</v>
      </c>
      <c r="P4627" t="s">
        <v>208</v>
      </c>
      <c r="Q4627" t="s">
        <v>209</v>
      </c>
    </row>
    <row r="4628" spans="1:17" x14ac:dyDescent="0.3">
      <c r="A4628" t="s">
        <v>10019</v>
      </c>
      <c r="C4628" t="s">
        <v>10020</v>
      </c>
      <c r="D4628" t="s">
        <v>10020</v>
      </c>
      <c r="E4628" s="5">
        <v>46290</v>
      </c>
      <c r="F4628" t="s">
        <v>204</v>
      </c>
      <c r="G4628" t="s">
        <v>220</v>
      </c>
      <c r="H4628">
        <v>299</v>
      </c>
      <c r="I4628">
        <v>0</v>
      </c>
      <c r="J4628">
        <v>0</v>
      </c>
      <c r="K4628">
        <v>299</v>
      </c>
      <c r="L4628" s="5">
        <v>46292</v>
      </c>
      <c r="M4628" t="s">
        <v>9819</v>
      </c>
      <c r="N4628" t="s">
        <v>207</v>
      </c>
      <c r="O4628" t="s">
        <v>10020</v>
      </c>
      <c r="P4628" t="s">
        <v>208</v>
      </c>
      <c r="Q4628" t="s">
        <v>209</v>
      </c>
    </row>
    <row r="4629" spans="1:17" x14ac:dyDescent="0.3">
      <c r="A4629" t="s">
        <v>10021</v>
      </c>
      <c r="C4629" t="s">
        <v>10022</v>
      </c>
      <c r="D4629" t="s">
        <v>10022</v>
      </c>
      <c r="E4629" s="5">
        <v>46290</v>
      </c>
      <c r="F4629" t="s">
        <v>204</v>
      </c>
      <c r="G4629" t="s">
        <v>213</v>
      </c>
      <c r="H4629">
        <v>7498</v>
      </c>
      <c r="I4629">
        <v>119.97</v>
      </c>
      <c r="J4629">
        <v>21.59</v>
      </c>
      <c r="K4629">
        <v>7356.44</v>
      </c>
      <c r="L4629" s="5">
        <v>46292</v>
      </c>
      <c r="M4629" t="s">
        <v>9819</v>
      </c>
      <c r="N4629" t="s">
        <v>207</v>
      </c>
      <c r="O4629" t="s">
        <v>10022</v>
      </c>
      <c r="P4629" t="s">
        <v>208</v>
      </c>
      <c r="Q4629" t="s">
        <v>209</v>
      </c>
    </row>
    <row r="4630" spans="1:17" x14ac:dyDescent="0.3">
      <c r="A4630" t="s">
        <v>10023</v>
      </c>
      <c r="C4630" t="s">
        <v>10024</v>
      </c>
      <c r="D4630" t="s">
        <v>10024</v>
      </c>
      <c r="E4630" s="5">
        <v>46290</v>
      </c>
      <c r="F4630" t="s">
        <v>204</v>
      </c>
      <c r="G4630" t="s">
        <v>213</v>
      </c>
      <c r="H4630">
        <v>4999</v>
      </c>
      <c r="I4630">
        <v>79.98</v>
      </c>
      <c r="J4630">
        <v>14.4</v>
      </c>
      <c r="K4630">
        <v>4904.62</v>
      </c>
      <c r="L4630" s="5">
        <v>46292</v>
      </c>
      <c r="M4630" t="s">
        <v>9819</v>
      </c>
      <c r="N4630" t="s">
        <v>207</v>
      </c>
      <c r="O4630" t="s">
        <v>10024</v>
      </c>
      <c r="P4630" t="s">
        <v>208</v>
      </c>
      <c r="Q4630" t="s">
        <v>209</v>
      </c>
    </row>
    <row r="4631" spans="1:17" x14ac:dyDescent="0.3">
      <c r="A4631" t="s">
        <v>10025</v>
      </c>
      <c r="C4631" t="s">
        <v>10026</v>
      </c>
      <c r="D4631" t="s">
        <v>10026</v>
      </c>
      <c r="E4631" s="5">
        <v>46290</v>
      </c>
      <c r="F4631" t="s">
        <v>204</v>
      </c>
      <c r="G4631" t="s">
        <v>220</v>
      </c>
      <c r="H4631">
        <v>1299</v>
      </c>
      <c r="I4631">
        <v>0</v>
      </c>
      <c r="J4631">
        <v>0</v>
      </c>
      <c r="K4631">
        <v>1299</v>
      </c>
      <c r="L4631" s="5">
        <v>46292</v>
      </c>
      <c r="M4631" t="s">
        <v>9819</v>
      </c>
      <c r="N4631" t="s">
        <v>207</v>
      </c>
      <c r="O4631" t="s">
        <v>10026</v>
      </c>
      <c r="P4631" t="s">
        <v>208</v>
      </c>
      <c r="Q4631" t="s">
        <v>209</v>
      </c>
    </row>
    <row r="4632" spans="1:17" x14ac:dyDescent="0.3">
      <c r="A4632" t="s">
        <v>10027</v>
      </c>
      <c r="C4632" t="s">
        <v>10028</v>
      </c>
      <c r="D4632" t="s">
        <v>10028</v>
      </c>
      <c r="E4632" s="5">
        <v>46290</v>
      </c>
      <c r="F4632" t="s">
        <v>204</v>
      </c>
      <c r="G4632" t="s">
        <v>220</v>
      </c>
      <c r="H4632">
        <v>299</v>
      </c>
      <c r="I4632">
        <v>0</v>
      </c>
      <c r="J4632">
        <v>0</v>
      </c>
      <c r="K4632">
        <v>299</v>
      </c>
      <c r="L4632" s="5">
        <v>46292</v>
      </c>
      <c r="M4632" t="s">
        <v>9819</v>
      </c>
      <c r="N4632" t="s">
        <v>207</v>
      </c>
      <c r="O4632" t="s">
        <v>10028</v>
      </c>
      <c r="P4632" t="s">
        <v>208</v>
      </c>
      <c r="Q4632" t="s">
        <v>209</v>
      </c>
    </row>
    <row r="4633" spans="1:17" x14ac:dyDescent="0.3">
      <c r="A4633" t="s">
        <v>10029</v>
      </c>
      <c r="C4633" t="s">
        <v>10030</v>
      </c>
      <c r="D4633" t="s">
        <v>10030</v>
      </c>
      <c r="E4633" s="5">
        <v>46290</v>
      </c>
      <c r="F4633" t="s">
        <v>204</v>
      </c>
      <c r="G4633" t="s">
        <v>220</v>
      </c>
      <c r="H4633">
        <v>6997</v>
      </c>
      <c r="I4633">
        <v>20.99</v>
      </c>
      <c r="J4633">
        <v>3.78</v>
      </c>
      <c r="K4633">
        <v>6972.23</v>
      </c>
      <c r="L4633" s="5">
        <v>46292</v>
      </c>
      <c r="M4633" t="s">
        <v>9819</v>
      </c>
      <c r="N4633" t="s">
        <v>207</v>
      </c>
      <c r="O4633" t="s">
        <v>10030</v>
      </c>
      <c r="P4633" t="s">
        <v>208</v>
      </c>
      <c r="Q4633" t="s">
        <v>209</v>
      </c>
    </row>
    <row r="4634" spans="1:17" x14ac:dyDescent="0.3">
      <c r="A4634" t="s">
        <v>10031</v>
      </c>
      <c r="C4634" t="s">
        <v>10032</v>
      </c>
      <c r="D4634" t="s">
        <v>10032</v>
      </c>
      <c r="E4634" s="5">
        <v>46290</v>
      </c>
      <c r="F4634" t="s">
        <v>204</v>
      </c>
      <c r="G4634" t="s">
        <v>220</v>
      </c>
      <c r="H4634">
        <v>7999</v>
      </c>
      <c r="I4634">
        <v>24</v>
      </c>
      <c r="J4634">
        <v>4.32</v>
      </c>
      <c r="K4634">
        <v>7970.68</v>
      </c>
      <c r="L4634" s="5">
        <v>46292</v>
      </c>
      <c r="M4634" t="s">
        <v>9819</v>
      </c>
      <c r="N4634" t="s">
        <v>207</v>
      </c>
      <c r="O4634" t="s">
        <v>10032</v>
      </c>
      <c r="P4634" t="s">
        <v>208</v>
      </c>
      <c r="Q4634" t="s">
        <v>209</v>
      </c>
    </row>
    <row r="4635" spans="1:17" x14ac:dyDescent="0.3">
      <c r="A4635" t="s">
        <v>10033</v>
      </c>
      <c r="C4635" t="s">
        <v>10034</v>
      </c>
      <c r="D4635" t="s">
        <v>10035</v>
      </c>
      <c r="E4635" s="5">
        <v>46290</v>
      </c>
      <c r="F4635" t="s">
        <v>204</v>
      </c>
      <c r="G4635" t="s">
        <v>220</v>
      </c>
      <c r="H4635">
        <v>3998</v>
      </c>
      <c r="I4635">
        <v>11.99</v>
      </c>
      <c r="J4635">
        <v>2.16</v>
      </c>
      <c r="K4635">
        <v>3983.85</v>
      </c>
      <c r="L4635" s="5">
        <v>46292</v>
      </c>
      <c r="M4635" t="s">
        <v>9819</v>
      </c>
      <c r="N4635" t="s">
        <v>207</v>
      </c>
      <c r="O4635" t="s">
        <v>10035</v>
      </c>
      <c r="P4635" t="s">
        <v>208</v>
      </c>
      <c r="Q4635" t="s">
        <v>209</v>
      </c>
    </row>
    <row r="4636" spans="1:17" x14ac:dyDescent="0.3">
      <c r="A4636" t="s">
        <v>10036</v>
      </c>
      <c r="C4636" t="s">
        <v>10037</v>
      </c>
      <c r="D4636" t="s">
        <v>10037</v>
      </c>
      <c r="E4636" s="5">
        <v>46290</v>
      </c>
      <c r="F4636" t="s">
        <v>204</v>
      </c>
      <c r="G4636" t="s">
        <v>220</v>
      </c>
      <c r="H4636">
        <v>6798</v>
      </c>
      <c r="I4636">
        <v>20.39</v>
      </c>
      <c r="J4636">
        <v>3.67</v>
      </c>
      <c r="K4636">
        <v>6773.94</v>
      </c>
      <c r="L4636" s="5">
        <v>46292</v>
      </c>
      <c r="M4636" t="s">
        <v>9819</v>
      </c>
      <c r="N4636" t="s">
        <v>207</v>
      </c>
      <c r="O4636" t="s">
        <v>10037</v>
      </c>
      <c r="P4636" t="s">
        <v>208</v>
      </c>
      <c r="Q4636" t="s">
        <v>209</v>
      </c>
    </row>
    <row r="4637" spans="1:17" x14ac:dyDescent="0.3">
      <c r="A4637" t="s">
        <v>10038</v>
      </c>
      <c r="C4637" t="s">
        <v>10039</v>
      </c>
      <c r="D4637" t="s">
        <v>10039</v>
      </c>
      <c r="E4637" s="5">
        <v>46290</v>
      </c>
      <c r="F4637" t="s">
        <v>204</v>
      </c>
      <c r="G4637" t="s">
        <v>213</v>
      </c>
      <c r="H4637">
        <v>3998</v>
      </c>
      <c r="I4637">
        <v>63.97</v>
      </c>
      <c r="J4637">
        <v>11.51</v>
      </c>
      <c r="K4637">
        <v>3922.52</v>
      </c>
      <c r="L4637" s="5">
        <v>46292</v>
      </c>
      <c r="M4637" t="s">
        <v>9819</v>
      </c>
      <c r="N4637" t="s">
        <v>207</v>
      </c>
      <c r="O4637" t="s">
        <v>10039</v>
      </c>
      <c r="P4637" t="s">
        <v>208</v>
      </c>
      <c r="Q4637" t="s">
        <v>209</v>
      </c>
    </row>
    <row r="4638" spans="1:17" x14ac:dyDescent="0.3">
      <c r="A4638" t="s">
        <v>10040</v>
      </c>
      <c r="C4638" t="s">
        <v>10041</v>
      </c>
      <c r="D4638" t="s">
        <v>10041</v>
      </c>
      <c r="E4638" s="5">
        <v>46290</v>
      </c>
      <c r="F4638" t="s">
        <v>204</v>
      </c>
      <c r="G4638" t="s">
        <v>220</v>
      </c>
      <c r="H4638">
        <v>2999</v>
      </c>
      <c r="I4638">
        <v>9</v>
      </c>
      <c r="J4638">
        <v>1.62</v>
      </c>
      <c r="K4638">
        <v>2988.38</v>
      </c>
      <c r="L4638" s="5">
        <v>46292</v>
      </c>
      <c r="M4638" t="s">
        <v>9819</v>
      </c>
      <c r="N4638" t="s">
        <v>207</v>
      </c>
      <c r="O4638" t="s">
        <v>10041</v>
      </c>
      <c r="P4638" t="s">
        <v>208</v>
      </c>
      <c r="Q4638" t="s">
        <v>209</v>
      </c>
    </row>
    <row r="4639" spans="1:17" x14ac:dyDescent="0.3">
      <c r="A4639" t="s">
        <v>10042</v>
      </c>
      <c r="C4639" t="s">
        <v>10043</v>
      </c>
      <c r="D4639" t="s">
        <v>10044</v>
      </c>
      <c r="E4639" s="5">
        <v>46290</v>
      </c>
      <c r="F4639" t="s">
        <v>204</v>
      </c>
      <c r="G4639" t="s">
        <v>220</v>
      </c>
      <c r="H4639">
        <v>4999</v>
      </c>
      <c r="I4639">
        <v>15</v>
      </c>
      <c r="J4639">
        <v>2.7</v>
      </c>
      <c r="K4639">
        <v>4981.3</v>
      </c>
      <c r="L4639" s="5">
        <v>46292</v>
      </c>
      <c r="M4639" t="s">
        <v>9819</v>
      </c>
      <c r="N4639" t="s">
        <v>207</v>
      </c>
      <c r="O4639" t="s">
        <v>10044</v>
      </c>
      <c r="P4639" t="s">
        <v>208</v>
      </c>
      <c r="Q4639" t="s">
        <v>209</v>
      </c>
    </row>
    <row r="4640" spans="1:17" x14ac:dyDescent="0.3">
      <c r="A4640" t="s">
        <v>10045</v>
      </c>
      <c r="C4640" t="s">
        <v>10046</v>
      </c>
      <c r="D4640" t="s">
        <v>10046</v>
      </c>
      <c r="E4640" s="5">
        <v>46290</v>
      </c>
      <c r="F4640" t="s">
        <v>204</v>
      </c>
      <c r="G4640" t="s">
        <v>220</v>
      </c>
      <c r="H4640">
        <v>2499</v>
      </c>
      <c r="I4640">
        <v>7.5</v>
      </c>
      <c r="J4640">
        <v>1.35</v>
      </c>
      <c r="K4640">
        <v>2490.15</v>
      </c>
      <c r="L4640" s="5">
        <v>46292</v>
      </c>
      <c r="M4640" t="s">
        <v>9819</v>
      </c>
      <c r="N4640" t="s">
        <v>207</v>
      </c>
      <c r="O4640" t="s">
        <v>10046</v>
      </c>
      <c r="P4640" t="s">
        <v>208</v>
      </c>
      <c r="Q4640" t="s">
        <v>209</v>
      </c>
    </row>
    <row r="4641" spans="1:17" x14ac:dyDescent="0.3">
      <c r="A4641" t="s">
        <v>10047</v>
      </c>
      <c r="C4641" t="s">
        <v>10048</v>
      </c>
      <c r="D4641" t="s">
        <v>10048</v>
      </c>
      <c r="E4641" s="5">
        <v>46290</v>
      </c>
      <c r="F4641" t="s">
        <v>204</v>
      </c>
      <c r="G4641" t="s">
        <v>213</v>
      </c>
      <c r="H4641">
        <v>3998</v>
      </c>
      <c r="I4641">
        <v>63.97</v>
      </c>
      <c r="J4641">
        <v>11.51</v>
      </c>
      <c r="K4641">
        <v>3922.52</v>
      </c>
      <c r="L4641" s="5">
        <v>46292</v>
      </c>
      <c r="M4641" t="s">
        <v>9819</v>
      </c>
      <c r="N4641" t="s">
        <v>207</v>
      </c>
      <c r="O4641" t="s">
        <v>10048</v>
      </c>
      <c r="P4641" t="s">
        <v>208</v>
      </c>
      <c r="Q4641" t="s">
        <v>209</v>
      </c>
    </row>
    <row r="4642" spans="1:17" x14ac:dyDescent="0.3">
      <c r="A4642" t="s">
        <v>10049</v>
      </c>
      <c r="C4642" t="s">
        <v>10050</v>
      </c>
      <c r="D4642" t="s">
        <v>10051</v>
      </c>
      <c r="E4642" s="5">
        <v>46290</v>
      </c>
      <c r="F4642" t="s">
        <v>204</v>
      </c>
      <c r="G4642" t="s">
        <v>220</v>
      </c>
      <c r="H4642">
        <v>299</v>
      </c>
      <c r="I4642">
        <v>0</v>
      </c>
      <c r="J4642">
        <v>0</v>
      </c>
      <c r="K4642">
        <v>299</v>
      </c>
      <c r="L4642" s="5">
        <v>46292</v>
      </c>
      <c r="M4642" t="s">
        <v>9819</v>
      </c>
      <c r="N4642" t="s">
        <v>207</v>
      </c>
      <c r="O4642" t="s">
        <v>10051</v>
      </c>
      <c r="P4642" t="s">
        <v>208</v>
      </c>
      <c r="Q4642" t="s">
        <v>209</v>
      </c>
    </row>
    <row r="4643" spans="1:17" x14ac:dyDescent="0.3">
      <c r="A4643" t="s">
        <v>10052</v>
      </c>
      <c r="C4643" t="s">
        <v>10053</v>
      </c>
      <c r="D4643" t="s">
        <v>10053</v>
      </c>
      <c r="E4643" s="5">
        <v>46290</v>
      </c>
      <c r="F4643" t="s">
        <v>204</v>
      </c>
      <c r="G4643" t="s">
        <v>213</v>
      </c>
      <c r="H4643">
        <v>4298</v>
      </c>
      <c r="I4643">
        <v>68.77</v>
      </c>
      <c r="J4643">
        <v>12.38</v>
      </c>
      <c r="K4643">
        <v>4216.8500000000004</v>
      </c>
      <c r="L4643" s="5">
        <v>46292</v>
      </c>
      <c r="M4643" t="s">
        <v>9819</v>
      </c>
      <c r="N4643" t="s">
        <v>207</v>
      </c>
      <c r="O4643" t="s">
        <v>10053</v>
      </c>
      <c r="P4643" t="s">
        <v>208</v>
      </c>
      <c r="Q4643" t="s">
        <v>209</v>
      </c>
    </row>
    <row r="4644" spans="1:17" x14ac:dyDescent="0.3">
      <c r="A4644" t="s">
        <v>10054</v>
      </c>
      <c r="C4644" t="s">
        <v>10055</v>
      </c>
      <c r="D4644" t="s">
        <v>10055</v>
      </c>
      <c r="E4644" s="5">
        <v>46290</v>
      </c>
      <c r="F4644" t="s">
        <v>204</v>
      </c>
      <c r="G4644" t="s">
        <v>220</v>
      </c>
      <c r="H4644">
        <v>299</v>
      </c>
      <c r="I4644">
        <v>0</v>
      </c>
      <c r="J4644">
        <v>0</v>
      </c>
      <c r="K4644">
        <v>299</v>
      </c>
      <c r="L4644" s="5">
        <v>46292</v>
      </c>
      <c r="M4644" t="s">
        <v>9819</v>
      </c>
      <c r="N4644" t="s">
        <v>207</v>
      </c>
      <c r="O4644" t="s">
        <v>10055</v>
      </c>
      <c r="P4644" t="s">
        <v>208</v>
      </c>
      <c r="Q4644" t="s">
        <v>209</v>
      </c>
    </row>
    <row r="4645" spans="1:17" x14ac:dyDescent="0.3">
      <c r="A4645" t="s">
        <v>10056</v>
      </c>
      <c r="C4645" t="s">
        <v>10057</v>
      </c>
      <c r="D4645" t="s">
        <v>10057</v>
      </c>
      <c r="E4645" s="5">
        <v>46290</v>
      </c>
      <c r="F4645" t="s">
        <v>204</v>
      </c>
      <c r="G4645" t="s">
        <v>220</v>
      </c>
      <c r="H4645">
        <v>299</v>
      </c>
      <c r="I4645">
        <v>0</v>
      </c>
      <c r="J4645">
        <v>0</v>
      </c>
      <c r="K4645">
        <v>299</v>
      </c>
      <c r="L4645" s="5">
        <v>46292</v>
      </c>
      <c r="M4645" t="s">
        <v>9819</v>
      </c>
      <c r="N4645" t="s">
        <v>207</v>
      </c>
      <c r="O4645" t="s">
        <v>10057</v>
      </c>
      <c r="P4645" t="s">
        <v>208</v>
      </c>
      <c r="Q4645" t="s">
        <v>209</v>
      </c>
    </row>
    <row r="4646" spans="1:17" x14ac:dyDescent="0.3">
      <c r="A4646" t="s">
        <v>10058</v>
      </c>
      <c r="C4646" t="s">
        <v>10059</v>
      </c>
      <c r="D4646" t="s">
        <v>10059</v>
      </c>
      <c r="E4646" s="5">
        <v>46290</v>
      </c>
      <c r="F4646" t="s">
        <v>204</v>
      </c>
      <c r="G4646" t="s">
        <v>205</v>
      </c>
      <c r="H4646">
        <v>3298</v>
      </c>
      <c r="I4646">
        <v>56.07</v>
      </c>
      <c r="J4646">
        <v>10.09</v>
      </c>
      <c r="K4646">
        <v>3231.84</v>
      </c>
      <c r="L4646" s="5">
        <v>46292</v>
      </c>
      <c r="M4646" t="s">
        <v>9819</v>
      </c>
      <c r="N4646" t="s">
        <v>207</v>
      </c>
      <c r="O4646" t="s">
        <v>10059</v>
      </c>
      <c r="P4646" t="s">
        <v>208</v>
      </c>
      <c r="Q4646" t="s">
        <v>209</v>
      </c>
    </row>
    <row r="4647" spans="1:17" x14ac:dyDescent="0.3">
      <c r="A4647" t="s">
        <v>10060</v>
      </c>
      <c r="C4647" t="s">
        <v>10061</v>
      </c>
      <c r="D4647" t="s">
        <v>10061</v>
      </c>
      <c r="E4647" s="5">
        <v>46290</v>
      </c>
      <c r="F4647" t="s">
        <v>204</v>
      </c>
      <c r="G4647" t="s">
        <v>213</v>
      </c>
      <c r="H4647">
        <v>6798</v>
      </c>
      <c r="I4647">
        <v>108.77</v>
      </c>
      <c r="J4647">
        <v>19.579999999999998</v>
      </c>
      <c r="K4647">
        <v>6669.65</v>
      </c>
      <c r="L4647" s="5">
        <v>46292</v>
      </c>
      <c r="M4647" t="s">
        <v>9819</v>
      </c>
      <c r="N4647" t="s">
        <v>207</v>
      </c>
      <c r="O4647" t="s">
        <v>10061</v>
      </c>
      <c r="P4647" t="s">
        <v>208</v>
      </c>
      <c r="Q4647" t="s">
        <v>209</v>
      </c>
    </row>
    <row r="4648" spans="1:17" x14ac:dyDescent="0.3">
      <c r="A4648" t="s">
        <v>10062</v>
      </c>
      <c r="C4648" t="s">
        <v>10063</v>
      </c>
      <c r="D4648" t="s">
        <v>10063</v>
      </c>
      <c r="E4648" s="5">
        <v>46290</v>
      </c>
      <c r="F4648" t="s">
        <v>204</v>
      </c>
      <c r="G4648" t="s">
        <v>205</v>
      </c>
      <c r="H4648">
        <v>6797</v>
      </c>
      <c r="I4648">
        <v>115.55</v>
      </c>
      <c r="J4648">
        <v>20.8</v>
      </c>
      <c r="K4648">
        <v>6660.65</v>
      </c>
      <c r="L4648" s="5">
        <v>46292</v>
      </c>
      <c r="M4648" t="s">
        <v>9819</v>
      </c>
      <c r="N4648" t="s">
        <v>207</v>
      </c>
      <c r="O4648" t="s">
        <v>10063</v>
      </c>
      <c r="P4648" t="s">
        <v>208</v>
      </c>
      <c r="Q4648" t="s">
        <v>209</v>
      </c>
    </row>
    <row r="4649" spans="1:17" x14ac:dyDescent="0.3">
      <c r="A4649" t="s">
        <v>10064</v>
      </c>
      <c r="C4649" t="s">
        <v>10065</v>
      </c>
      <c r="D4649" t="s">
        <v>10065</v>
      </c>
      <c r="E4649" s="5">
        <v>46290</v>
      </c>
      <c r="F4649" t="s">
        <v>204</v>
      </c>
      <c r="G4649" t="s">
        <v>220</v>
      </c>
      <c r="H4649">
        <v>1148</v>
      </c>
      <c r="I4649">
        <v>0</v>
      </c>
      <c r="J4649">
        <v>0</v>
      </c>
      <c r="K4649">
        <v>1148</v>
      </c>
      <c r="L4649" s="5">
        <v>46292</v>
      </c>
      <c r="M4649" t="s">
        <v>9819</v>
      </c>
      <c r="N4649" t="s">
        <v>207</v>
      </c>
      <c r="O4649" t="s">
        <v>10065</v>
      </c>
      <c r="P4649" t="s">
        <v>208</v>
      </c>
      <c r="Q4649" t="s">
        <v>209</v>
      </c>
    </row>
    <row r="4650" spans="1:17" x14ac:dyDescent="0.3">
      <c r="A4650" t="s">
        <v>10066</v>
      </c>
      <c r="C4650" t="s">
        <v>10067</v>
      </c>
      <c r="D4650" t="s">
        <v>10067</v>
      </c>
      <c r="E4650" s="5">
        <v>46290</v>
      </c>
      <c r="F4650" t="s">
        <v>204</v>
      </c>
      <c r="G4650" t="s">
        <v>220</v>
      </c>
      <c r="H4650">
        <v>7999</v>
      </c>
      <c r="I4650">
        <v>24</v>
      </c>
      <c r="J4650">
        <v>4.32</v>
      </c>
      <c r="K4650">
        <v>7970.68</v>
      </c>
      <c r="L4650" s="5">
        <v>46292</v>
      </c>
      <c r="M4650" t="s">
        <v>9819</v>
      </c>
      <c r="N4650" t="s">
        <v>207</v>
      </c>
      <c r="O4650" t="s">
        <v>10067</v>
      </c>
      <c r="P4650" t="s">
        <v>208</v>
      </c>
      <c r="Q4650" t="s">
        <v>209</v>
      </c>
    </row>
    <row r="4651" spans="1:17" x14ac:dyDescent="0.3">
      <c r="A4651" t="s">
        <v>10068</v>
      </c>
      <c r="C4651" t="s">
        <v>10069</v>
      </c>
      <c r="D4651" t="s">
        <v>10069</v>
      </c>
      <c r="E4651" s="5">
        <v>46290</v>
      </c>
      <c r="F4651" t="s">
        <v>204</v>
      </c>
      <c r="G4651" t="s">
        <v>213</v>
      </c>
      <c r="H4651">
        <v>499</v>
      </c>
      <c r="I4651">
        <v>8.98</v>
      </c>
      <c r="J4651">
        <v>1.62</v>
      </c>
      <c r="K4651">
        <v>488.4</v>
      </c>
      <c r="L4651" s="5">
        <v>46292</v>
      </c>
      <c r="M4651" t="s">
        <v>9819</v>
      </c>
      <c r="N4651" t="s">
        <v>207</v>
      </c>
      <c r="O4651" t="s">
        <v>10069</v>
      </c>
      <c r="P4651" t="s">
        <v>208</v>
      </c>
      <c r="Q4651" t="s">
        <v>209</v>
      </c>
    </row>
    <row r="4652" spans="1:17" x14ac:dyDescent="0.3">
      <c r="A4652" t="s">
        <v>10070</v>
      </c>
      <c r="C4652" t="s">
        <v>10071</v>
      </c>
      <c r="D4652" t="s">
        <v>10072</v>
      </c>
      <c r="E4652" s="5">
        <v>46290</v>
      </c>
      <c r="F4652" t="s">
        <v>204</v>
      </c>
      <c r="G4652" t="s">
        <v>220</v>
      </c>
      <c r="H4652">
        <v>2798</v>
      </c>
      <c r="I4652">
        <v>8.39</v>
      </c>
      <c r="J4652">
        <v>1.51</v>
      </c>
      <c r="K4652">
        <v>2788.1</v>
      </c>
      <c r="L4652" s="5">
        <v>46292</v>
      </c>
      <c r="M4652" t="s">
        <v>9819</v>
      </c>
      <c r="N4652" t="s">
        <v>207</v>
      </c>
      <c r="O4652" t="s">
        <v>10072</v>
      </c>
      <c r="P4652" t="s">
        <v>208</v>
      </c>
      <c r="Q4652" t="s">
        <v>209</v>
      </c>
    </row>
    <row r="4653" spans="1:17" x14ac:dyDescent="0.3">
      <c r="A4653" t="s">
        <v>10073</v>
      </c>
      <c r="C4653" t="s">
        <v>10074</v>
      </c>
      <c r="D4653" t="s">
        <v>10075</v>
      </c>
      <c r="E4653" s="5">
        <v>46290</v>
      </c>
      <c r="F4653" t="s">
        <v>204</v>
      </c>
      <c r="G4653" t="s">
        <v>220</v>
      </c>
      <c r="H4653">
        <v>10998</v>
      </c>
      <c r="I4653">
        <v>32.99</v>
      </c>
      <c r="J4653">
        <v>5.94</v>
      </c>
      <c r="K4653">
        <v>10959.07</v>
      </c>
      <c r="L4653" s="5">
        <v>46292</v>
      </c>
      <c r="M4653" t="s">
        <v>9819</v>
      </c>
      <c r="N4653" t="s">
        <v>207</v>
      </c>
      <c r="O4653" t="s">
        <v>10075</v>
      </c>
      <c r="P4653" t="s">
        <v>208</v>
      </c>
      <c r="Q4653" t="s">
        <v>209</v>
      </c>
    </row>
    <row r="4654" spans="1:17" x14ac:dyDescent="0.3">
      <c r="A4654" t="s">
        <v>10076</v>
      </c>
      <c r="C4654" t="s">
        <v>10077</v>
      </c>
      <c r="D4654" t="s">
        <v>10077</v>
      </c>
      <c r="E4654" s="5">
        <v>46290</v>
      </c>
      <c r="F4654" t="s">
        <v>204</v>
      </c>
      <c r="G4654" t="s">
        <v>220</v>
      </c>
      <c r="H4654">
        <v>3098</v>
      </c>
      <c r="I4654">
        <v>9.2899999999999991</v>
      </c>
      <c r="J4654">
        <v>1.67</v>
      </c>
      <c r="K4654">
        <v>3087.04</v>
      </c>
      <c r="L4654" s="5">
        <v>46292</v>
      </c>
      <c r="M4654" t="s">
        <v>9819</v>
      </c>
      <c r="N4654" t="s">
        <v>207</v>
      </c>
      <c r="O4654" t="s">
        <v>10077</v>
      </c>
      <c r="P4654" t="s">
        <v>208</v>
      </c>
      <c r="Q4654" t="s">
        <v>209</v>
      </c>
    </row>
    <row r="4655" spans="1:17" x14ac:dyDescent="0.3">
      <c r="A4655" t="s">
        <v>10078</v>
      </c>
      <c r="C4655" t="s">
        <v>10079</v>
      </c>
      <c r="D4655" t="s">
        <v>10079</v>
      </c>
      <c r="E4655" s="5">
        <v>46290</v>
      </c>
      <c r="F4655" t="s">
        <v>204</v>
      </c>
      <c r="G4655" t="s">
        <v>220</v>
      </c>
      <c r="H4655">
        <v>11597</v>
      </c>
      <c r="I4655">
        <v>34.79</v>
      </c>
      <c r="J4655">
        <v>6.26</v>
      </c>
      <c r="K4655">
        <v>11555.95</v>
      </c>
      <c r="L4655" s="5">
        <v>46292</v>
      </c>
      <c r="M4655" t="s">
        <v>9819</v>
      </c>
      <c r="N4655" t="s">
        <v>207</v>
      </c>
      <c r="O4655" t="s">
        <v>10079</v>
      </c>
      <c r="P4655" t="s">
        <v>208</v>
      </c>
      <c r="Q4655" t="s">
        <v>209</v>
      </c>
    </row>
    <row r="4656" spans="1:17" x14ac:dyDescent="0.3">
      <c r="A4656" t="s">
        <v>10080</v>
      </c>
      <c r="C4656" t="s">
        <v>10081</v>
      </c>
      <c r="D4656" t="s">
        <v>10081</v>
      </c>
      <c r="E4656" s="5">
        <v>46290</v>
      </c>
      <c r="F4656" t="s">
        <v>204</v>
      </c>
      <c r="G4656" t="s">
        <v>220</v>
      </c>
      <c r="H4656">
        <v>2499</v>
      </c>
      <c r="I4656">
        <v>7.5</v>
      </c>
      <c r="J4656">
        <v>1.35</v>
      </c>
      <c r="K4656">
        <v>2490.15</v>
      </c>
      <c r="L4656" s="5">
        <v>46292</v>
      </c>
      <c r="M4656" t="s">
        <v>9819</v>
      </c>
      <c r="N4656" t="s">
        <v>207</v>
      </c>
      <c r="O4656" t="s">
        <v>10081</v>
      </c>
      <c r="P4656" t="s">
        <v>208</v>
      </c>
      <c r="Q4656" t="s">
        <v>209</v>
      </c>
    </row>
    <row r="4657" spans="1:17" x14ac:dyDescent="0.3">
      <c r="A4657" t="s">
        <v>10082</v>
      </c>
      <c r="C4657" t="s">
        <v>10083</v>
      </c>
      <c r="D4657" t="s">
        <v>10083</v>
      </c>
      <c r="E4657" s="5">
        <v>46290</v>
      </c>
      <c r="F4657" t="s">
        <v>204</v>
      </c>
      <c r="G4657" t="s">
        <v>213</v>
      </c>
      <c r="H4657">
        <v>5998</v>
      </c>
      <c r="I4657">
        <v>95.97</v>
      </c>
      <c r="J4657">
        <v>17.27</v>
      </c>
      <c r="K4657">
        <v>5884.76</v>
      </c>
      <c r="L4657" s="5">
        <v>46292</v>
      </c>
      <c r="M4657" t="s">
        <v>9819</v>
      </c>
      <c r="N4657" t="s">
        <v>207</v>
      </c>
      <c r="O4657" t="s">
        <v>10083</v>
      </c>
      <c r="P4657" t="s">
        <v>208</v>
      </c>
      <c r="Q4657" t="s">
        <v>209</v>
      </c>
    </row>
    <row r="4658" spans="1:17" x14ac:dyDescent="0.3">
      <c r="A4658" t="s">
        <v>10084</v>
      </c>
      <c r="C4658" t="s">
        <v>10085</v>
      </c>
      <c r="D4658" t="s">
        <v>10085</v>
      </c>
      <c r="E4658" s="5">
        <v>46290</v>
      </c>
      <c r="F4658" t="s">
        <v>204</v>
      </c>
      <c r="G4658" t="s">
        <v>220</v>
      </c>
      <c r="H4658">
        <v>4798</v>
      </c>
      <c r="I4658">
        <v>14.39</v>
      </c>
      <c r="J4658">
        <v>2.59</v>
      </c>
      <c r="K4658">
        <v>4781.0200000000004</v>
      </c>
      <c r="L4658" s="5">
        <v>46292</v>
      </c>
      <c r="M4658" t="s">
        <v>9819</v>
      </c>
      <c r="N4658" t="s">
        <v>207</v>
      </c>
      <c r="O4658" t="s">
        <v>10085</v>
      </c>
      <c r="P4658" t="s">
        <v>208</v>
      </c>
      <c r="Q4658" t="s">
        <v>209</v>
      </c>
    </row>
    <row r="4659" spans="1:17" x14ac:dyDescent="0.3">
      <c r="A4659" t="s">
        <v>10086</v>
      </c>
      <c r="C4659" t="s">
        <v>10087</v>
      </c>
      <c r="D4659" t="s">
        <v>10087</v>
      </c>
      <c r="E4659" s="5">
        <v>46290</v>
      </c>
      <c r="F4659" t="s">
        <v>204</v>
      </c>
      <c r="G4659" t="s">
        <v>220</v>
      </c>
      <c r="H4659">
        <v>599</v>
      </c>
      <c r="I4659">
        <v>0</v>
      </c>
      <c r="J4659">
        <v>0</v>
      </c>
      <c r="K4659">
        <v>599</v>
      </c>
      <c r="L4659" s="5">
        <v>46292</v>
      </c>
      <c r="M4659" t="s">
        <v>9819</v>
      </c>
      <c r="N4659" t="s">
        <v>207</v>
      </c>
      <c r="O4659" t="s">
        <v>10087</v>
      </c>
      <c r="P4659" t="s">
        <v>208</v>
      </c>
      <c r="Q4659" t="s">
        <v>209</v>
      </c>
    </row>
    <row r="4660" spans="1:17" x14ac:dyDescent="0.3">
      <c r="A4660" t="s">
        <v>10088</v>
      </c>
      <c r="C4660" t="s">
        <v>10089</v>
      </c>
      <c r="D4660" t="s">
        <v>10089</v>
      </c>
      <c r="E4660" s="5">
        <v>46290</v>
      </c>
      <c r="F4660" t="s">
        <v>204</v>
      </c>
      <c r="G4660" t="s">
        <v>205</v>
      </c>
      <c r="H4660">
        <v>3397</v>
      </c>
      <c r="I4660">
        <v>57.75</v>
      </c>
      <c r="J4660">
        <v>10.4</v>
      </c>
      <c r="K4660">
        <v>3328.85</v>
      </c>
      <c r="L4660" s="5">
        <v>46292</v>
      </c>
      <c r="M4660" t="s">
        <v>9819</v>
      </c>
      <c r="N4660" t="s">
        <v>207</v>
      </c>
      <c r="O4660" t="s">
        <v>10089</v>
      </c>
      <c r="P4660" t="s">
        <v>208</v>
      </c>
      <c r="Q4660" t="s">
        <v>209</v>
      </c>
    </row>
    <row r="4661" spans="1:17" x14ac:dyDescent="0.3">
      <c r="A4661" t="s">
        <v>10090</v>
      </c>
      <c r="C4661" t="s">
        <v>10091</v>
      </c>
      <c r="D4661" t="s">
        <v>10091</v>
      </c>
      <c r="E4661" s="5">
        <v>46290</v>
      </c>
      <c r="F4661" t="s">
        <v>204</v>
      </c>
      <c r="G4661" t="s">
        <v>220</v>
      </c>
      <c r="H4661">
        <v>349</v>
      </c>
      <c r="I4661">
        <v>0</v>
      </c>
      <c r="J4661">
        <v>0</v>
      </c>
      <c r="K4661">
        <v>349</v>
      </c>
      <c r="L4661" s="5">
        <v>46292</v>
      </c>
      <c r="M4661" t="s">
        <v>9819</v>
      </c>
      <c r="N4661" t="s">
        <v>207</v>
      </c>
      <c r="O4661" t="s">
        <v>10091</v>
      </c>
      <c r="P4661" t="s">
        <v>208</v>
      </c>
      <c r="Q4661" t="s">
        <v>209</v>
      </c>
    </row>
    <row r="4662" spans="1:17" x14ac:dyDescent="0.3">
      <c r="A4662" t="s">
        <v>10092</v>
      </c>
      <c r="C4662" t="s">
        <v>10093</v>
      </c>
      <c r="D4662" t="s">
        <v>10093</v>
      </c>
      <c r="E4662" s="5">
        <v>46290</v>
      </c>
      <c r="F4662" t="s">
        <v>204</v>
      </c>
      <c r="G4662" t="s">
        <v>213</v>
      </c>
      <c r="H4662">
        <v>299</v>
      </c>
      <c r="I4662">
        <v>5.38</v>
      </c>
      <c r="J4662">
        <v>0.97</v>
      </c>
      <c r="K4662">
        <v>292.64999999999998</v>
      </c>
      <c r="L4662" s="5">
        <v>46292</v>
      </c>
      <c r="M4662" t="s">
        <v>9819</v>
      </c>
      <c r="N4662" t="s">
        <v>207</v>
      </c>
      <c r="O4662" t="s">
        <v>10093</v>
      </c>
      <c r="P4662" t="s">
        <v>208</v>
      </c>
      <c r="Q4662" t="s">
        <v>209</v>
      </c>
    </row>
    <row r="4663" spans="1:17" x14ac:dyDescent="0.3">
      <c r="A4663" t="s">
        <v>10094</v>
      </c>
      <c r="C4663" t="s">
        <v>10095</v>
      </c>
      <c r="D4663" t="s">
        <v>10095</v>
      </c>
      <c r="E4663" s="5">
        <v>46290</v>
      </c>
      <c r="F4663" t="s">
        <v>204</v>
      </c>
      <c r="G4663" t="s">
        <v>220</v>
      </c>
      <c r="H4663">
        <v>2999</v>
      </c>
      <c r="I4663">
        <v>9</v>
      </c>
      <c r="J4663">
        <v>1.62</v>
      </c>
      <c r="K4663">
        <v>2988.38</v>
      </c>
      <c r="L4663" s="5">
        <v>46292</v>
      </c>
      <c r="M4663" t="s">
        <v>9819</v>
      </c>
      <c r="N4663" t="s">
        <v>207</v>
      </c>
      <c r="O4663" t="s">
        <v>10095</v>
      </c>
      <c r="P4663" t="s">
        <v>208</v>
      </c>
      <c r="Q4663" t="s">
        <v>209</v>
      </c>
    </row>
    <row r="4664" spans="1:17" x14ac:dyDescent="0.3">
      <c r="A4664" t="s">
        <v>10096</v>
      </c>
      <c r="C4664" t="s">
        <v>10097</v>
      </c>
      <c r="D4664" t="s">
        <v>10097</v>
      </c>
      <c r="E4664" s="5">
        <v>46290</v>
      </c>
      <c r="F4664" t="s">
        <v>204</v>
      </c>
      <c r="G4664" t="s">
        <v>213</v>
      </c>
      <c r="H4664">
        <v>349</v>
      </c>
      <c r="I4664">
        <v>6.28</v>
      </c>
      <c r="J4664">
        <v>1.1299999999999999</v>
      </c>
      <c r="K4664">
        <v>341.59</v>
      </c>
      <c r="L4664" s="5">
        <v>46292</v>
      </c>
      <c r="M4664" t="s">
        <v>9819</v>
      </c>
      <c r="N4664" t="s">
        <v>207</v>
      </c>
      <c r="O4664" t="s">
        <v>10097</v>
      </c>
      <c r="P4664" t="s">
        <v>208</v>
      </c>
      <c r="Q4664" t="s">
        <v>209</v>
      </c>
    </row>
    <row r="4665" spans="1:17" x14ac:dyDescent="0.3">
      <c r="A4665" t="s">
        <v>10098</v>
      </c>
      <c r="C4665" t="s">
        <v>10099</v>
      </c>
      <c r="D4665" t="s">
        <v>10099</v>
      </c>
      <c r="E4665" s="5">
        <v>46290</v>
      </c>
      <c r="F4665" t="s">
        <v>204</v>
      </c>
      <c r="G4665" t="s">
        <v>220</v>
      </c>
      <c r="H4665">
        <v>2999</v>
      </c>
      <c r="I4665">
        <v>9</v>
      </c>
      <c r="J4665">
        <v>1.62</v>
      </c>
      <c r="K4665">
        <v>2988.38</v>
      </c>
      <c r="L4665" s="5">
        <v>46292</v>
      </c>
      <c r="M4665" t="s">
        <v>9819</v>
      </c>
      <c r="N4665" t="s">
        <v>207</v>
      </c>
      <c r="O4665" t="s">
        <v>10099</v>
      </c>
      <c r="P4665" t="s">
        <v>208</v>
      </c>
      <c r="Q4665" t="s">
        <v>209</v>
      </c>
    </row>
    <row r="4666" spans="1:17" x14ac:dyDescent="0.3">
      <c r="A4666" t="s">
        <v>10100</v>
      </c>
      <c r="C4666" t="s">
        <v>10101</v>
      </c>
      <c r="D4666" t="s">
        <v>10101</v>
      </c>
      <c r="E4666" s="5">
        <v>46290</v>
      </c>
      <c r="F4666" t="s">
        <v>204</v>
      </c>
      <c r="G4666" t="s">
        <v>220</v>
      </c>
      <c r="H4666">
        <v>4999</v>
      </c>
      <c r="I4666">
        <v>15</v>
      </c>
      <c r="J4666">
        <v>2.7</v>
      </c>
      <c r="K4666">
        <v>4981.3</v>
      </c>
      <c r="L4666" s="5">
        <v>46292</v>
      </c>
      <c r="M4666" t="s">
        <v>9819</v>
      </c>
      <c r="N4666" t="s">
        <v>207</v>
      </c>
      <c r="O4666" t="s">
        <v>10101</v>
      </c>
      <c r="P4666" t="s">
        <v>208</v>
      </c>
      <c r="Q4666" t="s">
        <v>209</v>
      </c>
    </row>
    <row r="4667" spans="1:17" x14ac:dyDescent="0.3">
      <c r="A4667" t="s">
        <v>10102</v>
      </c>
      <c r="C4667" t="s">
        <v>10103</v>
      </c>
      <c r="D4667" t="s">
        <v>10104</v>
      </c>
      <c r="E4667" s="5">
        <v>46290</v>
      </c>
      <c r="F4667" t="s">
        <v>204</v>
      </c>
      <c r="G4667" t="s">
        <v>220</v>
      </c>
      <c r="H4667">
        <v>799</v>
      </c>
      <c r="I4667">
        <v>0</v>
      </c>
      <c r="J4667">
        <v>0</v>
      </c>
      <c r="K4667">
        <v>799</v>
      </c>
      <c r="L4667" s="5">
        <v>46292</v>
      </c>
      <c r="M4667" t="s">
        <v>9819</v>
      </c>
      <c r="N4667" t="s">
        <v>207</v>
      </c>
      <c r="O4667" t="s">
        <v>10104</v>
      </c>
      <c r="P4667" t="s">
        <v>208</v>
      </c>
      <c r="Q4667" t="s">
        <v>209</v>
      </c>
    </row>
    <row r="4668" spans="1:17" x14ac:dyDescent="0.3">
      <c r="A4668" t="s">
        <v>10105</v>
      </c>
      <c r="C4668" t="s">
        <v>10106</v>
      </c>
      <c r="D4668" t="s">
        <v>10106</v>
      </c>
      <c r="E4668" s="5">
        <v>46290</v>
      </c>
      <c r="F4668" t="s">
        <v>204</v>
      </c>
      <c r="G4668" t="s">
        <v>213</v>
      </c>
      <c r="H4668">
        <v>3798</v>
      </c>
      <c r="I4668">
        <v>60.77</v>
      </c>
      <c r="J4668">
        <v>10.94</v>
      </c>
      <c r="K4668">
        <v>3726.29</v>
      </c>
      <c r="L4668" s="5">
        <v>46292</v>
      </c>
      <c r="M4668" t="s">
        <v>9819</v>
      </c>
      <c r="N4668" t="s">
        <v>207</v>
      </c>
      <c r="O4668" t="s">
        <v>10106</v>
      </c>
      <c r="P4668" t="s">
        <v>208</v>
      </c>
      <c r="Q4668" t="s">
        <v>209</v>
      </c>
    </row>
    <row r="4669" spans="1:17" x14ac:dyDescent="0.3">
      <c r="A4669" t="s">
        <v>10107</v>
      </c>
      <c r="C4669" t="s">
        <v>10108</v>
      </c>
      <c r="D4669" t="s">
        <v>10108</v>
      </c>
      <c r="E4669" s="5">
        <v>46290</v>
      </c>
      <c r="F4669" t="s">
        <v>204</v>
      </c>
      <c r="G4669" t="s">
        <v>220</v>
      </c>
      <c r="H4669">
        <v>12998</v>
      </c>
      <c r="I4669">
        <v>38.99</v>
      </c>
      <c r="J4669">
        <v>7.02</v>
      </c>
      <c r="K4669">
        <v>12951.99</v>
      </c>
      <c r="L4669" s="5">
        <v>46292</v>
      </c>
      <c r="M4669" t="s">
        <v>9819</v>
      </c>
      <c r="N4669" t="s">
        <v>207</v>
      </c>
      <c r="O4669" t="s">
        <v>10108</v>
      </c>
      <c r="P4669" t="s">
        <v>208</v>
      </c>
      <c r="Q4669" t="s">
        <v>209</v>
      </c>
    </row>
    <row r="4670" spans="1:17" x14ac:dyDescent="0.3">
      <c r="A4670" t="s">
        <v>10109</v>
      </c>
      <c r="C4670" t="s">
        <v>10110</v>
      </c>
      <c r="D4670" t="s">
        <v>10110</v>
      </c>
      <c r="E4670" s="5">
        <v>46290</v>
      </c>
      <c r="F4670" t="s">
        <v>204</v>
      </c>
      <c r="G4670" t="s">
        <v>220</v>
      </c>
      <c r="H4670">
        <v>6647</v>
      </c>
      <c r="I4670">
        <v>19.940000000000001</v>
      </c>
      <c r="J4670">
        <v>3.59</v>
      </c>
      <c r="K4670">
        <v>6623.47</v>
      </c>
      <c r="L4670" s="5">
        <v>46292</v>
      </c>
      <c r="M4670" t="s">
        <v>9819</v>
      </c>
      <c r="N4670" t="s">
        <v>207</v>
      </c>
      <c r="O4670" t="s">
        <v>10110</v>
      </c>
      <c r="P4670" t="s">
        <v>208</v>
      </c>
      <c r="Q4670" t="s">
        <v>209</v>
      </c>
    </row>
    <row r="4671" spans="1:17" x14ac:dyDescent="0.3">
      <c r="A4671" t="s">
        <v>10111</v>
      </c>
      <c r="C4671" t="s">
        <v>10112</v>
      </c>
      <c r="D4671" t="s">
        <v>10112</v>
      </c>
      <c r="E4671" s="5">
        <v>46290</v>
      </c>
      <c r="F4671" t="s">
        <v>204</v>
      </c>
      <c r="G4671" t="s">
        <v>220</v>
      </c>
      <c r="H4671">
        <v>999</v>
      </c>
      <c r="I4671">
        <v>0</v>
      </c>
      <c r="J4671">
        <v>0</v>
      </c>
      <c r="K4671">
        <v>999</v>
      </c>
      <c r="L4671" s="5">
        <v>46292</v>
      </c>
      <c r="M4671" t="s">
        <v>9819</v>
      </c>
      <c r="N4671" t="s">
        <v>207</v>
      </c>
      <c r="O4671" t="s">
        <v>10112</v>
      </c>
      <c r="P4671" t="s">
        <v>208</v>
      </c>
      <c r="Q4671" t="s">
        <v>209</v>
      </c>
    </row>
    <row r="4672" spans="1:17" x14ac:dyDescent="0.3">
      <c r="A4672" t="s">
        <v>10113</v>
      </c>
      <c r="C4672" t="s">
        <v>10114</v>
      </c>
      <c r="D4672" t="s">
        <v>10114</v>
      </c>
      <c r="E4672" s="5">
        <v>46290</v>
      </c>
      <c r="F4672" t="s">
        <v>204</v>
      </c>
      <c r="G4672" t="s">
        <v>220</v>
      </c>
      <c r="H4672">
        <v>5847</v>
      </c>
      <c r="I4672">
        <v>17.54</v>
      </c>
      <c r="J4672">
        <v>3.16</v>
      </c>
      <c r="K4672">
        <v>5826.3</v>
      </c>
      <c r="L4672" s="5">
        <v>46292</v>
      </c>
      <c r="M4672" t="s">
        <v>9819</v>
      </c>
      <c r="N4672" t="s">
        <v>207</v>
      </c>
      <c r="O4672" t="s">
        <v>10114</v>
      </c>
      <c r="P4672" t="s">
        <v>208</v>
      </c>
      <c r="Q4672" t="s">
        <v>209</v>
      </c>
    </row>
    <row r="4673" spans="1:17" x14ac:dyDescent="0.3">
      <c r="A4673" t="s">
        <v>10115</v>
      </c>
      <c r="C4673" t="s">
        <v>10116</v>
      </c>
      <c r="D4673" t="s">
        <v>10116</v>
      </c>
      <c r="E4673" s="5">
        <v>46290</v>
      </c>
      <c r="F4673" t="s">
        <v>204</v>
      </c>
      <c r="G4673" t="s">
        <v>220</v>
      </c>
      <c r="H4673">
        <v>2999</v>
      </c>
      <c r="I4673">
        <v>9</v>
      </c>
      <c r="J4673">
        <v>1.62</v>
      </c>
      <c r="K4673">
        <v>2988.38</v>
      </c>
      <c r="L4673" s="5">
        <v>46292</v>
      </c>
      <c r="M4673" t="s">
        <v>9819</v>
      </c>
      <c r="N4673" t="s">
        <v>207</v>
      </c>
      <c r="O4673" t="s">
        <v>10116</v>
      </c>
      <c r="P4673" t="s">
        <v>208</v>
      </c>
      <c r="Q4673" t="s">
        <v>209</v>
      </c>
    </row>
    <row r="4674" spans="1:17" x14ac:dyDescent="0.3">
      <c r="A4674" t="s">
        <v>10117</v>
      </c>
      <c r="C4674" t="s">
        <v>10118</v>
      </c>
      <c r="D4674" t="s">
        <v>10118</v>
      </c>
      <c r="E4674" s="5">
        <v>46290</v>
      </c>
      <c r="F4674" t="s">
        <v>204</v>
      </c>
      <c r="G4674" t="s">
        <v>220</v>
      </c>
      <c r="H4674">
        <v>499</v>
      </c>
      <c r="I4674">
        <v>0</v>
      </c>
      <c r="J4674">
        <v>0</v>
      </c>
      <c r="K4674">
        <v>499</v>
      </c>
      <c r="L4674" s="5">
        <v>46292</v>
      </c>
      <c r="M4674" t="s">
        <v>9819</v>
      </c>
      <c r="N4674" t="s">
        <v>207</v>
      </c>
      <c r="O4674" t="s">
        <v>10118</v>
      </c>
      <c r="P4674" t="s">
        <v>208</v>
      </c>
      <c r="Q4674" t="s">
        <v>209</v>
      </c>
    </row>
    <row r="4675" spans="1:17" x14ac:dyDescent="0.3">
      <c r="A4675" t="s">
        <v>10119</v>
      </c>
      <c r="C4675" t="s">
        <v>10120</v>
      </c>
      <c r="D4675" t="s">
        <v>10120</v>
      </c>
      <c r="E4675" s="5">
        <v>46290</v>
      </c>
      <c r="F4675" t="s">
        <v>204</v>
      </c>
      <c r="G4675" t="s">
        <v>213</v>
      </c>
      <c r="H4675">
        <v>3298</v>
      </c>
      <c r="I4675">
        <v>52.77</v>
      </c>
      <c r="J4675">
        <v>9.5</v>
      </c>
      <c r="K4675">
        <v>3235.73</v>
      </c>
      <c r="L4675" s="5">
        <v>46292</v>
      </c>
      <c r="M4675" t="s">
        <v>9819</v>
      </c>
      <c r="N4675" t="s">
        <v>207</v>
      </c>
      <c r="O4675" t="s">
        <v>10120</v>
      </c>
      <c r="P4675" t="s">
        <v>208</v>
      </c>
      <c r="Q4675" t="s">
        <v>209</v>
      </c>
    </row>
    <row r="4676" spans="1:17" x14ac:dyDescent="0.3">
      <c r="A4676" t="s">
        <v>10121</v>
      </c>
      <c r="C4676" t="s">
        <v>10122</v>
      </c>
      <c r="D4676" t="s">
        <v>10122</v>
      </c>
      <c r="E4676" s="5">
        <v>46290</v>
      </c>
      <c r="F4676" t="s">
        <v>204</v>
      </c>
      <c r="G4676" t="s">
        <v>220</v>
      </c>
      <c r="H4676">
        <v>2999</v>
      </c>
      <c r="I4676">
        <v>9</v>
      </c>
      <c r="J4676">
        <v>1.62</v>
      </c>
      <c r="K4676">
        <v>2988.38</v>
      </c>
      <c r="L4676" s="5">
        <v>46292</v>
      </c>
      <c r="M4676" t="s">
        <v>9819</v>
      </c>
      <c r="N4676" t="s">
        <v>207</v>
      </c>
      <c r="O4676" t="s">
        <v>10122</v>
      </c>
      <c r="P4676" t="s">
        <v>208</v>
      </c>
      <c r="Q4676" t="s">
        <v>209</v>
      </c>
    </row>
    <row r="4677" spans="1:17" x14ac:dyDescent="0.3">
      <c r="A4677" t="s">
        <v>10123</v>
      </c>
      <c r="C4677" t="s">
        <v>10124</v>
      </c>
      <c r="D4677" t="s">
        <v>10124</v>
      </c>
      <c r="E4677" s="5">
        <v>46290</v>
      </c>
      <c r="F4677" t="s">
        <v>204</v>
      </c>
      <c r="G4677" t="s">
        <v>220</v>
      </c>
      <c r="H4677">
        <v>1499</v>
      </c>
      <c r="I4677">
        <v>0</v>
      </c>
      <c r="J4677">
        <v>0</v>
      </c>
      <c r="K4677">
        <v>1499</v>
      </c>
      <c r="L4677" s="5">
        <v>46292</v>
      </c>
      <c r="M4677" t="s">
        <v>9819</v>
      </c>
      <c r="N4677" t="s">
        <v>207</v>
      </c>
      <c r="O4677" t="s">
        <v>10124</v>
      </c>
      <c r="P4677" t="s">
        <v>208</v>
      </c>
      <c r="Q4677" t="s">
        <v>209</v>
      </c>
    </row>
    <row r="4678" spans="1:17" x14ac:dyDescent="0.3">
      <c r="A4678" t="s">
        <v>10125</v>
      </c>
      <c r="C4678" t="s">
        <v>10126</v>
      </c>
      <c r="D4678" t="s">
        <v>10126</v>
      </c>
      <c r="E4678" s="5">
        <v>46290</v>
      </c>
      <c r="F4678" t="s">
        <v>204</v>
      </c>
      <c r="G4678" t="s">
        <v>213</v>
      </c>
      <c r="H4678">
        <v>1098</v>
      </c>
      <c r="I4678">
        <v>19.760000000000002</v>
      </c>
      <c r="J4678">
        <v>3.56</v>
      </c>
      <c r="K4678">
        <v>1074.68</v>
      </c>
      <c r="L4678" s="5">
        <v>46292</v>
      </c>
      <c r="M4678" t="s">
        <v>9819</v>
      </c>
      <c r="N4678" t="s">
        <v>207</v>
      </c>
      <c r="O4678" t="s">
        <v>10126</v>
      </c>
      <c r="P4678" t="s">
        <v>208</v>
      </c>
      <c r="Q4678" t="s">
        <v>209</v>
      </c>
    </row>
    <row r="4679" spans="1:17" x14ac:dyDescent="0.3">
      <c r="A4679" t="s">
        <v>10127</v>
      </c>
      <c r="C4679" t="s">
        <v>10128</v>
      </c>
      <c r="D4679" t="s">
        <v>10128</v>
      </c>
      <c r="E4679" s="5">
        <v>46290</v>
      </c>
      <c r="F4679" t="s">
        <v>204</v>
      </c>
      <c r="G4679" t="s">
        <v>213</v>
      </c>
      <c r="H4679">
        <v>10297</v>
      </c>
      <c r="I4679">
        <v>164.75</v>
      </c>
      <c r="J4679">
        <v>29.66</v>
      </c>
      <c r="K4679">
        <v>10102.59</v>
      </c>
      <c r="L4679" s="5">
        <v>46292</v>
      </c>
      <c r="M4679" t="s">
        <v>9819</v>
      </c>
      <c r="N4679" t="s">
        <v>207</v>
      </c>
      <c r="O4679" t="s">
        <v>10128</v>
      </c>
      <c r="P4679" t="s">
        <v>208</v>
      </c>
      <c r="Q4679" t="s">
        <v>209</v>
      </c>
    </row>
    <row r="4680" spans="1:17" x14ac:dyDescent="0.3">
      <c r="A4680" t="s">
        <v>10129</v>
      </c>
      <c r="C4680" t="s">
        <v>10130</v>
      </c>
      <c r="D4680" t="s">
        <v>10130</v>
      </c>
      <c r="E4680" s="5">
        <v>46290</v>
      </c>
      <c r="F4680" t="s">
        <v>204</v>
      </c>
      <c r="G4680" t="s">
        <v>220</v>
      </c>
      <c r="H4680">
        <v>2499</v>
      </c>
      <c r="I4680">
        <v>7.5</v>
      </c>
      <c r="J4680">
        <v>1.35</v>
      </c>
      <c r="K4680">
        <v>2490.15</v>
      </c>
      <c r="L4680" s="5">
        <v>46292</v>
      </c>
      <c r="M4680" t="s">
        <v>9819</v>
      </c>
      <c r="N4680" t="s">
        <v>207</v>
      </c>
      <c r="O4680" t="s">
        <v>10130</v>
      </c>
      <c r="P4680" t="s">
        <v>208</v>
      </c>
      <c r="Q4680" t="s">
        <v>209</v>
      </c>
    </row>
    <row r="4681" spans="1:17" x14ac:dyDescent="0.3">
      <c r="A4681" t="s">
        <v>10131</v>
      </c>
      <c r="C4681" t="s">
        <v>10132</v>
      </c>
      <c r="D4681" t="s">
        <v>10133</v>
      </c>
      <c r="E4681" s="5">
        <v>46290</v>
      </c>
      <c r="F4681" t="s">
        <v>204</v>
      </c>
      <c r="G4681" t="s">
        <v>220</v>
      </c>
      <c r="H4681">
        <v>1799</v>
      </c>
      <c r="I4681">
        <v>0</v>
      </c>
      <c r="J4681">
        <v>0</v>
      </c>
      <c r="K4681">
        <v>1799</v>
      </c>
      <c r="L4681" s="5">
        <v>46292</v>
      </c>
      <c r="M4681" t="s">
        <v>9819</v>
      </c>
      <c r="N4681" t="s">
        <v>207</v>
      </c>
      <c r="O4681" t="s">
        <v>10133</v>
      </c>
      <c r="P4681" t="s">
        <v>208</v>
      </c>
      <c r="Q4681" t="s">
        <v>209</v>
      </c>
    </row>
    <row r="4682" spans="1:17" x14ac:dyDescent="0.3">
      <c r="A4682" t="s">
        <v>10134</v>
      </c>
      <c r="C4682" t="s">
        <v>10135</v>
      </c>
      <c r="D4682" t="s">
        <v>10135</v>
      </c>
      <c r="E4682" s="5">
        <v>46290</v>
      </c>
      <c r="F4682" t="s">
        <v>204</v>
      </c>
      <c r="G4682" t="s">
        <v>220</v>
      </c>
      <c r="H4682">
        <v>3998</v>
      </c>
      <c r="I4682">
        <v>11.99</v>
      </c>
      <c r="J4682">
        <v>2.16</v>
      </c>
      <c r="K4682">
        <v>3983.85</v>
      </c>
      <c r="L4682" s="5">
        <v>46292</v>
      </c>
      <c r="M4682" t="s">
        <v>9819</v>
      </c>
      <c r="N4682" t="s">
        <v>207</v>
      </c>
      <c r="O4682" t="s">
        <v>10135</v>
      </c>
      <c r="P4682" t="s">
        <v>208</v>
      </c>
      <c r="Q4682" t="s">
        <v>209</v>
      </c>
    </row>
    <row r="4683" spans="1:17" x14ac:dyDescent="0.3">
      <c r="A4683" t="s">
        <v>10136</v>
      </c>
      <c r="C4683" t="s">
        <v>10137</v>
      </c>
      <c r="D4683" t="s">
        <v>10137</v>
      </c>
      <c r="E4683" s="5">
        <v>46290</v>
      </c>
      <c r="F4683" t="s">
        <v>204</v>
      </c>
      <c r="G4683" t="s">
        <v>220</v>
      </c>
      <c r="H4683">
        <v>2798</v>
      </c>
      <c r="I4683">
        <v>8.39</v>
      </c>
      <c r="J4683">
        <v>1.51</v>
      </c>
      <c r="K4683">
        <v>2788.1</v>
      </c>
      <c r="L4683" s="5">
        <v>46292</v>
      </c>
      <c r="M4683" t="s">
        <v>9819</v>
      </c>
      <c r="N4683" t="s">
        <v>207</v>
      </c>
      <c r="O4683" t="s">
        <v>10137</v>
      </c>
      <c r="P4683" t="s">
        <v>208</v>
      </c>
      <c r="Q4683" t="s">
        <v>209</v>
      </c>
    </row>
    <row r="4684" spans="1:17" x14ac:dyDescent="0.3">
      <c r="A4684" t="s">
        <v>10138</v>
      </c>
      <c r="C4684" t="s">
        <v>10139</v>
      </c>
      <c r="D4684" t="s">
        <v>10139</v>
      </c>
      <c r="E4684" s="5">
        <v>46290</v>
      </c>
      <c r="F4684" t="s">
        <v>204</v>
      </c>
      <c r="G4684" t="s">
        <v>213</v>
      </c>
      <c r="H4684">
        <v>12297</v>
      </c>
      <c r="I4684">
        <v>196.75</v>
      </c>
      <c r="J4684">
        <v>35.42</v>
      </c>
      <c r="K4684">
        <v>12064.83</v>
      </c>
      <c r="L4684" s="5">
        <v>46292</v>
      </c>
      <c r="M4684" t="s">
        <v>9819</v>
      </c>
      <c r="N4684" t="s">
        <v>207</v>
      </c>
      <c r="O4684" t="s">
        <v>10139</v>
      </c>
      <c r="P4684" t="s">
        <v>208</v>
      </c>
      <c r="Q4684" t="s">
        <v>209</v>
      </c>
    </row>
    <row r="4685" spans="1:17" x14ac:dyDescent="0.3">
      <c r="A4685" t="s">
        <v>10140</v>
      </c>
      <c r="C4685" t="s">
        <v>10141</v>
      </c>
      <c r="D4685" t="s">
        <v>10141</v>
      </c>
      <c r="E4685" s="5">
        <v>46290</v>
      </c>
      <c r="F4685" t="s">
        <v>204</v>
      </c>
      <c r="G4685" t="s">
        <v>255</v>
      </c>
      <c r="H4685">
        <v>499</v>
      </c>
      <c r="I4685">
        <v>7.49</v>
      </c>
      <c r="J4685">
        <v>1.35</v>
      </c>
      <c r="K4685">
        <v>490.16</v>
      </c>
      <c r="L4685" s="5">
        <v>46292</v>
      </c>
      <c r="M4685" t="s">
        <v>9819</v>
      </c>
      <c r="N4685" t="s">
        <v>207</v>
      </c>
      <c r="O4685" t="s">
        <v>10141</v>
      </c>
      <c r="P4685" t="s">
        <v>208</v>
      </c>
      <c r="Q4685" t="s">
        <v>209</v>
      </c>
    </row>
    <row r="4686" spans="1:17" x14ac:dyDescent="0.3">
      <c r="A4686" t="s">
        <v>10142</v>
      </c>
      <c r="C4686" t="s">
        <v>10143</v>
      </c>
      <c r="D4686" t="s">
        <v>10143</v>
      </c>
      <c r="E4686" s="5">
        <v>46290</v>
      </c>
      <c r="F4686" t="s">
        <v>204</v>
      </c>
      <c r="G4686" t="s">
        <v>220</v>
      </c>
      <c r="H4686">
        <v>3298</v>
      </c>
      <c r="I4686">
        <v>9.89</v>
      </c>
      <c r="J4686">
        <v>1.78</v>
      </c>
      <c r="K4686">
        <v>3286.33</v>
      </c>
      <c r="L4686" s="5">
        <v>46292</v>
      </c>
      <c r="M4686" t="s">
        <v>9819</v>
      </c>
      <c r="N4686" t="s">
        <v>207</v>
      </c>
      <c r="O4686" t="s">
        <v>10143</v>
      </c>
      <c r="P4686" t="s">
        <v>208</v>
      </c>
      <c r="Q4686" t="s">
        <v>209</v>
      </c>
    </row>
    <row r="4687" spans="1:17" x14ac:dyDescent="0.3">
      <c r="A4687" t="s">
        <v>10144</v>
      </c>
      <c r="C4687" t="s">
        <v>10145</v>
      </c>
      <c r="D4687" t="s">
        <v>10146</v>
      </c>
      <c r="E4687" s="5">
        <v>46290</v>
      </c>
      <c r="F4687" t="s">
        <v>204</v>
      </c>
      <c r="G4687" t="s">
        <v>205</v>
      </c>
      <c r="H4687">
        <v>8798</v>
      </c>
      <c r="I4687">
        <v>149.57</v>
      </c>
      <c r="J4687">
        <v>26.92</v>
      </c>
      <c r="K4687">
        <v>8621.51</v>
      </c>
      <c r="L4687" s="5">
        <v>46292</v>
      </c>
      <c r="M4687" t="s">
        <v>9819</v>
      </c>
      <c r="N4687" t="s">
        <v>207</v>
      </c>
      <c r="O4687" t="s">
        <v>10146</v>
      </c>
      <c r="P4687" t="s">
        <v>208</v>
      </c>
      <c r="Q4687" t="s">
        <v>209</v>
      </c>
    </row>
    <row r="4688" spans="1:17" x14ac:dyDescent="0.3">
      <c r="A4688" t="s">
        <v>10147</v>
      </c>
      <c r="C4688" t="s">
        <v>10148</v>
      </c>
      <c r="D4688" t="s">
        <v>10148</v>
      </c>
      <c r="E4688" s="5">
        <v>46290</v>
      </c>
      <c r="F4688" t="s">
        <v>204</v>
      </c>
      <c r="G4688" t="s">
        <v>220</v>
      </c>
      <c r="H4688">
        <v>1299</v>
      </c>
      <c r="I4688">
        <v>0</v>
      </c>
      <c r="J4688">
        <v>0</v>
      </c>
      <c r="K4688">
        <v>1299</v>
      </c>
      <c r="L4688" s="5">
        <v>46292</v>
      </c>
      <c r="M4688" t="s">
        <v>9819</v>
      </c>
      <c r="N4688" t="s">
        <v>207</v>
      </c>
      <c r="O4688" t="s">
        <v>10148</v>
      </c>
      <c r="P4688" t="s">
        <v>208</v>
      </c>
      <c r="Q4688" t="s">
        <v>209</v>
      </c>
    </row>
    <row r="4689" spans="1:17" x14ac:dyDescent="0.3">
      <c r="A4689" t="s">
        <v>10149</v>
      </c>
      <c r="C4689" t="s">
        <v>10150</v>
      </c>
      <c r="D4689" t="s">
        <v>10151</v>
      </c>
      <c r="E4689" s="5">
        <v>46290</v>
      </c>
      <c r="F4689" t="s">
        <v>204</v>
      </c>
      <c r="G4689" t="s">
        <v>220</v>
      </c>
      <c r="H4689">
        <v>1799</v>
      </c>
      <c r="I4689">
        <v>5.4</v>
      </c>
      <c r="J4689">
        <v>0.97</v>
      </c>
      <c r="K4689">
        <v>1792.63</v>
      </c>
      <c r="L4689" s="5">
        <v>46292</v>
      </c>
      <c r="M4689" t="s">
        <v>9819</v>
      </c>
      <c r="N4689" t="s">
        <v>207</v>
      </c>
      <c r="O4689" t="s">
        <v>10151</v>
      </c>
      <c r="P4689" t="s">
        <v>208</v>
      </c>
      <c r="Q4689" t="s">
        <v>209</v>
      </c>
    </row>
    <row r="4690" spans="1:17" x14ac:dyDescent="0.3">
      <c r="A4690" t="s">
        <v>10152</v>
      </c>
      <c r="C4690" t="s">
        <v>10153</v>
      </c>
      <c r="D4690" t="s">
        <v>10153</v>
      </c>
      <c r="E4690" s="5">
        <v>46290</v>
      </c>
      <c r="F4690" t="s">
        <v>204</v>
      </c>
      <c r="G4690" t="s">
        <v>255</v>
      </c>
      <c r="H4690">
        <v>799</v>
      </c>
      <c r="I4690">
        <v>11.99</v>
      </c>
      <c r="J4690">
        <v>2.16</v>
      </c>
      <c r="K4690">
        <v>784.85</v>
      </c>
      <c r="L4690" s="5">
        <v>46292</v>
      </c>
      <c r="M4690" t="s">
        <v>9819</v>
      </c>
      <c r="N4690" t="s">
        <v>207</v>
      </c>
      <c r="O4690" t="s">
        <v>10153</v>
      </c>
      <c r="P4690" t="s">
        <v>208</v>
      </c>
      <c r="Q4690" t="s">
        <v>209</v>
      </c>
    </row>
    <row r="4691" spans="1:17" x14ac:dyDescent="0.3">
      <c r="A4691" t="s">
        <v>10154</v>
      </c>
      <c r="C4691" t="s">
        <v>10155</v>
      </c>
      <c r="D4691" t="s">
        <v>10155</v>
      </c>
      <c r="E4691" s="5">
        <v>46290</v>
      </c>
      <c r="F4691" t="s">
        <v>204</v>
      </c>
      <c r="G4691" t="s">
        <v>220</v>
      </c>
      <c r="H4691">
        <v>2499</v>
      </c>
      <c r="I4691">
        <v>7.5</v>
      </c>
      <c r="J4691">
        <v>1.35</v>
      </c>
      <c r="K4691">
        <v>2490.15</v>
      </c>
      <c r="L4691" s="5">
        <v>46292</v>
      </c>
      <c r="M4691" t="s">
        <v>9819</v>
      </c>
      <c r="N4691" t="s">
        <v>207</v>
      </c>
      <c r="O4691" t="s">
        <v>10155</v>
      </c>
      <c r="P4691" t="s">
        <v>208</v>
      </c>
      <c r="Q4691" t="s">
        <v>209</v>
      </c>
    </row>
    <row r="4692" spans="1:17" x14ac:dyDescent="0.3">
      <c r="A4692" t="s">
        <v>10156</v>
      </c>
      <c r="C4692" t="s">
        <v>10157</v>
      </c>
      <c r="D4692" t="s">
        <v>10158</v>
      </c>
      <c r="E4692" s="5">
        <v>46290</v>
      </c>
      <c r="F4692" t="s">
        <v>204</v>
      </c>
      <c r="G4692" t="s">
        <v>213</v>
      </c>
      <c r="H4692">
        <v>999</v>
      </c>
      <c r="I4692">
        <v>17.98</v>
      </c>
      <c r="J4692">
        <v>3.24</v>
      </c>
      <c r="K4692">
        <v>977.78</v>
      </c>
      <c r="L4692" s="5">
        <v>46292</v>
      </c>
      <c r="M4692" t="s">
        <v>9819</v>
      </c>
      <c r="N4692" t="s">
        <v>207</v>
      </c>
      <c r="O4692" t="s">
        <v>10158</v>
      </c>
      <c r="P4692" t="s">
        <v>208</v>
      </c>
      <c r="Q4692" t="s">
        <v>209</v>
      </c>
    </row>
    <row r="4693" spans="1:17" x14ac:dyDescent="0.3">
      <c r="A4693" t="s">
        <v>10159</v>
      </c>
      <c r="C4693" t="s">
        <v>10160</v>
      </c>
      <c r="D4693" t="s">
        <v>10160</v>
      </c>
      <c r="E4693" s="5">
        <v>46290</v>
      </c>
      <c r="F4693" t="s">
        <v>204</v>
      </c>
      <c r="G4693" t="s">
        <v>220</v>
      </c>
      <c r="H4693">
        <v>8498</v>
      </c>
      <c r="I4693">
        <v>25.49</v>
      </c>
      <c r="J4693">
        <v>4.59</v>
      </c>
      <c r="K4693">
        <v>8467.92</v>
      </c>
      <c r="L4693" s="5">
        <v>46292</v>
      </c>
      <c r="M4693" t="s">
        <v>9819</v>
      </c>
      <c r="N4693" t="s">
        <v>207</v>
      </c>
      <c r="O4693" t="s">
        <v>10160</v>
      </c>
      <c r="P4693" t="s">
        <v>208</v>
      </c>
      <c r="Q4693" t="s">
        <v>209</v>
      </c>
    </row>
    <row r="4694" spans="1:17" x14ac:dyDescent="0.3">
      <c r="A4694" t="s">
        <v>10161</v>
      </c>
      <c r="C4694" t="s">
        <v>10162</v>
      </c>
      <c r="D4694" t="s">
        <v>10162</v>
      </c>
      <c r="E4694" s="5">
        <v>46290</v>
      </c>
      <c r="F4694" t="s">
        <v>204</v>
      </c>
      <c r="G4694" t="s">
        <v>220</v>
      </c>
      <c r="H4694">
        <v>4998</v>
      </c>
      <c r="I4694">
        <v>14.99</v>
      </c>
      <c r="J4694">
        <v>2.7</v>
      </c>
      <c r="K4694">
        <v>4980.3100000000004</v>
      </c>
      <c r="L4694" s="5">
        <v>46292</v>
      </c>
      <c r="M4694" t="s">
        <v>9819</v>
      </c>
      <c r="N4694" t="s">
        <v>207</v>
      </c>
      <c r="O4694" t="s">
        <v>10162</v>
      </c>
      <c r="P4694" t="s">
        <v>208</v>
      </c>
      <c r="Q4694" t="s">
        <v>209</v>
      </c>
    </row>
    <row r="4695" spans="1:17" x14ac:dyDescent="0.3">
      <c r="A4695" t="s">
        <v>10163</v>
      </c>
      <c r="C4695" t="s">
        <v>10164</v>
      </c>
      <c r="D4695" t="s">
        <v>10164</v>
      </c>
      <c r="E4695" s="5">
        <v>46290</v>
      </c>
      <c r="F4695" t="s">
        <v>204</v>
      </c>
      <c r="G4695" t="s">
        <v>220</v>
      </c>
      <c r="H4695">
        <v>3798</v>
      </c>
      <c r="I4695">
        <v>11.39</v>
      </c>
      <c r="J4695">
        <v>2.0499999999999998</v>
      </c>
      <c r="K4695">
        <v>3784.56</v>
      </c>
      <c r="L4695" s="5">
        <v>46292</v>
      </c>
      <c r="M4695" t="s">
        <v>9819</v>
      </c>
      <c r="N4695" t="s">
        <v>207</v>
      </c>
      <c r="O4695" t="s">
        <v>10164</v>
      </c>
      <c r="P4695" t="s">
        <v>208</v>
      </c>
      <c r="Q4695" t="s">
        <v>209</v>
      </c>
    </row>
    <row r="4696" spans="1:17" x14ac:dyDescent="0.3">
      <c r="A4696" t="s">
        <v>10165</v>
      </c>
      <c r="C4696" t="s">
        <v>10166</v>
      </c>
      <c r="D4696" t="s">
        <v>10166</v>
      </c>
      <c r="E4696" s="5">
        <v>46290</v>
      </c>
      <c r="F4696" t="s">
        <v>204</v>
      </c>
      <c r="G4696" t="s">
        <v>213</v>
      </c>
      <c r="H4696">
        <v>599</v>
      </c>
      <c r="I4696">
        <v>10.78</v>
      </c>
      <c r="J4696">
        <v>1.94</v>
      </c>
      <c r="K4696">
        <v>586.28</v>
      </c>
      <c r="L4696" s="5">
        <v>46292</v>
      </c>
      <c r="M4696" t="s">
        <v>9819</v>
      </c>
      <c r="N4696" t="s">
        <v>207</v>
      </c>
      <c r="O4696" t="s">
        <v>10166</v>
      </c>
      <c r="P4696" t="s">
        <v>208</v>
      </c>
      <c r="Q4696" t="s">
        <v>209</v>
      </c>
    </row>
    <row r="4697" spans="1:17" x14ac:dyDescent="0.3">
      <c r="A4697" t="s">
        <v>10167</v>
      </c>
      <c r="C4697" t="s">
        <v>10168</v>
      </c>
      <c r="D4697" t="s">
        <v>10168</v>
      </c>
      <c r="E4697" s="5">
        <v>46290</v>
      </c>
      <c r="F4697" t="s">
        <v>204</v>
      </c>
      <c r="G4697" t="s">
        <v>213</v>
      </c>
      <c r="H4697">
        <v>4999</v>
      </c>
      <c r="I4697">
        <v>79.98</v>
      </c>
      <c r="J4697">
        <v>14.4</v>
      </c>
      <c r="K4697">
        <v>4904.62</v>
      </c>
      <c r="L4697" s="5">
        <v>46292</v>
      </c>
      <c r="M4697" t="s">
        <v>9819</v>
      </c>
      <c r="N4697" t="s">
        <v>207</v>
      </c>
      <c r="O4697" t="s">
        <v>10168</v>
      </c>
      <c r="P4697" t="s">
        <v>208</v>
      </c>
      <c r="Q4697" t="s">
        <v>209</v>
      </c>
    </row>
    <row r="4698" spans="1:17" x14ac:dyDescent="0.3">
      <c r="A4698" t="s">
        <v>10169</v>
      </c>
      <c r="C4698" t="s">
        <v>10170</v>
      </c>
      <c r="D4698" t="s">
        <v>10170</v>
      </c>
      <c r="E4698" s="5">
        <v>46290</v>
      </c>
      <c r="F4698" t="s">
        <v>204</v>
      </c>
      <c r="G4698" t="s">
        <v>220</v>
      </c>
      <c r="H4698">
        <v>8998</v>
      </c>
      <c r="I4698">
        <v>26.99</v>
      </c>
      <c r="J4698">
        <v>4.8600000000000003</v>
      </c>
      <c r="K4698">
        <v>8966.15</v>
      </c>
      <c r="L4698" s="5">
        <v>46292</v>
      </c>
      <c r="M4698" t="s">
        <v>9819</v>
      </c>
      <c r="N4698" t="s">
        <v>207</v>
      </c>
      <c r="O4698" t="s">
        <v>10170</v>
      </c>
      <c r="P4698" t="s">
        <v>208</v>
      </c>
      <c r="Q4698" t="s">
        <v>209</v>
      </c>
    </row>
    <row r="4699" spans="1:17" x14ac:dyDescent="0.3">
      <c r="A4699" t="s">
        <v>10171</v>
      </c>
      <c r="C4699" t="s">
        <v>10172</v>
      </c>
      <c r="D4699" t="s">
        <v>10172</v>
      </c>
      <c r="E4699" s="5">
        <v>46290</v>
      </c>
      <c r="F4699" t="s">
        <v>204</v>
      </c>
      <c r="G4699" t="s">
        <v>255</v>
      </c>
      <c r="H4699">
        <v>11097</v>
      </c>
      <c r="I4699">
        <v>99.87</v>
      </c>
      <c r="J4699">
        <v>17.98</v>
      </c>
      <c r="K4699">
        <v>10979.15</v>
      </c>
      <c r="L4699" s="5">
        <v>46292</v>
      </c>
      <c r="M4699" t="s">
        <v>9819</v>
      </c>
      <c r="N4699" t="s">
        <v>207</v>
      </c>
      <c r="O4699" t="s">
        <v>10172</v>
      </c>
      <c r="P4699" t="s">
        <v>208</v>
      </c>
      <c r="Q4699" t="s">
        <v>209</v>
      </c>
    </row>
    <row r="4700" spans="1:17" x14ac:dyDescent="0.3">
      <c r="A4700" t="s">
        <v>10173</v>
      </c>
      <c r="C4700" t="s">
        <v>10174</v>
      </c>
      <c r="D4700" t="s">
        <v>10175</v>
      </c>
      <c r="E4700" s="5">
        <v>46290</v>
      </c>
      <c r="F4700" t="s">
        <v>204</v>
      </c>
      <c r="G4700" t="s">
        <v>220</v>
      </c>
      <c r="H4700">
        <v>6797</v>
      </c>
      <c r="I4700">
        <v>20.39</v>
      </c>
      <c r="J4700">
        <v>3.67</v>
      </c>
      <c r="K4700">
        <v>6772.94</v>
      </c>
      <c r="L4700" s="5">
        <v>46292</v>
      </c>
      <c r="M4700" t="s">
        <v>9819</v>
      </c>
      <c r="N4700" t="s">
        <v>207</v>
      </c>
      <c r="O4700" t="s">
        <v>10175</v>
      </c>
      <c r="P4700" t="s">
        <v>208</v>
      </c>
      <c r="Q4700" t="s">
        <v>209</v>
      </c>
    </row>
    <row r="4701" spans="1:17" x14ac:dyDescent="0.3">
      <c r="A4701" t="s">
        <v>10176</v>
      </c>
      <c r="C4701" t="s">
        <v>10177</v>
      </c>
      <c r="D4701" t="s">
        <v>10177</v>
      </c>
      <c r="E4701" s="5">
        <v>46290</v>
      </c>
      <c r="F4701" t="s">
        <v>204</v>
      </c>
      <c r="G4701" t="s">
        <v>220</v>
      </c>
      <c r="H4701">
        <v>299</v>
      </c>
      <c r="I4701">
        <v>0</v>
      </c>
      <c r="J4701">
        <v>0</v>
      </c>
      <c r="K4701">
        <v>299</v>
      </c>
      <c r="L4701" s="5">
        <v>46292</v>
      </c>
      <c r="M4701" t="s">
        <v>9819</v>
      </c>
      <c r="N4701" t="s">
        <v>207</v>
      </c>
      <c r="O4701" t="s">
        <v>10177</v>
      </c>
      <c r="P4701" t="s">
        <v>208</v>
      </c>
      <c r="Q4701" t="s">
        <v>209</v>
      </c>
    </row>
    <row r="4702" spans="1:17" x14ac:dyDescent="0.3">
      <c r="A4702" t="s">
        <v>10178</v>
      </c>
      <c r="C4702" t="s">
        <v>10179</v>
      </c>
      <c r="D4702" t="s">
        <v>10179</v>
      </c>
      <c r="E4702" s="5">
        <v>46290</v>
      </c>
      <c r="F4702" t="s">
        <v>204</v>
      </c>
      <c r="G4702" t="s">
        <v>220</v>
      </c>
      <c r="H4702">
        <v>10998</v>
      </c>
      <c r="I4702">
        <v>32.99</v>
      </c>
      <c r="J4702">
        <v>5.94</v>
      </c>
      <c r="K4702">
        <v>10959.07</v>
      </c>
      <c r="L4702" s="5">
        <v>46292</v>
      </c>
      <c r="M4702" t="s">
        <v>9819</v>
      </c>
      <c r="N4702" t="s">
        <v>207</v>
      </c>
      <c r="O4702" t="s">
        <v>10179</v>
      </c>
      <c r="P4702" t="s">
        <v>208</v>
      </c>
      <c r="Q4702" t="s">
        <v>209</v>
      </c>
    </row>
    <row r="4703" spans="1:17" x14ac:dyDescent="0.3">
      <c r="A4703" t="s">
        <v>10180</v>
      </c>
      <c r="C4703" t="s">
        <v>10181</v>
      </c>
      <c r="D4703" t="s">
        <v>10181</v>
      </c>
      <c r="E4703" s="5">
        <v>46290</v>
      </c>
      <c r="F4703" t="s">
        <v>204</v>
      </c>
      <c r="G4703" t="s">
        <v>205</v>
      </c>
      <c r="H4703">
        <v>14497</v>
      </c>
      <c r="I4703">
        <v>246.45</v>
      </c>
      <c r="J4703">
        <v>44.36</v>
      </c>
      <c r="K4703">
        <v>14206.19</v>
      </c>
      <c r="L4703" s="5">
        <v>46292</v>
      </c>
      <c r="M4703" t="s">
        <v>9819</v>
      </c>
      <c r="N4703" t="s">
        <v>207</v>
      </c>
      <c r="O4703" t="s">
        <v>10181</v>
      </c>
      <c r="P4703" t="s">
        <v>208</v>
      </c>
      <c r="Q4703" t="s">
        <v>209</v>
      </c>
    </row>
    <row r="4704" spans="1:17" x14ac:dyDescent="0.3">
      <c r="A4704" t="s">
        <v>10182</v>
      </c>
      <c r="C4704" t="s">
        <v>10183</v>
      </c>
      <c r="D4704" t="s">
        <v>10183</v>
      </c>
      <c r="E4704" s="5">
        <v>46290</v>
      </c>
      <c r="F4704" t="s">
        <v>204</v>
      </c>
      <c r="G4704" t="s">
        <v>220</v>
      </c>
      <c r="H4704">
        <v>11597</v>
      </c>
      <c r="I4704">
        <v>34.79</v>
      </c>
      <c r="J4704">
        <v>6.26</v>
      </c>
      <c r="K4704">
        <v>11555.95</v>
      </c>
      <c r="L4704" s="5">
        <v>46292</v>
      </c>
      <c r="M4704" t="s">
        <v>9819</v>
      </c>
      <c r="N4704" t="s">
        <v>207</v>
      </c>
      <c r="O4704" t="s">
        <v>10183</v>
      </c>
      <c r="P4704" t="s">
        <v>208</v>
      </c>
      <c r="Q4704" t="s">
        <v>209</v>
      </c>
    </row>
    <row r="4705" spans="1:17" x14ac:dyDescent="0.3">
      <c r="A4705" t="s">
        <v>10184</v>
      </c>
      <c r="C4705" t="s">
        <v>10185</v>
      </c>
      <c r="D4705" t="s">
        <v>10185</v>
      </c>
      <c r="E4705" s="5">
        <v>46290</v>
      </c>
      <c r="F4705" t="s">
        <v>204</v>
      </c>
      <c r="G4705" t="s">
        <v>213</v>
      </c>
      <c r="H4705">
        <v>1799</v>
      </c>
      <c r="I4705">
        <v>32.380000000000003</v>
      </c>
      <c r="J4705">
        <v>5.83</v>
      </c>
      <c r="K4705">
        <v>1760.79</v>
      </c>
      <c r="L4705" s="5">
        <v>46292</v>
      </c>
      <c r="M4705" t="s">
        <v>9819</v>
      </c>
      <c r="N4705" t="s">
        <v>207</v>
      </c>
      <c r="O4705" t="s">
        <v>10185</v>
      </c>
      <c r="P4705" t="s">
        <v>208</v>
      </c>
      <c r="Q4705" t="s">
        <v>209</v>
      </c>
    </row>
    <row r="4706" spans="1:17" x14ac:dyDescent="0.3">
      <c r="A4706" t="s">
        <v>10186</v>
      </c>
      <c r="C4706" t="s">
        <v>10187</v>
      </c>
      <c r="D4706" t="s">
        <v>10187</v>
      </c>
      <c r="E4706" s="5">
        <v>46290</v>
      </c>
      <c r="F4706" t="s">
        <v>204</v>
      </c>
      <c r="G4706" t="s">
        <v>255</v>
      </c>
      <c r="H4706">
        <v>1098</v>
      </c>
      <c r="I4706">
        <v>16.47</v>
      </c>
      <c r="J4706">
        <v>2.96</v>
      </c>
      <c r="K4706">
        <v>1078.57</v>
      </c>
      <c r="L4706" s="5">
        <v>46292</v>
      </c>
      <c r="M4706" t="s">
        <v>9819</v>
      </c>
      <c r="N4706" t="s">
        <v>207</v>
      </c>
      <c r="O4706" t="s">
        <v>10187</v>
      </c>
      <c r="P4706" t="s">
        <v>208</v>
      </c>
      <c r="Q4706" t="s">
        <v>209</v>
      </c>
    </row>
    <row r="4707" spans="1:17" x14ac:dyDescent="0.3">
      <c r="A4707" t="s">
        <v>10188</v>
      </c>
      <c r="C4707" t="s">
        <v>10189</v>
      </c>
      <c r="D4707" t="s">
        <v>10189</v>
      </c>
      <c r="E4707" s="5">
        <v>46290</v>
      </c>
      <c r="F4707" t="s">
        <v>204</v>
      </c>
      <c r="G4707" t="s">
        <v>220</v>
      </c>
      <c r="H4707">
        <v>4597</v>
      </c>
      <c r="I4707">
        <v>13.79</v>
      </c>
      <c r="J4707">
        <v>2.48</v>
      </c>
      <c r="K4707">
        <v>4580.7299999999996</v>
      </c>
      <c r="L4707" s="5">
        <v>46292</v>
      </c>
      <c r="M4707" t="s">
        <v>9819</v>
      </c>
      <c r="N4707" t="s">
        <v>207</v>
      </c>
      <c r="O4707" t="s">
        <v>10189</v>
      </c>
      <c r="P4707" t="s">
        <v>208</v>
      </c>
      <c r="Q4707" t="s">
        <v>209</v>
      </c>
    </row>
    <row r="4708" spans="1:17" x14ac:dyDescent="0.3">
      <c r="A4708" t="s">
        <v>10190</v>
      </c>
      <c r="C4708" t="s">
        <v>10191</v>
      </c>
      <c r="D4708" t="s">
        <v>10192</v>
      </c>
      <c r="E4708" s="5">
        <v>46290</v>
      </c>
      <c r="F4708" t="s">
        <v>204</v>
      </c>
      <c r="G4708" t="s">
        <v>255</v>
      </c>
      <c r="H4708">
        <v>5297</v>
      </c>
      <c r="I4708">
        <v>63.56</v>
      </c>
      <c r="J4708">
        <v>11.44</v>
      </c>
      <c r="K4708">
        <v>5222</v>
      </c>
      <c r="L4708" s="5">
        <v>46292</v>
      </c>
      <c r="M4708" t="s">
        <v>9819</v>
      </c>
      <c r="N4708" t="s">
        <v>207</v>
      </c>
      <c r="O4708" t="s">
        <v>10192</v>
      </c>
      <c r="P4708" t="s">
        <v>208</v>
      </c>
      <c r="Q4708" t="s">
        <v>209</v>
      </c>
    </row>
    <row r="4709" spans="1:17" x14ac:dyDescent="0.3">
      <c r="A4709" t="s">
        <v>10193</v>
      </c>
      <c r="C4709" t="s">
        <v>10194</v>
      </c>
      <c r="D4709" t="s">
        <v>10195</v>
      </c>
      <c r="E4709" s="5">
        <v>46290</v>
      </c>
      <c r="F4709" t="s">
        <v>204</v>
      </c>
      <c r="G4709" t="s">
        <v>220</v>
      </c>
      <c r="H4709">
        <v>999</v>
      </c>
      <c r="I4709">
        <v>0</v>
      </c>
      <c r="J4709">
        <v>0</v>
      </c>
      <c r="K4709">
        <v>999</v>
      </c>
      <c r="L4709" s="5">
        <v>46292</v>
      </c>
      <c r="M4709" t="s">
        <v>9819</v>
      </c>
      <c r="N4709" t="s">
        <v>207</v>
      </c>
      <c r="O4709" t="s">
        <v>10195</v>
      </c>
      <c r="P4709" t="s">
        <v>208</v>
      </c>
      <c r="Q4709" t="s">
        <v>209</v>
      </c>
    </row>
    <row r="4710" spans="1:17" x14ac:dyDescent="0.3">
      <c r="A4710" t="s">
        <v>10196</v>
      </c>
      <c r="C4710" t="s">
        <v>10197</v>
      </c>
      <c r="D4710" t="s">
        <v>10198</v>
      </c>
      <c r="E4710" s="5">
        <v>46290</v>
      </c>
      <c r="F4710" t="s">
        <v>204</v>
      </c>
      <c r="G4710" t="s">
        <v>213</v>
      </c>
      <c r="H4710">
        <v>3499</v>
      </c>
      <c r="I4710">
        <v>55.98</v>
      </c>
      <c r="J4710">
        <v>10.08</v>
      </c>
      <c r="K4710">
        <v>3432.94</v>
      </c>
      <c r="L4710" s="5">
        <v>46292</v>
      </c>
      <c r="M4710" t="s">
        <v>9819</v>
      </c>
      <c r="N4710" t="s">
        <v>207</v>
      </c>
      <c r="O4710" t="s">
        <v>10198</v>
      </c>
      <c r="P4710" t="s">
        <v>208</v>
      </c>
      <c r="Q4710" t="s">
        <v>209</v>
      </c>
    </row>
    <row r="4711" spans="1:17" x14ac:dyDescent="0.3">
      <c r="A4711" t="s">
        <v>10199</v>
      </c>
      <c r="C4711" t="s">
        <v>10200</v>
      </c>
      <c r="D4711" t="s">
        <v>10200</v>
      </c>
      <c r="E4711" s="5">
        <v>46290</v>
      </c>
      <c r="F4711" t="s">
        <v>204</v>
      </c>
      <c r="G4711" t="s">
        <v>220</v>
      </c>
      <c r="H4711">
        <v>7999</v>
      </c>
      <c r="I4711">
        <v>24</v>
      </c>
      <c r="J4711">
        <v>4.32</v>
      </c>
      <c r="K4711">
        <v>7970.68</v>
      </c>
      <c r="L4711" s="5">
        <v>46292</v>
      </c>
      <c r="M4711" t="s">
        <v>9819</v>
      </c>
      <c r="N4711" t="s">
        <v>207</v>
      </c>
      <c r="O4711" t="s">
        <v>10200</v>
      </c>
      <c r="P4711" t="s">
        <v>208</v>
      </c>
      <c r="Q4711" t="s">
        <v>209</v>
      </c>
    </row>
    <row r="4712" spans="1:17" x14ac:dyDescent="0.3">
      <c r="A4712" t="s">
        <v>10201</v>
      </c>
      <c r="C4712" t="s">
        <v>10202</v>
      </c>
      <c r="D4712" t="s">
        <v>10203</v>
      </c>
      <c r="E4712" s="5">
        <v>46290</v>
      </c>
      <c r="F4712" t="s">
        <v>204</v>
      </c>
      <c r="G4712" t="s">
        <v>205</v>
      </c>
      <c r="H4712">
        <v>299</v>
      </c>
      <c r="I4712">
        <v>5.68</v>
      </c>
      <c r="J4712">
        <v>1.02</v>
      </c>
      <c r="K4712">
        <v>292.3</v>
      </c>
      <c r="L4712" s="5">
        <v>46292</v>
      </c>
      <c r="M4712" t="s">
        <v>9819</v>
      </c>
      <c r="N4712" t="s">
        <v>207</v>
      </c>
      <c r="O4712" t="s">
        <v>10203</v>
      </c>
      <c r="P4712" t="s">
        <v>208</v>
      </c>
      <c r="Q4712" t="s">
        <v>209</v>
      </c>
    </row>
    <row r="4713" spans="1:17" x14ac:dyDescent="0.3">
      <c r="A4713" t="s">
        <v>10204</v>
      </c>
      <c r="C4713" t="s">
        <v>10205</v>
      </c>
      <c r="D4713" t="s">
        <v>10205</v>
      </c>
      <c r="E4713" s="5">
        <v>46290</v>
      </c>
      <c r="F4713" t="s">
        <v>204</v>
      </c>
      <c r="G4713" t="s">
        <v>220</v>
      </c>
      <c r="H4713">
        <v>1799</v>
      </c>
      <c r="I4713">
        <v>0</v>
      </c>
      <c r="J4713">
        <v>0</v>
      </c>
      <c r="K4713">
        <v>1799</v>
      </c>
      <c r="L4713" s="5">
        <v>46292</v>
      </c>
      <c r="M4713" t="s">
        <v>9819</v>
      </c>
      <c r="N4713" t="s">
        <v>207</v>
      </c>
      <c r="O4713" t="s">
        <v>10205</v>
      </c>
      <c r="P4713" t="s">
        <v>208</v>
      </c>
      <c r="Q4713" t="s">
        <v>209</v>
      </c>
    </row>
    <row r="4714" spans="1:17" x14ac:dyDescent="0.3">
      <c r="A4714" t="s">
        <v>10206</v>
      </c>
      <c r="C4714" t="s">
        <v>10207</v>
      </c>
      <c r="D4714" t="s">
        <v>10207</v>
      </c>
      <c r="E4714" s="5">
        <v>46290</v>
      </c>
      <c r="F4714" t="s">
        <v>204</v>
      </c>
      <c r="G4714" t="s">
        <v>220</v>
      </c>
      <c r="H4714">
        <v>8498</v>
      </c>
      <c r="I4714">
        <v>25.49</v>
      </c>
      <c r="J4714">
        <v>4.59</v>
      </c>
      <c r="K4714">
        <v>8467.92</v>
      </c>
      <c r="L4714" s="5">
        <v>46292</v>
      </c>
      <c r="M4714" t="s">
        <v>9819</v>
      </c>
      <c r="N4714" t="s">
        <v>207</v>
      </c>
      <c r="O4714" t="s">
        <v>10207</v>
      </c>
      <c r="P4714" t="s">
        <v>208</v>
      </c>
      <c r="Q4714" t="s">
        <v>209</v>
      </c>
    </row>
    <row r="4715" spans="1:17" x14ac:dyDescent="0.3">
      <c r="A4715" t="s">
        <v>10208</v>
      </c>
      <c r="C4715" t="s">
        <v>10209</v>
      </c>
      <c r="D4715" t="s">
        <v>10209</v>
      </c>
      <c r="E4715" s="5">
        <v>46290</v>
      </c>
      <c r="F4715" t="s">
        <v>204</v>
      </c>
      <c r="G4715" t="s">
        <v>213</v>
      </c>
      <c r="H4715">
        <v>2798</v>
      </c>
      <c r="I4715">
        <v>44.77</v>
      </c>
      <c r="J4715">
        <v>8.06</v>
      </c>
      <c r="K4715">
        <v>2745.17</v>
      </c>
      <c r="L4715" s="5">
        <v>46292</v>
      </c>
      <c r="M4715" t="s">
        <v>9819</v>
      </c>
      <c r="N4715" t="s">
        <v>207</v>
      </c>
      <c r="O4715" t="s">
        <v>10209</v>
      </c>
      <c r="P4715" t="s">
        <v>208</v>
      </c>
      <c r="Q4715" t="s">
        <v>209</v>
      </c>
    </row>
    <row r="4716" spans="1:17" x14ac:dyDescent="0.3">
      <c r="A4716" t="s">
        <v>10210</v>
      </c>
      <c r="C4716" t="s">
        <v>10211</v>
      </c>
      <c r="D4716" t="s">
        <v>10212</v>
      </c>
      <c r="E4716" s="5">
        <v>46290</v>
      </c>
      <c r="F4716" t="s">
        <v>204</v>
      </c>
      <c r="G4716" t="s">
        <v>220</v>
      </c>
      <c r="H4716">
        <v>1799</v>
      </c>
      <c r="I4716">
        <v>0</v>
      </c>
      <c r="J4716">
        <v>0</v>
      </c>
      <c r="K4716">
        <v>1799</v>
      </c>
      <c r="L4716" s="5">
        <v>46292</v>
      </c>
      <c r="M4716" t="s">
        <v>9819</v>
      </c>
      <c r="N4716" t="s">
        <v>207</v>
      </c>
      <c r="O4716" t="s">
        <v>10212</v>
      </c>
      <c r="P4716" t="s">
        <v>208</v>
      </c>
      <c r="Q4716" t="s">
        <v>209</v>
      </c>
    </row>
    <row r="4717" spans="1:17" x14ac:dyDescent="0.3">
      <c r="A4717" t="s">
        <v>10213</v>
      </c>
      <c r="C4717" t="s">
        <v>10214</v>
      </c>
      <c r="D4717" t="s">
        <v>10214</v>
      </c>
      <c r="E4717" s="5">
        <v>46290</v>
      </c>
      <c r="F4717" t="s">
        <v>204</v>
      </c>
      <c r="G4717" t="s">
        <v>205</v>
      </c>
      <c r="H4717">
        <v>2598</v>
      </c>
      <c r="I4717">
        <v>62.35</v>
      </c>
      <c r="J4717">
        <v>11.22</v>
      </c>
      <c r="K4717">
        <v>2524.4299999999998</v>
      </c>
      <c r="L4717" s="5">
        <v>46292</v>
      </c>
      <c r="M4717" t="s">
        <v>9819</v>
      </c>
      <c r="N4717" t="s">
        <v>207</v>
      </c>
      <c r="O4717" t="s">
        <v>10214</v>
      </c>
      <c r="P4717" t="s">
        <v>208</v>
      </c>
      <c r="Q4717" t="s">
        <v>209</v>
      </c>
    </row>
    <row r="4718" spans="1:17" x14ac:dyDescent="0.3">
      <c r="A4718" t="s">
        <v>10215</v>
      </c>
      <c r="C4718" t="s">
        <v>10216</v>
      </c>
      <c r="D4718" t="s">
        <v>10217</v>
      </c>
      <c r="E4718" s="5">
        <v>46290</v>
      </c>
      <c r="F4718" t="s">
        <v>204</v>
      </c>
      <c r="G4718" t="s">
        <v>220</v>
      </c>
      <c r="H4718">
        <v>3897</v>
      </c>
      <c r="I4718">
        <v>11.69</v>
      </c>
      <c r="J4718">
        <v>2.1</v>
      </c>
      <c r="K4718">
        <v>3883.21</v>
      </c>
      <c r="L4718" s="5">
        <v>46292</v>
      </c>
      <c r="M4718" t="s">
        <v>9819</v>
      </c>
      <c r="N4718" t="s">
        <v>207</v>
      </c>
      <c r="O4718" t="s">
        <v>10217</v>
      </c>
      <c r="P4718" t="s">
        <v>208</v>
      </c>
      <c r="Q4718" t="s">
        <v>209</v>
      </c>
    </row>
    <row r="4719" spans="1:17" x14ac:dyDescent="0.3">
      <c r="A4719" t="s">
        <v>10218</v>
      </c>
      <c r="C4719" t="s">
        <v>10219</v>
      </c>
      <c r="D4719" t="s">
        <v>10219</v>
      </c>
      <c r="E4719" s="5">
        <v>46290</v>
      </c>
      <c r="F4719" t="s">
        <v>204</v>
      </c>
      <c r="G4719" t="s">
        <v>220</v>
      </c>
      <c r="H4719">
        <v>3798</v>
      </c>
      <c r="I4719">
        <v>11.39</v>
      </c>
      <c r="J4719">
        <v>2.0499999999999998</v>
      </c>
      <c r="K4719">
        <v>3784.56</v>
      </c>
      <c r="L4719" s="5">
        <v>46292</v>
      </c>
      <c r="M4719" t="s">
        <v>9819</v>
      </c>
      <c r="N4719" t="s">
        <v>207</v>
      </c>
      <c r="O4719" t="s">
        <v>10219</v>
      </c>
      <c r="P4719" t="s">
        <v>208</v>
      </c>
      <c r="Q4719" t="s">
        <v>209</v>
      </c>
    </row>
    <row r="4720" spans="1:17" x14ac:dyDescent="0.3">
      <c r="A4720" t="s">
        <v>10220</v>
      </c>
      <c r="C4720" t="s">
        <v>10221</v>
      </c>
      <c r="D4720" t="s">
        <v>10221</v>
      </c>
      <c r="E4720" s="5">
        <v>46290</v>
      </c>
      <c r="F4720" t="s">
        <v>204</v>
      </c>
      <c r="G4720" t="s">
        <v>220</v>
      </c>
      <c r="H4720">
        <v>299</v>
      </c>
      <c r="I4720">
        <v>0</v>
      </c>
      <c r="J4720">
        <v>0</v>
      </c>
      <c r="K4720">
        <v>299</v>
      </c>
      <c r="L4720" s="5">
        <v>46292</v>
      </c>
      <c r="M4720" t="s">
        <v>9819</v>
      </c>
      <c r="N4720" t="s">
        <v>207</v>
      </c>
      <c r="O4720" t="s">
        <v>10221</v>
      </c>
      <c r="P4720" t="s">
        <v>208</v>
      </c>
      <c r="Q4720" t="s">
        <v>209</v>
      </c>
    </row>
    <row r="4721" spans="1:17" x14ac:dyDescent="0.3">
      <c r="A4721" t="s">
        <v>10222</v>
      </c>
      <c r="C4721" t="s">
        <v>10223</v>
      </c>
      <c r="D4721" t="s">
        <v>10224</v>
      </c>
      <c r="E4721" s="5">
        <v>46290</v>
      </c>
      <c r="F4721" t="s">
        <v>204</v>
      </c>
      <c r="G4721" t="s">
        <v>205</v>
      </c>
      <c r="H4721">
        <v>4498</v>
      </c>
      <c r="I4721">
        <v>76.47</v>
      </c>
      <c r="J4721">
        <v>13.76</v>
      </c>
      <c r="K4721">
        <v>4407.7700000000004</v>
      </c>
      <c r="L4721" s="5">
        <v>46292</v>
      </c>
      <c r="M4721" t="s">
        <v>9819</v>
      </c>
      <c r="N4721" t="s">
        <v>207</v>
      </c>
      <c r="O4721" t="s">
        <v>10224</v>
      </c>
      <c r="P4721" t="s">
        <v>208</v>
      </c>
      <c r="Q4721" t="s">
        <v>209</v>
      </c>
    </row>
    <row r="4722" spans="1:17" x14ac:dyDescent="0.3">
      <c r="A4722" t="s">
        <v>10225</v>
      </c>
      <c r="C4722" t="s">
        <v>10226</v>
      </c>
      <c r="D4722" t="s">
        <v>10226</v>
      </c>
      <c r="E4722" s="5">
        <v>46290</v>
      </c>
      <c r="F4722" t="s">
        <v>204</v>
      </c>
      <c r="G4722" t="s">
        <v>220</v>
      </c>
      <c r="H4722">
        <v>1799</v>
      </c>
      <c r="I4722">
        <v>0</v>
      </c>
      <c r="J4722">
        <v>0</v>
      </c>
      <c r="K4722">
        <v>1799</v>
      </c>
      <c r="L4722" s="5">
        <v>46292</v>
      </c>
      <c r="M4722" t="s">
        <v>9819</v>
      </c>
      <c r="N4722" t="s">
        <v>207</v>
      </c>
      <c r="O4722" t="s">
        <v>10226</v>
      </c>
      <c r="P4722" t="s">
        <v>208</v>
      </c>
      <c r="Q4722" t="s">
        <v>209</v>
      </c>
    </row>
    <row r="4723" spans="1:17" x14ac:dyDescent="0.3">
      <c r="A4723" t="s">
        <v>10227</v>
      </c>
      <c r="C4723" t="s">
        <v>10228</v>
      </c>
      <c r="D4723" t="s">
        <v>10228</v>
      </c>
      <c r="E4723" s="5">
        <v>46290</v>
      </c>
      <c r="F4723" t="s">
        <v>204</v>
      </c>
      <c r="G4723" t="s">
        <v>205</v>
      </c>
      <c r="H4723">
        <v>12497</v>
      </c>
      <c r="I4723">
        <v>212.45</v>
      </c>
      <c r="J4723">
        <v>38.24</v>
      </c>
      <c r="K4723">
        <v>12246.31</v>
      </c>
      <c r="L4723" s="5">
        <v>46292</v>
      </c>
      <c r="M4723" t="s">
        <v>9819</v>
      </c>
      <c r="N4723" t="s">
        <v>207</v>
      </c>
      <c r="O4723" t="s">
        <v>10228</v>
      </c>
      <c r="P4723" t="s">
        <v>208</v>
      </c>
      <c r="Q4723" t="s">
        <v>209</v>
      </c>
    </row>
    <row r="4724" spans="1:17" x14ac:dyDescent="0.3">
      <c r="A4724" t="s">
        <v>10229</v>
      </c>
      <c r="C4724" t="s">
        <v>10230</v>
      </c>
      <c r="D4724" t="s">
        <v>10231</v>
      </c>
      <c r="E4724" s="5">
        <v>46290</v>
      </c>
      <c r="F4724" t="s">
        <v>204</v>
      </c>
      <c r="G4724" t="s">
        <v>220</v>
      </c>
      <c r="H4724">
        <v>8598</v>
      </c>
      <c r="I4724">
        <v>25.79</v>
      </c>
      <c r="J4724">
        <v>4.6399999999999997</v>
      </c>
      <c r="K4724">
        <v>8567.57</v>
      </c>
      <c r="L4724" s="5">
        <v>46292</v>
      </c>
      <c r="M4724" t="s">
        <v>9819</v>
      </c>
      <c r="N4724" t="s">
        <v>207</v>
      </c>
      <c r="O4724" t="s">
        <v>10231</v>
      </c>
      <c r="P4724" t="s">
        <v>208</v>
      </c>
      <c r="Q4724" t="s">
        <v>209</v>
      </c>
    </row>
    <row r="4725" spans="1:17" x14ac:dyDescent="0.3">
      <c r="A4725" t="s">
        <v>10232</v>
      </c>
      <c r="C4725" t="s">
        <v>10233</v>
      </c>
      <c r="D4725" t="s">
        <v>10233</v>
      </c>
      <c r="E4725" s="5">
        <v>46290</v>
      </c>
      <c r="F4725" t="s">
        <v>204</v>
      </c>
      <c r="G4725" t="s">
        <v>213</v>
      </c>
      <c r="H4725">
        <v>799</v>
      </c>
      <c r="I4725">
        <v>14.38</v>
      </c>
      <c r="J4725">
        <v>2.59</v>
      </c>
      <c r="K4725">
        <v>782.03</v>
      </c>
      <c r="L4725" s="5">
        <v>46292</v>
      </c>
      <c r="M4725" t="s">
        <v>9819</v>
      </c>
      <c r="N4725" t="s">
        <v>207</v>
      </c>
      <c r="O4725" t="s">
        <v>10233</v>
      </c>
      <c r="P4725" t="s">
        <v>208</v>
      </c>
      <c r="Q4725" t="s">
        <v>209</v>
      </c>
    </row>
    <row r="4726" spans="1:17" x14ac:dyDescent="0.3">
      <c r="A4726" t="s">
        <v>10234</v>
      </c>
      <c r="C4726" t="s">
        <v>10235</v>
      </c>
      <c r="D4726" t="s">
        <v>10235</v>
      </c>
      <c r="E4726" s="5">
        <v>46290</v>
      </c>
      <c r="F4726" t="s">
        <v>204</v>
      </c>
      <c r="G4726" t="s">
        <v>220</v>
      </c>
      <c r="H4726">
        <v>3998</v>
      </c>
      <c r="I4726">
        <v>11.99</v>
      </c>
      <c r="J4726">
        <v>2.16</v>
      </c>
      <c r="K4726">
        <v>3983.85</v>
      </c>
      <c r="L4726" s="5">
        <v>46292</v>
      </c>
      <c r="M4726" t="s">
        <v>9819</v>
      </c>
      <c r="N4726" t="s">
        <v>207</v>
      </c>
      <c r="O4726" t="s">
        <v>10235</v>
      </c>
      <c r="P4726" t="s">
        <v>208</v>
      </c>
      <c r="Q4726" t="s">
        <v>209</v>
      </c>
    </row>
    <row r="4727" spans="1:17" x14ac:dyDescent="0.3">
      <c r="A4727" t="s">
        <v>10236</v>
      </c>
      <c r="C4727" t="s">
        <v>10237</v>
      </c>
      <c r="D4727" t="s">
        <v>10237</v>
      </c>
      <c r="E4727" s="5">
        <v>46290</v>
      </c>
      <c r="F4727" t="s">
        <v>204</v>
      </c>
      <c r="G4727" t="s">
        <v>213</v>
      </c>
      <c r="H4727">
        <v>1499</v>
      </c>
      <c r="I4727">
        <v>26.98</v>
      </c>
      <c r="J4727">
        <v>4.8600000000000003</v>
      </c>
      <c r="K4727">
        <v>1467.16</v>
      </c>
      <c r="L4727" s="5">
        <v>46292</v>
      </c>
      <c r="M4727" t="s">
        <v>9819</v>
      </c>
      <c r="N4727" t="s">
        <v>207</v>
      </c>
      <c r="O4727" t="s">
        <v>10237</v>
      </c>
      <c r="P4727" t="s">
        <v>208</v>
      </c>
      <c r="Q4727" t="s">
        <v>209</v>
      </c>
    </row>
    <row r="4728" spans="1:17" x14ac:dyDescent="0.3">
      <c r="A4728" t="s">
        <v>10238</v>
      </c>
      <c r="C4728" t="s">
        <v>10239</v>
      </c>
      <c r="D4728" t="s">
        <v>10239</v>
      </c>
      <c r="E4728" s="5">
        <v>46290</v>
      </c>
      <c r="F4728" t="s">
        <v>204</v>
      </c>
      <c r="G4728" t="s">
        <v>220</v>
      </c>
      <c r="H4728">
        <v>599</v>
      </c>
      <c r="I4728">
        <v>0</v>
      </c>
      <c r="J4728">
        <v>0</v>
      </c>
      <c r="K4728">
        <v>599</v>
      </c>
      <c r="L4728" s="5">
        <v>46292</v>
      </c>
      <c r="M4728" t="s">
        <v>9819</v>
      </c>
      <c r="N4728" t="s">
        <v>207</v>
      </c>
      <c r="O4728" t="s">
        <v>10239</v>
      </c>
      <c r="P4728" t="s">
        <v>208</v>
      </c>
      <c r="Q4728" t="s">
        <v>209</v>
      </c>
    </row>
    <row r="4729" spans="1:17" x14ac:dyDescent="0.3">
      <c r="A4729" t="s">
        <v>10240</v>
      </c>
      <c r="C4729" t="s">
        <v>10241</v>
      </c>
      <c r="D4729" t="s">
        <v>10242</v>
      </c>
      <c r="E4729" s="5">
        <v>46290</v>
      </c>
      <c r="F4729" t="s">
        <v>204</v>
      </c>
      <c r="G4729" t="s">
        <v>255</v>
      </c>
      <c r="H4729">
        <v>1799</v>
      </c>
      <c r="I4729">
        <v>26.99</v>
      </c>
      <c r="J4729">
        <v>4.8600000000000003</v>
      </c>
      <c r="K4729">
        <v>1767.15</v>
      </c>
      <c r="L4729" s="5">
        <v>46292</v>
      </c>
      <c r="M4729" t="s">
        <v>9819</v>
      </c>
      <c r="N4729" t="s">
        <v>207</v>
      </c>
      <c r="O4729" t="s">
        <v>10242</v>
      </c>
      <c r="P4729" t="s">
        <v>208</v>
      </c>
      <c r="Q4729" t="s">
        <v>209</v>
      </c>
    </row>
    <row r="4730" spans="1:17" x14ac:dyDescent="0.3">
      <c r="A4730" t="s">
        <v>10243</v>
      </c>
      <c r="C4730" t="s">
        <v>10244</v>
      </c>
      <c r="D4730" t="s">
        <v>10244</v>
      </c>
      <c r="E4730" s="5">
        <v>46290</v>
      </c>
      <c r="F4730" t="s">
        <v>204</v>
      </c>
      <c r="G4730" t="s">
        <v>220</v>
      </c>
      <c r="H4730">
        <v>2998</v>
      </c>
      <c r="I4730">
        <v>8.99</v>
      </c>
      <c r="J4730">
        <v>1.62</v>
      </c>
      <c r="K4730">
        <v>2987.39</v>
      </c>
      <c r="L4730" s="5">
        <v>46292</v>
      </c>
      <c r="M4730" t="s">
        <v>9819</v>
      </c>
      <c r="N4730" t="s">
        <v>207</v>
      </c>
      <c r="O4730" t="s">
        <v>10244</v>
      </c>
      <c r="P4730" t="s">
        <v>208</v>
      </c>
      <c r="Q4730" t="s">
        <v>209</v>
      </c>
    </row>
    <row r="4731" spans="1:17" x14ac:dyDescent="0.3">
      <c r="A4731" t="s">
        <v>10245</v>
      </c>
      <c r="C4731" t="s">
        <v>10246</v>
      </c>
      <c r="D4731" t="s">
        <v>10246</v>
      </c>
      <c r="E4731" s="5">
        <v>46290</v>
      </c>
      <c r="F4731" t="s">
        <v>204</v>
      </c>
      <c r="G4731" t="s">
        <v>205</v>
      </c>
      <c r="H4731">
        <v>3499</v>
      </c>
      <c r="I4731">
        <v>59.48</v>
      </c>
      <c r="J4731">
        <v>10.71</v>
      </c>
      <c r="K4731">
        <v>3428.81</v>
      </c>
      <c r="L4731" s="5">
        <v>46292</v>
      </c>
      <c r="M4731" t="s">
        <v>9819</v>
      </c>
      <c r="N4731" t="s">
        <v>207</v>
      </c>
      <c r="O4731" t="s">
        <v>10246</v>
      </c>
      <c r="P4731" t="s">
        <v>208</v>
      </c>
      <c r="Q4731" t="s">
        <v>209</v>
      </c>
    </row>
    <row r="4732" spans="1:17" x14ac:dyDescent="0.3">
      <c r="A4732" t="s">
        <v>10247</v>
      </c>
      <c r="C4732" t="s">
        <v>10248</v>
      </c>
      <c r="D4732" t="s">
        <v>10248</v>
      </c>
      <c r="E4732" s="5">
        <v>46290</v>
      </c>
      <c r="F4732" t="s">
        <v>204</v>
      </c>
      <c r="G4732" t="s">
        <v>220</v>
      </c>
      <c r="H4732">
        <v>3347</v>
      </c>
      <c r="I4732">
        <v>10.039999999999999</v>
      </c>
      <c r="J4732">
        <v>1.81</v>
      </c>
      <c r="K4732">
        <v>3335.15</v>
      </c>
      <c r="L4732" s="5">
        <v>46292</v>
      </c>
      <c r="M4732" t="s">
        <v>9819</v>
      </c>
      <c r="N4732" t="s">
        <v>207</v>
      </c>
      <c r="O4732" t="s">
        <v>10248</v>
      </c>
      <c r="P4732" t="s">
        <v>208</v>
      </c>
      <c r="Q4732" t="s">
        <v>209</v>
      </c>
    </row>
    <row r="4733" spans="1:17" x14ac:dyDescent="0.3">
      <c r="A4733" t="s">
        <v>10249</v>
      </c>
      <c r="C4733" t="s">
        <v>10250</v>
      </c>
      <c r="D4733" t="s">
        <v>10250</v>
      </c>
      <c r="E4733" s="5">
        <v>46290</v>
      </c>
      <c r="F4733" t="s">
        <v>204</v>
      </c>
      <c r="G4733" t="s">
        <v>220</v>
      </c>
      <c r="H4733">
        <v>1348</v>
      </c>
      <c r="I4733">
        <v>0</v>
      </c>
      <c r="J4733">
        <v>0</v>
      </c>
      <c r="K4733">
        <v>1348</v>
      </c>
      <c r="L4733" s="5">
        <v>46292</v>
      </c>
      <c r="M4733" t="s">
        <v>9819</v>
      </c>
      <c r="N4733" t="s">
        <v>207</v>
      </c>
      <c r="O4733" t="s">
        <v>10250</v>
      </c>
      <c r="P4733" t="s">
        <v>208</v>
      </c>
      <c r="Q4733" t="s">
        <v>209</v>
      </c>
    </row>
    <row r="4734" spans="1:17" x14ac:dyDescent="0.3">
      <c r="A4734" t="s">
        <v>10251</v>
      </c>
      <c r="C4734" t="s">
        <v>10252</v>
      </c>
      <c r="D4734" t="s">
        <v>10252</v>
      </c>
      <c r="E4734" s="5">
        <v>46290</v>
      </c>
      <c r="F4734" t="s">
        <v>204</v>
      </c>
      <c r="G4734" t="s">
        <v>220</v>
      </c>
      <c r="H4734">
        <v>499</v>
      </c>
      <c r="I4734">
        <v>0</v>
      </c>
      <c r="J4734">
        <v>0</v>
      </c>
      <c r="K4734">
        <v>499</v>
      </c>
      <c r="L4734" s="5">
        <v>46292</v>
      </c>
      <c r="M4734" t="s">
        <v>9819</v>
      </c>
      <c r="N4734" t="s">
        <v>207</v>
      </c>
      <c r="O4734" t="s">
        <v>10252</v>
      </c>
      <c r="P4734" t="s">
        <v>208</v>
      </c>
      <c r="Q4734" t="s">
        <v>209</v>
      </c>
    </row>
    <row r="4735" spans="1:17" x14ac:dyDescent="0.3">
      <c r="A4735" t="s">
        <v>10253</v>
      </c>
      <c r="C4735" t="s">
        <v>10254</v>
      </c>
      <c r="D4735" t="s">
        <v>10254</v>
      </c>
      <c r="E4735" s="5">
        <v>46290</v>
      </c>
      <c r="F4735" t="s">
        <v>204</v>
      </c>
      <c r="G4735" t="s">
        <v>255</v>
      </c>
      <c r="H4735">
        <v>349</v>
      </c>
      <c r="I4735">
        <v>5.24</v>
      </c>
      <c r="J4735">
        <v>0.94</v>
      </c>
      <c r="K4735">
        <v>342.82</v>
      </c>
      <c r="L4735" s="5">
        <v>46292</v>
      </c>
      <c r="M4735" t="s">
        <v>9819</v>
      </c>
      <c r="N4735" t="s">
        <v>207</v>
      </c>
      <c r="O4735" t="s">
        <v>10254</v>
      </c>
      <c r="P4735" t="s">
        <v>208</v>
      </c>
      <c r="Q4735" t="s">
        <v>209</v>
      </c>
    </row>
    <row r="4736" spans="1:17" x14ac:dyDescent="0.3">
      <c r="A4736" t="s">
        <v>10255</v>
      </c>
      <c r="C4736" t="s">
        <v>10256</v>
      </c>
      <c r="D4736" t="s">
        <v>10256</v>
      </c>
      <c r="E4736" s="5">
        <v>46290</v>
      </c>
      <c r="F4736" t="s">
        <v>204</v>
      </c>
      <c r="G4736" t="s">
        <v>220</v>
      </c>
      <c r="H4736">
        <v>5498</v>
      </c>
      <c r="I4736">
        <v>16.489999999999998</v>
      </c>
      <c r="J4736">
        <v>2.97</v>
      </c>
      <c r="K4736">
        <v>5478.54</v>
      </c>
      <c r="L4736" s="5">
        <v>46292</v>
      </c>
      <c r="M4736" t="s">
        <v>9819</v>
      </c>
      <c r="N4736" t="s">
        <v>207</v>
      </c>
      <c r="O4736" t="s">
        <v>10256</v>
      </c>
      <c r="P4736" t="s">
        <v>208</v>
      </c>
      <c r="Q4736" t="s">
        <v>209</v>
      </c>
    </row>
    <row r="4737" spans="1:17" x14ac:dyDescent="0.3">
      <c r="A4737" t="s">
        <v>10257</v>
      </c>
      <c r="B4737" t="s">
        <v>8554</v>
      </c>
      <c r="E4737" s="5">
        <v>46290</v>
      </c>
      <c r="F4737" t="s">
        <v>921</v>
      </c>
      <c r="G4737" t="s">
        <v>213</v>
      </c>
      <c r="H4737">
        <v>999</v>
      </c>
      <c r="I4737">
        <v>0</v>
      </c>
      <c r="J4737">
        <v>0</v>
      </c>
      <c r="K4737">
        <v>-999</v>
      </c>
      <c r="L4737" s="5">
        <v>46292</v>
      </c>
      <c r="M4737" t="s">
        <v>9819</v>
      </c>
      <c r="N4737" t="s">
        <v>207</v>
      </c>
      <c r="O4737" t="s">
        <v>8555</v>
      </c>
      <c r="P4737" t="s">
        <v>208</v>
      </c>
    </row>
    <row r="4738" spans="1:17" x14ac:dyDescent="0.3">
      <c r="A4738" t="s">
        <v>10258</v>
      </c>
      <c r="B4738" t="s">
        <v>9511</v>
      </c>
      <c r="E4738" s="5">
        <v>46290</v>
      </c>
      <c r="F4738" t="s">
        <v>921</v>
      </c>
      <c r="G4738" t="s">
        <v>255</v>
      </c>
      <c r="H4738">
        <v>8348</v>
      </c>
      <c r="I4738">
        <v>0</v>
      </c>
      <c r="J4738">
        <v>0</v>
      </c>
      <c r="K4738">
        <v>-8348</v>
      </c>
      <c r="L4738" s="5">
        <v>46292</v>
      </c>
      <c r="M4738" t="s">
        <v>9819</v>
      </c>
      <c r="N4738" t="s">
        <v>207</v>
      </c>
      <c r="O4738" t="s">
        <v>9512</v>
      </c>
      <c r="P4738" t="s">
        <v>208</v>
      </c>
    </row>
    <row r="4739" spans="1:17" x14ac:dyDescent="0.3">
      <c r="A4739" t="s">
        <v>10259</v>
      </c>
      <c r="C4739" t="s">
        <v>10260</v>
      </c>
      <c r="D4739" t="s">
        <v>10260</v>
      </c>
      <c r="E4739" s="5">
        <v>46291</v>
      </c>
      <c r="F4739" t="s">
        <v>204</v>
      </c>
      <c r="G4739" t="s">
        <v>213</v>
      </c>
      <c r="H4739">
        <v>9298</v>
      </c>
      <c r="I4739">
        <v>148.77000000000001</v>
      </c>
      <c r="J4739">
        <v>26.78</v>
      </c>
      <c r="K4739">
        <v>9122.4500000000007</v>
      </c>
      <c r="L4739" s="5">
        <v>46293</v>
      </c>
      <c r="M4739" t="s">
        <v>10261</v>
      </c>
      <c r="N4739" t="s">
        <v>207</v>
      </c>
      <c r="O4739" t="s">
        <v>10260</v>
      </c>
      <c r="P4739" t="s">
        <v>208</v>
      </c>
      <c r="Q4739" t="s">
        <v>209</v>
      </c>
    </row>
    <row r="4740" spans="1:17" x14ac:dyDescent="0.3">
      <c r="A4740" t="s">
        <v>10262</v>
      </c>
      <c r="C4740" t="s">
        <v>10263</v>
      </c>
      <c r="D4740" t="s">
        <v>10264</v>
      </c>
      <c r="E4740" s="5">
        <v>46291</v>
      </c>
      <c r="F4740" t="s">
        <v>204</v>
      </c>
      <c r="G4740" t="s">
        <v>213</v>
      </c>
      <c r="H4740">
        <v>1299</v>
      </c>
      <c r="I4740">
        <v>23.38</v>
      </c>
      <c r="J4740">
        <v>4.21</v>
      </c>
      <c r="K4740">
        <v>1271.4100000000001</v>
      </c>
      <c r="L4740" s="5">
        <v>46293</v>
      </c>
      <c r="M4740" t="s">
        <v>10261</v>
      </c>
      <c r="N4740" t="s">
        <v>207</v>
      </c>
      <c r="O4740" t="s">
        <v>10264</v>
      </c>
      <c r="P4740" t="s">
        <v>208</v>
      </c>
      <c r="Q4740" t="s">
        <v>209</v>
      </c>
    </row>
    <row r="4741" spans="1:17" x14ac:dyDescent="0.3">
      <c r="A4741" t="s">
        <v>10265</v>
      </c>
      <c r="C4741" t="s">
        <v>10266</v>
      </c>
      <c r="D4741" t="s">
        <v>10266</v>
      </c>
      <c r="E4741" s="5">
        <v>46291</v>
      </c>
      <c r="F4741" t="s">
        <v>204</v>
      </c>
      <c r="G4741" t="s">
        <v>220</v>
      </c>
      <c r="H4741">
        <v>16497</v>
      </c>
      <c r="I4741">
        <v>49.49</v>
      </c>
      <c r="J4741">
        <v>8.91</v>
      </c>
      <c r="K4741">
        <v>16438.599999999999</v>
      </c>
      <c r="L4741" s="5">
        <v>46293</v>
      </c>
      <c r="M4741" t="s">
        <v>10261</v>
      </c>
      <c r="N4741" t="s">
        <v>207</v>
      </c>
      <c r="O4741" t="s">
        <v>10266</v>
      </c>
      <c r="P4741" t="s">
        <v>208</v>
      </c>
      <c r="Q4741" t="s">
        <v>209</v>
      </c>
    </row>
    <row r="4742" spans="1:17" x14ac:dyDescent="0.3">
      <c r="A4742" t="s">
        <v>10267</v>
      </c>
      <c r="C4742" t="s">
        <v>10268</v>
      </c>
      <c r="D4742" t="s">
        <v>10268</v>
      </c>
      <c r="E4742" s="5">
        <v>46291</v>
      </c>
      <c r="F4742" t="s">
        <v>204</v>
      </c>
      <c r="G4742" t="s">
        <v>220</v>
      </c>
      <c r="H4742">
        <v>1098</v>
      </c>
      <c r="I4742">
        <v>0</v>
      </c>
      <c r="J4742">
        <v>0</v>
      </c>
      <c r="K4742">
        <v>1098</v>
      </c>
      <c r="L4742" s="5">
        <v>46293</v>
      </c>
      <c r="M4742" t="s">
        <v>10261</v>
      </c>
      <c r="N4742" t="s">
        <v>207</v>
      </c>
      <c r="O4742" t="s">
        <v>10268</v>
      </c>
      <c r="P4742" t="s">
        <v>208</v>
      </c>
      <c r="Q4742" t="s">
        <v>209</v>
      </c>
    </row>
    <row r="4743" spans="1:17" x14ac:dyDescent="0.3">
      <c r="A4743" t="s">
        <v>10269</v>
      </c>
      <c r="C4743" t="s">
        <v>10270</v>
      </c>
      <c r="D4743" t="s">
        <v>10270</v>
      </c>
      <c r="E4743" s="5">
        <v>46291</v>
      </c>
      <c r="F4743" t="s">
        <v>204</v>
      </c>
      <c r="G4743" t="s">
        <v>205</v>
      </c>
      <c r="H4743">
        <v>1799</v>
      </c>
      <c r="I4743">
        <v>34.18</v>
      </c>
      <c r="J4743">
        <v>6.15</v>
      </c>
      <c r="K4743">
        <v>1758.67</v>
      </c>
      <c r="L4743" s="5">
        <v>46293</v>
      </c>
      <c r="M4743" t="s">
        <v>10261</v>
      </c>
      <c r="N4743" t="s">
        <v>207</v>
      </c>
      <c r="O4743" t="s">
        <v>10270</v>
      </c>
      <c r="P4743" t="s">
        <v>208</v>
      </c>
      <c r="Q4743" t="s">
        <v>209</v>
      </c>
    </row>
    <row r="4744" spans="1:17" x14ac:dyDescent="0.3">
      <c r="A4744" t="s">
        <v>10271</v>
      </c>
      <c r="C4744" t="s">
        <v>10272</v>
      </c>
      <c r="D4744" t="s">
        <v>10272</v>
      </c>
      <c r="E4744" s="5">
        <v>46291</v>
      </c>
      <c r="F4744" t="s">
        <v>204</v>
      </c>
      <c r="G4744" t="s">
        <v>220</v>
      </c>
      <c r="H4744">
        <v>8498</v>
      </c>
      <c r="I4744">
        <v>25.49</v>
      </c>
      <c r="J4744">
        <v>4.59</v>
      </c>
      <c r="K4744">
        <v>8467.92</v>
      </c>
      <c r="L4744" s="5">
        <v>46293</v>
      </c>
      <c r="M4744" t="s">
        <v>10261</v>
      </c>
      <c r="N4744" t="s">
        <v>207</v>
      </c>
      <c r="O4744" t="s">
        <v>10272</v>
      </c>
      <c r="P4744" t="s">
        <v>208</v>
      </c>
      <c r="Q4744" t="s">
        <v>209</v>
      </c>
    </row>
    <row r="4745" spans="1:17" x14ac:dyDescent="0.3">
      <c r="A4745" t="s">
        <v>10273</v>
      </c>
      <c r="C4745" t="s">
        <v>10274</v>
      </c>
      <c r="D4745" t="s">
        <v>10274</v>
      </c>
      <c r="E4745" s="5">
        <v>46291</v>
      </c>
      <c r="F4745" t="s">
        <v>204</v>
      </c>
      <c r="G4745" t="s">
        <v>220</v>
      </c>
      <c r="H4745">
        <v>11997</v>
      </c>
      <c r="I4745">
        <v>35.99</v>
      </c>
      <c r="J4745">
        <v>6.48</v>
      </c>
      <c r="K4745">
        <v>11954.53</v>
      </c>
      <c r="L4745" s="5">
        <v>46293</v>
      </c>
      <c r="M4745" t="s">
        <v>10261</v>
      </c>
      <c r="N4745" t="s">
        <v>207</v>
      </c>
      <c r="O4745" t="s">
        <v>10274</v>
      </c>
      <c r="P4745" t="s">
        <v>208</v>
      </c>
      <c r="Q4745" t="s">
        <v>209</v>
      </c>
    </row>
    <row r="4746" spans="1:17" x14ac:dyDescent="0.3">
      <c r="A4746" t="s">
        <v>10275</v>
      </c>
      <c r="C4746" t="s">
        <v>10276</v>
      </c>
      <c r="D4746" t="s">
        <v>10277</v>
      </c>
      <c r="E4746" s="5">
        <v>46291</v>
      </c>
      <c r="F4746" t="s">
        <v>204</v>
      </c>
      <c r="G4746" t="s">
        <v>205</v>
      </c>
      <c r="H4746">
        <v>1799</v>
      </c>
      <c r="I4746">
        <v>34.18</v>
      </c>
      <c r="J4746">
        <v>6.15</v>
      </c>
      <c r="K4746">
        <v>1758.67</v>
      </c>
      <c r="L4746" s="5">
        <v>46293</v>
      </c>
      <c r="M4746" t="s">
        <v>10261</v>
      </c>
      <c r="N4746" t="s">
        <v>207</v>
      </c>
      <c r="O4746" t="s">
        <v>10277</v>
      </c>
      <c r="P4746" t="s">
        <v>208</v>
      </c>
      <c r="Q4746" t="s">
        <v>209</v>
      </c>
    </row>
    <row r="4747" spans="1:17" x14ac:dyDescent="0.3">
      <c r="A4747" t="s">
        <v>10278</v>
      </c>
      <c r="C4747" t="s">
        <v>10279</v>
      </c>
      <c r="D4747" t="s">
        <v>10279</v>
      </c>
      <c r="E4747" s="5">
        <v>46291</v>
      </c>
      <c r="F4747" t="s">
        <v>204</v>
      </c>
      <c r="G4747" t="s">
        <v>213</v>
      </c>
      <c r="H4747">
        <v>13597</v>
      </c>
      <c r="I4747">
        <v>217.55</v>
      </c>
      <c r="J4747">
        <v>39.159999999999997</v>
      </c>
      <c r="K4747">
        <v>13340.29</v>
      </c>
      <c r="L4747" s="5">
        <v>46293</v>
      </c>
      <c r="M4747" t="s">
        <v>10261</v>
      </c>
      <c r="N4747" t="s">
        <v>207</v>
      </c>
      <c r="O4747" t="s">
        <v>10279</v>
      </c>
      <c r="P4747" t="s">
        <v>208</v>
      </c>
      <c r="Q4747" t="s">
        <v>209</v>
      </c>
    </row>
    <row r="4748" spans="1:17" x14ac:dyDescent="0.3">
      <c r="A4748" t="s">
        <v>10280</v>
      </c>
      <c r="C4748" t="s">
        <v>10281</v>
      </c>
      <c r="D4748" t="s">
        <v>10281</v>
      </c>
      <c r="E4748" s="5">
        <v>46291</v>
      </c>
      <c r="F4748" t="s">
        <v>204</v>
      </c>
      <c r="G4748" t="s">
        <v>205</v>
      </c>
      <c r="H4748">
        <v>8797</v>
      </c>
      <c r="I4748">
        <v>149.55000000000001</v>
      </c>
      <c r="J4748">
        <v>26.92</v>
      </c>
      <c r="K4748">
        <v>8620.5300000000007</v>
      </c>
      <c r="L4748" s="5">
        <v>46293</v>
      </c>
      <c r="M4748" t="s">
        <v>10261</v>
      </c>
      <c r="N4748" t="s">
        <v>207</v>
      </c>
      <c r="O4748" t="s">
        <v>10281</v>
      </c>
      <c r="P4748" t="s">
        <v>208</v>
      </c>
      <c r="Q4748" t="s">
        <v>209</v>
      </c>
    </row>
    <row r="4749" spans="1:17" x14ac:dyDescent="0.3">
      <c r="A4749" t="s">
        <v>10282</v>
      </c>
      <c r="C4749" t="s">
        <v>10283</v>
      </c>
      <c r="D4749" t="s">
        <v>10283</v>
      </c>
      <c r="E4749" s="5">
        <v>46291</v>
      </c>
      <c r="F4749" t="s">
        <v>204</v>
      </c>
      <c r="G4749" t="s">
        <v>205</v>
      </c>
      <c r="H4749">
        <v>2098</v>
      </c>
      <c r="I4749">
        <v>50.35</v>
      </c>
      <c r="J4749">
        <v>9.06</v>
      </c>
      <c r="K4749">
        <v>2038.59</v>
      </c>
      <c r="L4749" s="5">
        <v>46293</v>
      </c>
      <c r="M4749" t="s">
        <v>10261</v>
      </c>
      <c r="N4749" t="s">
        <v>207</v>
      </c>
      <c r="O4749" t="s">
        <v>10283</v>
      </c>
      <c r="P4749" t="s">
        <v>208</v>
      </c>
      <c r="Q4749" t="s">
        <v>209</v>
      </c>
    </row>
    <row r="4750" spans="1:17" x14ac:dyDescent="0.3">
      <c r="A4750" t="s">
        <v>10284</v>
      </c>
      <c r="C4750" t="s">
        <v>10285</v>
      </c>
      <c r="D4750" t="s">
        <v>10286</v>
      </c>
      <c r="E4750" s="5">
        <v>46291</v>
      </c>
      <c r="F4750" t="s">
        <v>204</v>
      </c>
      <c r="G4750" t="s">
        <v>213</v>
      </c>
      <c r="H4750">
        <v>6997</v>
      </c>
      <c r="I4750">
        <v>111.95</v>
      </c>
      <c r="J4750">
        <v>20.149999999999999</v>
      </c>
      <c r="K4750">
        <v>6864.9</v>
      </c>
      <c r="L4750" s="5">
        <v>46293</v>
      </c>
      <c r="M4750" t="s">
        <v>10261</v>
      </c>
      <c r="N4750" t="s">
        <v>207</v>
      </c>
      <c r="O4750" t="s">
        <v>10286</v>
      </c>
      <c r="P4750" t="s">
        <v>208</v>
      </c>
      <c r="Q4750" t="s">
        <v>209</v>
      </c>
    </row>
    <row r="4751" spans="1:17" x14ac:dyDescent="0.3">
      <c r="A4751" t="s">
        <v>10287</v>
      </c>
      <c r="C4751" t="s">
        <v>10288</v>
      </c>
      <c r="D4751" t="s">
        <v>10289</v>
      </c>
      <c r="E4751" s="5">
        <v>46291</v>
      </c>
      <c r="F4751" t="s">
        <v>204</v>
      </c>
      <c r="G4751" t="s">
        <v>213</v>
      </c>
      <c r="H4751">
        <v>2297</v>
      </c>
      <c r="I4751">
        <v>36.75</v>
      </c>
      <c r="J4751">
        <v>6.62</v>
      </c>
      <c r="K4751">
        <v>2253.63</v>
      </c>
      <c r="L4751" s="5">
        <v>46293</v>
      </c>
      <c r="M4751" t="s">
        <v>10261</v>
      </c>
      <c r="N4751" t="s">
        <v>207</v>
      </c>
      <c r="O4751" t="s">
        <v>10289</v>
      </c>
      <c r="P4751" t="s">
        <v>208</v>
      </c>
      <c r="Q4751" t="s">
        <v>209</v>
      </c>
    </row>
    <row r="4752" spans="1:17" x14ac:dyDescent="0.3">
      <c r="A4752" t="s">
        <v>10290</v>
      </c>
      <c r="C4752" t="s">
        <v>10291</v>
      </c>
      <c r="D4752" t="s">
        <v>10291</v>
      </c>
      <c r="E4752" s="5">
        <v>46291</v>
      </c>
      <c r="F4752" t="s">
        <v>204</v>
      </c>
      <c r="G4752" t="s">
        <v>220</v>
      </c>
      <c r="H4752">
        <v>3499</v>
      </c>
      <c r="I4752">
        <v>10.5</v>
      </c>
      <c r="J4752">
        <v>1.89</v>
      </c>
      <c r="K4752">
        <v>3486.61</v>
      </c>
      <c r="L4752" s="5">
        <v>46293</v>
      </c>
      <c r="M4752" t="s">
        <v>10261</v>
      </c>
      <c r="N4752" t="s">
        <v>207</v>
      </c>
      <c r="O4752" t="s">
        <v>10291</v>
      </c>
      <c r="P4752" t="s">
        <v>208</v>
      </c>
      <c r="Q4752" t="s">
        <v>209</v>
      </c>
    </row>
    <row r="4753" spans="1:17" x14ac:dyDescent="0.3">
      <c r="A4753" t="s">
        <v>10292</v>
      </c>
      <c r="C4753" t="s">
        <v>10293</v>
      </c>
      <c r="D4753" t="s">
        <v>10293</v>
      </c>
      <c r="E4753" s="5">
        <v>46291</v>
      </c>
      <c r="F4753" t="s">
        <v>204</v>
      </c>
      <c r="G4753" t="s">
        <v>205</v>
      </c>
      <c r="H4753">
        <v>5497</v>
      </c>
      <c r="I4753">
        <v>93.45</v>
      </c>
      <c r="J4753">
        <v>16.82</v>
      </c>
      <c r="K4753">
        <v>5386.73</v>
      </c>
      <c r="L4753" s="5">
        <v>46293</v>
      </c>
      <c r="M4753" t="s">
        <v>10261</v>
      </c>
      <c r="N4753" t="s">
        <v>207</v>
      </c>
      <c r="O4753" t="s">
        <v>10293</v>
      </c>
      <c r="P4753" t="s">
        <v>208</v>
      </c>
      <c r="Q4753" t="s">
        <v>209</v>
      </c>
    </row>
    <row r="4754" spans="1:17" x14ac:dyDescent="0.3">
      <c r="A4754" t="s">
        <v>10294</v>
      </c>
      <c r="C4754" t="s">
        <v>10295</v>
      </c>
      <c r="D4754" t="s">
        <v>10295</v>
      </c>
      <c r="E4754" s="5">
        <v>46291</v>
      </c>
      <c r="F4754" t="s">
        <v>204</v>
      </c>
      <c r="G4754" t="s">
        <v>213</v>
      </c>
      <c r="H4754">
        <v>1499</v>
      </c>
      <c r="I4754">
        <v>26.98</v>
      </c>
      <c r="J4754">
        <v>4.8600000000000003</v>
      </c>
      <c r="K4754">
        <v>1467.16</v>
      </c>
      <c r="L4754" s="5">
        <v>46293</v>
      </c>
      <c r="M4754" t="s">
        <v>10261</v>
      </c>
      <c r="N4754" t="s">
        <v>207</v>
      </c>
      <c r="O4754" t="s">
        <v>10295</v>
      </c>
      <c r="P4754" t="s">
        <v>208</v>
      </c>
      <c r="Q4754" t="s">
        <v>209</v>
      </c>
    </row>
    <row r="4755" spans="1:17" x14ac:dyDescent="0.3">
      <c r="A4755" t="s">
        <v>10296</v>
      </c>
      <c r="C4755" t="s">
        <v>10297</v>
      </c>
      <c r="D4755" t="s">
        <v>10297</v>
      </c>
      <c r="E4755" s="5">
        <v>46291</v>
      </c>
      <c r="F4755" t="s">
        <v>204</v>
      </c>
      <c r="G4755" t="s">
        <v>220</v>
      </c>
      <c r="H4755">
        <v>4498</v>
      </c>
      <c r="I4755">
        <v>13.49</v>
      </c>
      <c r="J4755">
        <v>2.4300000000000002</v>
      </c>
      <c r="K4755">
        <v>4482.08</v>
      </c>
      <c r="L4755" s="5">
        <v>46293</v>
      </c>
      <c r="M4755" t="s">
        <v>10261</v>
      </c>
      <c r="N4755" t="s">
        <v>207</v>
      </c>
      <c r="O4755" t="s">
        <v>10297</v>
      </c>
      <c r="P4755" t="s">
        <v>208</v>
      </c>
      <c r="Q4755" t="s">
        <v>209</v>
      </c>
    </row>
    <row r="4756" spans="1:17" x14ac:dyDescent="0.3">
      <c r="A4756" t="s">
        <v>10298</v>
      </c>
      <c r="C4756" t="s">
        <v>10299</v>
      </c>
      <c r="D4756" t="s">
        <v>10299</v>
      </c>
      <c r="E4756" s="5">
        <v>46291</v>
      </c>
      <c r="F4756" t="s">
        <v>204</v>
      </c>
      <c r="G4756" t="s">
        <v>220</v>
      </c>
      <c r="H4756">
        <v>1598</v>
      </c>
      <c r="I4756">
        <v>0</v>
      </c>
      <c r="J4756">
        <v>0</v>
      </c>
      <c r="K4756">
        <v>1598</v>
      </c>
      <c r="L4756" s="5">
        <v>46293</v>
      </c>
      <c r="M4756" t="s">
        <v>10261</v>
      </c>
      <c r="N4756" t="s">
        <v>207</v>
      </c>
      <c r="O4756" t="s">
        <v>10299</v>
      </c>
      <c r="P4756" t="s">
        <v>208</v>
      </c>
      <c r="Q4756" t="s">
        <v>209</v>
      </c>
    </row>
    <row r="4757" spans="1:17" x14ac:dyDescent="0.3">
      <c r="A4757" t="s">
        <v>10300</v>
      </c>
      <c r="C4757" t="s">
        <v>10301</v>
      </c>
      <c r="D4757" t="s">
        <v>10301</v>
      </c>
      <c r="E4757" s="5">
        <v>46291</v>
      </c>
      <c r="F4757" t="s">
        <v>204</v>
      </c>
      <c r="G4757" t="s">
        <v>220</v>
      </c>
      <c r="H4757">
        <v>4597</v>
      </c>
      <c r="I4757">
        <v>13.79</v>
      </c>
      <c r="J4757">
        <v>2.48</v>
      </c>
      <c r="K4757">
        <v>4580.7299999999996</v>
      </c>
      <c r="L4757" s="5">
        <v>46293</v>
      </c>
      <c r="M4757" t="s">
        <v>10261</v>
      </c>
      <c r="N4757" t="s">
        <v>207</v>
      </c>
      <c r="O4757" t="s">
        <v>10301</v>
      </c>
      <c r="P4757" t="s">
        <v>208</v>
      </c>
      <c r="Q4757" t="s">
        <v>209</v>
      </c>
    </row>
    <row r="4758" spans="1:17" x14ac:dyDescent="0.3">
      <c r="A4758" t="s">
        <v>10302</v>
      </c>
      <c r="C4758" t="s">
        <v>10303</v>
      </c>
      <c r="D4758" t="s">
        <v>10303</v>
      </c>
      <c r="E4758" s="5">
        <v>46291</v>
      </c>
      <c r="F4758" t="s">
        <v>204</v>
      </c>
      <c r="G4758" t="s">
        <v>205</v>
      </c>
      <c r="H4758">
        <v>3097</v>
      </c>
      <c r="I4758">
        <v>52.65</v>
      </c>
      <c r="J4758">
        <v>9.48</v>
      </c>
      <c r="K4758">
        <v>3034.87</v>
      </c>
      <c r="L4758" s="5">
        <v>46293</v>
      </c>
      <c r="M4758" t="s">
        <v>10261</v>
      </c>
      <c r="N4758" t="s">
        <v>207</v>
      </c>
      <c r="O4758" t="s">
        <v>10303</v>
      </c>
      <c r="P4758" t="s">
        <v>208</v>
      </c>
      <c r="Q4758" t="s">
        <v>209</v>
      </c>
    </row>
    <row r="4759" spans="1:17" x14ac:dyDescent="0.3">
      <c r="A4759" t="s">
        <v>10304</v>
      </c>
      <c r="C4759" t="s">
        <v>10305</v>
      </c>
      <c r="D4759" t="s">
        <v>10306</v>
      </c>
      <c r="E4759" s="5">
        <v>46291</v>
      </c>
      <c r="F4759" t="s">
        <v>204</v>
      </c>
      <c r="G4759" t="s">
        <v>220</v>
      </c>
      <c r="H4759">
        <v>1499</v>
      </c>
      <c r="I4759">
        <v>0</v>
      </c>
      <c r="J4759">
        <v>0</v>
      </c>
      <c r="K4759">
        <v>1499</v>
      </c>
      <c r="L4759" s="5">
        <v>46293</v>
      </c>
      <c r="M4759" t="s">
        <v>10261</v>
      </c>
      <c r="N4759" t="s">
        <v>207</v>
      </c>
      <c r="O4759" t="s">
        <v>10306</v>
      </c>
      <c r="P4759" t="s">
        <v>208</v>
      </c>
      <c r="Q4759" t="s">
        <v>209</v>
      </c>
    </row>
    <row r="4760" spans="1:17" x14ac:dyDescent="0.3">
      <c r="A4760" t="s">
        <v>10307</v>
      </c>
      <c r="C4760" t="s">
        <v>10308</v>
      </c>
      <c r="D4760" t="s">
        <v>10308</v>
      </c>
      <c r="E4760" s="5">
        <v>46291</v>
      </c>
      <c r="F4760" t="s">
        <v>204</v>
      </c>
      <c r="G4760" t="s">
        <v>205</v>
      </c>
      <c r="H4760">
        <v>3597</v>
      </c>
      <c r="I4760">
        <v>61.15</v>
      </c>
      <c r="J4760">
        <v>11.01</v>
      </c>
      <c r="K4760">
        <v>3524.84</v>
      </c>
      <c r="L4760" s="5">
        <v>46293</v>
      </c>
      <c r="M4760" t="s">
        <v>10261</v>
      </c>
      <c r="N4760" t="s">
        <v>207</v>
      </c>
      <c r="O4760" t="s">
        <v>10308</v>
      </c>
      <c r="P4760" t="s">
        <v>208</v>
      </c>
      <c r="Q4760" t="s">
        <v>209</v>
      </c>
    </row>
    <row r="4761" spans="1:17" x14ac:dyDescent="0.3">
      <c r="A4761" t="s">
        <v>10309</v>
      </c>
      <c r="C4761" t="s">
        <v>10310</v>
      </c>
      <c r="D4761" t="s">
        <v>10310</v>
      </c>
      <c r="E4761" s="5">
        <v>46291</v>
      </c>
      <c r="F4761" t="s">
        <v>204</v>
      </c>
      <c r="G4761" t="s">
        <v>220</v>
      </c>
      <c r="H4761">
        <v>349</v>
      </c>
      <c r="I4761">
        <v>0</v>
      </c>
      <c r="J4761">
        <v>0</v>
      </c>
      <c r="K4761">
        <v>349</v>
      </c>
      <c r="L4761" s="5">
        <v>46293</v>
      </c>
      <c r="M4761" t="s">
        <v>10261</v>
      </c>
      <c r="N4761" t="s">
        <v>207</v>
      </c>
      <c r="O4761" t="s">
        <v>10310</v>
      </c>
      <c r="P4761" t="s">
        <v>208</v>
      </c>
      <c r="Q4761" t="s">
        <v>209</v>
      </c>
    </row>
    <row r="4762" spans="1:17" x14ac:dyDescent="0.3">
      <c r="A4762" t="s">
        <v>10311</v>
      </c>
      <c r="C4762" t="s">
        <v>10312</v>
      </c>
      <c r="D4762" t="s">
        <v>10312</v>
      </c>
      <c r="E4762" s="5">
        <v>46291</v>
      </c>
      <c r="F4762" t="s">
        <v>204</v>
      </c>
      <c r="G4762" t="s">
        <v>205</v>
      </c>
      <c r="H4762">
        <v>1499</v>
      </c>
      <c r="I4762">
        <v>28.48</v>
      </c>
      <c r="J4762">
        <v>5.13</v>
      </c>
      <c r="K4762">
        <v>1465.39</v>
      </c>
      <c r="L4762" s="5">
        <v>46293</v>
      </c>
      <c r="M4762" t="s">
        <v>10261</v>
      </c>
      <c r="N4762" t="s">
        <v>207</v>
      </c>
      <c r="O4762" t="s">
        <v>10312</v>
      </c>
      <c r="P4762" t="s">
        <v>208</v>
      </c>
      <c r="Q4762" t="s">
        <v>209</v>
      </c>
    </row>
    <row r="4763" spans="1:17" x14ac:dyDescent="0.3">
      <c r="A4763" t="s">
        <v>10313</v>
      </c>
      <c r="C4763" t="s">
        <v>10314</v>
      </c>
      <c r="D4763" t="s">
        <v>10314</v>
      </c>
      <c r="E4763" s="5">
        <v>46291</v>
      </c>
      <c r="F4763" t="s">
        <v>204</v>
      </c>
      <c r="G4763" t="s">
        <v>220</v>
      </c>
      <c r="H4763">
        <v>349</v>
      </c>
      <c r="I4763">
        <v>0</v>
      </c>
      <c r="J4763">
        <v>0</v>
      </c>
      <c r="K4763">
        <v>349</v>
      </c>
      <c r="L4763" s="5">
        <v>46293</v>
      </c>
      <c r="M4763" t="s">
        <v>10261</v>
      </c>
      <c r="N4763" t="s">
        <v>207</v>
      </c>
      <c r="O4763" t="s">
        <v>10314</v>
      </c>
      <c r="P4763" t="s">
        <v>208</v>
      </c>
      <c r="Q4763" t="s">
        <v>209</v>
      </c>
    </row>
    <row r="4764" spans="1:17" x14ac:dyDescent="0.3">
      <c r="A4764" t="s">
        <v>10315</v>
      </c>
      <c r="C4764" t="s">
        <v>10316</v>
      </c>
      <c r="D4764" t="s">
        <v>10316</v>
      </c>
      <c r="E4764" s="5">
        <v>46291</v>
      </c>
      <c r="F4764" t="s">
        <v>204</v>
      </c>
      <c r="G4764" t="s">
        <v>255</v>
      </c>
      <c r="H4764">
        <v>1299</v>
      </c>
      <c r="I4764">
        <v>19.489999999999998</v>
      </c>
      <c r="J4764">
        <v>3.51</v>
      </c>
      <c r="K4764">
        <v>1276</v>
      </c>
      <c r="L4764" s="5">
        <v>46293</v>
      </c>
      <c r="M4764" t="s">
        <v>10261</v>
      </c>
      <c r="N4764" t="s">
        <v>207</v>
      </c>
      <c r="O4764" t="s">
        <v>10316</v>
      </c>
      <c r="P4764" t="s">
        <v>208</v>
      </c>
      <c r="Q4764" t="s">
        <v>209</v>
      </c>
    </row>
    <row r="4765" spans="1:17" x14ac:dyDescent="0.3">
      <c r="A4765" t="s">
        <v>10317</v>
      </c>
      <c r="C4765" t="s">
        <v>10318</v>
      </c>
      <c r="D4765" t="s">
        <v>10318</v>
      </c>
      <c r="E4765" s="5">
        <v>46291</v>
      </c>
      <c r="F4765" t="s">
        <v>204</v>
      </c>
      <c r="G4765" t="s">
        <v>255</v>
      </c>
      <c r="H4765">
        <v>5497</v>
      </c>
      <c r="I4765">
        <v>65.959999999999994</v>
      </c>
      <c r="J4765">
        <v>11.87</v>
      </c>
      <c r="K4765">
        <v>5419.17</v>
      </c>
      <c r="L4765" s="5">
        <v>46293</v>
      </c>
      <c r="M4765" t="s">
        <v>10261</v>
      </c>
      <c r="N4765" t="s">
        <v>207</v>
      </c>
      <c r="O4765" t="s">
        <v>10318</v>
      </c>
      <c r="P4765" t="s">
        <v>208</v>
      </c>
      <c r="Q4765" t="s">
        <v>209</v>
      </c>
    </row>
    <row r="4766" spans="1:17" x14ac:dyDescent="0.3">
      <c r="A4766" t="s">
        <v>10319</v>
      </c>
      <c r="C4766" t="s">
        <v>10320</v>
      </c>
      <c r="D4766" t="s">
        <v>10320</v>
      </c>
      <c r="E4766" s="5">
        <v>46291</v>
      </c>
      <c r="F4766" t="s">
        <v>204</v>
      </c>
      <c r="G4766" t="s">
        <v>220</v>
      </c>
      <c r="H4766">
        <v>2499</v>
      </c>
      <c r="I4766">
        <v>7.5</v>
      </c>
      <c r="J4766">
        <v>1.35</v>
      </c>
      <c r="K4766">
        <v>2490.15</v>
      </c>
      <c r="L4766" s="5">
        <v>46293</v>
      </c>
      <c r="M4766" t="s">
        <v>10261</v>
      </c>
      <c r="N4766" t="s">
        <v>207</v>
      </c>
      <c r="O4766" t="s">
        <v>10320</v>
      </c>
      <c r="P4766" t="s">
        <v>208</v>
      </c>
      <c r="Q4766" t="s">
        <v>209</v>
      </c>
    </row>
    <row r="4767" spans="1:17" x14ac:dyDescent="0.3">
      <c r="A4767" t="s">
        <v>10321</v>
      </c>
      <c r="C4767" t="s">
        <v>10322</v>
      </c>
      <c r="D4767" t="s">
        <v>10323</v>
      </c>
      <c r="E4767" s="5">
        <v>46291</v>
      </c>
      <c r="F4767" t="s">
        <v>204</v>
      </c>
      <c r="G4767" t="s">
        <v>213</v>
      </c>
      <c r="H4767">
        <v>2999</v>
      </c>
      <c r="I4767">
        <v>47.98</v>
      </c>
      <c r="J4767">
        <v>8.64</v>
      </c>
      <c r="K4767">
        <v>2942.38</v>
      </c>
      <c r="L4767" s="5">
        <v>46293</v>
      </c>
      <c r="M4767" t="s">
        <v>10261</v>
      </c>
      <c r="N4767" t="s">
        <v>207</v>
      </c>
      <c r="O4767" t="s">
        <v>10323</v>
      </c>
      <c r="P4767" t="s">
        <v>208</v>
      </c>
      <c r="Q4767" t="s">
        <v>209</v>
      </c>
    </row>
    <row r="4768" spans="1:17" x14ac:dyDescent="0.3">
      <c r="A4768" t="s">
        <v>10324</v>
      </c>
      <c r="C4768" t="s">
        <v>10325</v>
      </c>
      <c r="D4768" t="s">
        <v>10325</v>
      </c>
      <c r="E4768" s="5">
        <v>46291</v>
      </c>
      <c r="F4768" t="s">
        <v>204</v>
      </c>
      <c r="G4768" t="s">
        <v>220</v>
      </c>
      <c r="H4768">
        <v>499</v>
      </c>
      <c r="I4768">
        <v>0</v>
      </c>
      <c r="J4768">
        <v>0</v>
      </c>
      <c r="K4768">
        <v>499</v>
      </c>
      <c r="L4768" s="5">
        <v>46293</v>
      </c>
      <c r="M4768" t="s">
        <v>10261</v>
      </c>
      <c r="N4768" t="s">
        <v>207</v>
      </c>
      <c r="O4768" t="s">
        <v>10325</v>
      </c>
      <c r="P4768" t="s">
        <v>208</v>
      </c>
      <c r="Q4768" t="s">
        <v>209</v>
      </c>
    </row>
    <row r="4769" spans="1:17" x14ac:dyDescent="0.3">
      <c r="A4769" t="s">
        <v>10326</v>
      </c>
      <c r="C4769" t="s">
        <v>10327</v>
      </c>
      <c r="D4769" t="s">
        <v>10327</v>
      </c>
      <c r="E4769" s="5">
        <v>46291</v>
      </c>
      <c r="F4769" t="s">
        <v>204</v>
      </c>
      <c r="G4769" t="s">
        <v>220</v>
      </c>
      <c r="H4769">
        <v>999</v>
      </c>
      <c r="I4769">
        <v>0</v>
      </c>
      <c r="J4769">
        <v>0</v>
      </c>
      <c r="K4769">
        <v>999</v>
      </c>
      <c r="L4769" s="5">
        <v>46293</v>
      </c>
      <c r="M4769" t="s">
        <v>10261</v>
      </c>
      <c r="N4769" t="s">
        <v>207</v>
      </c>
      <c r="O4769" t="s">
        <v>10327</v>
      </c>
      <c r="P4769" t="s">
        <v>208</v>
      </c>
      <c r="Q4769" t="s">
        <v>209</v>
      </c>
    </row>
    <row r="4770" spans="1:17" x14ac:dyDescent="0.3">
      <c r="A4770" t="s">
        <v>10328</v>
      </c>
      <c r="C4770" t="s">
        <v>10329</v>
      </c>
      <c r="D4770" t="s">
        <v>10329</v>
      </c>
      <c r="E4770" s="5">
        <v>46291</v>
      </c>
      <c r="F4770" t="s">
        <v>204</v>
      </c>
      <c r="G4770" t="s">
        <v>213</v>
      </c>
      <c r="H4770">
        <v>999</v>
      </c>
      <c r="I4770">
        <v>17.98</v>
      </c>
      <c r="J4770">
        <v>3.24</v>
      </c>
      <c r="K4770">
        <v>977.78</v>
      </c>
      <c r="L4770" s="5">
        <v>46293</v>
      </c>
      <c r="M4770" t="s">
        <v>10261</v>
      </c>
      <c r="N4770" t="s">
        <v>207</v>
      </c>
      <c r="O4770" t="s">
        <v>10329</v>
      </c>
      <c r="P4770" t="s">
        <v>208</v>
      </c>
      <c r="Q4770" t="s">
        <v>209</v>
      </c>
    </row>
    <row r="4771" spans="1:17" x14ac:dyDescent="0.3">
      <c r="A4771" t="s">
        <v>10330</v>
      </c>
      <c r="C4771" t="s">
        <v>10331</v>
      </c>
      <c r="D4771" t="s">
        <v>10331</v>
      </c>
      <c r="E4771" s="5">
        <v>46291</v>
      </c>
      <c r="F4771" t="s">
        <v>204</v>
      </c>
      <c r="G4771" t="s">
        <v>220</v>
      </c>
      <c r="H4771">
        <v>1798</v>
      </c>
      <c r="I4771">
        <v>0</v>
      </c>
      <c r="J4771">
        <v>0</v>
      </c>
      <c r="K4771">
        <v>1798</v>
      </c>
      <c r="L4771" s="5">
        <v>46293</v>
      </c>
      <c r="M4771" t="s">
        <v>10261</v>
      </c>
      <c r="N4771" t="s">
        <v>207</v>
      </c>
      <c r="O4771" t="s">
        <v>10331</v>
      </c>
      <c r="P4771" t="s">
        <v>208</v>
      </c>
      <c r="Q4771" t="s">
        <v>209</v>
      </c>
    </row>
    <row r="4772" spans="1:17" x14ac:dyDescent="0.3">
      <c r="A4772" t="s">
        <v>10332</v>
      </c>
      <c r="C4772" t="s">
        <v>10333</v>
      </c>
      <c r="D4772" t="s">
        <v>10333</v>
      </c>
      <c r="E4772" s="5">
        <v>46291</v>
      </c>
      <c r="F4772" t="s">
        <v>204</v>
      </c>
      <c r="G4772" t="s">
        <v>220</v>
      </c>
      <c r="H4772">
        <v>6498</v>
      </c>
      <c r="I4772">
        <v>19.489999999999998</v>
      </c>
      <c r="J4772">
        <v>3.51</v>
      </c>
      <c r="K4772">
        <v>6475</v>
      </c>
      <c r="L4772" s="5">
        <v>46293</v>
      </c>
      <c r="M4772" t="s">
        <v>10261</v>
      </c>
      <c r="N4772" t="s">
        <v>207</v>
      </c>
      <c r="O4772" t="s">
        <v>10333</v>
      </c>
      <c r="P4772" t="s">
        <v>208</v>
      </c>
      <c r="Q4772" t="s">
        <v>209</v>
      </c>
    </row>
    <row r="4773" spans="1:17" x14ac:dyDescent="0.3">
      <c r="A4773" t="s">
        <v>10334</v>
      </c>
      <c r="C4773" t="s">
        <v>10335</v>
      </c>
      <c r="D4773" t="s">
        <v>10335</v>
      </c>
      <c r="E4773" s="5">
        <v>46291</v>
      </c>
      <c r="F4773" t="s">
        <v>204</v>
      </c>
      <c r="G4773" t="s">
        <v>220</v>
      </c>
      <c r="H4773">
        <v>799</v>
      </c>
      <c r="I4773">
        <v>0</v>
      </c>
      <c r="J4773">
        <v>0</v>
      </c>
      <c r="K4773">
        <v>799</v>
      </c>
      <c r="L4773" s="5">
        <v>46293</v>
      </c>
      <c r="M4773" t="s">
        <v>10261</v>
      </c>
      <c r="N4773" t="s">
        <v>207</v>
      </c>
      <c r="O4773" t="s">
        <v>10335</v>
      </c>
      <c r="P4773" t="s">
        <v>208</v>
      </c>
      <c r="Q4773" t="s">
        <v>209</v>
      </c>
    </row>
    <row r="4774" spans="1:17" x14ac:dyDescent="0.3">
      <c r="A4774" t="s">
        <v>10336</v>
      </c>
      <c r="C4774" t="s">
        <v>10337</v>
      </c>
      <c r="D4774" t="s">
        <v>10337</v>
      </c>
      <c r="E4774" s="5">
        <v>46291</v>
      </c>
      <c r="F4774" t="s">
        <v>204</v>
      </c>
      <c r="G4774" t="s">
        <v>220</v>
      </c>
      <c r="H4774">
        <v>599</v>
      </c>
      <c r="I4774">
        <v>0</v>
      </c>
      <c r="J4774">
        <v>0</v>
      </c>
      <c r="K4774">
        <v>599</v>
      </c>
      <c r="L4774" s="5">
        <v>46293</v>
      </c>
      <c r="M4774" t="s">
        <v>10261</v>
      </c>
      <c r="N4774" t="s">
        <v>207</v>
      </c>
      <c r="O4774" t="s">
        <v>10337</v>
      </c>
      <c r="P4774" t="s">
        <v>208</v>
      </c>
      <c r="Q4774" t="s">
        <v>209</v>
      </c>
    </row>
    <row r="4775" spans="1:17" x14ac:dyDescent="0.3">
      <c r="A4775" t="s">
        <v>10338</v>
      </c>
      <c r="C4775" t="s">
        <v>10339</v>
      </c>
      <c r="D4775" t="s">
        <v>10339</v>
      </c>
      <c r="E4775" s="5">
        <v>46291</v>
      </c>
      <c r="F4775" t="s">
        <v>204</v>
      </c>
      <c r="G4775" t="s">
        <v>213</v>
      </c>
      <c r="H4775">
        <v>349</v>
      </c>
      <c r="I4775">
        <v>6.28</v>
      </c>
      <c r="J4775">
        <v>1.1299999999999999</v>
      </c>
      <c r="K4775">
        <v>341.59</v>
      </c>
      <c r="L4775" s="5">
        <v>46293</v>
      </c>
      <c r="M4775" t="s">
        <v>10261</v>
      </c>
      <c r="N4775" t="s">
        <v>207</v>
      </c>
      <c r="O4775" t="s">
        <v>10339</v>
      </c>
      <c r="P4775" t="s">
        <v>208</v>
      </c>
      <c r="Q4775" t="s">
        <v>209</v>
      </c>
    </row>
    <row r="4776" spans="1:17" x14ac:dyDescent="0.3">
      <c r="A4776" t="s">
        <v>10340</v>
      </c>
      <c r="C4776" t="s">
        <v>10341</v>
      </c>
      <c r="D4776" t="s">
        <v>10341</v>
      </c>
      <c r="E4776" s="5">
        <v>46291</v>
      </c>
      <c r="F4776" t="s">
        <v>204</v>
      </c>
      <c r="G4776" t="s">
        <v>213</v>
      </c>
      <c r="H4776">
        <v>1798</v>
      </c>
      <c r="I4776">
        <v>32.36</v>
      </c>
      <c r="J4776">
        <v>5.82</v>
      </c>
      <c r="K4776">
        <v>1759.82</v>
      </c>
      <c r="L4776" s="5">
        <v>46293</v>
      </c>
      <c r="M4776" t="s">
        <v>10261</v>
      </c>
      <c r="N4776" t="s">
        <v>207</v>
      </c>
      <c r="O4776" t="s">
        <v>10341</v>
      </c>
      <c r="P4776" t="s">
        <v>208</v>
      </c>
      <c r="Q4776" t="s">
        <v>209</v>
      </c>
    </row>
    <row r="4777" spans="1:17" x14ac:dyDescent="0.3">
      <c r="A4777" t="s">
        <v>10342</v>
      </c>
      <c r="C4777" t="s">
        <v>10343</v>
      </c>
      <c r="D4777" t="s">
        <v>10343</v>
      </c>
      <c r="E4777" s="5">
        <v>46291</v>
      </c>
      <c r="F4777" t="s">
        <v>204</v>
      </c>
      <c r="G4777" t="s">
        <v>213</v>
      </c>
      <c r="H4777">
        <v>349</v>
      </c>
      <c r="I4777">
        <v>6.28</v>
      </c>
      <c r="J4777">
        <v>1.1299999999999999</v>
      </c>
      <c r="K4777">
        <v>341.59</v>
      </c>
      <c r="L4777" s="5">
        <v>46293</v>
      </c>
      <c r="M4777" t="s">
        <v>10261</v>
      </c>
      <c r="N4777" t="s">
        <v>207</v>
      </c>
      <c r="O4777" t="s">
        <v>10343</v>
      </c>
      <c r="P4777" t="s">
        <v>208</v>
      </c>
      <c r="Q4777" t="s">
        <v>209</v>
      </c>
    </row>
    <row r="4778" spans="1:17" x14ac:dyDescent="0.3">
      <c r="A4778" t="s">
        <v>10344</v>
      </c>
      <c r="C4778" t="s">
        <v>10345</v>
      </c>
      <c r="D4778" t="s">
        <v>10345</v>
      </c>
      <c r="E4778" s="5">
        <v>46291</v>
      </c>
      <c r="F4778" t="s">
        <v>204</v>
      </c>
      <c r="G4778" t="s">
        <v>213</v>
      </c>
      <c r="H4778">
        <v>1499</v>
      </c>
      <c r="I4778">
        <v>26.98</v>
      </c>
      <c r="J4778">
        <v>4.8600000000000003</v>
      </c>
      <c r="K4778">
        <v>1467.16</v>
      </c>
      <c r="L4778" s="5">
        <v>46293</v>
      </c>
      <c r="M4778" t="s">
        <v>10261</v>
      </c>
      <c r="N4778" t="s">
        <v>207</v>
      </c>
      <c r="O4778" t="s">
        <v>10345</v>
      </c>
      <c r="P4778" t="s">
        <v>208</v>
      </c>
      <c r="Q4778" t="s">
        <v>209</v>
      </c>
    </row>
    <row r="4779" spans="1:17" x14ac:dyDescent="0.3">
      <c r="A4779" t="s">
        <v>10346</v>
      </c>
      <c r="C4779" t="s">
        <v>10347</v>
      </c>
      <c r="D4779" t="s">
        <v>10347</v>
      </c>
      <c r="E4779" s="5">
        <v>46291</v>
      </c>
      <c r="F4779" t="s">
        <v>204</v>
      </c>
      <c r="G4779" t="s">
        <v>220</v>
      </c>
      <c r="H4779">
        <v>999</v>
      </c>
      <c r="I4779">
        <v>0</v>
      </c>
      <c r="J4779">
        <v>0</v>
      </c>
      <c r="K4779">
        <v>999</v>
      </c>
      <c r="L4779" s="5">
        <v>46293</v>
      </c>
      <c r="M4779" t="s">
        <v>10261</v>
      </c>
      <c r="N4779" t="s">
        <v>207</v>
      </c>
      <c r="O4779" t="s">
        <v>10347</v>
      </c>
      <c r="P4779" t="s">
        <v>208</v>
      </c>
      <c r="Q4779" t="s">
        <v>209</v>
      </c>
    </row>
    <row r="4780" spans="1:17" x14ac:dyDescent="0.3">
      <c r="A4780" t="s">
        <v>10348</v>
      </c>
      <c r="C4780" t="s">
        <v>10349</v>
      </c>
      <c r="D4780" t="s">
        <v>10349</v>
      </c>
      <c r="E4780" s="5">
        <v>46291</v>
      </c>
      <c r="F4780" t="s">
        <v>204</v>
      </c>
      <c r="G4780" t="s">
        <v>213</v>
      </c>
      <c r="H4780">
        <v>9298</v>
      </c>
      <c r="I4780">
        <v>148.77000000000001</v>
      </c>
      <c r="J4780">
        <v>26.78</v>
      </c>
      <c r="K4780">
        <v>9122.4500000000007</v>
      </c>
      <c r="L4780" s="5">
        <v>46293</v>
      </c>
      <c r="M4780" t="s">
        <v>10261</v>
      </c>
      <c r="N4780" t="s">
        <v>207</v>
      </c>
      <c r="O4780" t="s">
        <v>10349</v>
      </c>
      <c r="P4780" t="s">
        <v>208</v>
      </c>
      <c r="Q4780" t="s">
        <v>209</v>
      </c>
    </row>
    <row r="4781" spans="1:17" x14ac:dyDescent="0.3">
      <c r="A4781" t="s">
        <v>10350</v>
      </c>
      <c r="C4781" t="s">
        <v>10351</v>
      </c>
      <c r="D4781" t="s">
        <v>10351</v>
      </c>
      <c r="E4781" s="5">
        <v>46291</v>
      </c>
      <c r="F4781" t="s">
        <v>204</v>
      </c>
      <c r="G4781" t="s">
        <v>220</v>
      </c>
      <c r="H4781">
        <v>3499</v>
      </c>
      <c r="I4781">
        <v>10.5</v>
      </c>
      <c r="J4781">
        <v>1.89</v>
      </c>
      <c r="K4781">
        <v>3486.61</v>
      </c>
      <c r="L4781" s="5">
        <v>46293</v>
      </c>
      <c r="M4781" t="s">
        <v>10261</v>
      </c>
      <c r="N4781" t="s">
        <v>207</v>
      </c>
      <c r="O4781" t="s">
        <v>10351</v>
      </c>
      <c r="P4781" t="s">
        <v>208</v>
      </c>
      <c r="Q4781" t="s">
        <v>209</v>
      </c>
    </row>
    <row r="4782" spans="1:17" x14ac:dyDescent="0.3">
      <c r="A4782" t="s">
        <v>10352</v>
      </c>
      <c r="C4782" t="s">
        <v>10353</v>
      </c>
      <c r="D4782" t="s">
        <v>10354</v>
      </c>
      <c r="E4782" s="5">
        <v>46291</v>
      </c>
      <c r="F4782" t="s">
        <v>204</v>
      </c>
      <c r="G4782" t="s">
        <v>213</v>
      </c>
      <c r="H4782">
        <v>848</v>
      </c>
      <c r="I4782">
        <v>15.26</v>
      </c>
      <c r="J4782">
        <v>2.75</v>
      </c>
      <c r="K4782">
        <v>829.99</v>
      </c>
      <c r="L4782" s="5">
        <v>46293</v>
      </c>
      <c r="M4782" t="s">
        <v>10261</v>
      </c>
      <c r="N4782" t="s">
        <v>207</v>
      </c>
      <c r="O4782" t="s">
        <v>10354</v>
      </c>
      <c r="P4782" t="s">
        <v>208</v>
      </c>
      <c r="Q4782" t="s">
        <v>209</v>
      </c>
    </row>
    <row r="4783" spans="1:17" x14ac:dyDescent="0.3">
      <c r="A4783" t="s">
        <v>10355</v>
      </c>
      <c r="C4783" t="s">
        <v>10356</v>
      </c>
      <c r="D4783" t="s">
        <v>10356</v>
      </c>
      <c r="E4783" s="5">
        <v>46291</v>
      </c>
      <c r="F4783" t="s">
        <v>204</v>
      </c>
      <c r="G4783" t="s">
        <v>220</v>
      </c>
      <c r="H4783">
        <v>2499</v>
      </c>
      <c r="I4783">
        <v>7.5</v>
      </c>
      <c r="J4783">
        <v>1.35</v>
      </c>
      <c r="K4783">
        <v>2490.15</v>
      </c>
      <c r="L4783" s="5">
        <v>46293</v>
      </c>
      <c r="M4783" t="s">
        <v>10261</v>
      </c>
      <c r="N4783" t="s">
        <v>207</v>
      </c>
      <c r="O4783" t="s">
        <v>10356</v>
      </c>
      <c r="P4783" t="s">
        <v>208</v>
      </c>
      <c r="Q4783" t="s">
        <v>209</v>
      </c>
    </row>
    <row r="4784" spans="1:17" x14ac:dyDescent="0.3">
      <c r="A4784" t="s">
        <v>10357</v>
      </c>
      <c r="C4784" t="s">
        <v>10358</v>
      </c>
      <c r="D4784" t="s">
        <v>10358</v>
      </c>
      <c r="E4784" s="5">
        <v>46291</v>
      </c>
      <c r="F4784" t="s">
        <v>204</v>
      </c>
      <c r="G4784" t="s">
        <v>220</v>
      </c>
      <c r="H4784">
        <v>2499</v>
      </c>
      <c r="I4784">
        <v>7.5</v>
      </c>
      <c r="J4784">
        <v>1.35</v>
      </c>
      <c r="K4784">
        <v>2490.15</v>
      </c>
      <c r="L4784" s="5">
        <v>46293</v>
      </c>
      <c r="M4784" t="s">
        <v>10261</v>
      </c>
      <c r="N4784" t="s">
        <v>207</v>
      </c>
      <c r="O4784" t="s">
        <v>10358</v>
      </c>
      <c r="P4784" t="s">
        <v>208</v>
      </c>
      <c r="Q4784" t="s">
        <v>209</v>
      </c>
    </row>
    <row r="4785" spans="1:17" x14ac:dyDescent="0.3">
      <c r="A4785" t="s">
        <v>10359</v>
      </c>
      <c r="C4785" t="s">
        <v>10360</v>
      </c>
      <c r="D4785" t="s">
        <v>10360</v>
      </c>
      <c r="E4785" s="5">
        <v>46291</v>
      </c>
      <c r="F4785" t="s">
        <v>204</v>
      </c>
      <c r="G4785" t="s">
        <v>213</v>
      </c>
      <c r="H4785">
        <v>599</v>
      </c>
      <c r="I4785">
        <v>10.78</v>
      </c>
      <c r="J4785">
        <v>1.94</v>
      </c>
      <c r="K4785">
        <v>586.28</v>
      </c>
      <c r="L4785" s="5">
        <v>46293</v>
      </c>
      <c r="M4785" t="s">
        <v>10261</v>
      </c>
      <c r="N4785" t="s">
        <v>207</v>
      </c>
      <c r="O4785" t="s">
        <v>10360</v>
      </c>
      <c r="P4785" t="s">
        <v>208</v>
      </c>
      <c r="Q4785" t="s">
        <v>209</v>
      </c>
    </row>
    <row r="4786" spans="1:17" x14ac:dyDescent="0.3">
      <c r="A4786" t="s">
        <v>10361</v>
      </c>
      <c r="C4786" t="s">
        <v>10362</v>
      </c>
      <c r="D4786" t="s">
        <v>10362</v>
      </c>
      <c r="E4786" s="5">
        <v>46291</v>
      </c>
      <c r="F4786" t="s">
        <v>204</v>
      </c>
      <c r="G4786" t="s">
        <v>213</v>
      </c>
      <c r="H4786">
        <v>3998</v>
      </c>
      <c r="I4786">
        <v>63.97</v>
      </c>
      <c r="J4786">
        <v>11.51</v>
      </c>
      <c r="K4786">
        <v>3922.52</v>
      </c>
      <c r="L4786" s="5">
        <v>46293</v>
      </c>
      <c r="M4786" t="s">
        <v>10261</v>
      </c>
      <c r="N4786" t="s">
        <v>207</v>
      </c>
      <c r="O4786" t="s">
        <v>10362</v>
      </c>
      <c r="P4786" t="s">
        <v>208</v>
      </c>
      <c r="Q4786" t="s">
        <v>209</v>
      </c>
    </row>
    <row r="4787" spans="1:17" x14ac:dyDescent="0.3">
      <c r="A4787" t="s">
        <v>10363</v>
      </c>
      <c r="C4787" t="s">
        <v>10364</v>
      </c>
      <c r="D4787" t="s">
        <v>10365</v>
      </c>
      <c r="E4787" s="5">
        <v>46291</v>
      </c>
      <c r="F4787" t="s">
        <v>204</v>
      </c>
      <c r="G4787" t="s">
        <v>255</v>
      </c>
      <c r="H4787">
        <v>299</v>
      </c>
      <c r="I4787">
        <v>4.49</v>
      </c>
      <c r="J4787">
        <v>0.81</v>
      </c>
      <c r="K4787">
        <v>293.7</v>
      </c>
      <c r="L4787" s="5">
        <v>46293</v>
      </c>
      <c r="M4787" t="s">
        <v>10261</v>
      </c>
      <c r="N4787" t="s">
        <v>207</v>
      </c>
      <c r="O4787" t="s">
        <v>10365</v>
      </c>
      <c r="P4787" t="s">
        <v>208</v>
      </c>
      <c r="Q4787" t="s">
        <v>209</v>
      </c>
    </row>
    <row r="4788" spans="1:17" x14ac:dyDescent="0.3">
      <c r="A4788" t="s">
        <v>10366</v>
      </c>
      <c r="C4788" t="s">
        <v>10367</v>
      </c>
      <c r="D4788" t="s">
        <v>10368</v>
      </c>
      <c r="E4788" s="5">
        <v>46291</v>
      </c>
      <c r="F4788" t="s">
        <v>204</v>
      </c>
      <c r="G4788" t="s">
        <v>213</v>
      </c>
      <c r="H4788">
        <v>3848</v>
      </c>
      <c r="I4788">
        <v>61.57</v>
      </c>
      <c r="J4788">
        <v>11.08</v>
      </c>
      <c r="K4788">
        <v>3775.35</v>
      </c>
      <c r="L4788" s="5">
        <v>46293</v>
      </c>
      <c r="M4788" t="s">
        <v>10261</v>
      </c>
      <c r="N4788" t="s">
        <v>207</v>
      </c>
      <c r="O4788" t="s">
        <v>10368</v>
      </c>
      <c r="P4788" t="s">
        <v>208</v>
      </c>
      <c r="Q4788" t="s">
        <v>209</v>
      </c>
    </row>
    <row r="4789" spans="1:17" x14ac:dyDescent="0.3">
      <c r="A4789" t="s">
        <v>10369</v>
      </c>
      <c r="C4789" t="s">
        <v>10370</v>
      </c>
      <c r="D4789" t="s">
        <v>10370</v>
      </c>
      <c r="E4789" s="5">
        <v>46291</v>
      </c>
      <c r="F4789" t="s">
        <v>204</v>
      </c>
      <c r="G4789" t="s">
        <v>213</v>
      </c>
      <c r="H4789">
        <v>1499</v>
      </c>
      <c r="I4789">
        <v>26.98</v>
      </c>
      <c r="J4789">
        <v>4.8600000000000003</v>
      </c>
      <c r="K4789">
        <v>1467.16</v>
      </c>
      <c r="L4789" s="5">
        <v>46293</v>
      </c>
      <c r="M4789" t="s">
        <v>10261</v>
      </c>
      <c r="N4789" t="s">
        <v>207</v>
      </c>
      <c r="O4789" t="s">
        <v>10370</v>
      </c>
      <c r="P4789" t="s">
        <v>208</v>
      </c>
      <c r="Q4789" t="s">
        <v>209</v>
      </c>
    </row>
    <row r="4790" spans="1:17" x14ac:dyDescent="0.3">
      <c r="A4790" t="s">
        <v>10371</v>
      </c>
      <c r="C4790" t="s">
        <v>10372</v>
      </c>
      <c r="D4790" t="s">
        <v>10372</v>
      </c>
      <c r="E4790" s="5">
        <v>46291</v>
      </c>
      <c r="F4790" t="s">
        <v>204</v>
      </c>
      <c r="G4790" t="s">
        <v>213</v>
      </c>
      <c r="H4790">
        <v>1299</v>
      </c>
      <c r="I4790">
        <v>23.38</v>
      </c>
      <c r="J4790">
        <v>4.21</v>
      </c>
      <c r="K4790">
        <v>1271.4100000000001</v>
      </c>
      <c r="L4790" s="5">
        <v>46293</v>
      </c>
      <c r="M4790" t="s">
        <v>10261</v>
      </c>
      <c r="N4790" t="s">
        <v>207</v>
      </c>
      <c r="O4790" t="s">
        <v>10372</v>
      </c>
      <c r="P4790" t="s">
        <v>208</v>
      </c>
      <c r="Q4790" t="s">
        <v>209</v>
      </c>
    </row>
    <row r="4791" spans="1:17" x14ac:dyDescent="0.3">
      <c r="A4791" t="s">
        <v>10373</v>
      </c>
      <c r="C4791" t="s">
        <v>10374</v>
      </c>
      <c r="D4791" t="s">
        <v>10374</v>
      </c>
      <c r="E4791" s="5">
        <v>46291</v>
      </c>
      <c r="F4791" t="s">
        <v>204</v>
      </c>
      <c r="G4791" t="s">
        <v>220</v>
      </c>
      <c r="H4791">
        <v>999</v>
      </c>
      <c r="I4791">
        <v>0</v>
      </c>
      <c r="J4791">
        <v>0</v>
      </c>
      <c r="K4791">
        <v>999</v>
      </c>
      <c r="L4791" s="5">
        <v>46293</v>
      </c>
      <c r="M4791" t="s">
        <v>10261</v>
      </c>
      <c r="N4791" t="s">
        <v>207</v>
      </c>
      <c r="O4791" t="s">
        <v>10374</v>
      </c>
      <c r="P4791" t="s">
        <v>208</v>
      </c>
      <c r="Q4791" t="s">
        <v>209</v>
      </c>
    </row>
    <row r="4792" spans="1:17" x14ac:dyDescent="0.3">
      <c r="A4792" t="s">
        <v>10375</v>
      </c>
      <c r="C4792" t="s">
        <v>10376</v>
      </c>
      <c r="D4792" t="s">
        <v>10376</v>
      </c>
      <c r="E4792" s="5">
        <v>46291</v>
      </c>
      <c r="F4792" t="s">
        <v>204</v>
      </c>
      <c r="G4792" t="s">
        <v>220</v>
      </c>
      <c r="H4792">
        <v>4397</v>
      </c>
      <c r="I4792">
        <v>13.19</v>
      </c>
      <c r="J4792">
        <v>2.37</v>
      </c>
      <c r="K4792">
        <v>4381.4399999999996</v>
      </c>
      <c r="L4792" s="5">
        <v>46293</v>
      </c>
      <c r="M4792" t="s">
        <v>10261</v>
      </c>
      <c r="N4792" t="s">
        <v>207</v>
      </c>
      <c r="O4792" t="s">
        <v>10376</v>
      </c>
      <c r="P4792" t="s">
        <v>208</v>
      </c>
      <c r="Q4792" t="s">
        <v>209</v>
      </c>
    </row>
    <row r="4793" spans="1:17" x14ac:dyDescent="0.3">
      <c r="A4793" t="s">
        <v>10377</v>
      </c>
      <c r="C4793" t="s">
        <v>10378</v>
      </c>
      <c r="D4793" t="s">
        <v>10378</v>
      </c>
      <c r="E4793" s="5">
        <v>46291</v>
      </c>
      <c r="F4793" t="s">
        <v>204</v>
      </c>
      <c r="G4793" t="s">
        <v>205</v>
      </c>
      <c r="H4793">
        <v>8998</v>
      </c>
      <c r="I4793">
        <v>152.97</v>
      </c>
      <c r="J4793">
        <v>27.53</v>
      </c>
      <c r="K4793">
        <v>8817.5</v>
      </c>
      <c r="L4793" s="5">
        <v>46293</v>
      </c>
      <c r="M4793" t="s">
        <v>10261</v>
      </c>
      <c r="N4793" t="s">
        <v>207</v>
      </c>
      <c r="O4793" t="s">
        <v>10378</v>
      </c>
      <c r="P4793" t="s">
        <v>208</v>
      </c>
      <c r="Q4793" t="s">
        <v>209</v>
      </c>
    </row>
    <row r="4794" spans="1:17" x14ac:dyDescent="0.3">
      <c r="A4794" t="s">
        <v>10379</v>
      </c>
      <c r="C4794" t="s">
        <v>10380</v>
      </c>
      <c r="D4794" t="s">
        <v>10380</v>
      </c>
      <c r="E4794" s="5">
        <v>46291</v>
      </c>
      <c r="F4794" t="s">
        <v>204</v>
      </c>
      <c r="G4794" t="s">
        <v>220</v>
      </c>
      <c r="H4794">
        <v>15998</v>
      </c>
      <c r="I4794">
        <v>47.99</v>
      </c>
      <c r="J4794">
        <v>8.64</v>
      </c>
      <c r="K4794">
        <v>15941.37</v>
      </c>
      <c r="L4794" s="5">
        <v>46293</v>
      </c>
      <c r="M4794" t="s">
        <v>10261</v>
      </c>
      <c r="N4794" t="s">
        <v>207</v>
      </c>
      <c r="O4794" t="s">
        <v>10380</v>
      </c>
      <c r="P4794" t="s">
        <v>208</v>
      </c>
      <c r="Q4794" t="s">
        <v>209</v>
      </c>
    </row>
    <row r="4795" spans="1:17" x14ac:dyDescent="0.3">
      <c r="A4795" t="s">
        <v>10381</v>
      </c>
      <c r="C4795" t="s">
        <v>10382</v>
      </c>
      <c r="D4795" t="s">
        <v>10382</v>
      </c>
      <c r="E4795" s="5">
        <v>46291</v>
      </c>
      <c r="F4795" t="s">
        <v>204</v>
      </c>
      <c r="G4795" t="s">
        <v>213</v>
      </c>
      <c r="H4795">
        <v>4298</v>
      </c>
      <c r="I4795">
        <v>68.77</v>
      </c>
      <c r="J4795">
        <v>12.38</v>
      </c>
      <c r="K4795">
        <v>4216.8500000000004</v>
      </c>
      <c r="L4795" s="5">
        <v>46293</v>
      </c>
      <c r="M4795" t="s">
        <v>10261</v>
      </c>
      <c r="N4795" t="s">
        <v>207</v>
      </c>
      <c r="O4795" t="s">
        <v>10382</v>
      </c>
      <c r="P4795" t="s">
        <v>208</v>
      </c>
      <c r="Q4795" t="s">
        <v>209</v>
      </c>
    </row>
    <row r="4796" spans="1:17" x14ac:dyDescent="0.3">
      <c r="A4796" t="s">
        <v>10383</v>
      </c>
      <c r="C4796" t="s">
        <v>10384</v>
      </c>
      <c r="D4796" t="s">
        <v>10384</v>
      </c>
      <c r="E4796" s="5">
        <v>46291</v>
      </c>
      <c r="F4796" t="s">
        <v>204</v>
      </c>
      <c r="G4796" t="s">
        <v>220</v>
      </c>
      <c r="H4796">
        <v>1499</v>
      </c>
      <c r="I4796">
        <v>0</v>
      </c>
      <c r="J4796">
        <v>0</v>
      </c>
      <c r="K4796">
        <v>1499</v>
      </c>
      <c r="L4796" s="5">
        <v>46293</v>
      </c>
      <c r="M4796" t="s">
        <v>10261</v>
      </c>
      <c r="N4796" t="s">
        <v>207</v>
      </c>
      <c r="O4796" t="s">
        <v>10384</v>
      </c>
      <c r="P4796" t="s">
        <v>208</v>
      </c>
      <c r="Q4796" t="s">
        <v>209</v>
      </c>
    </row>
    <row r="4797" spans="1:17" x14ac:dyDescent="0.3">
      <c r="A4797" t="s">
        <v>10385</v>
      </c>
      <c r="C4797" t="s">
        <v>10386</v>
      </c>
      <c r="D4797" t="s">
        <v>10386</v>
      </c>
      <c r="E4797" s="5">
        <v>46291</v>
      </c>
      <c r="F4797" t="s">
        <v>204</v>
      </c>
      <c r="G4797" t="s">
        <v>213</v>
      </c>
      <c r="H4797">
        <v>7999</v>
      </c>
      <c r="I4797">
        <v>127.98</v>
      </c>
      <c r="J4797">
        <v>23.04</v>
      </c>
      <c r="K4797">
        <v>7847.98</v>
      </c>
      <c r="L4797" s="5">
        <v>46293</v>
      </c>
      <c r="M4797" t="s">
        <v>10261</v>
      </c>
      <c r="N4797" t="s">
        <v>207</v>
      </c>
      <c r="O4797" t="s">
        <v>10386</v>
      </c>
      <c r="P4797" t="s">
        <v>208</v>
      </c>
      <c r="Q4797" t="s">
        <v>209</v>
      </c>
    </row>
    <row r="4798" spans="1:17" x14ac:dyDescent="0.3">
      <c r="A4798" t="s">
        <v>10387</v>
      </c>
      <c r="C4798" t="s">
        <v>10388</v>
      </c>
      <c r="D4798" t="s">
        <v>10388</v>
      </c>
      <c r="E4798" s="5">
        <v>46291</v>
      </c>
      <c r="F4798" t="s">
        <v>204</v>
      </c>
      <c r="G4798" t="s">
        <v>213</v>
      </c>
      <c r="H4798">
        <v>1299</v>
      </c>
      <c r="I4798">
        <v>23.38</v>
      </c>
      <c r="J4798">
        <v>4.21</v>
      </c>
      <c r="K4798">
        <v>1271.4100000000001</v>
      </c>
      <c r="L4798" s="5">
        <v>46293</v>
      </c>
      <c r="M4798" t="s">
        <v>10261</v>
      </c>
      <c r="N4798" t="s">
        <v>207</v>
      </c>
      <c r="O4798" t="s">
        <v>10388</v>
      </c>
      <c r="P4798" t="s">
        <v>208</v>
      </c>
      <c r="Q4798" t="s">
        <v>209</v>
      </c>
    </row>
    <row r="4799" spans="1:17" x14ac:dyDescent="0.3">
      <c r="A4799" t="s">
        <v>10389</v>
      </c>
      <c r="C4799" t="s">
        <v>10390</v>
      </c>
      <c r="D4799" t="s">
        <v>10390</v>
      </c>
      <c r="E4799" s="5">
        <v>46291</v>
      </c>
      <c r="F4799" t="s">
        <v>204</v>
      </c>
      <c r="G4799" t="s">
        <v>205</v>
      </c>
      <c r="H4799">
        <v>3499</v>
      </c>
      <c r="I4799">
        <v>59.48</v>
      </c>
      <c r="J4799">
        <v>10.71</v>
      </c>
      <c r="K4799">
        <v>3428.81</v>
      </c>
      <c r="L4799" s="5">
        <v>46293</v>
      </c>
      <c r="M4799" t="s">
        <v>10261</v>
      </c>
      <c r="N4799" t="s">
        <v>207</v>
      </c>
      <c r="O4799" t="s">
        <v>10390</v>
      </c>
      <c r="P4799" t="s">
        <v>208</v>
      </c>
      <c r="Q4799" t="s">
        <v>209</v>
      </c>
    </row>
    <row r="4800" spans="1:17" x14ac:dyDescent="0.3">
      <c r="A4800" t="s">
        <v>10391</v>
      </c>
      <c r="C4800" t="s">
        <v>10392</v>
      </c>
      <c r="D4800" t="s">
        <v>10393</v>
      </c>
      <c r="E4800" s="5">
        <v>46291</v>
      </c>
      <c r="F4800" t="s">
        <v>204</v>
      </c>
      <c r="G4800" t="s">
        <v>220</v>
      </c>
      <c r="H4800">
        <v>2499</v>
      </c>
      <c r="I4800">
        <v>7.5</v>
      </c>
      <c r="J4800">
        <v>1.35</v>
      </c>
      <c r="K4800">
        <v>2490.15</v>
      </c>
      <c r="L4800" s="5">
        <v>46293</v>
      </c>
      <c r="M4800" t="s">
        <v>10261</v>
      </c>
      <c r="N4800" t="s">
        <v>207</v>
      </c>
      <c r="O4800" t="s">
        <v>10393</v>
      </c>
      <c r="P4800" t="s">
        <v>208</v>
      </c>
      <c r="Q4800" t="s">
        <v>209</v>
      </c>
    </row>
    <row r="4801" spans="1:17" x14ac:dyDescent="0.3">
      <c r="A4801" t="s">
        <v>10394</v>
      </c>
      <c r="C4801" t="s">
        <v>10395</v>
      </c>
      <c r="D4801" t="s">
        <v>10395</v>
      </c>
      <c r="E4801" s="5">
        <v>46291</v>
      </c>
      <c r="F4801" t="s">
        <v>204</v>
      </c>
      <c r="G4801" t="s">
        <v>255</v>
      </c>
      <c r="H4801">
        <v>4798</v>
      </c>
      <c r="I4801">
        <v>57.58</v>
      </c>
      <c r="J4801">
        <v>10.36</v>
      </c>
      <c r="K4801">
        <v>4730.0600000000004</v>
      </c>
      <c r="L4801" s="5">
        <v>46293</v>
      </c>
      <c r="M4801" t="s">
        <v>10261</v>
      </c>
      <c r="N4801" t="s">
        <v>207</v>
      </c>
      <c r="O4801" t="s">
        <v>10395</v>
      </c>
      <c r="P4801" t="s">
        <v>208</v>
      </c>
      <c r="Q4801" t="s">
        <v>209</v>
      </c>
    </row>
    <row r="4802" spans="1:17" x14ac:dyDescent="0.3">
      <c r="A4802" t="s">
        <v>10396</v>
      </c>
      <c r="C4802" t="s">
        <v>10397</v>
      </c>
      <c r="D4802" t="s">
        <v>10397</v>
      </c>
      <c r="E4802" s="5">
        <v>46291</v>
      </c>
      <c r="F4802" t="s">
        <v>204</v>
      </c>
      <c r="G4802" t="s">
        <v>220</v>
      </c>
      <c r="H4802">
        <v>3197</v>
      </c>
      <c r="I4802">
        <v>9.59</v>
      </c>
      <c r="J4802">
        <v>1.73</v>
      </c>
      <c r="K4802">
        <v>3185.68</v>
      </c>
      <c r="L4802" s="5">
        <v>46293</v>
      </c>
      <c r="M4802" t="s">
        <v>10261</v>
      </c>
      <c r="N4802" t="s">
        <v>207</v>
      </c>
      <c r="O4802" t="s">
        <v>10397</v>
      </c>
      <c r="P4802" t="s">
        <v>208</v>
      </c>
      <c r="Q4802" t="s">
        <v>209</v>
      </c>
    </row>
    <row r="4803" spans="1:17" x14ac:dyDescent="0.3">
      <c r="A4803" t="s">
        <v>10398</v>
      </c>
      <c r="C4803" t="s">
        <v>10399</v>
      </c>
      <c r="D4803" t="s">
        <v>10399</v>
      </c>
      <c r="E4803" s="5">
        <v>46291</v>
      </c>
      <c r="F4803" t="s">
        <v>204</v>
      </c>
      <c r="G4803" t="s">
        <v>213</v>
      </c>
      <c r="H4803">
        <v>3348</v>
      </c>
      <c r="I4803">
        <v>53.57</v>
      </c>
      <c r="J4803">
        <v>9.64</v>
      </c>
      <c r="K4803">
        <v>3284.79</v>
      </c>
      <c r="L4803" s="5">
        <v>46293</v>
      </c>
      <c r="M4803" t="s">
        <v>10261</v>
      </c>
      <c r="N4803" t="s">
        <v>207</v>
      </c>
      <c r="O4803" t="s">
        <v>10399</v>
      </c>
      <c r="P4803" t="s">
        <v>208</v>
      </c>
      <c r="Q4803" t="s">
        <v>209</v>
      </c>
    </row>
    <row r="4804" spans="1:17" x14ac:dyDescent="0.3">
      <c r="A4804" t="s">
        <v>10400</v>
      </c>
      <c r="C4804" t="s">
        <v>10401</v>
      </c>
      <c r="D4804" t="s">
        <v>10401</v>
      </c>
      <c r="E4804" s="5">
        <v>46291</v>
      </c>
      <c r="F4804" t="s">
        <v>204</v>
      </c>
      <c r="G4804" t="s">
        <v>205</v>
      </c>
      <c r="H4804">
        <v>8947</v>
      </c>
      <c r="I4804">
        <v>152.1</v>
      </c>
      <c r="J4804">
        <v>27.38</v>
      </c>
      <c r="K4804">
        <v>8767.52</v>
      </c>
      <c r="L4804" s="5">
        <v>46293</v>
      </c>
      <c r="M4804" t="s">
        <v>10261</v>
      </c>
      <c r="N4804" t="s">
        <v>207</v>
      </c>
      <c r="O4804" t="s">
        <v>10401</v>
      </c>
      <c r="P4804" t="s">
        <v>208</v>
      </c>
      <c r="Q4804" t="s">
        <v>209</v>
      </c>
    </row>
    <row r="4805" spans="1:17" x14ac:dyDescent="0.3">
      <c r="A4805" t="s">
        <v>10402</v>
      </c>
      <c r="C4805" t="s">
        <v>10403</v>
      </c>
      <c r="D4805" t="s">
        <v>10403</v>
      </c>
      <c r="E4805" s="5">
        <v>46291</v>
      </c>
      <c r="F4805" t="s">
        <v>204</v>
      </c>
      <c r="G4805" t="s">
        <v>220</v>
      </c>
      <c r="H4805">
        <v>1499</v>
      </c>
      <c r="I4805">
        <v>0</v>
      </c>
      <c r="J4805">
        <v>0</v>
      </c>
      <c r="K4805">
        <v>1499</v>
      </c>
      <c r="L4805" s="5">
        <v>46293</v>
      </c>
      <c r="M4805" t="s">
        <v>10261</v>
      </c>
      <c r="N4805" t="s">
        <v>207</v>
      </c>
      <c r="O4805" t="s">
        <v>10403</v>
      </c>
      <c r="P4805" t="s">
        <v>208</v>
      </c>
      <c r="Q4805" t="s">
        <v>209</v>
      </c>
    </row>
    <row r="4806" spans="1:17" x14ac:dyDescent="0.3">
      <c r="A4806" t="s">
        <v>10404</v>
      </c>
      <c r="C4806" t="s">
        <v>10405</v>
      </c>
      <c r="D4806" t="s">
        <v>10405</v>
      </c>
      <c r="E4806" s="5">
        <v>46291</v>
      </c>
      <c r="F4806" t="s">
        <v>204</v>
      </c>
      <c r="G4806" t="s">
        <v>213</v>
      </c>
      <c r="H4806">
        <v>1299</v>
      </c>
      <c r="I4806">
        <v>23.38</v>
      </c>
      <c r="J4806">
        <v>4.21</v>
      </c>
      <c r="K4806">
        <v>1271.4100000000001</v>
      </c>
      <c r="L4806" s="5">
        <v>46293</v>
      </c>
      <c r="M4806" t="s">
        <v>10261</v>
      </c>
      <c r="N4806" t="s">
        <v>207</v>
      </c>
      <c r="O4806" t="s">
        <v>10405</v>
      </c>
      <c r="P4806" t="s">
        <v>208</v>
      </c>
      <c r="Q4806" t="s">
        <v>209</v>
      </c>
    </row>
    <row r="4807" spans="1:17" x14ac:dyDescent="0.3">
      <c r="A4807" t="s">
        <v>10406</v>
      </c>
      <c r="C4807" t="s">
        <v>10407</v>
      </c>
      <c r="D4807" t="s">
        <v>10407</v>
      </c>
      <c r="E4807" s="5">
        <v>46291</v>
      </c>
      <c r="F4807" t="s">
        <v>204</v>
      </c>
      <c r="G4807" t="s">
        <v>220</v>
      </c>
      <c r="H4807">
        <v>599</v>
      </c>
      <c r="I4807">
        <v>0</v>
      </c>
      <c r="J4807">
        <v>0</v>
      </c>
      <c r="K4807">
        <v>599</v>
      </c>
      <c r="L4807" s="5">
        <v>46293</v>
      </c>
      <c r="M4807" t="s">
        <v>10261</v>
      </c>
      <c r="N4807" t="s">
        <v>207</v>
      </c>
      <c r="O4807" t="s">
        <v>10407</v>
      </c>
      <c r="P4807" t="s">
        <v>208</v>
      </c>
      <c r="Q4807" t="s">
        <v>209</v>
      </c>
    </row>
    <row r="4808" spans="1:17" x14ac:dyDescent="0.3">
      <c r="A4808" t="s">
        <v>10408</v>
      </c>
      <c r="C4808" t="s">
        <v>10409</v>
      </c>
      <c r="D4808" t="s">
        <v>10409</v>
      </c>
      <c r="E4808" s="5">
        <v>46291</v>
      </c>
      <c r="F4808" t="s">
        <v>204</v>
      </c>
      <c r="G4808" t="s">
        <v>213</v>
      </c>
      <c r="H4808">
        <v>4397</v>
      </c>
      <c r="I4808">
        <v>70.349999999999994</v>
      </c>
      <c r="J4808">
        <v>12.66</v>
      </c>
      <c r="K4808">
        <v>4313.99</v>
      </c>
      <c r="L4808" s="5">
        <v>46293</v>
      </c>
      <c r="M4808" t="s">
        <v>10261</v>
      </c>
      <c r="N4808" t="s">
        <v>207</v>
      </c>
      <c r="O4808" t="s">
        <v>10409</v>
      </c>
      <c r="P4808" t="s">
        <v>208</v>
      </c>
      <c r="Q4808" t="s">
        <v>209</v>
      </c>
    </row>
    <row r="4809" spans="1:17" x14ac:dyDescent="0.3">
      <c r="A4809" t="s">
        <v>10410</v>
      </c>
      <c r="C4809" t="s">
        <v>10411</v>
      </c>
      <c r="D4809" t="s">
        <v>10411</v>
      </c>
      <c r="E4809" s="5">
        <v>46291</v>
      </c>
      <c r="F4809" t="s">
        <v>204</v>
      </c>
      <c r="G4809" t="s">
        <v>220</v>
      </c>
      <c r="H4809">
        <v>698</v>
      </c>
      <c r="I4809">
        <v>0</v>
      </c>
      <c r="J4809">
        <v>0</v>
      </c>
      <c r="K4809">
        <v>698</v>
      </c>
      <c r="L4809" s="5">
        <v>46293</v>
      </c>
      <c r="M4809" t="s">
        <v>10261</v>
      </c>
      <c r="N4809" t="s">
        <v>207</v>
      </c>
      <c r="O4809" t="s">
        <v>10411</v>
      </c>
      <c r="P4809" t="s">
        <v>208</v>
      </c>
      <c r="Q4809" t="s">
        <v>209</v>
      </c>
    </row>
    <row r="4810" spans="1:17" x14ac:dyDescent="0.3">
      <c r="A4810" t="s">
        <v>10412</v>
      </c>
      <c r="C4810" t="s">
        <v>10413</v>
      </c>
      <c r="D4810" t="s">
        <v>10414</v>
      </c>
      <c r="E4810" s="5">
        <v>46291</v>
      </c>
      <c r="F4810" t="s">
        <v>204</v>
      </c>
      <c r="G4810" t="s">
        <v>220</v>
      </c>
      <c r="H4810">
        <v>5598</v>
      </c>
      <c r="I4810">
        <v>16.79</v>
      </c>
      <c r="J4810">
        <v>3.02</v>
      </c>
      <c r="K4810">
        <v>5578.19</v>
      </c>
      <c r="L4810" s="5">
        <v>46293</v>
      </c>
      <c r="M4810" t="s">
        <v>10261</v>
      </c>
      <c r="N4810" t="s">
        <v>207</v>
      </c>
      <c r="O4810" t="s">
        <v>10414</v>
      </c>
      <c r="P4810" t="s">
        <v>208</v>
      </c>
      <c r="Q4810" t="s">
        <v>209</v>
      </c>
    </row>
    <row r="4811" spans="1:17" x14ac:dyDescent="0.3">
      <c r="A4811" t="s">
        <v>10415</v>
      </c>
      <c r="C4811" t="s">
        <v>10416</v>
      </c>
      <c r="D4811" t="s">
        <v>10417</v>
      </c>
      <c r="E4811" s="5">
        <v>46291</v>
      </c>
      <c r="F4811" t="s">
        <v>204</v>
      </c>
      <c r="G4811" t="s">
        <v>220</v>
      </c>
      <c r="H4811">
        <v>2999</v>
      </c>
      <c r="I4811">
        <v>9</v>
      </c>
      <c r="J4811">
        <v>1.62</v>
      </c>
      <c r="K4811">
        <v>2988.38</v>
      </c>
      <c r="L4811" s="5">
        <v>46293</v>
      </c>
      <c r="M4811" t="s">
        <v>10261</v>
      </c>
      <c r="N4811" t="s">
        <v>207</v>
      </c>
      <c r="O4811" t="s">
        <v>10417</v>
      </c>
      <c r="P4811" t="s">
        <v>208</v>
      </c>
      <c r="Q4811" t="s">
        <v>209</v>
      </c>
    </row>
    <row r="4812" spans="1:17" x14ac:dyDescent="0.3">
      <c r="A4812" t="s">
        <v>10418</v>
      </c>
      <c r="C4812" t="s">
        <v>10419</v>
      </c>
      <c r="D4812" t="s">
        <v>10419</v>
      </c>
      <c r="E4812" s="5">
        <v>46291</v>
      </c>
      <c r="F4812" t="s">
        <v>204</v>
      </c>
      <c r="G4812" t="s">
        <v>213</v>
      </c>
      <c r="H4812">
        <v>3298</v>
      </c>
      <c r="I4812">
        <v>52.77</v>
      </c>
      <c r="J4812">
        <v>9.5</v>
      </c>
      <c r="K4812">
        <v>3235.73</v>
      </c>
      <c r="L4812" s="5">
        <v>46293</v>
      </c>
      <c r="M4812" t="s">
        <v>10261</v>
      </c>
      <c r="N4812" t="s">
        <v>207</v>
      </c>
      <c r="O4812" t="s">
        <v>10419</v>
      </c>
      <c r="P4812" t="s">
        <v>208</v>
      </c>
      <c r="Q4812" t="s">
        <v>209</v>
      </c>
    </row>
    <row r="4813" spans="1:17" x14ac:dyDescent="0.3">
      <c r="A4813" t="s">
        <v>10420</v>
      </c>
      <c r="C4813" t="s">
        <v>10421</v>
      </c>
      <c r="D4813" t="s">
        <v>10421</v>
      </c>
      <c r="E4813" s="5">
        <v>46291</v>
      </c>
      <c r="F4813" t="s">
        <v>204</v>
      </c>
      <c r="G4813" t="s">
        <v>205</v>
      </c>
      <c r="H4813">
        <v>6998</v>
      </c>
      <c r="I4813">
        <v>118.97</v>
      </c>
      <c r="J4813">
        <v>21.41</v>
      </c>
      <c r="K4813">
        <v>6857.62</v>
      </c>
      <c r="L4813" s="5">
        <v>46293</v>
      </c>
      <c r="M4813" t="s">
        <v>10261</v>
      </c>
      <c r="N4813" t="s">
        <v>207</v>
      </c>
      <c r="O4813" t="s">
        <v>10421</v>
      </c>
      <c r="P4813" t="s">
        <v>208</v>
      </c>
      <c r="Q4813" t="s">
        <v>209</v>
      </c>
    </row>
    <row r="4814" spans="1:17" x14ac:dyDescent="0.3">
      <c r="A4814" t="s">
        <v>10422</v>
      </c>
      <c r="C4814" t="s">
        <v>10423</v>
      </c>
      <c r="D4814" t="s">
        <v>10423</v>
      </c>
      <c r="E4814" s="5">
        <v>46291</v>
      </c>
      <c r="F4814" t="s">
        <v>204</v>
      </c>
      <c r="G4814" t="s">
        <v>220</v>
      </c>
      <c r="H4814">
        <v>12297</v>
      </c>
      <c r="I4814">
        <v>36.89</v>
      </c>
      <c r="J4814">
        <v>6.64</v>
      </c>
      <c r="K4814">
        <v>12253.47</v>
      </c>
      <c r="L4814" s="5">
        <v>46293</v>
      </c>
      <c r="M4814" t="s">
        <v>10261</v>
      </c>
      <c r="N4814" t="s">
        <v>207</v>
      </c>
      <c r="O4814" t="s">
        <v>10423</v>
      </c>
      <c r="P4814" t="s">
        <v>208</v>
      </c>
      <c r="Q4814" t="s">
        <v>209</v>
      </c>
    </row>
    <row r="4815" spans="1:17" x14ac:dyDescent="0.3">
      <c r="A4815" t="s">
        <v>10424</v>
      </c>
      <c r="C4815" t="s">
        <v>10425</v>
      </c>
      <c r="D4815" t="s">
        <v>10425</v>
      </c>
      <c r="E4815" s="5">
        <v>46291</v>
      </c>
      <c r="F4815" t="s">
        <v>204</v>
      </c>
      <c r="G4815" t="s">
        <v>220</v>
      </c>
      <c r="H4815">
        <v>13597</v>
      </c>
      <c r="I4815">
        <v>40.79</v>
      </c>
      <c r="J4815">
        <v>7.34</v>
      </c>
      <c r="K4815">
        <v>13548.87</v>
      </c>
      <c r="L4815" s="5">
        <v>46293</v>
      </c>
      <c r="M4815" t="s">
        <v>10261</v>
      </c>
      <c r="N4815" t="s">
        <v>207</v>
      </c>
      <c r="O4815" t="s">
        <v>10425</v>
      </c>
      <c r="P4815" t="s">
        <v>208</v>
      </c>
      <c r="Q4815" t="s">
        <v>209</v>
      </c>
    </row>
    <row r="4816" spans="1:17" x14ac:dyDescent="0.3">
      <c r="A4816" t="s">
        <v>10426</v>
      </c>
      <c r="C4816" t="s">
        <v>10427</v>
      </c>
      <c r="D4816" t="s">
        <v>10427</v>
      </c>
      <c r="E4816" s="5">
        <v>46291</v>
      </c>
      <c r="F4816" t="s">
        <v>204</v>
      </c>
      <c r="G4816" t="s">
        <v>220</v>
      </c>
      <c r="H4816">
        <v>3498</v>
      </c>
      <c r="I4816">
        <v>10.49</v>
      </c>
      <c r="J4816">
        <v>1.89</v>
      </c>
      <c r="K4816">
        <v>3485.62</v>
      </c>
      <c r="L4816" s="5">
        <v>46293</v>
      </c>
      <c r="M4816" t="s">
        <v>10261</v>
      </c>
      <c r="N4816" t="s">
        <v>207</v>
      </c>
      <c r="O4816" t="s">
        <v>10427</v>
      </c>
      <c r="P4816" t="s">
        <v>208</v>
      </c>
      <c r="Q4816" t="s">
        <v>209</v>
      </c>
    </row>
    <row r="4817" spans="1:17" x14ac:dyDescent="0.3">
      <c r="A4817" t="s">
        <v>10428</v>
      </c>
      <c r="C4817" t="s">
        <v>10429</v>
      </c>
      <c r="D4817" t="s">
        <v>10429</v>
      </c>
      <c r="E4817" s="5">
        <v>46291</v>
      </c>
      <c r="F4817" t="s">
        <v>204</v>
      </c>
      <c r="G4817" t="s">
        <v>220</v>
      </c>
      <c r="H4817">
        <v>4999</v>
      </c>
      <c r="I4817">
        <v>15</v>
      </c>
      <c r="J4817">
        <v>2.7</v>
      </c>
      <c r="K4817">
        <v>4981.3</v>
      </c>
      <c r="L4817" s="5">
        <v>46293</v>
      </c>
      <c r="M4817" t="s">
        <v>10261</v>
      </c>
      <c r="N4817" t="s">
        <v>207</v>
      </c>
      <c r="O4817" t="s">
        <v>10429</v>
      </c>
      <c r="P4817" t="s">
        <v>208</v>
      </c>
      <c r="Q4817" t="s">
        <v>209</v>
      </c>
    </row>
    <row r="4818" spans="1:17" x14ac:dyDescent="0.3">
      <c r="A4818" t="s">
        <v>10430</v>
      </c>
      <c r="C4818" t="s">
        <v>10431</v>
      </c>
      <c r="D4818" t="s">
        <v>10431</v>
      </c>
      <c r="E4818" s="5">
        <v>46291</v>
      </c>
      <c r="F4818" t="s">
        <v>204</v>
      </c>
      <c r="G4818" t="s">
        <v>213</v>
      </c>
      <c r="H4818">
        <v>1299</v>
      </c>
      <c r="I4818">
        <v>23.38</v>
      </c>
      <c r="J4818">
        <v>4.21</v>
      </c>
      <c r="K4818">
        <v>1271.4100000000001</v>
      </c>
      <c r="L4818" s="5">
        <v>46293</v>
      </c>
      <c r="M4818" t="s">
        <v>10261</v>
      </c>
      <c r="N4818" t="s">
        <v>207</v>
      </c>
      <c r="O4818" t="s">
        <v>10431</v>
      </c>
      <c r="P4818" t="s">
        <v>208</v>
      </c>
      <c r="Q4818" t="s">
        <v>209</v>
      </c>
    </row>
    <row r="4819" spans="1:17" x14ac:dyDescent="0.3">
      <c r="A4819" t="s">
        <v>10432</v>
      </c>
      <c r="C4819" t="s">
        <v>10433</v>
      </c>
      <c r="D4819" t="s">
        <v>10433</v>
      </c>
      <c r="E4819" s="5">
        <v>46291</v>
      </c>
      <c r="F4819" t="s">
        <v>204</v>
      </c>
      <c r="G4819" t="s">
        <v>213</v>
      </c>
      <c r="H4819">
        <v>7999</v>
      </c>
      <c r="I4819">
        <v>127.98</v>
      </c>
      <c r="J4819">
        <v>23.04</v>
      </c>
      <c r="K4819">
        <v>7847.98</v>
      </c>
      <c r="L4819" s="5">
        <v>46293</v>
      </c>
      <c r="M4819" t="s">
        <v>10261</v>
      </c>
      <c r="N4819" t="s">
        <v>207</v>
      </c>
      <c r="O4819" t="s">
        <v>10433</v>
      </c>
      <c r="P4819" t="s">
        <v>208</v>
      </c>
      <c r="Q4819" t="s">
        <v>209</v>
      </c>
    </row>
    <row r="4820" spans="1:17" x14ac:dyDescent="0.3">
      <c r="A4820" t="s">
        <v>10434</v>
      </c>
      <c r="C4820" t="s">
        <v>10435</v>
      </c>
      <c r="D4820" t="s">
        <v>10435</v>
      </c>
      <c r="E4820" s="5">
        <v>46291</v>
      </c>
      <c r="F4820" t="s">
        <v>204</v>
      </c>
      <c r="G4820" t="s">
        <v>213</v>
      </c>
      <c r="H4820">
        <v>3499</v>
      </c>
      <c r="I4820">
        <v>55.98</v>
      </c>
      <c r="J4820">
        <v>10.08</v>
      </c>
      <c r="K4820">
        <v>3432.94</v>
      </c>
      <c r="L4820" s="5">
        <v>46293</v>
      </c>
      <c r="M4820" t="s">
        <v>10261</v>
      </c>
      <c r="N4820" t="s">
        <v>207</v>
      </c>
      <c r="O4820" t="s">
        <v>10435</v>
      </c>
      <c r="P4820" t="s">
        <v>208</v>
      </c>
      <c r="Q4820" t="s">
        <v>209</v>
      </c>
    </row>
    <row r="4821" spans="1:17" x14ac:dyDescent="0.3">
      <c r="A4821" t="s">
        <v>10436</v>
      </c>
      <c r="C4821" t="s">
        <v>10437</v>
      </c>
      <c r="D4821" t="s">
        <v>10437</v>
      </c>
      <c r="E4821" s="5">
        <v>46291</v>
      </c>
      <c r="F4821" t="s">
        <v>204</v>
      </c>
      <c r="G4821" t="s">
        <v>213</v>
      </c>
      <c r="H4821">
        <v>299</v>
      </c>
      <c r="I4821">
        <v>5.38</v>
      </c>
      <c r="J4821">
        <v>0.97</v>
      </c>
      <c r="K4821">
        <v>292.64999999999998</v>
      </c>
      <c r="L4821" s="5">
        <v>46293</v>
      </c>
      <c r="M4821" t="s">
        <v>10261</v>
      </c>
      <c r="N4821" t="s">
        <v>207</v>
      </c>
      <c r="O4821" t="s">
        <v>10437</v>
      </c>
      <c r="P4821" t="s">
        <v>208</v>
      </c>
      <c r="Q4821" t="s">
        <v>209</v>
      </c>
    </row>
    <row r="4822" spans="1:17" x14ac:dyDescent="0.3">
      <c r="A4822" t="s">
        <v>10438</v>
      </c>
      <c r="C4822" t="s">
        <v>10439</v>
      </c>
      <c r="D4822" t="s">
        <v>10439</v>
      </c>
      <c r="E4822" s="5">
        <v>46291</v>
      </c>
      <c r="F4822" t="s">
        <v>204</v>
      </c>
      <c r="G4822" t="s">
        <v>213</v>
      </c>
      <c r="H4822">
        <v>2499</v>
      </c>
      <c r="I4822">
        <v>39.979999999999997</v>
      </c>
      <c r="J4822">
        <v>7.2</v>
      </c>
      <c r="K4822">
        <v>2451.8200000000002</v>
      </c>
      <c r="L4822" s="5">
        <v>46293</v>
      </c>
      <c r="M4822" t="s">
        <v>10261</v>
      </c>
      <c r="N4822" t="s">
        <v>207</v>
      </c>
      <c r="O4822" t="s">
        <v>10439</v>
      </c>
      <c r="P4822" t="s">
        <v>208</v>
      </c>
      <c r="Q4822" t="s">
        <v>209</v>
      </c>
    </row>
    <row r="4823" spans="1:17" x14ac:dyDescent="0.3">
      <c r="A4823" t="s">
        <v>10440</v>
      </c>
      <c r="C4823" t="s">
        <v>10441</v>
      </c>
      <c r="D4823" t="s">
        <v>10441</v>
      </c>
      <c r="E4823" s="5">
        <v>46291</v>
      </c>
      <c r="F4823" t="s">
        <v>204</v>
      </c>
      <c r="G4823" t="s">
        <v>220</v>
      </c>
      <c r="H4823">
        <v>1648</v>
      </c>
      <c r="I4823">
        <v>0</v>
      </c>
      <c r="J4823">
        <v>0</v>
      </c>
      <c r="K4823">
        <v>1648</v>
      </c>
      <c r="L4823" s="5">
        <v>46293</v>
      </c>
      <c r="M4823" t="s">
        <v>10261</v>
      </c>
      <c r="N4823" t="s">
        <v>207</v>
      </c>
      <c r="O4823" t="s">
        <v>10441</v>
      </c>
      <c r="P4823" t="s">
        <v>208</v>
      </c>
      <c r="Q4823" t="s">
        <v>209</v>
      </c>
    </row>
    <row r="4824" spans="1:17" x14ac:dyDescent="0.3">
      <c r="A4824" t="s">
        <v>10442</v>
      </c>
      <c r="C4824" t="s">
        <v>10443</v>
      </c>
      <c r="D4824" t="s">
        <v>10444</v>
      </c>
      <c r="E4824" s="5">
        <v>46291</v>
      </c>
      <c r="F4824" t="s">
        <v>204</v>
      </c>
      <c r="G4824" t="s">
        <v>220</v>
      </c>
      <c r="H4824">
        <v>12297</v>
      </c>
      <c r="I4824">
        <v>36.89</v>
      </c>
      <c r="J4824">
        <v>6.64</v>
      </c>
      <c r="K4824">
        <v>12253.47</v>
      </c>
      <c r="L4824" s="5">
        <v>46293</v>
      </c>
      <c r="M4824" t="s">
        <v>10261</v>
      </c>
      <c r="N4824" t="s">
        <v>207</v>
      </c>
      <c r="O4824" t="s">
        <v>10444</v>
      </c>
      <c r="P4824" t="s">
        <v>208</v>
      </c>
      <c r="Q4824" t="s">
        <v>209</v>
      </c>
    </row>
    <row r="4825" spans="1:17" x14ac:dyDescent="0.3">
      <c r="A4825" t="s">
        <v>10445</v>
      </c>
      <c r="C4825" t="s">
        <v>10446</v>
      </c>
      <c r="D4825" t="s">
        <v>10446</v>
      </c>
      <c r="E4825" s="5">
        <v>46291</v>
      </c>
      <c r="F4825" t="s">
        <v>204</v>
      </c>
      <c r="G4825" t="s">
        <v>213</v>
      </c>
      <c r="H4825">
        <v>1298</v>
      </c>
      <c r="I4825">
        <v>23.36</v>
      </c>
      <c r="J4825">
        <v>4.2</v>
      </c>
      <c r="K4825">
        <v>1270.44</v>
      </c>
      <c r="L4825" s="5">
        <v>46293</v>
      </c>
      <c r="M4825" t="s">
        <v>10261</v>
      </c>
      <c r="N4825" t="s">
        <v>207</v>
      </c>
      <c r="O4825" t="s">
        <v>10446</v>
      </c>
      <c r="P4825" t="s">
        <v>208</v>
      </c>
      <c r="Q4825" t="s">
        <v>209</v>
      </c>
    </row>
    <row r="4826" spans="1:17" x14ac:dyDescent="0.3">
      <c r="A4826" t="s">
        <v>10447</v>
      </c>
      <c r="C4826" t="s">
        <v>10448</v>
      </c>
      <c r="D4826" t="s">
        <v>10448</v>
      </c>
      <c r="E4826" s="5">
        <v>46291</v>
      </c>
      <c r="F4826" t="s">
        <v>204</v>
      </c>
      <c r="G4826" t="s">
        <v>213</v>
      </c>
      <c r="H4826">
        <v>7999</v>
      </c>
      <c r="I4826">
        <v>127.98</v>
      </c>
      <c r="J4826">
        <v>23.04</v>
      </c>
      <c r="K4826">
        <v>7847.98</v>
      </c>
      <c r="L4826" s="5">
        <v>46293</v>
      </c>
      <c r="M4826" t="s">
        <v>10261</v>
      </c>
      <c r="N4826" t="s">
        <v>207</v>
      </c>
      <c r="O4826" t="s">
        <v>10448</v>
      </c>
      <c r="P4826" t="s">
        <v>208</v>
      </c>
      <c r="Q4826" t="s">
        <v>209</v>
      </c>
    </row>
    <row r="4827" spans="1:17" x14ac:dyDescent="0.3">
      <c r="A4827" t="s">
        <v>10449</v>
      </c>
      <c r="C4827" t="s">
        <v>10450</v>
      </c>
      <c r="D4827" t="s">
        <v>10450</v>
      </c>
      <c r="E4827" s="5">
        <v>46291</v>
      </c>
      <c r="F4827" t="s">
        <v>204</v>
      </c>
      <c r="G4827" t="s">
        <v>220</v>
      </c>
      <c r="H4827">
        <v>1798</v>
      </c>
      <c r="I4827">
        <v>0</v>
      </c>
      <c r="J4827">
        <v>0</v>
      </c>
      <c r="K4827">
        <v>1798</v>
      </c>
      <c r="L4827" s="5">
        <v>46293</v>
      </c>
      <c r="M4827" t="s">
        <v>10261</v>
      </c>
      <c r="N4827" t="s">
        <v>207</v>
      </c>
      <c r="O4827" t="s">
        <v>10450</v>
      </c>
      <c r="P4827" t="s">
        <v>208</v>
      </c>
      <c r="Q4827" t="s">
        <v>209</v>
      </c>
    </row>
    <row r="4828" spans="1:17" x14ac:dyDescent="0.3">
      <c r="A4828" t="s">
        <v>10451</v>
      </c>
      <c r="C4828" t="s">
        <v>10452</v>
      </c>
      <c r="D4828" t="s">
        <v>10452</v>
      </c>
      <c r="E4828" s="5">
        <v>46291</v>
      </c>
      <c r="F4828" t="s">
        <v>204</v>
      </c>
      <c r="G4828" t="s">
        <v>220</v>
      </c>
      <c r="H4828">
        <v>4999</v>
      </c>
      <c r="I4828">
        <v>15</v>
      </c>
      <c r="J4828">
        <v>2.7</v>
      </c>
      <c r="K4828">
        <v>4981.3</v>
      </c>
      <c r="L4828" s="5">
        <v>46293</v>
      </c>
      <c r="M4828" t="s">
        <v>10261</v>
      </c>
      <c r="N4828" t="s">
        <v>207</v>
      </c>
      <c r="O4828" t="s">
        <v>10452</v>
      </c>
      <c r="P4828" t="s">
        <v>208</v>
      </c>
      <c r="Q4828" t="s">
        <v>209</v>
      </c>
    </row>
    <row r="4829" spans="1:17" x14ac:dyDescent="0.3">
      <c r="A4829" t="s">
        <v>10453</v>
      </c>
      <c r="C4829" t="s">
        <v>10454</v>
      </c>
      <c r="D4829" t="s">
        <v>10454</v>
      </c>
      <c r="E4829" s="5">
        <v>46291</v>
      </c>
      <c r="F4829" t="s">
        <v>204</v>
      </c>
      <c r="G4829" t="s">
        <v>220</v>
      </c>
      <c r="H4829">
        <v>1299</v>
      </c>
      <c r="I4829">
        <v>0</v>
      </c>
      <c r="J4829">
        <v>0</v>
      </c>
      <c r="K4829">
        <v>1299</v>
      </c>
      <c r="L4829" s="5">
        <v>46293</v>
      </c>
      <c r="M4829" t="s">
        <v>10261</v>
      </c>
      <c r="N4829" t="s">
        <v>207</v>
      </c>
      <c r="O4829" t="s">
        <v>10454</v>
      </c>
      <c r="P4829" t="s">
        <v>208</v>
      </c>
      <c r="Q4829" t="s">
        <v>209</v>
      </c>
    </row>
    <row r="4830" spans="1:17" x14ac:dyDescent="0.3">
      <c r="A4830" t="s">
        <v>10455</v>
      </c>
      <c r="C4830" t="s">
        <v>10456</v>
      </c>
      <c r="D4830" t="s">
        <v>10456</v>
      </c>
      <c r="E4830" s="5">
        <v>46291</v>
      </c>
      <c r="F4830" t="s">
        <v>204</v>
      </c>
      <c r="G4830" t="s">
        <v>220</v>
      </c>
      <c r="H4830">
        <v>799</v>
      </c>
      <c r="I4830">
        <v>0</v>
      </c>
      <c r="J4830">
        <v>0</v>
      </c>
      <c r="K4830">
        <v>799</v>
      </c>
      <c r="L4830" s="5">
        <v>46293</v>
      </c>
      <c r="M4830" t="s">
        <v>10261</v>
      </c>
      <c r="N4830" t="s">
        <v>207</v>
      </c>
      <c r="O4830" t="s">
        <v>10456</v>
      </c>
      <c r="P4830" t="s">
        <v>208</v>
      </c>
      <c r="Q4830" t="s">
        <v>209</v>
      </c>
    </row>
    <row r="4831" spans="1:17" x14ac:dyDescent="0.3">
      <c r="A4831" t="s">
        <v>10457</v>
      </c>
      <c r="C4831" t="s">
        <v>10458</v>
      </c>
      <c r="D4831" t="s">
        <v>10459</v>
      </c>
      <c r="E4831" s="5">
        <v>46291</v>
      </c>
      <c r="F4831" t="s">
        <v>204</v>
      </c>
      <c r="G4831" t="s">
        <v>205</v>
      </c>
      <c r="H4831">
        <v>2499</v>
      </c>
      <c r="I4831">
        <v>42.48</v>
      </c>
      <c r="J4831">
        <v>7.65</v>
      </c>
      <c r="K4831">
        <v>2448.87</v>
      </c>
      <c r="L4831" s="5">
        <v>46293</v>
      </c>
      <c r="M4831" t="s">
        <v>10261</v>
      </c>
      <c r="N4831" t="s">
        <v>207</v>
      </c>
      <c r="O4831" t="s">
        <v>10459</v>
      </c>
      <c r="P4831" t="s">
        <v>208</v>
      </c>
      <c r="Q4831" t="s">
        <v>209</v>
      </c>
    </row>
    <row r="4832" spans="1:17" x14ac:dyDescent="0.3">
      <c r="A4832" t="s">
        <v>10460</v>
      </c>
      <c r="C4832" t="s">
        <v>10461</v>
      </c>
      <c r="D4832" t="s">
        <v>10461</v>
      </c>
      <c r="E4832" s="5">
        <v>46291</v>
      </c>
      <c r="F4832" t="s">
        <v>204</v>
      </c>
      <c r="G4832" t="s">
        <v>220</v>
      </c>
      <c r="H4832">
        <v>799</v>
      </c>
      <c r="I4832">
        <v>0</v>
      </c>
      <c r="J4832">
        <v>0</v>
      </c>
      <c r="K4832">
        <v>799</v>
      </c>
      <c r="L4832" s="5">
        <v>46293</v>
      </c>
      <c r="M4832" t="s">
        <v>10261</v>
      </c>
      <c r="N4832" t="s">
        <v>207</v>
      </c>
      <c r="O4832" t="s">
        <v>10461</v>
      </c>
      <c r="P4832" t="s">
        <v>208</v>
      </c>
      <c r="Q4832" t="s">
        <v>209</v>
      </c>
    </row>
    <row r="4833" spans="1:17" x14ac:dyDescent="0.3">
      <c r="A4833" t="s">
        <v>10462</v>
      </c>
      <c r="C4833" t="s">
        <v>10463</v>
      </c>
      <c r="D4833" t="s">
        <v>10463</v>
      </c>
      <c r="E4833" s="5">
        <v>46291</v>
      </c>
      <c r="F4833" t="s">
        <v>204</v>
      </c>
      <c r="G4833" t="s">
        <v>205</v>
      </c>
      <c r="H4833">
        <v>1799</v>
      </c>
      <c r="I4833">
        <v>34.18</v>
      </c>
      <c r="J4833">
        <v>6.15</v>
      </c>
      <c r="K4833">
        <v>1758.67</v>
      </c>
      <c r="L4833" s="5">
        <v>46293</v>
      </c>
      <c r="M4833" t="s">
        <v>10261</v>
      </c>
      <c r="N4833" t="s">
        <v>207</v>
      </c>
      <c r="O4833" t="s">
        <v>10463</v>
      </c>
      <c r="P4833" t="s">
        <v>208</v>
      </c>
      <c r="Q4833" t="s">
        <v>209</v>
      </c>
    </row>
    <row r="4834" spans="1:17" x14ac:dyDescent="0.3">
      <c r="A4834" t="s">
        <v>10464</v>
      </c>
      <c r="C4834" t="s">
        <v>10465</v>
      </c>
      <c r="D4834" t="s">
        <v>10465</v>
      </c>
      <c r="E4834" s="5">
        <v>46291</v>
      </c>
      <c r="F4834" t="s">
        <v>204</v>
      </c>
      <c r="G4834" t="s">
        <v>213</v>
      </c>
      <c r="H4834">
        <v>2148</v>
      </c>
      <c r="I4834">
        <v>34.369999999999997</v>
      </c>
      <c r="J4834">
        <v>6.19</v>
      </c>
      <c r="K4834">
        <v>2107.44</v>
      </c>
      <c r="L4834" s="5">
        <v>46293</v>
      </c>
      <c r="M4834" t="s">
        <v>10261</v>
      </c>
      <c r="N4834" t="s">
        <v>207</v>
      </c>
      <c r="O4834" t="s">
        <v>10465</v>
      </c>
      <c r="P4834" t="s">
        <v>208</v>
      </c>
      <c r="Q4834" t="s">
        <v>209</v>
      </c>
    </row>
    <row r="4835" spans="1:17" x14ac:dyDescent="0.3">
      <c r="A4835" t="s">
        <v>10466</v>
      </c>
      <c r="C4835" t="s">
        <v>10467</v>
      </c>
      <c r="D4835" t="s">
        <v>10467</v>
      </c>
      <c r="E4835" s="5">
        <v>46291</v>
      </c>
      <c r="F4835" t="s">
        <v>204</v>
      </c>
      <c r="G4835" t="s">
        <v>220</v>
      </c>
      <c r="H4835">
        <v>499</v>
      </c>
      <c r="I4835">
        <v>0</v>
      </c>
      <c r="J4835">
        <v>0</v>
      </c>
      <c r="K4835">
        <v>499</v>
      </c>
      <c r="L4835" s="5">
        <v>46293</v>
      </c>
      <c r="M4835" t="s">
        <v>10261</v>
      </c>
      <c r="N4835" t="s">
        <v>207</v>
      </c>
      <c r="O4835" t="s">
        <v>10467</v>
      </c>
      <c r="P4835" t="s">
        <v>208</v>
      </c>
      <c r="Q4835" t="s">
        <v>209</v>
      </c>
    </row>
    <row r="4836" spans="1:17" x14ac:dyDescent="0.3">
      <c r="A4836" t="s">
        <v>10468</v>
      </c>
      <c r="C4836" t="s">
        <v>10469</v>
      </c>
      <c r="D4836" t="s">
        <v>10469</v>
      </c>
      <c r="E4836" s="5">
        <v>46291</v>
      </c>
      <c r="F4836" t="s">
        <v>204</v>
      </c>
      <c r="G4836" t="s">
        <v>213</v>
      </c>
      <c r="H4836">
        <v>4497</v>
      </c>
      <c r="I4836">
        <v>71.95</v>
      </c>
      <c r="J4836">
        <v>12.95</v>
      </c>
      <c r="K4836">
        <v>4412.1000000000004</v>
      </c>
      <c r="L4836" s="5">
        <v>46293</v>
      </c>
      <c r="M4836" t="s">
        <v>10261</v>
      </c>
      <c r="N4836" t="s">
        <v>207</v>
      </c>
      <c r="O4836" t="s">
        <v>10469</v>
      </c>
      <c r="P4836" t="s">
        <v>208</v>
      </c>
      <c r="Q4836" t="s">
        <v>209</v>
      </c>
    </row>
    <row r="4837" spans="1:17" x14ac:dyDescent="0.3">
      <c r="A4837" t="s">
        <v>10470</v>
      </c>
      <c r="C4837" t="s">
        <v>10471</v>
      </c>
      <c r="D4837" t="s">
        <v>10471</v>
      </c>
      <c r="E4837" s="5">
        <v>46291</v>
      </c>
      <c r="F4837" t="s">
        <v>204</v>
      </c>
      <c r="G4837" t="s">
        <v>255</v>
      </c>
      <c r="H4837">
        <v>3499</v>
      </c>
      <c r="I4837">
        <v>41.99</v>
      </c>
      <c r="J4837">
        <v>7.56</v>
      </c>
      <c r="K4837">
        <v>3449.45</v>
      </c>
      <c r="L4837" s="5">
        <v>46293</v>
      </c>
      <c r="M4837" t="s">
        <v>10261</v>
      </c>
      <c r="N4837" t="s">
        <v>207</v>
      </c>
      <c r="O4837" t="s">
        <v>10471</v>
      </c>
      <c r="P4837" t="s">
        <v>208</v>
      </c>
      <c r="Q4837" t="s">
        <v>209</v>
      </c>
    </row>
    <row r="4838" spans="1:17" x14ac:dyDescent="0.3">
      <c r="A4838" t="s">
        <v>10472</v>
      </c>
      <c r="C4838" t="s">
        <v>10471</v>
      </c>
      <c r="D4838" t="s">
        <v>10471</v>
      </c>
      <c r="E4838" s="5">
        <v>46291</v>
      </c>
      <c r="F4838" t="s">
        <v>204</v>
      </c>
      <c r="G4838" t="s">
        <v>255</v>
      </c>
      <c r="H4838">
        <v>3499</v>
      </c>
      <c r="I4838">
        <v>41.99</v>
      </c>
      <c r="J4838">
        <v>7.56</v>
      </c>
      <c r="K4838">
        <v>3449.45</v>
      </c>
      <c r="L4838" s="5">
        <v>46293</v>
      </c>
      <c r="M4838" t="s">
        <v>10261</v>
      </c>
      <c r="N4838" t="s">
        <v>207</v>
      </c>
      <c r="O4838" t="s">
        <v>10471</v>
      </c>
      <c r="P4838" t="s">
        <v>208</v>
      </c>
      <c r="Q4838" t="s">
        <v>209</v>
      </c>
    </row>
    <row r="4839" spans="1:17" x14ac:dyDescent="0.3">
      <c r="A4839" t="s">
        <v>10473</v>
      </c>
      <c r="C4839" t="s">
        <v>10474</v>
      </c>
      <c r="D4839" t="s">
        <v>10474</v>
      </c>
      <c r="E4839" s="5">
        <v>46291</v>
      </c>
      <c r="F4839" t="s">
        <v>204</v>
      </c>
      <c r="G4839" t="s">
        <v>213</v>
      </c>
      <c r="H4839">
        <v>799</v>
      </c>
      <c r="I4839">
        <v>14.38</v>
      </c>
      <c r="J4839">
        <v>2.59</v>
      </c>
      <c r="K4839">
        <v>782.03</v>
      </c>
      <c r="L4839" s="5">
        <v>46293</v>
      </c>
      <c r="M4839" t="s">
        <v>10261</v>
      </c>
      <c r="N4839" t="s">
        <v>207</v>
      </c>
      <c r="O4839" t="s">
        <v>10474</v>
      </c>
      <c r="P4839" t="s">
        <v>208</v>
      </c>
      <c r="Q4839" t="s">
        <v>209</v>
      </c>
    </row>
    <row r="4840" spans="1:17" x14ac:dyDescent="0.3">
      <c r="A4840" t="s">
        <v>10475</v>
      </c>
      <c r="C4840" t="s">
        <v>10476</v>
      </c>
      <c r="D4840" t="s">
        <v>10476</v>
      </c>
      <c r="E4840" s="5">
        <v>46291</v>
      </c>
      <c r="F4840" t="s">
        <v>204</v>
      </c>
      <c r="G4840" t="s">
        <v>205</v>
      </c>
      <c r="H4840">
        <v>9498</v>
      </c>
      <c r="I4840">
        <v>161.47</v>
      </c>
      <c r="J4840">
        <v>29.06</v>
      </c>
      <c r="K4840">
        <v>9307.4699999999993</v>
      </c>
      <c r="L4840" s="5">
        <v>46293</v>
      </c>
      <c r="M4840" t="s">
        <v>10261</v>
      </c>
      <c r="N4840" t="s">
        <v>207</v>
      </c>
      <c r="O4840" t="s">
        <v>10476</v>
      </c>
      <c r="P4840" t="s">
        <v>208</v>
      </c>
      <c r="Q4840" t="s">
        <v>209</v>
      </c>
    </row>
    <row r="4841" spans="1:17" x14ac:dyDescent="0.3">
      <c r="A4841" t="s">
        <v>10477</v>
      </c>
      <c r="C4841" t="s">
        <v>10478</v>
      </c>
      <c r="D4841" t="s">
        <v>10479</v>
      </c>
      <c r="E4841" s="5">
        <v>46291</v>
      </c>
      <c r="F4841" t="s">
        <v>204</v>
      </c>
      <c r="G4841" t="s">
        <v>213</v>
      </c>
      <c r="H4841">
        <v>5498</v>
      </c>
      <c r="I4841">
        <v>87.97</v>
      </c>
      <c r="J4841">
        <v>15.83</v>
      </c>
      <c r="K4841">
        <v>5394.2</v>
      </c>
      <c r="L4841" s="5">
        <v>46293</v>
      </c>
      <c r="M4841" t="s">
        <v>10261</v>
      </c>
      <c r="N4841" t="s">
        <v>207</v>
      </c>
      <c r="O4841" t="s">
        <v>10479</v>
      </c>
      <c r="P4841" t="s">
        <v>208</v>
      </c>
      <c r="Q4841" t="s">
        <v>209</v>
      </c>
    </row>
    <row r="4842" spans="1:17" x14ac:dyDescent="0.3">
      <c r="A4842" t="s">
        <v>10480</v>
      </c>
      <c r="C4842" t="s">
        <v>10481</v>
      </c>
      <c r="D4842" t="s">
        <v>10481</v>
      </c>
      <c r="E4842" s="5">
        <v>46291</v>
      </c>
      <c r="F4842" t="s">
        <v>204</v>
      </c>
      <c r="G4842" t="s">
        <v>255</v>
      </c>
      <c r="H4842">
        <v>7999</v>
      </c>
      <c r="I4842">
        <v>95.99</v>
      </c>
      <c r="J4842">
        <v>17.28</v>
      </c>
      <c r="K4842">
        <v>7885.73</v>
      </c>
      <c r="L4842" s="5">
        <v>46293</v>
      </c>
      <c r="M4842" t="s">
        <v>10261</v>
      </c>
      <c r="N4842" t="s">
        <v>207</v>
      </c>
      <c r="O4842" t="s">
        <v>10481</v>
      </c>
      <c r="P4842" t="s">
        <v>208</v>
      </c>
      <c r="Q4842" t="s">
        <v>209</v>
      </c>
    </row>
    <row r="4843" spans="1:17" x14ac:dyDescent="0.3">
      <c r="A4843" t="s">
        <v>10482</v>
      </c>
      <c r="C4843" t="s">
        <v>10483</v>
      </c>
      <c r="D4843" t="s">
        <v>10483</v>
      </c>
      <c r="E4843" s="5">
        <v>46291</v>
      </c>
      <c r="F4843" t="s">
        <v>204</v>
      </c>
      <c r="G4843" t="s">
        <v>220</v>
      </c>
      <c r="H4843">
        <v>299</v>
      </c>
      <c r="I4843">
        <v>0</v>
      </c>
      <c r="J4843">
        <v>0</v>
      </c>
      <c r="K4843">
        <v>299</v>
      </c>
      <c r="L4843" s="5">
        <v>46293</v>
      </c>
      <c r="M4843" t="s">
        <v>10261</v>
      </c>
      <c r="N4843" t="s">
        <v>207</v>
      </c>
      <c r="O4843" t="s">
        <v>10483</v>
      </c>
      <c r="P4843" t="s">
        <v>208</v>
      </c>
      <c r="Q4843" t="s">
        <v>209</v>
      </c>
    </row>
    <row r="4844" spans="1:17" x14ac:dyDescent="0.3">
      <c r="A4844" t="s">
        <v>10484</v>
      </c>
      <c r="C4844" t="s">
        <v>10485</v>
      </c>
      <c r="D4844" t="s">
        <v>10485</v>
      </c>
      <c r="E4844" s="5">
        <v>46291</v>
      </c>
      <c r="F4844" t="s">
        <v>204</v>
      </c>
      <c r="G4844" t="s">
        <v>220</v>
      </c>
      <c r="H4844">
        <v>1299</v>
      </c>
      <c r="I4844">
        <v>0</v>
      </c>
      <c r="J4844">
        <v>0</v>
      </c>
      <c r="K4844">
        <v>1299</v>
      </c>
      <c r="L4844" s="5">
        <v>46293</v>
      </c>
      <c r="M4844" t="s">
        <v>10261</v>
      </c>
      <c r="N4844" t="s">
        <v>207</v>
      </c>
      <c r="O4844" t="s">
        <v>10485</v>
      </c>
      <c r="P4844" t="s">
        <v>208</v>
      </c>
      <c r="Q4844" t="s">
        <v>209</v>
      </c>
    </row>
    <row r="4845" spans="1:17" x14ac:dyDescent="0.3">
      <c r="A4845" t="s">
        <v>10486</v>
      </c>
      <c r="C4845" t="s">
        <v>10487</v>
      </c>
      <c r="D4845" t="s">
        <v>10487</v>
      </c>
      <c r="E4845" s="5">
        <v>46291</v>
      </c>
      <c r="F4845" t="s">
        <v>204</v>
      </c>
      <c r="G4845" t="s">
        <v>213</v>
      </c>
      <c r="H4845">
        <v>7147</v>
      </c>
      <c r="I4845">
        <v>114.35</v>
      </c>
      <c r="J4845">
        <v>20.58</v>
      </c>
      <c r="K4845">
        <v>7012.07</v>
      </c>
      <c r="L4845" s="5">
        <v>46293</v>
      </c>
      <c r="M4845" t="s">
        <v>10261</v>
      </c>
      <c r="N4845" t="s">
        <v>207</v>
      </c>
      <c r="O4845" t="s">
        <v>10487</v>
      </c>
      <c r="P4845" t="s">
        <v>208</v>
      </c>
      <c r="Q4845" t="s">
        <v>209</v>
      </c>
    </row>
    <row r="4846" spans="1:17" x14ac:dyDescent="0.3">
      <c r="A4846" t="s">
        <v>10488</v>
      </c>
      <c r="C4846" t="s">
        <v>10489</v>
      </c>
      <c r="D4846" t="s">
        <v>10489</v>
      </c>
      <c r="E4846" s="5">
        <v>46291</v>
      </c>
      <c r="F4846" t="s">
        <v>204</v>
      </c>
      <c r="G4846" t="s">
        <v>220</v>
      </c>
      <c r="H4846">
        <v>848</v>
      </c>
      <c r="I4846">
        <v>0</v>
      </c>
      <c r="J4846">
        <v>0</v>
      </c>
      <c r="K4846">
        <v>848</v>
      </c>
      <c r="L4846" s="5">
        <v>46293</v>
      </c>
      <c r="M4846" t="s">
        <v>10261</v>
      </c>
      <c r="N4846" t="s">
        <v>207</v>
      </c>
      <c r="O4846" t="s">
        <v>10489</v>
      </c>
      <c r="P4846" t="s">
        <v>208</v>
      </c>
      <c r="Q4846" t="s">
        <v>209</v>
      </c>
    </row>
    <row r="4847" spans="1:17" x14ac:dyDescent="0.3">
      <c r="A4847" t="s">
        <v>10490</v>
      </c>
      <c r="C4847" t="s">
        <v>10491</v>
      </c>
      <c r="D4847" t="s">
        <v>10491</v>
      </c>
      <c r="E4847" s="5">
        <v>46291</v>
      </c>
      <c r="F4847" t="s">
        <v>204</v>
      </c>
      <c r="G4847" t="s">
        <v>255</v>
      </c>
      <c r="H4847">
        <v>11497</v>
      </c>
      <c r="I4847">
        <v>103.47</v>
      </c>
      <c r="J4847">
        <v>18.62</v>
      </c>
      <c r="K4847">
        <v>11374.91</v>
      </c>
      <c r="L4847" s="5">
        <v>46293</v>
      </c>
      <c r="M4847" t="s">
        <v>10261</v>
      </c>
      <c r="N4847" t="s">
        <v>207</v>
      </c>
      <c r="O4847" t="s">
        <v>10491</v>
      </c>
      <c r="P4847" t="s">
        <v>208</v>
      </c>
      <c r="Q4847" t="s">
        <v>209</v>
      </c>
    </row>
    <row r="4848" spans="1:17" x14ac:dyDescent="0.3">
      <c r="A4848" t="s">
        <v>10492</v>
      </c>
      <c r="C4848" t="s">
        <v>10493</v>
      </c>
      <c r="D4848" t="s">
        <v>10493</v>
      </c>
      <c r="E4848" s="5">
        <v>46291</v>
      </c>
      <c r="F4848" t="s">
        <v>204</v>
      </c>
      <c r="G4848" t="s">
        <v>220</v>
      </c>
      <c r="H4848">
        <v>999</v>
      </c>
      <c r="I4848">
        <v>0</v>
      </c>
      <c r="J4848">
        <v>0</v>
      </c>
      <c r="K4848">
        <v>999</v>
      </c>
      <c r="L4848" s="5">
        <v>46293</v>
      </c>
      <c r="M4848" t="s">
        <v>10261</v>
      </c>
      <c r="N4848" t="s">
        <v>207</v>
      </c>
      <c r="O4848" t="s">
        <v>10493</v>
      </c>
      <c r="P4848" t="s">
        <v>208</v>
      </c>
      <c r="Q4848" t="s">
        <v>209</v>
      </c>
    </row>
    <row r="4849" spans="1:17" x14ac:dyDescent="0.3">
      <c r="A4849" t="s">
        <v>10494</v>
      </c>
      <c r="C4849" t="s">
        <v>10495</v>
      </c>
      <c r="D4849" t="s">
        <v>10495</v>
      </c>
      <c r="E4849" s="5">
        <v>46291</v>
      </c>
      <c r="F4849" t="s">
        <v>204</v>
      </c>
      <c r="G4849" t="s">
        <v>255</v>
      </c>
      <c r="H4849">
        <v>7999</v>
      </c>
      <c r="I4849">
        <v>95.99</v>
      </c>
      <c r="J4849">
        <v>17.28</v>
      </c>
      <c r="K4849">
        <v>7885.73</v>
      </c>
      <c r="L4849" s="5">
        <v>46293</v>
      </c>
      <c r="M4849" t="s">
        <v>10261</v>
      </c>
      <c r="N4849" t="s">
        <v>207</v>
      </c>
      <c r="O4849" t="s">
        <v>10495</v>
      </c>
      <c r="P4849" t="s">
        <v>208</v>
      </c>
      <c r="Q4849" t="s">
        <v>209</v>
      </c>
    </row>
    <row r="4850" spans="1:17" x14ac:dyDescent="0.3">
      <c r="A4850" t="s">
        <v>10496</v>
      </c>
      <c r="C4850" t="s">
        <v>10497</v>
      </c>
      <c r="D4850" t="s">
        <v>10497</v>
      </c>
      <c r="E4850" s="5">
        <v>46291</v>
      </c>
      <c r="F4850" t="s">
        <v>204</v>
      </c>
      <c r="G4850" t="s">
        <v>213</v>
      </c>
      <c r="H4850">
        <v>3998</v>
      </c>
      <c r="I4850">
        <v>63.97</v>
      </c>
      <c r="J4850">
        <v>11.51</v>
      </c>
      <c r="K4850">
        <v>3922.52</v>
      </c>
      <c r="L4850" s="5">
        <v>46293</v>
      </c>
      <c r="M4850" t="s">
        <v>10261</v>
      </c>
      <c r="N4850" t="s">
        <v>207</v>
      </c>
      <c r="O4850" t="s">
        <v>10497</v>
      </c>
      <c r="P4850" t="s">
        <v>208</v>
      </c>
      <c r="Q4850" t="s">
        <v>209</v>
      </c>
    </row>
    <row r="4851" spans="1:17" x14ac:dyDescent="0.3">
      <c r="A4851" t="s">
        <v>10498</v>
      </c>
      <c r="C4851" t="s">
        <v>10499</v>
      </c>
      <c r="D4851" t="s">
        <v>10499</v>
      </c>
      <c r="E4851" s="5">
        <v>46291</v>
      </c>
      <c r="F4851" t="s">
        <v>204</v>
      </c>
      <c r="G4851" t="s">
        <v>220</v>
      </c>
      <c r="H4851">
        <v>349</v>
      </c>
      <c r="I4851">
        <v>0</v>
      </c>
      <c r="J4851">
        <v>0</v>
      </c>
      <c r="K4851">
        <v>349</v>
      </c>
      <c r="L4851" s="5">
        <v>46293</v>
      </c>
      <c r="M4851" t="s">
        <v>10261</v>
      </c>
      <c r="N4851" t="s">
        <v>207</v>
      </c>
      <c r="O4851" t="s">
        <v>10499</v>
      </c>
      <c r="P4851" t="s">
        <v>208</v>
      </c>
      <c r="Q4851" t="s">
        <v>209</v>
      </c>
    </row>
    <row r="4852" spans="1:17" x14ac:dyDescent="0.3">
      <c r="A4852" t="s">
        <v>10500</v>
      </c>
      <c r="C4852" t="s">
        <v>10501</v>
      </c>
      <c r="D4852" t="s">
        <v>10502</v>
      </c>
      <c r="E4852" s="5">
        <v>46291</v>
      </c>
      <c r="F4852" t="s">
        <v>204</v>
      </c>
      <c r="G4852" t="s">
        <v>213</v>
      </c>
      <c r="H4852">
        <v>1299</v>
      </c>
      <c r="I4852">
        <v>23.38</v>
      </c>
      <c r="J4852">
        <v>4.21</v>
      </c>
      <c r="K4852">
        <v>1271.4100000000001</v>
      </c>
      <c r="L4852" s="5">
        <v>46293</v>
      </c>
      <c r="M4852" t="s">
        <v>10261</v>
      </c>
      <c r="N4852" t="s">
        <v>207</v>
      </c>
      <c r="O4852" t="s">
        <v>10502</v>
      </c>
      <c r="P4852" t="s">
        <v>208</v>
      </c>
      <c r="Q4852" t="s">
        <v>209</v>
      </c>
    </row>
    <row r="4853" spans="1:17" x14ac:dyDescent="0.3">
      <c r="A4853" t="s">
        <v>10503</v>
      </c>
      <c r="C4853" t="s">
        <v>10504</v>
      </c>
      <c r="D4853" t="s">
        <v>10504</v>
      </c>
      <c r="E4853" s="5">
        <v>46291</v>
      </c>
      <c r="F4853" t="s">
        <v>204</v>
      </c>
      <c r="G4853" t="s">
        <v>220</v>
      </c>
      <c r="H4853">
        <v>2999</v>
      </c>
      <c r="I4853">
        <v>9</v>
      </c>
      <c r="J4853">
        <v>1.62</v>
      </c>
      <c r="K4853">
        <v>2988.38</v>
      </c>
      <c r="L4853" s="5">
        <v>46293</v>
      </c>
      <c r="M4853" t="s">
        <v>10261</v>
      </c>
      <c r="N4853" t="s">
        <v>207</v>
      </c>
      <c r="O4853" t="s">
        <v>10504</v>
      </c>
      <c r="P4853" t="s">
        <v>208</v>
      </c>
      <c r="Q4853" t="s">
        <v>209</v>
      </c>
    </row>
    <row r="4854" spans="1:17" x14ac:dyDescent="0.3">
      <c r="A4854" t="s">
        <v>10505</v>
      </c>
      <c r="C4854" t="s">
        <v>10506</v>
      </c>
      <c r="D4854" t="s">
        <v>10506</v>
      </c>
      <c r="E4854" s="5">
        <v>46291</v>
      </c>
      <c r="F4854" t="s">
        <v>204</v>
      </c>
      <c r="G4854" t="s">
        <v>220</v>
      </c>
      <c r="H4854">
        <v>8348</v>
      </c>
      <c r="I4854">
        <v>25.04</v>
      </c>
      <c r="J4854">
        <v>4.51</v>
      </c>
      <c r="K4854">
        <v>8318.4500000000007</v>
      </c>
      <c r="L4854" s="5">
        <v>46293</v>
      </c>
      <c r="M4854" t="s">
        <v>10261</v>
      </c>
      <c r="N4854" t="s">
        <v>207</v>
      </c>
      <c r="O4854" t="s">
        <v>10506</v>
      </c>
      <c r="P4854" t="s">
        <v>208</v>
      </c>
      <c r="Q4854" t="s">
        <v>209</v>
      </c>
    </row>
    <row r="4855" spans="1:17" x14ac:dyDescent="0.3">
      <c r="A4855" t="s">
        <v>10507</v>
      </c>
      <c r="C4855" t="s">
        <v>10508</v>
      </c>
      <c r="D4855" t="s">
        <v>10508</v>
      </c>
      <c r="E4855" s="5">
        <v>46291</v>
      </c>
      <c r="F4855" t="s">
        <v>204</v>
      </c>
      <c r="G4855" t="s">
        <v>255</v>
      </c>
      <c r="H4855">
        <v>1497</v>
      </c>
      <c r="I4855">
        <v>22.46</v>
      </c>
      <c r="J4855">
        <v>4.04</v>
      </c>
      <c r="K4855">
        <v>1470.5</v>
      </c>
      <c r="L4855" s="5">
        <v>46293</v>
      </c>
      <c r="M4855" t="s">
        <v>10261</v>
      </c>
      <c r="N4855" t="s">
        <v>207</v>
      </c>
      <c r="O4855" t="s">
        <v>10508</v>
      </c>
      <c r="P4855" t="s">
        <v>208</v>
      </c>
      <c r="Q4855" t="s">
        <v>209</v>
      </c>
    </row>
    <row r="4856" spans="1:17" x14ac:dyDescent="0.3">
      <c r="A4856" t="s">
        <v>10509</v>
      </c>
      <c r="C4856" t="s">
        <v>10510</v>
      </c>
      <c r="D4856" t="s">
        <v>10510</v>
      </c>
      <c r="E4856" s="5">
        <v>46291</v>
      </c>
      <c r="F4856" t="s">
        <v>204</v>
      </c>
      <c r="G4856" t="s">
        <v>205</v>
      </c>
      <c r="H4856">
        <v>1148</v>
      </c>
      <c r="I4856">
        <v>21.81</v>
      </c>
      <c r="J4856">
        <v>3.93</v>
      </c>
      <c r="K4856">
        <v>1122.26</v>
      </c>
      <c r="L4856" s="5">
        <v>46293</v>
      </c>
      <c r="M4856" t="s">
        <v>10261</v>
      </c>
      <c r="N4856" t="s">
        <v>207</v>
      </c>
      <c r="O4856" t="s">
        <v>10510</v>
      </c>
      <c r="P4856" t="s">
        <v>208</v>
      </c>
      <c r="Q4856" t="s">
        <v>209</v>
      </c>
    </row>
    <row r="4857" spans="1:17" x14ac:dyDescent="0.3">
      <c r="A4857" t="s">
        <v>10511</v>
      </c>
      <c r="C4857" t="s">
        <v>10512</v>
      </c>
      <c r="D4857" t="s">
        <v>10512</v>
      </c>
      <c r="E4857" s="5">
        <v>46291</v>
      </c>
      <c r="F4857" t="s">
        <v>204</v>
      </c>
      <c r="G4857" t="s">
        <v>213</v>
      </c>
      <c r="H4857">
        <v>599</v>
      </c>
      <c r="I4857">
        <v>10.78</v>
      </c>
      <c r="J4857">
        <v>1.94</v>
      </c>
      <c r="K4857">
        <v>586.28</v>
      </c>
      <c r="L4857" s="5">
        <v>46293</v>
      </c>
      <c r="M4857" t="s">
        <v>10261</v>
      </c>
      <c r="N4857" t="s">
        <v>207</v>
      </c>
      <c r="O4857" t="s">
        <v>10512</v>
      </c>
      <c r="P4857" t="s">
        <v>208</v>
      </c>
      <c r="Q4857" t="s">
        <v>209</v>
      </c>
    </row>
    <row r="4858" spans="1:17" x14ac:dyDescent="0.3">
      <c r="A4858" t="s">
        <v>10513</v>
      </c>
      <c r="C4858" t="s">
        <v>10514</v>
      </c>
      <c r="D4858" t="s">
        <v>10514</v>
      </c>
      <c r="E4858" s="5">
        <v>46291</v>
      </c>
      <c r="F4858" t="s">
        <v>204</v>
      </c>
      <c r="G4858" t="s">
        <v>213</v>
      </c>
      <c r="H4858">
        <v>1648</v>
      </c>
      <c r="I4858">
        <v>29.66</v>
      </c>
      <c r="J4858">
        <v>5.34</v>
      </c>
      <c r="K4858">
        <v>1613</v>
      </c>
      <c r="L4858" s="5">
        <v>46293</v>
      </c>
      <c r="M4858" t="s">
        <v>10261</v>
      </c>
      <c r="N4858" t="s">
        <v>207</v>
      </c>
      <c r="O4858" t="s">
        <v>10514</v>
      </c>
      <c r="P4858" t="s">
        <v>208</v>
      </c>
      <c r="Q4858" t="s">
        <v>209</v>
      </c>
    </row>
    <row r="4859" spans="1:17" x14ac:dyDescent="0.3">
      <c r="A4859" t="s">
        <v>10515</v>
      </c>
      <c r="C4859" t="s">
        <v>10516</v>
      </c>
      <c r="D4859" t="s">
        <v>10516</v>
      </c>
      <c r="E4859" s="5">
        <v>46291</v>
      </c>
      <c r="F4859" t="s">
        <v>204</v>
      </c>
      <c r="G4859" t="s">
        <v>220</v>
      </c>
      <c r="H4859">
        <v>2499</v>
      </c>
      <c r="I4859">
        <v>7.5</v>
      </c>
      <c r="J4859">
        <v>1.35</v>
      </c>
      <c r="K4859">
        <v>2490.15</v>
      </c>
      <c r="L4859" s="5">
        <v>46293</v>
      </c>
      <c r="M4859" t="s">
        <v>10261</v>
      </c>
      <c r="N4859" t="s">
        <v>207</v>
      </c>
      <c r="O4859" t="s">
        <v>10516</v>
      </c>
      <c r="P4859" t="s">
        <v>208</v>
      </c>
      <c r="Q4859" t="s">
        <v>209</v>
      </c>
    </row>
    <row r="4860" spans="1:17" x14ac:dyDescent="0.3">
      <c r="A4860" t="s">
        <v>10517</v>
      </c>
      <c r="C4860" t="s">
        <v>10518</v>
      </c>
      <c r="D4860" t="s">
        <v>10518</v>
      </c>
      <c r="E4860" s="5">
        <v>46291</v>
      </c>
      <c r="F4860" t="s">
        <v>204</v>
      </c>
      <c r="G4860" t="s">
        <v>220</v>
      </c>
      <c r="H4860">
        <v>3598</v>
      </c>
      <c r="I4860">
        <v>10.79</v>
      </c>
      <c r="J4860">
        <v>1.94</v>
      </c>
      <c r="K4860">
        <v>3585.27</v>
      </c>
      <c r="L4860" s="5">
        <v>46293</v>
      </c>
      <c r="M4860" t="s">
        <v>10261</v>
      </c>
      <c r="N4860" t="s">
        <v>207</v>
      </c>
      <c r="O4860" t="s">
        <v>10518</v>
      </c>
      <c r="P4860" t="s">
        <v>208</v>
      </c>
      <c r="Q4860" t="s">
        <v>209</v>
      </c>
    </row>
    <row r="4861" spans="1:17" x14ac:dyDescent="0.3">
      <c r="A4861" t="s">
        <v>10519</v>
      </c>
      <c r="C4861" t="s">
        <v>10520</v>
      </c>
      <c r="D4861" t="s">
        <v>10520</v>
      </c>
      <c r="E4861" s="5">
        <v>46291</v>
      </c>
      <c r="F4861" t="s">
        <v>204</v>
      </c>
      <c r="G4861" t="s">
        <v>220</v>
      </c>
      <c r="H4861">
        <v>999</v>
      </c>
      <c r="I4861">
        <v>0</v>
      </c>
      <c r="J4861">
        <v>0</v>
      </c>
      <c r="K4861">
        <v>999</v>
      </c>
      <c r="L4861" s="5">
        <v>46293</v>
      </c>
      <c r="M4861" t="s">
        <v>10261</v>
      </c>
      <c r="N4861" t="s">
        <v>207</v>
      </c>
      <c r="O4861" t="s">
        <v>10520</v>
      </c>
      <c r="P4861" t="s">
        <v>208</v>
      </c>
      <c r="Q4861" t="s">
        <v>209</v>
      </c>
    </row>
    <row r="4862" spans="1:17" x14ac:dyDescent="0.3">
      <c r="A4862" t="s">
        <v>10521</v>
      </c>
      <c r="C4862" t="s">
        <v>10522</v>
      </c>
      <c r="D4862" t="s">
        <v>10522</v>
      </c>
      <c r="E4862" s="5">
        <v>46291</v>
      </c>
      <c r="F4862" t="s">
        <v>204</v>
      </c>
      <c r="G4862" t="s">
        <v>220</v>
      </c>
      <c r="H4862">
        <v>10998</v>
      </c>
      <c r="I4862">
        <v>32.99</v>
      </c>
      <c r="J4862">
        <v>5.94</v>
      </c>
      <c r="K4862">
        <v>10959.07</v>
      </c>
      <c r="L4862" s="5">
        <v>46293</v>
      </c>
      <c r="M4862" t="s">
        <v>10261</v>
      </c>
      <c r="N4862" t="s">
        <v>207</v>
      </c>
      <c r="O4862" t="s">
        <v>10522</v>
      </c>
      <c r="P4862" t="s">
        <v>208</v>
      </c>
      <c r="Q4862" t="s">
        <v>209</v>
      </c>
    </row>
    <row r="4863" spans="1:17" x14ac:dyDescent="0.3">
      <c r="A4863" t="s">
        <v>10523</v>
      </c>
      <c r="C4863" t="s">
        <v>10524</v>
      </c>
      <c r="D4863" t="s">
        <v>10524</v>
      </c>
      <c r="E4863" s="5">
        <v>46291</v>
      </c>
      <c r="F4863" t="s">
        <v>204</v>
      </c>
      <c r="G4863" t="s">
        <v>220</v>
      </c>
      <c r="H4863">
        <v>2247</v>
      </c>
      <c r="I4863">
        <v>6.74</v>
      </c>
      <c r="J4863">
        <v>1.21</v>
      </c>
      <c r="K4863">
        <v>2239.0500000000002</v>
      </c>
      <c r="L4863" s="5">
        <v>46293</v>
      </c>
      <c r="M4863" t="s">
        <v>10261</v>
      </c>
      <c r="N4863" t="s">
        <v>207</v>
      </c>
      <c r="O4863" t="s">
        <v>10524</v>
      </c>
      <c r="P4863" t="s">
        <v>208</v>
      </c>
      <c r="Q4863" t="s">
        <v>209</v>
      </c>
    </row>
    <row r="4864" spans="1:17" x14ac:dyDescent="0.3">
      <c r="A4864" t="s">
        <v>10525</v>
      </c>
      <c r="C4864" t="s">
        <v>10526</v>
      </c>
      <c r="D4864" t="s">
        <v>10526</v>
      </c>
      <c r="E4864" s="5">
        <v>46291</v>
      </c>
      <c r="F4864" t="s">
        <v>204</v>
      </c>
      <c r="G4864" t="s">
        <v>220</v>
      </c>
      <c r="H4864">
        <v>349</v>
      </c>
      <c r="I4864">
        <v>0</v>
      </c>
      <c r="J4864">
        <v>0</v>
      </c>
      <c r="K4864">
        <v>349</v>
      </c>
      <c r="L4864" s="5">
        <v>46293</v>
      </c>
      <c r="M4864" t="s">
        <v>10261</v>
      </c>
      <c r="N4864" t="s">
        <v>207</v>
      </c>
      <c r="O4864" t="s">
        <v>10526</v>
      </c>
      <c r="P4864" t="s">
        <v>208</v>
      </c>
      <c r="Q4864" t="s">
        <v>209</v>
      </c>
    </row>
    <row r="4865" spans="1:17" x14ac:dyDescent="0.3">
      <c r="A4865" t="s">
        <v>10527</v>
      </c>
      <c r="C4865" t="s">
        <v>10528</v>
      </c>
      <c r="D4865" t="s">
        <v>10528</v>
      </c>
      <c r="E4865" s="5">
        <v>46291</v>
      </c>
      <c r="F4865" t="s">
        <v>204</v>
      </c>
      <c r="G4865" t="s">
        <v>255</v>
      </c>
      <c r="H4865">
        <v>2499</v>
      </c>
      <c r="I4865">
        <v>29.99</v>
      </c>
      <c r="J4865">
        <v>5.4</v>
      </c>
      <c r="K4865">
        <v>2463.61</v>
      </c>
      <c r="L4865" s="5">
        <v>46293</v>
      </c>
      <c r="M4865" t="s">
        <v>10261</v>
      </c>
      <c r="N4865" t="s">
        <v>207</v>
      </c>
      <c r="O4865" t="s">
        <v>10528</v>
      </c>
      <c r="P4865" t="s">
        <v>208</v>
      </c>
      <c r="Q4865" t="s">
        <v>209</v>
      </c>
    </row>
    <row r="4866" spans="1:17" x14ac:dyDescent="0.3">
      <c r="A4866" t="s">
        <v>10529</v>
      </c>
      <c r="C4866" t="s">
        <v>10530</v>
      </c>
      <c r="D4866" t="s">
        <v>10530</v>
      </c>
      <c r="E4866" s="5">
        <v>46291</v>
      </c>
      <c r="F4866" t="s">
        <v>204</v>
      </c>
      <c r="G4866" t="s">
        <v>213</v>
      </c>
      <c r="H4866">
        <v>1648</v>
      </c>
      <c r="I4866">
        <v>29.66</v>
      </c>
      <c r="J4866">
        <v>5.34</v>
      </c>
      <c r="K4866">
        <v>1613</v>
      </c>
      <c r="L4866" s="5">
        <v>46293</v>
      </c>
      <c r="M4866" t="s">
        <v>10261</v>
      </c>
      <c r="N4866" t="s">
        <v>207</v>
      </c>
      <c r="O4866" t="s">
        <v>10530</v>
      </c>
      <c r="P4866" t="s">
        <v>208</v>
      </c>
      <c r="Q4866" t="s">
        <v>209</v>
      </c>
    </row>
    <row r="4867" spans="1:17" x14ac:dyDescent="0.3">
      <c r="A4867" t="s">
        <v>10531</v>
      </c>
      <c r="C4867" t="s">
        <v>10532</v>
      </c>
      <c r="D4867" t="s">
        <v>10532</v>
      </c>
      <c r="E4867" s="5">
        <v>46291</v>
      </c>
      <c r="F4867" t="s">
        <v>204</v>
      </c>
      <c r="G4867" t="s">
        <v>213</v>
      </c>
      <c r="H4867">
        <v>1799</v>
      </c>
      <c r="I4867">
        <v>32.380000000000003</v>
      </c>
      <c r="J4867">
        <v>5.83</v>
      </c>
      <c r="K4867">
        <v>1760.79</v>
      </c>
      <c r="L4867" s="5">
        <v>46293</v>
      </c>
      <c r="M4867" t="s">
        <v>10261</v>
      </c>
      <c r="N4867" t="s">
        <v>207</v>
      </c>
      <c r="O4867" t="s">
        <v>10532</v>
      </c>
      <c r="P4867" t="s">
        <v>208</v>
      </c>
      <c r="Q4867" t="s">
        <v>209</v>
      </c>
    </row>
    <row r="4868" spans="1:17" x14ac:dyDescent="0.3">
      <c r="A4868" t="s">
        <v>10533</v>
      </c>
      <c r="C4868" t="s">
        <v>10534</v>
      </c>
      <c r="D4868" t="s">
        <v>10534</v>
      </c>
      <c r="E4868" s="5">
        <v>46291</v>
      </c>
      <c r="F4868" t="s">
        <v>204</v>
      </c>
      <c r="G4868" t="s">
        <v>220</v>
      </c>
      <c r="H4868">
        <v>599</v>
      </c>
      <c r="I4868">
        <v>0</v>
      </c>
      <c r="J4868">
        <v>0</v>
      </c>
      <c r="K4868">
        <v>599</v>
      </c>
      <c r="L4868" s="5">
        <v>46293</v>
      </c>
      <c r="M4868" t="s">
        <v>10261</v>
      </c>
      <c r="N4868" t="s">
        <v>207</v>
      </c>
      <c r="O4868" t="s">
        <v>10534</v>
      </c>
      <c r="P4868" t="s">
        <v>208</v>
      </c>
      <c r="Q4868" t="s">
        <v>209</v>
      </c>
    </row>
    <row r="4869" spans="1:17" x14ac:dyDescent="0.3">
      <c r="A4869" t="s">
        <v>10535</v>
      </c>
      <c r="C4869" t="s">
        <v>10536</v>
      </c>
      <c r="D4869" t="s">
        <v>10536</v>
      </c>
      <c r="E4869" s="5">
        <v>46291</v>
      </c>
      <c r="F4869" t="s">
        <v>204</v>
      </c>
      <c r="G4869" t="s">
        <v>213</v>
      </c>
      <c r="H4869">
        <v>349</v>
      </c>
      <c r="I4869">
        <v>6.28</v>
      </c>
      <c r="J4869">
        <v>1.1299999999999999</v>
      </c>
      <c r="K4869">
        <v>341.59</v>
      </c>
      <c r="L4869" s="5">
        <v>46293</v>
      </c>
      <c r="M4869" t="s">
        <v>10261</v>
      </c>
      <c r="N4869" t="s">
        <v>207</v>
      </c>
      <c r="O4869" t="s">
        <v>10536</v>
      </c>
      <c r="P4869" t="s">
        <v>208</v>
      </c>
      <c r="Q4869" t="s">
        <v>209</v>
      </c>
    </row>
    <row r="4870" spans="1:17" x14ac:dyDescent="0.3">
      <c r="A4870" t="s">
        <v>10537</v>
      </c>
      <c r="C4870" t="s">
        <v>10538</v>
      </c>
      <c r="D4870" t="s">
        <v>10538</v>
      </c>
      <c r="E4870" s="5">
        <v>46291</v>
      </c>
      <c r="F4870" t="s">
        <v>204</v>
      </c>
      <c r="G4870" t="s">
        <v>213</v>
      </c>
      <c r="H4870">
        <v>698</v>
      </c>
      <c r="I4870">
        <v>12.56</v>
      </c>
      <c r="J4870">
        <v>2.2599999999999998</v>
      </c>
      <c r="K4870">
        <v>683.18</v>
      </c>
      <c r="L4870" s="5">
        <v>46293</v>
      </c>
      <c r="M4870" t="s">
        <v>10261</v>
      </c>
      <c r="N4870" t="s">
        <v>207</v>
      </c>
      <c r="O4870" t="s">
        <v>10538</v>
      </c>
      <c r="P4870" t="s">
        <v>208</v>
      </c>
      <c r="Q4870" t="s">
        <v>209</v>
      </c>
    </row>
    <row r="4871" spans="1:17" x14ac:dyDescent="0.3">
      <c r="A4871" t="s">
        <v>10539</v>
      </c>
      <c r="C4871" t="s">
        <v>10540</v>
      </c>
      <c r="D4871" t="s">
        <v>10540</v>
      </c>
      <c r="E4871" s="5">
        <v>46291</v>
      </c>
      <c r="F4871" t="s">
        <v>204</v>
      </c>
      <c r="G4871" t="s">
        <v>213</v>
      </c>
      <c r="H4871">
        <v>7999</v>
      </c>
      <c r="I4871">
        <v>127.98</v>
      </c>
      <c r="J4871">
        <v>23.04</v>
      </c>
      <c r="K4871">
        <v>7847.98</v>
      </c>
      <c r="L4871" s="5">
        <v>46293</v>
      </c>
      <c r="M4871" t="s">
        <v>10261</v>
      </c>
      <c r="N4871" t="s">
        <v>207</v>
      </c>
      <c r="O4871" t="s">
        <v>10540</v>
      </c>
      <c r="P4871" t="s">
        <v>208</v>
      </c>
      <c r="Q4871" t="s">
        <v>209</v>
      </c>
    </row>
    <row r="4872" spans="1:17" x14ac:dyDescent="0.3">
      <c r="A4872" t="s">
        <v>10541</v>
      </c>
      <c r="C4872" t="s">
        <v>10542</v>
      </c>
      <c r="D4872" t="s">
        <v>10542</v>
      </c>
      <c r="E4872" s="5">
        <v>46291</v>
      </c>
      <c r="F4872" t="s">
        <v>204</v>
      </c>
      <c r="G4872" t="s">
        <v>213</v>
      </c>
      <c r="H4872">
        <v>1499</v>
      </c>
      <c r="I4872">
        <v>26.98</v>
      </c>
      <c r="J4872">
        <v>4.8600000000000003</v>
      </c>
      <c r="K4872">
        <v>1467.16</v>
      </c>
      <c r="L4872" s="5">
        <v>46293</v>
      </c>
      <c r="M4872" t="s">
        <v>10261</v>
      </c>
      <c r="N4872" t="s">
        <v>207</v>
      </c>
      <c r="O4872" t="s">
        <v>10542</v>
      </c>
      <c r="P4872" t="s">
        <v>208</v>
      </c>
      <c r="Q4872" t="s">
        <v>209</v>
      </c>
    </row>
    <row r="4873" spans="1:17" x14ac:dyDescent="0.3">
      <c r="A4873" t="s">
        <v>10543</v>
      </c>
      <c r="C4873" t="s">
        <v>10544</v>
      </c>
      <c r="D4873" t="s">
        <v>10544</v>
      </c>
      <c r="E4873" s="5">
        <v>46291</v>
      </c>
      <c r="F4873" t="s">
        <v>204</v>
      </c>
      <c r="G4873" t="s">
        <v>205</v>
      </c>
      <c r="H4873">
        <v>599</v>
      </c>
      <c r="I4873">
        <v>11.38</v>
      </c>
      <c r="J4873">
        <v>2.0499999999999998</v>
      </c>
      <c r="K4873">
        <v>585.57000000000005</v>
      </c>
      <c r="L4873" s="5">
        <v>46293</v>
      </c>
      <c r="M4873" t="s">
        <v>10261</v>
      </c>
      <c r="N4873" t="s">
        <v>207</v>
      </c>
      <c r="O4873" t="s">
        <v>10544</v>
      </c>
      <c r="P4873" t="s">
        <v>208</v>
      </c>
      <c r="Q4873" t="s">
        <v>209</v>
      </c>
    </row>
    <row r="4874" spans="1:17" x14ac:dyDescent="0.3">
      <c r="A4874" t="s">
        <v>10545</v>
      </c>
      <c r="C4874" t="s">
        <v>10546</v>
      </c>
      <c r="D4874" t="s">
        <v>10546</v>
      </c>
      <c r="E4874" s="5">
        <v>46291</v>
      </c>
      <c r="F4874" t="s">
        <v>204</v>
      </c>
      <c r="G4874" t="s">
        <v>220</v>
      </c>
      <c r="H4874">
        <v>349</v>
      </c>
      <c r="I4874">
        <v>0</v>
      </c>
      <c r="J4874">
        <v>0</v>
      </c>
      <c r="K4874">
        <v>349</v>
      </c>
      <c r="L4874" s="5">
        <v>46293</v>
      </c>
      <c r="M4874" t="s">
        <v>10261</v>
      </c>
      <c r="N4874" t="s">
        <v>207</v>
      </c>
      <c r="O4874" t="s">
        <v>10546</v>
      </c>
      <c r="P4874" t="s">
        <v>208</v>
      </c>
      <c r="Q4874" t="s">
        <v>209</v>
      </c>
    </row>
    <row r="4875" spans="1:17" x14ac:dyDescent="0.3">
      <c r="A4875" t="s">
        <v>10547</v>
      </c>
      <c r="C4875" t="s">
        <v>10548</v>
      </c>
      <c r="D4875" t="s">
        <v>10549</v>
      </c>
      <c r="E4875" s="5">
        <v>46291</v>
      </c>
      <c r="F4875" t="s">
        <v>204</v>
      </c>
      <c r="G4875" t="s">
        <v>220</v>
      </c>
      <c r="H4875">
        <v>3798</v>
      </c>
      <c r="I4875">
        <v>11.39</v>
      </c>
      <c r="J4875">
        <v>2.0499999999999998</v>
      </c>
      <c r="K4875">
        <v>3784.56</v>
      </c>
      <c r="L4875" s="5">
        <v>46293</v>
      </c>
      <c r="M4875" t="s">
        <v>10261</v>
      </c>
      <c r="N4875" t="s">
        <v>207</v>
      </c>
      <c r="O4875" t="s">
        <v>10549</v>
      </c>
      <c r="P4875" t="s">
        <v>208</v>
      </c>
      <c r="Q4875" t="s">
        <v>209</v>
      </c>
    </row>
    <row r="4876" spans="1:17" x14ac:dyDescent="0.3">
      <c r="A4876" t="s">
        <v>10550</v>
      </c>
      <c r="C4876" t="s">
        <v>10551</v>
      </c>
      <c r="D4876" t="s">
        <v>10551</v>
      </c>
      <c r="E4876" s="5">
        <v>46291</v>
      </c>
      <c r="F4876" t="s">
        <v>204</v>
      </c>
      <c r="G4876" t="s">
        <v>220</v>
      </c>
      <c r="H4876">
        <v>14797</v>
      </c>
      <c r="I4876">
        <v>44.39</v>
      </c>
      <c r="J4876">
        <v>7.99</v>
      </c>
      <c r="K4876">
        <v>14744.62</v>
      </c>
      <c r="L4876" s="5">
        <v>46293</v>
      </c>
      <c r="M4876" t="s">
        <v>10261</v>
      </c>
      <c r="N4876" t="s">
        <v>207</v>
      </c>
      <c r="O4876" t="s">
        <v>10551</v>
      </c>
      <c r="P4876" t="s">
        <v>208</v>
      </c>
      <c r="Q4876" t="s">
        <v>209</v>
      </c>
    </row>
    <row r="4877" spans="1:17" x14ac:dyDescent="0.3">
      <c r="A4877" t="s">
        <v>10552</v>
      </c>
      <c r="C4877" t="s">
        <v>10553</v>
      </c>
      <c r="D4877" t="s">
        <v>10553</v>
      </c>
      <c r="E4877" s="5">
        <v>46291</v>
      </c>
      <c r="F4877" t="s">
        <v>204</v>
      </c>
      <c r="G4877" t="s">
        <v>213</v>
      </c>
      <c r="H4877">
        <v>349</v>
      </c>
      <c r="I4877">
        <v>6.28</v>
      </c>
      <c r="J4877">
        <v>1.1299999999999999</v>
      </c>
      <c r="K4877">
        <v>341.59</v>
      </c>
      <c r="L4877" s="5">
        <v>46293</v>
      </c>
      <c r="M4877" t="s">
        <v>10261</v>
      </c>
      <c r="N4877" t="s">
        <v>207</v>
      </c>
      <c r="O4877" t="s">
        <v>10553</v>
      </c>
      <c r="P4877" t="s">
        <v>208</v>
      </c>
      <c r="Q4877" t="s">
        <v>209</v>
      </c>
    </row>
    <row r="4878" spans="1:17" x14ac:dyDescent="0.3">
      <c r="A4878" t="s">
        <v>10554</v>
      </c>
      <c r="C4878" t="s">
        <v>10555</v>
      </c>
      <c r="D4878" t="s">
        <v>10555</v>
      </c>
      <c r="E4878" s="5">
        <v>46291</v>
      </c>
      <c r="F4878" t="s">
        <v>204</v>
      </c>
      <c r="G4878" t="s">
        <v>220</v>
      </c>
      <c r="H4878">
        <v>8498</v>
      </c>
      <c r="I4878">
        <v>25.49</v>
      </c>
      <c r="J4878">
        <v>4.59</v>
      </c>
      <c r="K4878">
        <v>8467.92</v>
      </c>
      <c r="L4878" s="5">
        <v>46293</v>
      </c>
      <c r="M4878" t="s">
        <v>10261</v>
      </c>
      <c r="N4878" t="s">
        <v>207</v>
      </c>
      <c r="O4878" t="s">
        <v>10555</v>
      </c>
      <c r="P4878" t="s">
        <v>208</v>
      </c>
      <c r="Q4878" t="s">
        <v>209</v>
      </c>
    </row>
    <row r="4879" spans="1:17" x14ac:dyDescent="0.3">
      <c r="A4879" t="s">
        <v>10556</v>
      </c>
      <c r="C4879" t="s">
        <v>10557</v>
      </c>
      <c r="D4879" t="s">
        <v>10557</v>
      </c>
      <c r="E4879" s="5">
        <v>46291</v>
      </c>
      <c r="F4879" t="s">
        <v>204</v>
      </c>
      <c r="G4879" t="s">
        <v>220</v>
      </c>
      <c r="H4879">
        <v>799</v>
      </c>
      <c r="I4879">
        <v>0</v>
      </c>
      <c r="J4879">
        <v>0</v>
      </c>
      <c r="K4879">
        <v>799</v>
      </c>
      <c r="L4879" s="5">
        <v>46293</v>
      </c>
      <c r="M4879" t="s">
        <v>10261</v>
      </c>
      <c r="N4879" t="s">
        <v>207</v>
      </c>
      <c r="O4879" t="s">
        <v>10557</v>
      </c>
      <c r="P4879" t="s">
        <v>208</v>
      </c>
      <c r="Q4879" t="s">
        <v>209</v>
      </c>
    </row>
    <row r="4880" spans="1:17" x14ac:dyDescent="0.3">
      <c r="A4880" t="s">
        <v>10558</v>
      </c>
      <c r="C4880" t="s">
        <v>10559</v>
      </c>
      <c r="D4880" t="s">
        <v>10559</v>
      </c>
      <c r="E4880" s="5">
        <v>46291</v>
      </c>
      <c r="F4880" t="s">
        <v>204</v>
      </c>
      <c r="G4880" t="s">
        <v>220</v>
      </c>
      <c r="H4880">
        <v>1299</v>
      </c>
      <c r="I4880">
        <v>0</v>
      </c>
      <c r="J4880">
        <v>0</v>
      </c>
      <c r="K4880">
        <v>1299</v>
      </c>
      <c r="L4880" s="5">
        <v>46293</v>
      </c>
      <c r="M4880" t="s">
        <v>10261</v>
      </c>
      <c r="N4880" t="s">
        <v>207</v>
      </c>
      <c r="O4880" t="s">
        <v>10559</v>
      </c>
      <c r="P4880" t="s">
        <v>208</v>
      </c>
      <c r="Q4880" t="s">
        <v>209</v>
      </c>
    </row>
    <row r="4881" spans="1:17" x14ac:dyDescent="0.3">
      <c r="A4881" t="s">
        <v>10560</v>
      </c>
      <c r="C4881" t="s">
        <v>10561</v>
      </c>
      <c r="D4881" t="s">
        <v>10561</v>
      </c>
      <c r="E4881" s="5">
        <v>46291</v>
      </c>
      <c r="F4881" t="s">
        <v>204</v>
      </c>
      <c r="G4881" t="s">
        <v>220</v>
      </c>
      <c r="H4881">
        <v>2097</v>
      </c>
      <c r="I4881">
        <v>6.29</v>
      </c>
      <c r="J4881">
        <v>1.1299999999999999</v>
      </c>
      <c r="K4881">
        <v>2089.58</v>
      </c>
      <c r="L4881" s="5">
        <v>46293</v>
      </c>
      <c r="M4881" t="s">
        <v>10261</v>
      </c>
      <c r="N4881" t="s">
        <v>207</v>
      </c>
      <c r="O4881" t="s">
        <v>10561</v>
      </c>
      <c r="P4881" t="s">
        <v>208</v>
      </c>
      <c r="Q4881" t="s">
        <v>209</v>
      </c>
    </row>
    <row r="4882" spans="1:17" x14ac:dyDescent="0.3">
      <c r="A4882" t="s">
        <v>10562</v>
      </c>
      <c r="C4882" t="s">
        <v>10563</v>
      </c>
      <c r="D4882" t="s">
        <v>10563</v>
      </c>
      <c r="E4882" s="5">
        <v>46291</v>
      </c>
      <c r="F4882" t="s">
        <v>204</v>
      </c>
      <c r="G4882" t="s">
        <v>213</v>
      </c>
      <c r="H4882">
        <v>2298</v>
      </c>
      <c r="I4882">
        <v>36.770000000000003</v>
      </c>
      <c r="J4882">
        <v>6.62</v>
      </c>
      <c r="K4882">
        <v>2254.61</v>
      </c>
      <c r="L4882" s="5">
        <v>46293</v>
      </c>
      <c r="M4882" t="s">
        <v>10261</v>
      </c>
      <c r="N4882" t="s">
        <v>207</v>
      </c>
      <c r="O4882" t="s">
        <v>10563</v>
      </c>
      <c r="P4882" t="s">
        <v>208</v>
      </c>
      <c r="Q4882" t="s">
        <v>209</v>
      </c>
    </row>
    <row r="4883" spans="1:17" x14ac:dyDescent="0.3">
      <c r="A4883" t="s">
        <v>10564</v>
      </c>
      <c r="C4883" t="s">
        <v>10565</v>
      </c>
      <c r="D4883" t="s">
        <v>10565</v>
      </c>
      <c r="E4883" s="5">
        <v>46291</v>
      </c>
      <c r="F4883" t="s">
        <v>204</v>
      </c>
      <c r="G4883" t="s">
        <v>220</v>
      </c>
      <c r="H4883">
        <v>1299</v>
      </c>
      <c r="I4883">
        <v>0</v>
      </c>
      <c r="J4883">
        <v>0</v>
      </c>
      <c r="K4883">
        <v>1299</v>
      </c>
      <c r="L4883" s="5">
        <v>46293</v>
      </c>
      <c r="M4883" t="s">
        <v>10261</v>
      </c>
      <c r="N4883" t="s">
        <v>207</v>
      </c>
      <c r="O4883" t="s">
        <v>10565</v>
      </c>
      <c r="P4883" t="s">
        <v>208</v>
      </c>
      <c r="Q4883" t="s">
        <v>209</v>
      </c>
    </row>
    <row r="4884" spans="1:17" x14ac:dyDescent="0.3">
      <c r="A4884" t="s">
        <v>10566</v>
      </c>
      <c r="C4884" t="s">
        <v>10567</v>
      </c>
      <c r="D4884" t="s">
        <v>10567</v>
      </c>
      <c r="E4884" s="5">
        <v>46291</v>
      </c>
      <c r="F4884" t="s">
        <v>204</v>
      </c>
      <c r="G4884" t="s">
        <v>220</v>
      </c>
      <c r="H4884">
        <v>3298</v>
      </c>
      <c r="I4884">
        <v>9.89</v>
      </c>
      <c r="J4884">
        <v>1.78</v>
      </c>
      <c r="K4884">
        <v>3286.33</v>
      </c>
      <c r="L4884" s="5">
        <v>46293</v>
      </c>
      <c r="M4884" t="s">
        <v>10261</v>
      </c>
      <c r="N4884" t="s">
        <v>207</v>
      </c>
      <c r="O4884" t="s">
        <v>10567</v>
      </c>
      <c r="P4884" t="s">
        <v>208</v>
      </c>
      <c r="Q4884" t="s">
        <v>209</v>
      </c>
    </row>
    <row r="4885" spans="1:17" x14ac:dyDescent="0.3">
      <c r="A4885" t="s">
        <v>10568</v>
      </c>
      <c r="C4885" t="s">
        <v>10569</v>
      </c>
      <c r="D4885" t="s">
        <v>10569</v>
      </c>
      <c r="E4885" s="5">
        <v>46291</v>
      </c>
      <c r="F4885" t="s">
        <v>204</v>
      </c>
      <c r="G4885" t="s">
        <v>220</v>
      </c>
      <c r="H4885">
        <v>499</v>
      </c>
      <c r="I4885">
        <v>0</v>
      </c>
      <c r="J4885">
        <v>0</v>
      </c>
      <c r="K4885">
        <v>499</v>
      </c>
      <c r="L4885" s="5">
        <v>46293</v>
      </c>
      <c r="M4885" t="s">
        <v>10261</v>
      </c>
      <c r="N4885" t="s">
        <v>207</v>
      </c>
      <c r="O4885" t="s">
        <v>10569</v>
      </c>
      <c r="P4885" t="s">
        <v>208</v>
      </c>
      <c r="Q4885" t="s">
        <v>209</v>
      </c>
    </row>
    <row r="4886" spans="1:17" x14ac:dyDescent="0.3">
      <c r="A4886" t="s">
        <v>10570</v>
      </c>
      <c r="C4886" t="s">
        <v>10571</v>
      </c>
      <c r="D4886" t="s">
        <v>10571</v>
      </c>
      <c r="E4886" s="5">
        <v>46291</v>
      </c>
      <c r="F4886" t="s">
        <v>204</v>
      </c>
      <c r="G4886" t="s">
        <v>205</v>
      </c>
      <c r="H4886">
        <v>11097</v>
      </c>
      <c r="I4886">
        <v>188.65</v>
      </c>
      <c r="J4886">
        <v>33.96</v>
      </c>
      <c r="K4886">
        <v>10874.39</v>
      </c>
      <c r="L4886" s="5">
        <v>46293</v>
      </c>
      <c r="M4886" t="s">
        <v>10261</v>
      </c>
      <c r="N4886" t="s">
        <v>207</v>
      </c>
      <c r="O4886" t="s">
        <v>10571</v>
      </c>
      <c r="P4886" t="s">
        <v>208</v>
      </c>
      <c r="Q4886" t="s">
        <v>209</v>
      </c>
    </row>
    <row r="4887" spans="1:17" x14ac:dyDescent="0.3">
      <c r="A4887" t="s">
        <v>10572</v>
      </c>
      <c r="C4887" t="s">
        <v>10573</v>
      </c>
      <c r="D4887" t="s">
        <v>10573</v>
      </c>
      <c r="E4887" s="5">
        <v>46291</v>
      </c>
      <c r="F4887" t="s">
        <v>204</v>
      </c>
      <c r="G4887" t="s">
        <v>213</v>
      </c>
      <c r="H4887">
        <v>3147</v>
      </c>
      <c r="I4887">
        <v>50.35</v>
      </c>
      <c r="J4887">
        <v>9.06</v>
      </c>
      <c r="K4887">
        <v>3087.59</v>
      </c>
      <c r="L4887" s="5">
        <v>46293</v>
      </c>
      <c r="M4887" t="s">
        <v>10261</v>
      </c>
      <c r="N4887" t="s">
        <v>207</v>
      </c>
      <c r="O4887" t="s">
        <v>10573</v>
      </c>
      <c r="P4887" t="s">
        <v>208</v>
      </c>
      <c r="Q4887" t="s">
        <v>209</v>
      </c>
    </row>
    <row r="4888" spans="1:17" x14ac:dyDescent="0.3">
      <c r="A4888" t="s">
        <v>10574</v>
      </c>
      <c r="C4888" t="s">
        <v>10575</v>
      </c>
      <c r="D4888" t="s">
        <v>10575</v>
      </c>
      <c r="E4888" s="5">
        <v>46291</v>
      </c>
      <c r="F4888" t="s">
        <v>204</v>
      </c>
      <c r="G4888" t="s">
        <v>205</v>
      </c>
      <c r="H4888">
        <v>5298</v>
      </c>
      <c r="I4888">
        <v>90.07</v>
      </c>
      <c r="J4888">
        <v>16.21</v>
      </c>
      <c r="K4888">
        <v>5191.72</v>
      </c>
      <c r="L4888" s="5">
        <v>46293</v>
      </c>
      <c r="M4888" t="s">
        <v>10261</v>
      </c>
      <c r="N4888" t="s">
        <v>207</v>
      </c>
      <c r="O4888" t="s">
        <v>10575</v>
      </c>
      <c r="P4888" t="s">
        <v>208</v>
      </c>
      <c r="Q4888" t="s">
        <v>209</v>
      </c>
    </row>
    <row r="4889" spans="1:17" x14ac:dyDescent="0.3">
      <c r="A4889" t="s">
        <v>10576</v>
      </c>
      <c r="C4889" t="s">
        <v>10577</v>
      </c>
      <c r="D4889" t="s">
        <v>10577</v>
      </c>
      <c r="E4889" s="5">
        <v>46291</v>
      </c>
      <c r="F4889" t="s">
        <v>204</v>
      </c>
      <c r="G4889" t="s">
        <v>213</v>
      </c>
      <c r="H4889">
        <v>599</v>
      </c>
      <c r="I4889">
        <v>10.78</v>
      </c>
      <c r="J4889">
        <v>1.94</v>
      </c>
      <c r="K4889">
        <v>586.28</v>
      </c>
      <c r="L4889" s="5">
        <v>46293</v>
      </c>
      <c r="M4889" t="s">
        <v>10261</v>
      </c>
      <c r="N4889" t="s">
        <v>207</v>
      </c>
      <c r="O4889" t="s">
        <v>10577</v>
      </c>
      <c r="P4889" t="s">
        <v>208</v>
      </c>
      <c r="Q4889" t="s">
        <v>209</v>
      </c>
    </row>
    <row r="4890" spans="1:17" x14ac:dyDescent="0.3">
      <c r="A4890" t="s">
        <v>10578</v>
      </c>
      <c r="C4890" t="s">
        <v>10579</v>
      </c>
      <c r="D4890" t="s">
        <v>10579</v>
      </c>
      <c r="E4890" s="5">
        <v>46291</v>
      </c>
      <c r="F4890" t="s">
        <v>204</v>
      </c>
      <c r="G4890" t="s">
        <v>220</v>
      </c>
      <c r="H4890">
        <v>7498</v>
      </c>
      <c r="I4890">
        <v>22.49</v>
      </c>
      <c r="J4890">
        <v>4.05</v>
      </c>
      <c r="K4890">
        <v>7471.46</v>
      </c>
      <c r="L4890" s="5">
        <v>46293</v>
      </c>
      <c r="M4890" t="s">
        <v>10261</v>
      </c>
      <c r="N4890" t="s">
        <v>207</v>
      </c>
      <c r="O4890" t="s">
        <v>10579</v>
      </c>
      <c r="P4890" t="s">
        <v>208</v>
      </c>
      <c r="Q4890" t="s">
        <v>209</v>
      </c>
    </row>
    <row r="4891" spans="1:17" x14ac:dyDescent="0.3">
      <c r="A4891" t="s">
        <v>10580</v>
      </c>
      <c r="C4891" t="s">
        <v>10581</v>
      </c>
      <c r="D4891" t="s">
        <v>10582</v>
      </c>
      <c r="E4891" s="5">
        <v>46291</v>
      </c>
      <c r="F4891" t="s">
        <v>204</v>
      </c>
      <c r="G4891" t="s">
        <v>220</v>
      </c>
      <c r="H4891">
        <v>8697</v>
      </c>
      <c r="I4891">
        <v>26.09</v>
      </c>
      <c r="J4891">
        <v>4.7</v>
      </c>
      <c r="K4891">
        <v>8666.2099999999991</v>
      </c>
      <c r="L4891" s="5">
        <v>46293</v>
      </c>
      <c r="M4891" t="s">
        <v>10261</v>
      </c>
      <c r="N4891" t="s">
        <v>207</v>
      </c>
      <c r="O4891" t="s">
        <v>10582</v>
      </c>
      <c r="P4891" t="s">
        <v>208</v>
      </c>
      <c r="Q4891" t="s">
        <v>209</v>
      </c>
    </row>
    <row r="4892" spans="1:17" x14ac:dyDescent="0.3">
      <c r="A4892" t="s">
        <v>10583</v>
      </c>
      <c r="C4892" t="s">
        <v>10584</v>
      </c>
      <c r="D4892" t="s">
        <v>10584</v>
      </c>
      <c r="E4892" s="5">
        <v>46291</v>
      </c>
      <c r="F4892" t="s">
        <v>204</v>
      </c>
      <c r="G4892" t="s">
        <v>213</v>
      </c>
      <c r="H4892">
        <v>3499</v>
      </c>
      <c r="I4892">
        <v>55.98</v>
      </c>
      <c r="J4892">
        <v>10.08</v>
      </c>
      <c r="K4892">
        <v>3432.94</v>
      </c>
      <c r="L4892" s="5">
        <v>46293</v>
      </c>
      <c r="M4892" t="s">
        <v>10261</v>
      </c>
      <c r="N4892" t="s">
        <v>207</v>
      </c>
      <c r="O4892" t="s">
        <v>10584</v>
      </c>
      <c r="P4892" t="s">
        <v>208</v>
      </c>
      <c r="Q4892" t="s">
        <v>209</v>
      </c>
    </row>
    <row r="4893" spans="1:17" x14ac:dyDescent="0.3">
      <c r="A4893" t="s">
        <v>10585</v>
      </c>
      <c r="C4893" t="s">
        <v>10586</v>
      </c>
      <c r="D4893" t="s">
        <v>10586</v>
      </c>
      <c r="E4893" s="5">
        <v>46291</v>
      </c>
      <c r="F4893" t="s">
        <v>204</v>
      </c>
      <c r="G4893" t="s">
        <v>220</v>
      </c>
      <c r="H4893">
        <v>3348</v>
      </c>
      <c r="I4893">
        <v>10.039999999999999</v>
      </c>
      <c r="J4893">
        <v>1.81</v>
      </c>
      <c r="K4893">
        <v>3336.15</v>
      </c>
      <c r="L4893" s="5">
        <v>46293</v>
      </c>
      <c r="M4893" t="s">
        <v>10261</v>
      </c>
      <c r="N4893" t="s">
        <v>207</v>
      </c>
      <c r="O4893" t="s">
        <v>10586</v>
      </c>
      <c r="P4893" t="s">
        <v>208</v>
      </c>
      <c r="Q4893" t="s">
        <v>209</v>
      </c>
    </row>
    <row r="4894" spans="1:17" x14ac:dyDescent="0.3">
      <c r="A4894" t="s">
        <v>10587</v>
      </c>
      <c r="C4894" t="s">
        <v>10588</v>
      </c>
      <c r="D4894" t="s">
        <v>10588</v>
      </c>
      <c r="E4894" s="5">
        <v>46291</v>
      </c>
      <c r="F4894" t="s">
        <v>204</v>
      </c>
      <c r="G4894" t="s">
        <v>220</v>
      </c>
      <c r="H4894">
        <v>4798</v>
      </c>
      <c r="I4894">
        <v>14.39</v>
      </c>
      <c r="J4894">
        <v>2.59</v>
      </c>
      <c r="K4894">
        <v>4781.0200000000004</v>
      </c>
      <c r="L4894" s="5">
        <v>46293</v>
      </c>
      <c r="M4894" t="s">
        <v>10261</v>
      </c>
      <c r="N4894" t="s">
        <v>207</v>
      </c>
      <c r="O4894" t="s">
        <v>10588</v>
      </c>
      <c r="P4894" t="s">
        <v>208</v>
      </c>
      <c r="Q4894" t="s">
        <v>209</v>
      </c>
    </row>
    <row r="4895" spans="1:17" x14ac:dyDescent="0.3">
      <c r="A4895" t="s">
        <v>10589</v>
      </c>
      <c r="C4895" t="s">
        <v>10590</v>
      </c>
      <c r="D4895" t="s">
        <v>10590</v>
      </c>
      <c r="E4895" s="5">
        <v>46291</v>
      </c>
      <c r="F4895" t="s">
        <v>204</v>
      </c>
      <c r="G4895" t="s">
        <v>220</v>
      </c>
      <c r="H4895">
        <v>3499</v>
      </c>
      <c r="I4895">
        <v>10.5</v>
      </c>
      <c r="J4895">
        <v>1.89</v>
      </c>
      <c r="K4895">
        <v>3486.61</v>
      </c>
      <c r="L4895" s="5">
        <v>46293</v>
      </c>
      <c r="M4895" t="s">
        <v>10261</v>
      </c>
      <c r="N4895" t="s">
        <v>207</v>
      </c>
      <c r="O4895" t="s">
        <v>10590</v>
      </c>
      <c r="P4895" t="s">
        <v>208</v>
      </c>
      <c r="Q4895" t="s">
        <v>209</v>
      </c>
    </row>
    <row r="4896" spans="1:17" x14ac:dyDescent="0.3">
      <c r="A4896" t="s">
        <v>10591</v>
      </c>
      <c r="C4896" t="s">
        <v>10592</v>
      </c>
      <c r="D4896" t="s">
        <v>10592</v>
      </c>
      <c r="E4896" s="5">
        <v>46291</v>
      </c>
      <c r="F4896" t="s">
        <v>204</v>
      </c>
      <c r="G4896" t="s">
        <v>220</v>
      </c>
      <c r="H4896">
        <v>599</v>
      </c>
      <c r="I4896">
        <v>0</v>
      </c>
      <c r="J4896">
        <v>0</v>
      </c>
      <c r="K4896">
        <v>599</v>
      </c>
      <c r="L4896" s="5">
        <v>46293</v>
      </c>
      <c r="M4896" t="s">
        <v>10261</v>
      </c>
      <c r="N4896" t="s">
        <v>207</v>
      </c>
      <c r="O4896" t="s">
        <v>10592</v>
      </c>
      <c r="P4896" t="s">
        <v>208</v>
      </c>
      <c r="Q4896" t="s">
        <v>209</v>
      </c>
    </row>
    <row r="4897" spans="1:17" x14ac:dyDescent="0.3">
      <c r="A4897" t="s">
        <v>10593</v>
      </c>
      <c r="C4897" t="s">
        <v>10594</v>
      </c>
      <c r="D4897" t="s">
        <v>10594</v>
      </c>
      <c r="E4897" s="5">
        <v>46291</v>
      </c>
      <c r="F4897" t="s">
        <v>204</v>
      </c>
      <c r="G4897" t="s">
        <v>220</v>
      </c>
      <c r="H4897">
        <v>1299</v>
      </c>
      <c r="I4897">
        <v>0</v>
      </c>
      <c r="J4897">
        <v>0</v>
      </c>
      <c r="K4897">
        <v>1299</v>
      </c>
      <c r="L4897" s="5">
        <v>46293</v>
      </c>
      <c r="M4897" t="s">
        <v>10261</v>
      </c>
      <c r="N4897" t="s">
        <v>207</v>
      </c>
      <c r="O4897" t="s">
        <v>10594</v>
      </c>
      <c r="P4897" t="s">
        <v>208</v>
      </c>
      <c r="Q4897" t="s">
        <v>209</v>
      </c>
    </row>
    <row r="4898" spans="1:17" x14ac:dyDescent="0.3">
      <c r="A4898" t="s">
        <v>10595</v>
      </c>
      <c r="C4898" t="s">
        <v>10596</v>
      </c>
      <c r="D4898" t="s">
        <v>10596</v>
      </c>
      <c r="E4898" s="5">
        <v>46291</v>
      </c>
      <c r="F4898" t="s">
        <v>204</v>
      </c>
      <c r="G4898" t="s">
        <v>213</v>
      </c>
      <c r="H4898">
        <v>3499</v>
      </c>
      <c r="I4898">
        <v>55.98</v>
      </c>
      <c r="J4898">
        <v>10.08</v>
      </c>
      <c r="K4898">
        <v>3432.94</v>
      </c>
      <c r="L4898" s="5">
        <v>46293</v>
      </c>
      <c r="M4898" t="s">
        <v>10261</v>
      </c>
      <c r="N4898" t="s">
        <v>207</v>
      </c>
      <c r="O4898" t="s">
        <v>10596</v>
      </c>
      <c r="P4898" t="s">
        <v>208</v>
      </c>
      <c r="Q4898" t="s">
        <v>209</v>
      </c>
    </row>
    <row r="4899" spans="1:17" x14ac:dyDescent="0.3">
      <c r="A4899" t="s">
        <v>10597</v>
      </c>
      <c r="C4899" t="s">
        <v>10598</v>
      </c>
      <c r="D4899" t="s">
        <v>10598</v>
      </c>
      <c r="E4899" s="5">
        <v>46291</v>
      </c>
      <c r="F4899" t="s">
        <v>204</v>
      </c>
      <c r="G4899" t="s">
        <v>213</v>
      </c>
      <c r="H4899">
        <v>5397</v>
      </c>
      <c r="I4899">
        <v>86.35</v>
      </c>
      <c r="J4899">
        <v>15.54</v>
      </c>
      <c r="K4899">
        <v>5295.11</v>
      </c>
      <c r="L4899" s="5">
        <v>46293</v>
      </c>
      <c r="M4899" t="s">
        <v>10261</v>
      </c>
      <c r="N4899" t="s">
        <v>207</v>
      </c>
      <c r="O4899" t="s">
        <v>10598</v>
      </c>
      <c r="P4899" t="s">
        <v>208</v>
      </c>
      <c r="Q4899" t="s">
        <v>209</v>
      </c>
    </row>
    <row r="4900" spans="1:17" x14ac:dyDescent="0.3">
      <c r="A4900" t="s">
        <v>10599</v>
      </c>
      <c r="C4900" t="s">
        <v>10600</v>
      </c>
      <c r="D4900" t="s">
        <v>10600</v>
      </c>
      <c r="E4900" s="5">
        <v>46291</v>
      </c>
      <c r="F4900" t="s">
        <v>204</v>
      </c>
      <c r="G4900" t="s">
        <v>205</v>
      </c>
      <c r="H4900">
        <v>2597</v>
      </c>
      <c r="I4900">
        <v>44.15</v>
      </c>
      <c r="J4900">
        <v>7.95</v>
      </c>
      <c r="K4900">
        <v>2544.9</v>
      </c>
      <c r="L4900" s="5">
        <v>46293</v>
      </c>
      <c r="M4900" t="s">
        <v>10261</v>
      </c>
      <c r="N4900" t="s">
        <v>207</v>
      </c>
      <c r="O4900" t="s">
        <v>10600</v>
      </c>
      <c r="P4900" t="s">
        <v>208</v>
      </c>
      <c r="Q4900" t="s">
        <v>209</v>
      </c>
    </row>
    <row r="4901" spans="1:17" x14ac:dyDescent="0.3">
      <c r="A4901" t="s">
        <v>10601</v>
      </c>
      <c r="C4901" t="s">
        <v>10602</v>
      </c>
      <c r="D4901" t="s">
        <v>10602</v>
      </c>
      <c r="E4901" s="5">
        <v>46291</v>
      </c>
      <c r="F4901" t="s">
        <v>204</v>
      </c>
      <c r="G4901" t="s">
        <v>220</v>
      </c>
      <c r="H4901">
        <v>8798</v>
      </c>
      <c r="I4901">
        <v>26.39</v>
      </c>
      <c r="J4901">
        <v>4.75</v>
      </c>
      <c r="K4901">
        <v>8766.86</v>
      </c>
      <c r="L4901" s="5">
        <v>46293</v>
      </c>
      <c r="M4901" t="s">
        <v>10261</v>
      </c>
      <c r="N4901" t="s">
        <v>207</v>
      </c>
      <c r="O4901" t="s">
        <v>10602</v>
      </c>
      <c r="P4901" t="s">
        <v>208</v>
      </c>
      <c r="Q4901" t="s">
        <v>209</v>
      </c>
    </row>
    <row r="4902" spans="1:17" x14ac:dyDescent="0.3">
      <c r="A4902" t="s">
        <v>10603</v>
      </c>
      <c r="C4902" t="s">
        <v>10604</v>
      </c>
      <c r="D4902" t="s">
        <v>10604</v>
      </c>
      <c r="E4902" s="5">
        <v>46291</v>
      </c>
      <c r="F4902" t="s">
        <v>204</v>
      </c>
      <c r="G4902" t="s">
        <v>220</v>
      </c>
      <c r="H4902">
        <v>2798</v>
      </c>
      <c r="I4902">
        <v>8.39</v>
      </c>
      <c r="J4902">
        <v>1.51</v>
      </c>
      <c r="K4902">
        <v>2788.1</v>
      </c>
      <c r="L4902" s="5">
        <v>46293</v>
      </c>
      <c r="M4902" t="s">
        <v>10261</v>
      </c>
      <c r="N4902" t="s">
        <v>207</v>
      </c>
      <c r="O4902" t="s">
        <v>10604</v>
      </c>
      <c r="P4902" t="s">
        <v>208</v>
      </c>
      <c r="Q4902" t="s">
        <v>209</v>
      </c>
    </row>
    <row r="4903" spans="1:17" x14ac:dyDescent="0.3">
      <c r="A4903" t="s">
        <v>10605</v>
      </c>
      <c r="C4903" t="s">
        <v>10606</v>
      </c>
      <c r="D4903" t="s">
        <v>10606</v>
      </c>
      <c r="E4903" s="5">
        <v>46291</v>
      </c>
      <c r="F4903" t="s">
        <v>204</v>
      </c>
      <c r="G4903" t="s">
        <v>255</v>
      </c>
      <c r="H4903">
        <v>999</v>
      </c>
      <c r="I4903">
        <v>14.99</v>
      </c>
      <c r="J4903">
        <v>2.7</v>
      </c>
      <c r="K4903">
        <v>981.31</v>
      </c>
      <c r="L4903" s="5">
        <v>46293</v>
      </c>
      <c r="M4903" t="s">
        <v>10261</v>
      </c>
      <c r="N4903" t="s">
        <v>207</v>
      </c>
      <c r="O4903" t="s">
        <v>10606</v>
      </c>
      <c r="P4903" t="s">
        <v>208</v>
      </c>
      <c r="Q4903" t="s">
        <v>209</v>
      </c>
    </row>
    <row r="4904" spans="1:17" x14ac:dyDescent="0.3">
      <c r="A4904" t="s">
        <v>10607</v>
      </c>
      <c r="C4904" t="s">
        <v>10608</v>
      </c>
      <c r="D4904" t="s">
        <v>10608</v>
      </c>
      <c r="E4904" s="5">
        <v>46291</v>
      </c>
      <c r="F4904" t="s">
        <v>204</v>
      </c>
      <c r="G4904" t="s">
        <v>220</v>
      </c>
      <c r="H4904">
        <v>3499</v>
      </c>
      <c r="I4904">
        <v>10.5</v>
      </c>
      <c r="J4904">
        <v>1.89</v>
      </c>
      <c r="K4904">
        <v>3486.61</v>
      </c>
      <c r="L4904" s="5">
        <v>46293</v>
      </c>
      <c r="M4904" t="s">
        <v>10261</v>
      </c>
      <c r="N4904" t="s">
        <v>207</v>
      </c>
      <c r="O4904" t="s">
        <v>10608</v>
      </c>
      <c r="P4904" t="s">
        <v>208</v>
      </c>
      <c r="Q4904" t="s">
        <v>209</v>
      </c>
    </row>
    <row r="4905" spans="1:17" x14ac:dyDescent="0.3">
      <c r="A4905" t="s">
        <v>10609</v>
      </c>
      <c r="C4905" t="s">
        <v>10610</v>
      </c>
      <c r="D4905" t="s">
        <v>10610</v>
      </c>
      <c r="E4905" s="5">
        <v>46291</v>
      </c>
      <c r="F4905" t="s">
        <v>204</v>
      </c>
      <c r="G4905" t="s">
        <v>205</v>
      </c>
      <c r="H4905">
        <v>7999</v>
      </c>
      <c r="I4905">
        <v>135.97999999999999</v>
      </c>
      <c r="J4905">
        <v>24.48</v>
      </c>
      <c r="K4905">
        <v>7838.54</v>
      </c>
      <c r="L4905" s="5">
        <v>46293</v>
      </c>
      <c r="M4905" t="s">
        <v>10261</v>
      </c>
      <c r="N4905" t="s">
        <v>207</v>
      </c>
      <c r="O4905" t="s">
        <v>10610</v>
      </c>
      <c r="P4905" t="s">
        <v>208</v>
      </c>
      <c r="Q4905" t="s">
        <v>488</v>
      </c>
    </row>
    <row r="4906" spans="1:17" x14ac:dyDescent="0.3">
      <c r="A4906" t="s">
        <v>10611</v>
      </c>
      <c r="B4906" t="s">
        <v>8746</v>
      </c>
      <c r="E4906" s="5">
        <v>46291</v>
      </c>
      <c r="F4906" t="s">
        <v>921</v>
      </c>
      <c r="G4906" t="s">
        <v>213</v>
      </c>
      <c r="H4906">
        <v>3097</v>
      </c>
      <c r="I4906">
        <v>0</v>
      </c>
      <c r="J4906">
        <v>0</v>
      </c>
      <c r="K4906">
        <v>-3097</v>
      </c>
      <c r="L4906" s="5">
        <v>46293</v>
      </c>
      <c r="M4906" t="s">
        <v>10261</v>
      </c>
      <c r="N4906" t="s">
        <v>207</v>
      </c>
      <c r="O4906" t="s">
        <v>8747</v>
      </c>
      <c r="P4906" t="s">
        <v>208</v>
      </c>
    </row>
    <row r="4907" spans="1:17" x14ac:dyDescent="0.3">
      <c r="A4907" t="s">
        <v>10612</v>
      </c>
      <c r="B4907" t="s">
        <v>9393</v>
      </c>
      <c r="E4907" s="5">
        <v>46291</v>
      </c>
      <c r="F4907" t="s">
        <v>921</v>
      </c>
      <c r="G4907" t="s">
        <v>205</v>
      </c>
      <c r="H4907">
        <v>1998</v>
      </c>
      <c r="I4907">
        <v>0</v>
      </c>
      <c r="J4907">
        <v>0</v>
      </c>
      <c r="K4907">
        <v>-1998</v>
      </c>
      <c r="L4907" s="5">
        <v>46293</v>
      </c>
      <c r="M4907" t="s">
        <v>10261</v>
      </c>
      <c r="N4907" t="s">
        <v>207</v>
      </c>
      <c r="O4907" t="s">
        <v>9394</v>
      </c>
      <c r="P4907" t="s">
        <v>208</v>
      </c>
    </row>
    <row r="4908" spans="1:17" x14ac:dyDescent="0.3">
      <c r="A4908" t="s">
        <v>10613</v>
      </c>
      <c r="B4908" t="s">
        <v>8104</v>
      </c>
      <c r="E4908" s="5">
        <v>46291</v>
      </c>
      <c r="F4908" t="s">
        <v>921</v>
      </c>
      <c r="G4908" t="s">
        <v>213</v>
      </c>
      <c r="H4908">
        <v>2697</v>
      </c>
      <c r="I4908">
        <v>0</v>
      </c>
      <c r="J4908">
        <v>0</v>
      </c>
      <c r="K4908">
        <v>-2697</v>
      </c>
      <c r="L4908" s="5">
        <v>46293</v>
      </c>
      <c r="M4908" t="s">
        <v>10261</v>
      </c>
      <c r="N4908" t="s">
        <v>207</v>
      </c>
      <c r="O4908" t="s">
        <v>8105</v>
      </c>
      <c r="P4908" t="s">
        <v>208</v>
      </c>
    </row>
    <row r="4909" spans="1:17" x14ac:dyDescent="0.3">
      <c r="A4909" t="s">
        <v>10614</v>
      </c>
      <c r="B4909" t="s">
        <v>7895</v>
      </c>
      <c r="E4909" s="5">
        <v>46291</v>
      </c>
      <c r="F4909" t="s">
        <v>921</v>
      </c>
      <c r="G4909" t="s">
        <v>220</v>
      </c>
      <c r="H4909">
        <v>3798</v>
      </c>
      <c r="I4909">
        <v>0</v>
      </c>
      <c r="J4909">
        <v>0</v>
      </c>
      <c r="K4909">
        <v>-3798</v>
      </c>
      <c r="L4909" s="5">
        <v>46293</v>
      </c>
      <c r="M4909" t="s">
        <v>10261</v>
      </c>
      <c r="N4909" t="s">
        <v>207</v>
      </c>
      <c r="O4909" t="s">
        <v>7896</v>
      </c>
      <c r="P4909" t="s">
        <v>208</v>
      </c>
    </row>
    <row r="4910" spans="1:17" x14ac:dyDescent="0.3">
      <c r="A4910" t="s">
        <v>10615</v>
      </c>
      <c r="B4910" t="s">
        <v>8312</v>
      </c>
      <c r="E4910" s="5">
        <v>46291</v>
      </c>
      <c r="F4910" t="s">
        <v>921</v>
      </c>
      <c r="G4910" t="s">
        <v>220</v>
      </c>
      <c r="H4910">
        <v>1298</v>
      </c>
      <c r="I4910">
        <v>0</v>
      </c>
      <c r="J4910">
        <v>0</v>
      </c>
      <c r="K4910">
        <v>-1298</v>
      </c>
      <c r="L4910" s="5">
        <v>46293</v>
      </c>
      <c r="M4910" t="s">
        <v>10261</v>
      </c>
      <c r="N4910" t="s">
        <v>207</v>
      </c>
      <c r="O4910" t="s">
        <v>8314</v>
      </c>
      <c r="P4910" t="s">
        <v>208</v>
      </c>
    </row>
    <row r="4911" spans="1:17" x14ac:dyDescent="0.3">
      <c r="A4911" t="s">
        <v>10616</v>
      </c>
      <c r="B4911" t="s">
        <v>8131</v>
      </c>
      <c r="E4911" s="5">
        <v>46291</v>
      </c>
      <c r="F4911" t="s">
        <v>921</v>
      </c>
      <c r="G4911" t="s">
        <v>213</v>
      </c>
      <c r="H4911">
        <v>499</v>
      </c>
      <c r="I4911">
        <v>0</v>
      </c>
      <c r="J4911">
        <v>0</v>
      </c>
      <c r="K4911">
        <v>-499</v>
      </c>
      <c r="L4911" s="5">
        <v>46293</v>
      </c>
      <c r="M4911" t="s">
        <v>10261</v>
      </c>
      <c r="N4911" t="s">
        <v>207</v>
      </c>
      <c r="O4911" t="s">
        <v>8132</v>
      </c>
      <c r="P4911" t="s">
        <v>208</v>
      </c>
    </row>
    <row r="4912" spans="1:17" x14ac:dyDescent="0.3">
      <c r="A4912" t="s">
        <v>10617</v>
      </c>
      <c r="B4912" t="s">
        <v>9996</v>
      </c>
      <c r="E4912" s="5">
        <v>46291</v>
      </c>
      <c r="F4912" t="s">
        <v>921</v>
      </c>
      <c r="G4912" t="s">
        <v>220</v>
      </c>
      <c r="H4912">
        <v>4647</v>
      </c>
      <c r="I4912">
        <v>0</v>
      </c>
      <c r="J4912">
        <v>0</v>
      </c>
      <c r="K4912">
        <v>-4647</v>
      </c>
      <c r="L4912" s="5">
        <v>46293</v>
      </c>
      <c r="M4912" t="s">
        <v>10261</v>
      </c>
      <c r="N4912" t="s">
        <v>207</v>
      </c>
      <c r="O4912" t="s">
        <v>9997</v>
      </c>
      <c r="P4912" t="s">
        <v>208</v>
      </c>
    </row>
    <row r="4913" spans="1:17" x14ac:dyDescent="0.3">
      <c r="A4913" t="s">
        <v>10618</v>
      </c>
      <c r="B4913" t="s">
        <v>10180</v>
      </c>
      <c r="E4913" s="5">
        <v>46291</v>
      </c>
      <c r="F4913" t="s">
        <v>921</v>
      </c>
      <c r="G4913" t="s">
        <v>205</v>
      </c>
      <c r="H4913">
        <v>14497</v>
      </c>
      <c r="I4913">
        <v>0</v>
      </c>
      <c r="J4913">
        <v>0</v>
      </c>
      <c r="K4913">
        <v>-14497</v>
      </c>
      <c r="L4913" s="5">
        <v>46293</v>
      </c>
      <c r="M4913" t="s">
        <v>10261</v>
      </c>
      <c r="N4913" t="s">
        <v>207</v>
      </c>
      <c r="O4913" t="s">
        <v>10181</v>
      </c>
      <c r="P4913" t="s">
        <v>208</v>
      </c>
    </row>
    <row r="4914" spans="1:17" x14ac:dyDescent="0.3">
      <c r="A4914" t="s">
        <v>10619</v>
      </c>
      <c r="B4914" t="s">
        <v>9172</v>
      </c>
      <c r="E4914" s="5">
        <v>46291</v>
      </c>
      <c r="F4914" t="s">
        <v>921</v>
      </c>
      <c r="G4914" t="s">
        <v>220</v>
      </c>
      <c r="H4914">
        <v>5298</v>
      </c>
      <c r="I4914">
        <v>0</v>
      </c>
      <c r="J4914">
        <v>0</v>
      </c>
      <c r="K4914">
        <v>-5298</v>
      </c>
      <c r="L4914" s="5">
        <v>46293</v>
      </c>
      <c r="M4914" t="s">
        <v>10261</v>
      </c>
      <c r="N4914" t="s">
        <v>207</v>
      </c>
      <c r="O4914" t="s">
        <v>9173</v>
      </c>
      <c r="P4914" t="s">
        <v>208</v>
      </c>
    </row>
    <row r="4915" spans="1:17" x14ac:dyDescent="0.3">
      <c r="A4915" t="s">
        <v>10620</v>
      </c>
      <c r="B4915" t="s">
        <v>8129</v>
      </c>
      <c r="E4915" s="5">
        <v>46291</v>
      </c>
      <c r="F4915" t="s">
        <v>921</v>
      </c>
      <c r="G4915" t="s">
        <v>213</v>
      </c>
      <c r="H4915">
        <v>299</v>
      </c>
      <c r="I4915">
        <v>0</v>
      </c>
      <c r="J4915">
        <v>0</v>
      </c>
      <c r="K4915">
        <v>-299</v>
      </c>
      <c r="L4915" s="5">
        <v>46293</v>
      </c>
      <c r="M4915" t="s">
        <v>10261</v>
      </c>
      <c r="N4915" t="s">
        <v>207</v>
      </c>
      <c r="O4915" t="s">
        <v>8130</v>
      </c>
      <c r="P4915" t="s">
        <v>208</v>
      </c>
    </row>
    <row r="4916" spans="1:17" x14ac:dyDescent="0.3">
      <c r="A4916" t="s">
        <v>10621</v>
      </c>
      <c r="B4916" t="s">
        <v>10220</v>
      </c>
      <c r="E4916" s="5">
        <v>46291</v>
      </c>
      <c r="F4916" t="s">
        <v>921</v>
      </c>
      <c r="G4916" t="s">
        <v>220</v>
      </c>
      <c r="H4916">
        <v>299</v>
      </c>
      <c r="I4916">
        <v>0</v>
      </c>
      <c r="J4916">
        <v>0</v>
      </c>
      <c r="K4916">
        <v>-299</v>
      </c>
      <c r="L4916" s="5">
        <v>46293</v>
      </c>
      <c r="M4916" t="s">
        <v>10261</v>
      </c>
      <c r="N4916" t="s">
        <v>207</v>
      </c>
      <c r="O4916" t="s">
        <v>10221</v>
      </c>
      <c r="P4916" t="s">
        <v>208</v>
      </c>
    </row>
    <row r="4917" spans="1:17" x14ac:dyDescent="0.3">
      <c r="A4917" t="s">
        <v>10622</v>
      </c>
      <c r="B4917" t="s">
        <v>10054</v>
      </c>
      <c r="E4917" s="5">
        <v>46291</v>
      </c>
      <c r="F4917" t="s">
        <v>921</v>
      </c>
      <c r="G4917" t="s">
        <v>220</v>
      </c>
      <c r="H4917">
        <v>299</v>
      </c>
      <c r="I4917">
        <v>0</v>
      </c>
      <c r="J4917">
        <v>0</v>
      </c>
      <c r="K4917">
        <v>-299</v>
      </c>
      <c r="L4917" s="5">
        <v>46293</v>
      </c>
      <c r="M4917" t="s">
        <v>10261</v>
      </c>
      <c r="N4917" t="s">
        <v>207</v>
      </c>
      <c r="O4917" t="s">
        <v>10055</v>
      </c>
      <c r="P4917" t="s">
        <v>208</v>
      </c>
    </row>
    <row r="4918" spans="1:17" x14ac:dyDescent="0.3">
      <c r="A4918" t="s">
        <v>10623</v>
      </c>
      <c r="B4918" t="s">
        <v>9334</v>
      </c>
      <c r="E4918" s="5">
        <v>46291</v>
      </c>
      <c r="F4918" t="s">
        <v>921</v>
      </c>
      <c r="G4918" t="s">
        <v>205</v>
      </c>
      <c r="H4918">
        <v>1299</v>
      </c>
      <c r="I4918">
        <v>0</v>
      </c>
      <c r="J4918">
        <v>0</v>
      </c>
      <c r="K4918">
        <v>-1299</v>
      </c>
      <c r="L4918" s="5">
        <v>46293</v>
      </c>
      <c r="M4918" t="s">
        <v>10261</v>
      </c>
      <c r="N4918" t="s">
        <v>207</v>
      </c>
      <c r="O4918" t="s">
        <v>9335</v>
      </c>
      <c r="P4918" t="s">
        <v>208</v>
      </c>
    </row>
    <row r="4919" spans="1:17" x14ac:dyDescent="0.3">
      <c r="A4919" t="s">
        <v>10624</v>
      </c>
      <c r="B4919" t="s">
        <v>9752</v>
      </c>
      <c r="E4919" s="5">
        <v>46291</v>
      </c>
      <c r="F4919" t="s">
        <v>921</v>
      </c>
      <c r="G4919" t="s">
        <v>220</v>
      </c>
      <c r="H4919">
        <v>3597</v>
      </c>
      <c r="I4919">
        <v>0</v>
      </c>
      <c r="J4919">
        <v>0</v>
      </c>
      <c r="K4919">
        <v>-3597</v>
      </c>
      <c r="L4919" s="5">
        <v>46293</v>
      </c>
      <c r="M4919" t="s">
        <v>10261</v>
      </c>
      <c r="N4919" t="s">
        <v>207</v>
      </c>
      <c r="O4919" t="s">
        <v>9753</v>
      </c>
      <c r="P4919" t="s">
        <v>208</v>
      </c>
    </row>
    <row r="4920" spans="1:17" x14ac:dyDescent="0.3">
      <c r="A4920" t="s">
        <v>10625</v>
      </c>
      <c r="C4920" t="s">
        <v>10626</v>
      </c>
      <c r="D4920" t="s">
        <v>10626</v>
      </c>
      <c r="E4920" s="5">
        <v>46292</v>
      </c>
      <c r="F4920" t="s">
        <v>204</v>
      </c>
      <c r="G4920" t="s">
        <v>220</v>
      </c>
      <c r="H4920">
        <v>6298</v>
      </c>
      <c r="I4920">
        <v>18.89</v>
      </c>
      <c r="J4920">
        <v>3.4</v>
      </c>
      <c r="K4920">
        <v>6275.71</v>
      </c>
      <c r="L4920" s="5">
        <v>46294</v>
      </c>
      <c r="M4920" t="s">
        <v>10627</v>
      </c>
      <c r="N4920" t="s">
        <v>207</v>
      </c>
      <c r="O4920" t="s">
        <v>10626</v>
      </c>
      <c r="P4920" t="s">
        <v>208</v>
      </c>
      <c r="Q4920" t="s">
        <v>209</v>
      </c>
    </row>
    <row r="4921" spans="1:17" x14ac:dyDescent="0.3">
      <c r="A4921" t="s">
        <v>10628</v>
      </c>
      <c r="C4921" t="s">
        <v>10629</v>
      </c>
      <c r="D4921" t="s">
        <v>10629</v>
      </c>
      <c r="E4921" s="5">
        <v>46292</v>
      </c>
      <c r="F4921" t="s">
        <v>204</v>
      </c>
      <c r="G4921" t="s">
        <v>220</v>
      </c>
      <c r="H4921">
        <v>648</v>
      </c>
      <c r="I4921">
        <v>0</v>
      </c>
      <c r="J4921">
        <v>0</v>
      </c>
      <c r="K4921">
        <v>648</v>
      </c>
      <c r="L4921" s="5">
        <v>46294</v>
      </c>
      <c r="M4921" t="s">
        <v>10627</v>
      </c>
      <c r="N4921" t="s">
        <v>207</v>
      </c>
      <c r="O4921" t="s">
        <v>10629</v>
      </c>
      <c r="P4921" t="s">
        <v>208</v>
      </c>
      <c r="Q4921" t="s">
        <v>209</v>
      </c>
    </row>
    <row r="4922" spans="1:17" x14ac:dyDescent="0.3">
      <c r="A4922" t="s">
        <v>10630</v>
      </c>
      <c r="C4922" t="s">
        <v>10631</v>
      </c>
      <c r="D4922" t="s">
        <v>10631</v>
      </c>
      <c r="E4922" s="5">
        <v>46292</v>
      </c>
      <c r="F4922" t="s">
        <v>204</v>
      </c>
      <c r="G4922" t="s">
        <v>205</v>
      </c>
      <c r="H4922">
        <v>4298</v>
      </c>
      <c r="I4922">
        <v>73.069999999999993</v>
      </c>
      <c r="J4922">
        <v>13.15</v>
      </c>
      <c r="K4922">
        <v>4211.78</v>
      </c>
      <c r="L4922" s="5">
        <v>46294</v>
      </c>
      <c r="M4922" t="s">
        <v>10627</v>
      </c>
      <c r="N4922" t="s">
        <v>207</v>
      </c>
      <c r="O4922" t="s">
        <v>10631</v>
      </c>
      <c r="P4922" t="s">
        <v>208</v>
      </c>
      <c r="Q4922" t="s">
        <v>209</v>
      </c>
    </row>
    <row r="4923" spans="1:17" x14ac:dyDescent="0.3">
      <c r="A4923" t="s">
        <v>10632</v>
      </c>
      <c r="C4923" t="s">
        <v>10633</v>
      </c>
      <c r="D4923" t="s">
        <v>10633</v>
      </c>
      <c r="E4923" s="5">
        <v>46292</v>
      </c>
      <c r="F4923" t="s">
        <v>204</v>
      </c>
      <c r="G4923" t="s">
        <v>220</v>
      </c>
      <c r="H4923">
        <v>1998</v>
      </c>
      <c r="I4923">
        <v>0</v>
      </c>
      <c r="J4923">
        <v>0</v>
      </c>
      <c r="K4923">
        <v>1998</v>
      </c>
      <c r="L4923" s="5">
        <v>46294</v>
      </c>
      <c r="M4923" t="s">
        <v>10627</v>
      </c>
      <c r="N4923" t="s">
        <v>207</v>
      </c>
      <c r="O4923" t="s">
        <v>10633</v>
      </c>
      <c r="P4923" t="s">
        <v>208</v>
      </c>
      <c r="Q4923" t="s">
        <v>209</v>
      </c>
    </row>
    <row r="4924" spans="1:17" x14ac:dyDescent="0.3">
      <c r="A4924" t="s">
        <v>10634</v>
      </c>
      <c r="C4924" t="s">
        <v>10635</v>
      </c>
      <c r="D4924" t="s">
        <v>10635</v>
      </c>
      <c r="E4924" s="5">
        <v>46292</v>
      </c>
      <c r="F4924" t="s">
        <v>204</v>
      </c>
      <c r="G4924" t="s">
        <v>213</v>
      </c>
      <c r="H4924">
        <v>10797</v>
      </c>
      <c r="I4924">
        <v>172.75</v>
      </c>
      <c r="J4924">
        <v>31.1</v>
      </c>
      <c r="K4924">
        <v>10593.15</v>
      </c>
      <c r="L4924" s="5">
        <v>46294</v>
      </c>
      <c r="M4924" t="s">
        <v>10627</v>
      </c>
      <c r="N4924" t="s">
        <v>207</v>
      </c>
      <c r="O4924" t="s">
        <v>10635</v>
      </c>
      <c r="P4924" t="s">
        <v>208</v>
      </c>
      <c r="Q4924" t="s">
        <v>209</v>
      </c>
    </row>
    <row r="4925" spans="1:17" x14ac:dyDescent="0.3">
      <c r="A4925" t="s">
        <v>10636</v>
      </c>
      <c r="C4925" t="s">
        <v>10637</v>
      </c>
      <c r="D4925" t="s">
        <v>10637</v>
      </c>
      <c r="E4925" s="5">
        <v>46292</v>
      </c>
      <c r="F4925" t="s">
        <v>204</v>
      </c>
      <c r="G4925" t="s">
        <v>205</v>
      </c>
      <c r="H4925">
        <v>2998</v>
      </c>
      <c r="I4925">
        <v>50.97</v>
      </c>
      <c r="J4925">
        <v>9.17</v>
      </c>
      <c r="K4925">
        <v>2937.86</v>
      </c>
      <c r="L4925" s="5">
        <v>46294</v>
      </c>
      <c r="M4925" t="s">
        <v>10627</v>
      </c>
      <c r="N4925" t="s">
        <v>207</v>
      </c>
      <c r="O4925" t="s">
        <v>10637</v>
      </c>
      <c r="P4925" t="s">
        <v>208</v>
      </c>
      <c r="Q4925" t="s">
        <v>209</v>
      </c>
    </row>
    <row r="4926" spans="1:17" x14ac:dyDescent="0.3">
      <c r="A4926" t="s">
        <v>10638</v>
      </c>
      <c r="C4926" t="s">
        <v>10639</v>
      </c>
      <c r="D4926" t="s">
        <v>10639</v>
      </c>
      <c r="E4926" s="5">
        <v>46292</v>
      </c>
      <c r="F4926" t="s">
        <v>204</v>
      </c>
      <c r="G4926" t="s">
        <v>220</v>
      </c>
      <c r="H4926">
        <v>2999</v>
      </c>
      <c r="I4926">
        <v>9</v>
      </c>
      <c r="J4926">
        <v>1.62</v>
      </c>
      <c r="K4926">
        <v>2988.38</v>
      </c>
      <c r="L4926" s="5">
        <v>46294</v>
      </c>
      <c r="M4926" t="s">
        <v>10627</v>
      </c>
      <c r="N4926" t="s">
        <v>207</v>
      </c>
      <c r="O4926" t="s">
        <v>10639</v>
      </c>
      <c r="P4926" t="s">
        <v>208</v>
      </c>
      <c r="Q4926" t="s">
        <v>209</v>
      </c>
    </row>
    <row r="4927" spans="1:17" x14ac:dyDescent="0.3">
      <c r="A4927" t="s">
        <v>10640</v>
      </c>
      <c r="C4927" t="s">
        <v>10641</v>
      </c>
      <c r="D4927" t="s">
        <v>10641</v>
      </c>
      <c r="E4927" s="5">
        <v>46292</v>
      </c>
      <c r="F4927" t="s">
        <v>204</v>
      </c>
      <c r="G4927" t="s">
        <v>220</v>
      </c>
      <c r="H4927">
        <v>2098</v>
      </c>
      <c r="I4927">
        <v>6.29</v>
      </c>
      <c r="J4927">
        <v>1.1299999999999999</v>
      </c>
      <c r="K4927">
        <v>2090.58</v>
      </c>
      <c r="L4927" s="5">
        <v>46294</v>
      </c>
      <c r="M4927" t="s">
        <v>10627</v>
      </c>
      <c r="N4927" t="s">
        <v>207</v>
      </c>
      <c r="O4927" t="s">
        <v>10641</v>
      </c>
      <c r="P4927" t="s">
        <v>208</v>
      </c>
      <c r="Q4927" t="s">
        <v>209</v>
      </c>
    </row>
    <row r="4928" spans="1:17" x14ac:dyDescent="0.3">
      <c r="A4928" t="s">
        <v>10642</v>
      </c>
      <c r="C4928" t="s">
        <v>10643</v>
      </c>
      <c r="D4928" t="s">
        <v>10644</v>
      </c>
      <c r="E4928" s="5">
        <v>46292</v>
      </c>
      <c r="F4928" t="s">
        <v>204</v>
      </c>
      <c r="G4928" t="s">
        <v>213</v>
      </c>
      <c r="H4928">
        <v>2397</v>
      </c>
      <c r="I4928">
        <v>38.35</v>
      </c>
      <c r="J4928">
        <v>6.9</v>
      </c>
      <c r="K4928">
        <v>2351.75</v>
      </c>
      <c r="L4928" s="5">
        <v>46294</v>
      </c>
      <c r="M4928" t="s">
        <v>10627</v>
      </c>
      <c r="N4928" t="s">
        <v>207</v>
      </c>
      <c r="O4928" t="s">
        <v>10644</v>
      </c>
      <c r="P4928" t="s">
        <v>208</v>
      </c>
      <c r="Q4928" t="s">
        <v>209</v>
      </c>
    </row>
    <row r="4929" spans="1:17" x14ac:dyDescent="0.3">
      <c r="A4929" t="s">
        <v>10645</v>
      </c>
      <c r="C4929" t="s">
        <v>10646</v>
      </c>
      <c r="D4929" t="s">
        <v>10647</v>
      </c>
      <c r="E4929" s="5">
        <v>46292</v>
      </c>
      <c r="F4929" t="s">
        <v>204</v>
      </c>
      <c r="G4929" t="s">
        <v>220</v>
      </c>
      <c r="H4929">
        <v>6797</v>
      </c>
      <c r="I4929">
        <v>20.39</v>
      </c>
      <c r="J4929">
        <v>3.67</v>
      </c>
      <c r="K4929">
        <v>6772.94</v>
      </c>
      <c r="L4929" s="5">
        <v>46294</v>
      </c>
      <c r="M4929" t="s">
        <v>10627</v>
      </c>
      <c r="N4929" t="s">
        <v>207</v>
      </c>
      <c r="O4929" t="s">
        <v>10647</v>
      </c>
      <c r="P4929" t="s">
        <v>208</v>
      </c>
      <c r="Q4929" t="s">
        <v>209</v>
      </c>
    </row>
    <row r="4930" spans="1:17" x14ac:dyDescent="0.3">
      <c r="A4930" t="s">
        <v>10648</v>
      </c>
      <c r="C4930" t="s">
        <v>10649</v>
      </c>
      <c r="D4930" t="s">
        <v>10649</v>
      </c>
      <c r="E4930" s="5">
        <v>46292</v>
      </c>
      <c r="F4930" t="s">
        <v>204</v>
      </c>
      <c r="G4930" t="s">
        <v>205</v>
      </c>
      <c r="H4930">
        <v>948</v>
      </c>
      <c r="I4930">
        <v>18.010000000000002</v>
      </c>
      <c r="J4930">
        <v>3.24</v>
      </c>
      <c r="K4930">
        <v>926.75</v>
      </c>
      <c r="L4930" s="5">
        <v>46294</v>
      </c>
      <c r="M4930" t="s">
        <v>10627</v>
      </c>
      <c r="N4930" t="s">
        <v>207</v>
      </c>
      <c r="O4930" t="s">
        <v>10649</v>
      </c>
      <c r="P4930" t="s">
        <v>208</v>
      </c>
      <c r="Q4930" t="s">
        <v>209</v>
      </c>
    </row>
    <row r="4931" spans="1:17" x14ac:dyDescent="0.3">
      <c r="A4931" t="s">
        <v>10650</v>
      </c>
      <c r="C4931" t="s">
        <v>10651</v>
      </c>
      <c r="D4931" t="s">
        <v>10651</v>
      </c>
      <c r="E4931" s="5">
        <v>46292</v>
      </c>
      <c r="F4931" t="s">
        <v>204</v>
      </c>
      <c r="G4931" t="s">
        <v>220</v>
      </c>
      <c r="H4931">
        <v>4298</v>
      </c>
      <c r="I4931">
        <v>12.89</v>
      </c>
      <c r="J4931">
        <v>2.3199999999999998</v>
      </c>
      <c r="K4931">
        <v>4282.79</v>
      </c>
      <c r="L4931" s="5">
        <v>46294</v>
      </c>
      <c r="M4931" t="s">
        <v>10627</v>
      </c>
      <c r="N4931" t="s">
        <v>207</v>
      </c>
      <c r="O4931" t="s">
        <v>10651</v>
      </c>
      <c r="P4931" t="s">
        <v>208</v>
      </c>
      <c r="Q4931" t="s">
        <v>209</v>
      </c>
    </row>
    <row r="4932" spans="1:17" x14ac:dyDescent="0.3">
      <c r="A4932" t="s">
        <v>10652</v>
      </c>
      <c r="C4932" t="s">
        <v>10653</v>
      </c>
      <c r="D4932" t="s">
        <v>10653</v>
      </c>
      <c r="E4932" s="5">
        <v>46292</v>
      </c>
      <c r="F4932" t="s">
        <v>204</v>
      </c>
      <c r="G4932" t="s">
        <v>205</v>
      </c>
      <c r="H4932">
        <v>13497</v>
      </c>
      <c r="I4932">
        <v>229.45</v>
      </c>
      <c r="J4932">
        <v>41.3</v>
      </c>
      <c r="K4932">
        <v>13226.25</v>
      </c>
      <c r="L4932" s="5">
        <v>46294</v>
      </c>
      <c r="M4932" t="s">
        <v>10627</v>
      </c>
      <c r="N4932" t="s">
        <v>207</v>
      </c>
      <c r="O4932" t="s">
        <v>10653</v>
      </c>
      <c r="P4932" t="s">
        <v>208</v>
      </c>
      <c r="Q4932" t="s">
        <v>209</v>
      </c>
    </row>
    <row r="4933" spans="1:17" x14ac:dyDescent="0.3">
      <c r="A4933" t="s">
        <v>10654</v>
      </c>
      <c r="C4933" t="s">
        <v>10655</v>
      </c>
      <c r="D4933" t="s">
        <v>10655</v>
      </c>
      <c r="E4933" s="5">
        <v>46292</v>
      </c>
      <c r="F4933" t="s">
        <v>204</v>
      </c>
      <c r="G4933" t="s">
        <v>205</v>
      </c>
      <c r="H4933">
        <v>349</v>
      </c>
      <c r="I4933">
        <v>6.63</v>
      </c>
      <c r="J4933">
        <v>1.19</v>
      </c>
      <c r="K4933">
        <v>341.18</v>
      </c>
      <c r="L4933" s="5">
        <v>46294</v>
      </c>
      <c r="M4933" t="s">
        <v>10627</v>
      </c>
      <c r="N4933" t="s">
        <v>207</v>
      </c>
      <c r="O4933" t="s">
        <v>10655</v>
      </c>
      <c r="P4933" t="s">
        <v>208</v>
      </c>
      <c r="Q4933" t="s">
        <v>209</v>
      </c>
    </row>
    <row r="4934" spans="1:17" x14ac:dyDescent="0.3">
      <c r="A4934" t="s">
        <v>10656</v>
      </c>
      <c r="C4934" t="s">
        <v>10657</v>
      </c>
      <c r="D4934" t="s">
        <v>10657</v>
      </c>
      <c r="E4934" s="5">
        <v>46292</v>
      </c>
      <c r="F4934" t="s">
        <v>204</v>
      </c>
      <c r="G4934" t="s">
        <v>220</v>
      </c>
      <c r="H4934">
        <v>1298</v>
      </c>
      <c r="I4934">
        <v>0</v>
      </c>
      <c r="J4934">
        <v>0</v>
      </c>
      <c r="K4934">
        <v>1298</v>
      </c>
      <c r="L4934" s="5">
        <v>46294</v>
      </c>
      <c r="M4934" t="s">
        <v>10627</v>
      </c>
      <c r="N4934" t="s">
        <v>207</v>
      </c>
      <c r="O4934" t="s">
        <v>10657</v>
      </c>
      <c r="P4934" t="s">
        <v>208</v>
      </c>
      <c r="Q4934" t="s">
        <v>209</v>
      </c>
    </row>
    <row r="4935" spans="1:17" x14ac:dyDescent="0.3">
      <c r="A4935" t="s">
        <v>10658</v>
      </c>
      <c r="C4935" t="s">
        <v>10659</v>
      </c>
      <c r="D4935" t="s">
        <v>10659</v>
      </c>
      <c r="E4935" s="5">
        <v>46292</v>
      </c>
      <c r="F4935" t="s">
        <v>204</v>
      </c>
      <c r="G4935" t="s">
        <v>220</v>
      </c>
      <c r="H4935">
        <v>999</v>
      </c>
      <c r="I4935">
        <v>0</v>
      </c>
      <c r="J4935">
        <v>0</v>
      </c>
      <c r="K4935">
        <v>999</v>
      </c>
      <c r="L4935" s="5">
        <v>46294</v>
      </c>
      <c r="M4935" t="s">
        <v>10627</v>
      </c>
      <c r="N4935" t="s">
        <v>207</v>
      </c>
      <c r="O4935" t="s">
        <v>10659</v>
      </c>
      <c r="P4935" t="s">
        <v>208</v>
      </c>
      <c r="Q4935" t="s">
        <v>209</v>
      </c>
    </row>
    <row r="4936" spans="1:17" x14ac:dyDescent="0.3">
      <c r="A4936" t="s">
        <v>10660</v>
      </c>
      <c r="C4936" t="s">
        <v>10661</v>
      </c>
      <c r="D4936" t="s">
        <v>10661</v>
      </c>
      <c r="E4936" s="5">
        <v>46292</v>
      </c>
      <c r="F4936" t="s">
        <v>204</v>
      </c>
      <c r="G4936" t="s">
        <v>220</v>
      </c>
      <c r="H4936">
        <v>6298</v>
      </c>
      <c r="I4936">
        <v>18.89</v>
      </c>
      <c r="J4936">
        <v>3.4</v>
      </c>
      <c r="K4936">
        <v>6275.71</v>
      </c>
      <c r="L4936" s="5">
        <v>46294</v>
      </c>
      <c r="M4936" t="s">
        <v>10627</v>
      </c>
      <c r="N4936" t="s">
        <v>207</v>
      </c>
      <c r="O4936" t="s">
        <v>10661</v>
      </c>
      <c r="P4936" t="s">
        <v>208</v>
      </c>
      <c r="Q4936" t="s">
        <v>209</v>
      </c>
    </row>
    <row r="4937" spans="1:17" x14ac:dyDescent="0.3">
      <c r="A4937" t="s">
        <v>10662</v>
      </c>
      <c r="C4937" t="s">
        <v>10663</v>
      </c>
      <c r="D4937" t="s">
        <v>10663</v>
      </c>
      <c r="E4937" s="5">
        <v>46292</v>
      </c>
      <c r="F4937" t="s">
        <v>204</v>
      </c>
      <c r="G4937" t="s">
        <v>220</v>
      </c>
      <c r="H4937">
        <v>1499</v>
      </c>
      <c r="I4937">
        <v>0</v>
      </c>
      <c r="J4937">
        <v>0</v>
      </c>
      <c r="K4937">
        <v>1499</v>
      </c>
      <c r="L4937" s="5">
        <v>46294</v>
      </c>
      <c r="M4937" t="s">
        <v>10627</v>
      </c>
      <c r="N4937" t="s">
        <v>207</v>
      </c>
      <c r="O4937" t="s">
        <v>10663</v>
      </c>
      <c r="P4937" t="s">
        <v>208</v>
      </c>
      <c r="Q4937" t="s">
        <v>209</v>
      </c>
    </row>
    <row r="4938" spans="1:17" x14ac:dyDescent="0.3">
      <c r="A4938" t="s">
        <v>10664</v>
      </c>
      <c r="C4938" t="s">
        <v>10665</v>
      </c>
      <c r="D4938" t="s">
        <v>10665</v>
      </c>
      <c r="E4938" s="5">
        <v>46292</v>
      </c>
      <c r="F4938" t="s">
        <v>204</v>
      </c>
      <c r="G4938" t="s">
        <v>220</v>
      </c>
      <c r="H4938">
        <v>1598</v>
      </c>
      <c r="I4938">
        <v>0</v>
      </c>
      <c r="J4938">
        <v>0</v>
      </c>
      <c r="K4938">
        <v>1598</v>
      </c>
      <c r="L4938" s="5">
        <v>46294</v>
      </c>
      <c r="M4938" t="s">
        <v>10627</v>
      </c>
      <c r="N4938" t="s">
        <v>207</v>
      </c>
      <c r="O4938" t="s">
        <v>10665</v>
      </c>
      <c r="P4938" t="s">
        <v>208</v>
      </c>
      <c r="Q4938" t="s">
        <v>209</v>
      </c>
    </row>
    <row r="4939" spans="1:17" x14ac:dyDescent="0.3">
      <c r="A4939" t="s">
        <v>10666</v>
      </c>
      <c r="C4939" t="s">
        <v>10667</v>
      </c>
      <c r="D4939" t="s">
        <v>10668</v>
      </c>
      <c r="E4939" s="5">
        <v>46292</v>
      </c>
      <c r="F4939" t="s">
        <v>204</v>
      </c>
      <c r="G4939" t="s">
        <v>220</v>
      </c>
      <c r="H4939">
        <v>4297</v>
      </c>
      <c r="I4939">
        <v>12.89</v>
      </c>
      <c r="J4939">
        <v>2.3199999999999998</v>
      </c>
      <c r="K4939">
        <v>4281.79</v>
      </c>
      <c r="L4939" s="5">
        <v>46294</v>
      </c>
      <c r="M4939" t="s">
        <v>10627</v>
      </c>
      <c r="N4939" t="s">
        <v>207</v>
      </c>
      <c r="O4939" t="s">
        <v>10668</v>
      </c>
      <c r="P4939" t="s">
        <v>208</v>
      </c>
      <c r="Q4939" t="s">
        <v>209</v>
      </c>
    </row>
    <row r="4940" spans="1:17" x14ac:dyDescent="0.3">
      <c r="A4940" t="s">
        <v>10669</v>
      </c>
      <c r="C4940" t="s">
        <v>10670</v>
      </c>
      <c r="D4940" t="s">
        <v>10670</v>
      </c>
      <c r="E4940" s="5">
        <v>46292</v>
      </c>
      <c r="F4940" t="s">
        <v>204</v>
      </c>
      <c r="G4940" t="s">
        <v>213</v>
      </c>
      <c r="H4940">
        <v>6298</v>
      </c>
      <c r="I4940">
        <v>100.77</v>
      </c>
      <c r="J4940">
        <v>18.14</v>
      </c>
      <c r="K4940">
        <v>6179.09</v>
      </c>
      <c r="L4940" s="5">
        <v>46294</v>
      </c>
      <c r="M4940" t="s">
        <v>10627</v>
      </c>
      <c r="N4940" t="s">
        <v>207</v>
      </c>
      <c r="O4940" t="s">
        <v>10670</v>
      </c>
      <c r="P4940" t="s">
        <v>208</v>
      </c>
      <c r="Q4940" t="s">
        <v>209</v>
      </c>
    </row>
    <row r="4941" spans="1:17" x14ac:dyDescent="0.3">
      <c r="A4941" t="s">
        <v>10671</v>
      </c>
      <c r="C4941" t="s">
        <v>10672</v>
      </c>
      <c r="D4941" t="s">
        <v>10672</v>
      </c>
      <c r="E4941" s="5">
        <v>46292</v>
      </c>
      <c r="F4941" t="s">
        <v>204</v>
      </c>
      <c r="G4941" t="s">
        <v>220</v>
      </c>
      <c r="H4941">
        <v>3798</v>
      </c>
      <c r="I4941">
        <v>11.39</v>
      </c>
      <c r="J4941">
        <v>2.0499999999999998</v>
      </c>
      <c r="K4941">
        <v>3784.56</v>
      </c>
      <c r="L4941" s="5">
        <v>46294</v>
      </c>
      <c r="M4941" t="s">
        <v>10627</v>
      </c>
      <c r="N4941" t="s">
        <v>207</v>
      </c>
      <c r="O4941" t="s">
        <v>10672</v>
      </c>
      <c r="P4941" t="s">
        <v>208</v>
      </c>
      <c r="Q4941" t="s">
        <v>209</v>
      </c>
    </row>
    <row r="4942" spans="1:17" x14ac:dyDescent="0.3">
      <c r="A4942" t="s">
        <v>10673</v>
      </c>
      <c r="C4942" t="s">
        <v>10674</v>
      </c>
      <c r="D4942" t="s">
        <v>10674</v>
      </c>
      <c r="E4942" s="5">
        <v>46292</v>
      </c>
      <c r="F4942" t="s">
        <v>204</v>
      </c>
      <c r="G4942" t="s">
        <v>220</v>
      </c>
      <c r="H4942">
        <v>999</v>
      </c>
      <c r="I4942">
        <v>0</v>
      </c>
      <c r="J4942">
        <v>0</v>
      </c>
      <c r="K4942">
        <v>999</v>
      </c>
      <c r="L4942" s="5">
        <v>46294</v>
      </c>
      <c r="M4942" t="s">
        <v>10627</v>
      </c>
      <c r="N4942" t="s">
        <v>207</v>
      </c>
      <c r="O4942" t="s">
        <v>10674</v>
      </c>
      <c r="P4942" t="s">
        <v>208</v>
      </c>
      <c r="Q4942" t="s">
        <v>209</v>
      </c>
    </row>
    <row r="4943" spans="1:17" x14ac:dyDescent="0.3">
      <c r="A4943" t="s">
        <v>10675</v>
      </c>
      <c r="C4943" t="s">
        <v>10676</v>
      </c>
      <c r="D4943" t="s">
        <v>10676</v>
      </c>
      <c r="E4943" s="5">
        <v>46292</v>
      </c>
      <c r="F4943" t="s">
        <v>204</v>
      </c>
      <c r="G4943" t="s">
        <v>220</v>
      </c>
      <c r="H4943">
        <v>499</v>
      </c>
      <c r="I4943">
        <v>0</v>
      </c>
      <c r="J4943">
        <v>0</v>
      </c>
      <c r="K4943">
        <v>499</v>
      </c>
      <c r="L4943" s="5">
        <v>46294</v>
      </c>
      <c r="M4943" t="s">
        <v>10627</v>
      </c>
      <c r="N4943" t="s">
        <v>207</v>
      </c>
      <c r="O4943" t="s">
        <v>10676</v>
      </c>
      <c r="P4943" t="s">
        <v>208</v>
      </c>
      <c r="Q4943" t="s">
        <v>209</v>
      </c>
    </row>
    <row r="4944" spans="1:17" x14ac:dyDescent="0.3">
      <c r="A4944" t="s">
        <v>10677</v>
      </c>
      <c r="C4944" t="s">
        <v>10678</v>
      </c>
      <c r="D4944" t="s">
        <v>10678</v>
      </c>
      <c r="E4944" s="5">
        <v>46292</v>
      </c>
      <c r="F4944" t="s">
        <v>204</v>
      </c>
      <c r="G4944" t="s">
        <v>220</v>
      </c>
      <c r="H4944">
        <v>7999</v>
      </c>
      <c r="I4944">
        <v>24</v>
      </c>
      <c r="J4944">
        <v>4.32</v>
      </c>
      <c r="K4944">
        <v>7970.68</v>
      </c>
      <c r="L4944" s="5">
        <v>46294</v>
      </c>
      <c r="M4944" t="s">
        <v>10627</v>
      </c>
      <c r="N4944" t="s">
        <v>207</v>
      </c>
      <c r="O4944" t="s">
        <v>10678</v>
      </c>
      <c r="P4944" t="s">
        <v>208</v>
      </c>
      <c r="Q4944" t="s">
        <v>209</v>
      </c>
    </row>
    <row r="4945" spans="1:17" x14ac:dyDescent="0.3">
      <c r="A4945" t="s">
        <v>10679</v>
      </c>
      <c r="C4945" t="s">
        <v>10680</v>
      </c>
      <c r="D4945" t="s">
        <v>10681</v>
      </c>
      <c r="E4945" s="5">
        <v>46292</v>
      </c>
      <c r="F4945" t="s">
        <v>204</v>
      </c>
      <c r="G4945" t="s">
        <v>220</v>
      </c>
      <c r="H4945">
        <v>2499</v>
      </c>
      <c r="I4945">
        <v>7.5</v>
      </c>
      <c r="J4945">
        <v>1.35</v>
      </c>
      <c r="K4945">
        <v>2490.15</v>
      </c>
      <c r="L4945" s="5">
        <v>46294</v>
      </c>
      <c r="M4945" t="s">
        <v>10627</v>
      </c>
      <c r="N4945" t="s">
        <v>207</v>
      </c>
      <c r="O4945" t="s">
        <v>10681</v>
      </c>
      <c r="P4945" t="s">
        <v>208</v>
      </c>
      <c r="Q4945" t="s">
        <v>209</v>
      </c>
    </row>
    <row r="4946" spans="1:17" x14ac:dyDescent="0.3">
      <c r="A4946" t="s">
        <v>10682</v>
      </c>
      <c r="C4946" t="s">
        <v>10683</v>
      </c>
      <c r="D4946" t="s">
        <v>10683</v>
      </c>
      <c r="E4946" s="5">
        <v>46292</v>
      </c>
      <c r="F4946" t="s">
        <v>204</v>
      </c>
      <c r="G4946" t="s">
        <v>213</v>
      </c>
      <c r="H4946">
        <v>1398</v>
      </c>
      <c r="I4946">
        <v>25.16</v>
      </c>
      <c r="J4946">
        <v>4.53</v>
      </c>
      <c r="K4946">
        <v>1368.31</v>
      </c>
      <c r="L4946" s="5">
        <v>46294</v>
      </c>
      <c r="M4946" t="s">
        <v>10627</v>
      </c>
      <c r="N4946" t="s">
        <v>207</v>
      </c>
      <c r="O4946" t="s">
        <v>10683</v>
      </c>
      <c r="P4946" t="s">
        <v>208</v>
      </c>
      <c r="Q4946" t="s">
        <v>209</v>
      </c>
    </row>
    <row r="4947" spans="1:17" x14ac:dyDescent="0.3">
      <c r="A4947" t="s">
        <v>10684</v>
      </c>
      <c r="C4947" t="s">
        <v>10685</v>
      </c>
      <c r="D4947" t="s">
        <v>10686</v>
      </c>
      <c r="E4947" s="5">
        <v>46292</v>
      </c>
      <c r="F4947" t="s">
        <v>204</v>
      </c>
      <c r="G4947" t="s">
        <v>213</v>
      </c>
      <c r="H4947">
        <v>2398</v>
      </c>
      <c r="I4947">
        <v>38.369999999999997</v>
      </c>
      <c r="J4947">
        <v>6.91</v>
      </c>
      <c r="K4947">
        <v>2352.7199999999998</v>
      </c>
      <c r="L4947" s="5">
        <v>46294</v>
      </c>
      <c r="M4947" t="s">
        <v>10627</v>
      </c>
      <c r="N4947" t="s">
        <v>207</v>
      </c>
      <c r="O4947" t="s">
        <v>10686</v>
      </c>
      <c r="P4947" t="s">
        <v>208</v>
      </c>
      <c r="Q4947" t="s">
        <v>209</v>
      </c>
    </row>
    <row r="4948" spans="1:17" x14ac:dyDescent="0.3">
      <c r="A4948" t="s">
        <v>10687</v>
      </c>
      <c r="C4948" t="s">
        <v>10688</v>
      </c>
      <c r="D4948" t="s">
        <v>10688</v>
      </c>
      <c r="E4948" s="5">
        <v>46292</v>
      </c>
      <c r="F4948" t="s">
        <v>204</v>
      </c>
      <c r="G4948" t="s">
        <v>220</v>
      </c>
      <c r="H4948">
        <v>2598</v>
      </c>
      <c r="I4948">
        <v>7.79</v>
      </c>
      <c r="J4948">
        <v>1.4</v>
      </c>
      <c r="K4948">
        <v>2588.81</v>
      </c>
      <c r="L4948" s="5">
        <v>46294</v>
      </c>
      <c r="M4948" t="s">
        <v>10627</v>
      </c>
      <c r="N4948" t="s">
        <v>207</v>
      </c>
      <c r="O4948" t="s">
        <v>10688</v>
      </c>
      <c r="P4948" t="s">
        <v>208</v>
      </c>
      <c r="Q4948" t="s">
        <v>209</v>
      </c>
    </row>
    <row r="4949" spans="1:17" x14ac:dyDescent="0.3">
      <c r="A4949" t="s">
        <v>10689</v>
      </c>
      <c r="C4949" t="s">
        <v>10690</v>
      </c>
      <c r="D4949" t="s">
        <v>10690</v>
      </c>
      <c r="E4949" s="5">
        <v>46292</v>
      </c>
      <c r="F4949" t="s">
        <v>204</v>
      </c>
      <c r="G4949" t="s">
        <v>220</v>
      </c>
      <c r="H4949">
        <v>599</v>
      </c>
      <c r="I4949">
        <v>0</v>
      </c>
      <c r="J4949">
        <v>0</v>
      </c>
      <c r="K4949">
        <v>599</v>
      </c>
      <c r="L4949" s="5">
        <v>46294</v>
      </c>
      <c r="M4949" t="s">
        <v>10627</v>
      </c>
      <c r="N4949" t="s">
        <v>207</v>
      </c>
      <c r="O4949" t="s">
        <v>10690</v>
      </c>
      <c r="P4949" t="s">
        <v>208</v>
      </c>
      <c r="Q4949" t="s">
        <v>209</v>
      </c>
    </row>
    <row r="4950" spans="1:17" x14ac:dyDescent="0.3">
      <c r="A4950" t="s">
        <v>10691</v>
      </c>
      <c r="C4950" t="s">
        <v>10692</v>
      </c>
      <c r="D4950" t="s">
        <v>10693</v>
      </c>
      <c r="E4950" s="5">
        <v>46292</v>
      </c>
      <c r="F4950" t="s">
        <v>204</v>
      </c>
      <c r="G4950" t="s">
        <v>213</v>
      </c>
      <c r="H4950">
        <v>4999</v>
      </c>
      <c r="I4950">
        <v>79.98</v>
      </c>
      <c r="J4950">
        <v>14.4</v>
      </c>
      <c r="K4950">
        <v>4904.62</v>
      </c>
      <c r="L4950" s="5">
        <v>46294</v>
      </c>
      <c r="M4950" t="s">
        <v>10627</v>
      </c>
      <c r="N4950" t="s">
        <v>207</v>
      </c>
      <c r="O4950" t="s">
        <v>10693</v>
      </c>
      <c r="P4950" t="s">
        <v>208</v>
      </c>
      <c r="Q4950" t="s">
        <v>209</v>
      </c>
    </row>
    <row r="4951" spans="1:17" x14ac:dyDescent="0.3">
      <c r="A4951" t="s">
        <v>10694</v>
      </c>
      <c r="C4951" t="s">
        <v>10695</v>
      </c>
      <c r="D4951" t="s">
        <v>10695</v>
      </c>
      <c r="E4951" s="5">
        <v>46292</v>
      </c>
      <c r="F4951" t="s">
        <v>204</v>
      </c>
      <c r="G4951" t="s">
        <v>220</v>
      </c>
      <c r="H4951">
        <v>2598</v>
      </c>
      <c r="I4951">
        <v>7.79</v>
      </c>
      <c r="J4951">
        <v>1.4</v>
      </c>
      <c r="K4951">
        <v>2588.81</v>
      </c>
      <c r="L4951" s="5">
        <v>46294</v>
      </c>
      <c r="M4951" t="s">
        <v>10627</v>
      </c>
      <c r="N4951" t="s">
        <v>207</v>
      </c>
      <c r="O4951" t="s">
        <v>10695</v>
      </c>
      <c r="P4951" t="s">
        <v>208</v>
      </c>
      <c r="Q4951" t="s">
        <v>209</v>
      </c>
    </row>
    <row r="4952" spans="1:17" x14ac:dyDescent="0.3">
      <c r="A4952" t="s">
        <v>10696</v>
      </c>
      <c r="C4952" t="s">
        <v>10697</v>
      </c>
      <c r="D4952" t="s">
        <v>10698</v>
      </c>
      <c r="E4952" s="5">
        <v>46292</v>
      </c>
      <c r="F4952" t="s">
        <v>204</v>
      </c>
      <c r="G4952" t="s">
        <v>220</v>
      </c>
      <c r="H4952">
        <v>4998</v>
      </c>
      <c r="I4952">
        <v>14.99</v>
      </c>
      <c r="J4952">
        <v>2.7</v>
      </c>
      <c r="K4952">
        <v>4980.3100000000004</v>
      </c>
      <c r="L4952" s="5">
        <v>46294</v>
      </c>
      <c r="M4952" t="s">
        <v>10627</v>
      </c>
      <c r="N4952" t="s">
        <v>207</v>
      </c>
      <c r="O4952" t="s">
        <v>10698</v>
      </c>
      <c r="P4952" t="s">
        <v>208</v>
      </c>
      <c r="Q4952" t="s">
        <v>209</v>
      </c>
    </row>
    <row r="4953" spans="1:17" x14ac:dyDescent="0.3">
      <c r="A4953" t="s">
        <v>10699</v>
      </c>
      <c r="C4953" t="s">
        <v>10700</v>
      </c>
      <c r="D4953" t="s">
        <v>10700</v>
      </c>
      <c r="E4953" s="5">
        <v>46292</v>
      </c>
      <c r="F4953" t="s">
        <v>204</v>
      </c>
      <c r="G4953" t="s">
        <v>213</v>
      </c>
      <c r="H4953">
        <v>999</v>
      </c>
      <c r="I4953">
        <v>17.98</v>
      </c>
      <c r="J4953">
        <v>3.24</v>
      </c>
      <c r="K4953">
        <v>977.78</v>
      </c>
      <c r="L4953" s="5">
        <v>46294</v>
      </c>
      <c r="M4953" t="s">
        <v>10627</v>
      </c>
      <c r="N4953" t="s">
        <v>207</v>
      </c>
      <c r="O4953" t="s">
        <v>10700</v>
      </c>
      <c r="P4953" t="s">
        <v>208</v>
      </c>
      <c r="Q4953" t="s">
        <v>209</v>
      </c>
    </row>
    <row r="4954" spans="1:17" x14ac:dyDescent="0.3">
      <c r="A4954" t="s">
        <v>10701</v>
      </c>
      <c r="C4954" t="s">
        <v>10702</v>
      </c>
      <c r="D4954" t="s">
        <v>10702</v>
      </c>
      <c r="E4954" s="5">
        <v>46292</v>
      </c>
      <c r="F4954" t="s">
        <v>204</v>
      </c>
      <c r="G4954" t="s">
        <v>220</v>
      </c>
      <c r="H4954">
        <v>3848</v>
      </c>
      <c r="I4954">
        <v>11.54</v>
      </c>
      <c r="J4954">
        <v>2.08</v>
      </c>
      <c r="K4954">
        <v>3834.38</v>
      </c>
      <c r="L4954" s="5">
        <v>46294</v>
      </c>
      <c r="M4954" t="s">
        <v>10627</v>
      </c>
      <c r="N4954" t="s">
        <v>207</v>
      </c>
      <c r="O4954" t="s">
        <v>10702</v>
      </c>
      <c r="P4954" t="s">
        <v>208</v>
      </c>
      <c r="Q4954" t="s">
        <v>209</v>
      </c>
    </row>
    <row r="4955" spans="1:17" x14ac:dyDescent="0.3">
      <c r="A4955" t="s">
        <v>10703</v>
      </c>
      <c r="C4955" t="s">
        <v>10704</v>
      </c>
      <c r="D4955" t="s">
        <v>10704</v>
      </c>
      <c r="E4955" s="5">
        <v>46292</v>
      </c>
      <c r="F4955" t="s">
        <v>204</v>
      </c>
      <c r="G4955" t="s">
        <v>213</v>
      </c>
      <c r="H4955">
        <v>1499</v>
      </c>
      <c r="I4955">
        <v>26.98</v>
      </c>
      <c r="J4955">
        <v>4.8600000000000003</v>
      </c>
      <c r="K4955">
        <v>1467.16</v>
      </c>
      <c r="L4955" s="5">
        <v>46294</v>
      </c>
      <c r="M4955" t="s">
        <v>10627</v>
      </c>
      <c r="N4955" t="s">
        <v>207</v>
      </c>
      <c r="O4955" t="s">
        <v>10704</v>
      </c>
      <c r="P4955" t="s">
        <v>208</v>
      </c>
      <c r="Q4955" t="s">
        <v>209</v>
      </c>
    </row>
    <row r="4956" spans="1:17" x14ac:dyDescent="0.3">
      <c r="A4956" t="s">
        <v>10705</v>
      </c>
      <c r="C4956" t="s">
        <v>10706</v>
      </c>
      <c r="D4956" t="s">
        <v>10706</v>
      </c>
      <c r="E4956" s="5">
        <v>46292</v>
      </c>
      <c r="F4956" t="s">
        <v>204</v>
      </c>
      <c r="G4956" t="s">
        <v>220</v>
      </c>
      <c r="H4956">
        <v>14797</v>
      </c>
      <c r="I4956">
        <v>44.39</v>
      </c>
      <c r="J4956">
        <v>7.99</v>
      </c>
      <c r="K4956">
        <v>14744.62</v>
      </c>
      <c r="L4956" s="5">
        <v>46294</v>
      </c>
      <c r="M4956" t="s">
        <v>10627</v>
      </c>
      <c r="N4956" t="s">
        <v>207</v>
      </c>
      <c r="O4956" t="s">
        <v>10706</v>
      </c>
      <c r="P4956" t="s">
        <v>208</v>
      </c>
      <c r="Q4956" t="s">
        <v>209</v>
      </c>
    </row>
    <row r="4957" spans="1:17" x14ac:dyDescent="0.3">
      <c r="A4957" t="s">
        <v>10707</v>
      </c>
      <c r="C4957" t="s">
        <v>10708</v>
      </c>
      <c r="D4957" t="s">
        <v>10708</v>
      </c>
      <c r="E4957" s="5">
        <v>46292</v>
      </c>
      <c r="F4957" t="s">
        <v>204</v>
      </c>
      <c r="G4957" t="s">
        <v>213</v>
      </c>
      <c r="H4957">
        <v>1298</v>
      </c>
      <c r="I4957">
        <v>23.36</v>
      </c>
      <c r="J4957">
        <v>4.2</v>
      </c>
      <c r="K4957">
        <v>1270.44</v>
      </c>
      <c r="L4957" s="5">
        <v>46294</v>
      </c>
      <c r="M4957" t="s">
        <v>10627</v>
      </c>
      <c r="N4957" t="s">
        <v>207</v>
      </c>
      <c r="O4957" t="s">
        <v>10708</v>
      </c>
      <c r="P4957" t="s">
        <v>208</v>
      </c>
      <c r="Q4957" t="s">
        <v>209</v>
      </c>
    </row>
    <row r="4958" spans="1:17" x14ac:dyDescent="0.3">
      <c r="A4958" t="s">
        <v>10709</v>
      </c>
      <c r="C4958" t="s">
        <v>10710</v>
      </c>
      <c r="D4958" t="s">
        <v>10710</v>
      </c>
      <c r="E4958" s="5">
        <v>46292</v>
      </c>
      <c r="F4958" t="s">
        <v>204</v>
      </c>
      <c r="G4958" t="s">
        <v>220</v>
      </c>
      <c r="H4958">
        <v>12998</v>
      </c>
      <c r="I4958">
        <v>38.99</v>
      </c>
      <c r="J4958">
        <v>7.02</v>
      </c>
      <c r="K4958">
        <v>12951.99</v>
      </c>
      <c r="L4958" s="5">
        <v>46294</v>
      </c>
      <c r="M4958" t="s">
        <v>10627</v>
      </c>
      <c r="N4958" t="s">
        <v>207</v>
      </c>
      <c r="O4958" t="s">
        <v>10710</v>
      </c>
      <c r="P4958" t="s">
        <v>208</v>
      </c>
      <c r="Q4958" t="s">
        <v>209</v>
      </c>
    </row>
    <row r="4959" spans="1:17" x14ac:dyDescent="0.3">
      <c r="A4959" t="s">
        <v>10711</v>
      </c>
      <c r="C4959" t="s">
        <v>10712</v>
      </c>
      <c r="D4959" t="s">
        <v>10712</v>
      </c>
      <c r="E4959" s="5">
        <v>46292</v>
      </c>
      <c r="F4959" t="s">
        <v>204</v>
      </c>
      <c r="G4959" t="s">
        <v>213</v>
      </c>
      <c r="H4959">
        <v>349</v>
      </c>
      <c r="I4959">
        <v>6.28</v>
      </c>
      <c r="J4959">
        <v>1.1299999999999999</v>
      </c>
      <c r="K4959">
        <v>341.59</v>
      </c>
      <c r="L4959" s="5">
        <v>46294</v>
      </c>
      <c r="M4959" t="s">
        <v>10627</v>
      </c>
      <c r="N4959" t="s">
        <v>207</v>
      </c>
      <c r="O4959" t="s">
        <v>10712</v>
      </c>
      <c r="P4959" t="s">
        <v>208</v>
      </c>
      <c r="Q4959" t="s">
        <v>209</v>
      </c>
    </row>
    <row r="4960" spans="1:17" x14ac:dyDescent="0.3">
      <c r="A4960" t="s">
        <v>10713</v>
      </c>
      <c r="C4960" t="s">
        <v>10714</v>
      </c>
      <c r="D4960" t="s">
        <v>10714</v>
      </c>
      <c r="E4960" s="5">
        <v>46292</v>
      </c>
      <c r="F4960" t="s">
        <v>204</v>
      </c>
      <c r="G4960" t="s">
        <v>213</v>
      </c>
      <c r="H4960">
        <v>1499</v>
      </c>
      <c r="I4960">
        <v>26.98</v>
      </c>
      <c r="J4960">
        <v>4.8600000000000003</v>
      </c>
      <c r="K4960">
        <v>1467.16</v>
      </c>
      <c r="L4960" s="5">
        <v>46294</v>
      </c>
      <c r="M4960" t="s">
        <v>10627</v>
      </c>
      <c r="N4960" t="s">
        <v>207</v>
      </c>
      <c r="O4960" t="s">
        <v>10714</v>
      </c>
      <c r="P4960" t="s">
        <v>208</v>
      </c>
      <c r="Q4960" t="s">
        <v>209</v>
      </c>
    </row>
    <row r="4961" spans="1:17" x14ac:dyDescent="0.3">
      <c r="A4961" t="s">
        <v>10715</v>
      </c>
      <c r="C4961" t="s">
        <v>10716</v>
      </c>
      <c r="D4961" t="s">
        <v>10716</v>
      </c>
      <c r="E4961" s="5">
        <v>46292</v>
      </c>
      <c r="F4961" t="s">
        <v>204</v>
      </c>
      <c r="G4961" t="s">
        <v>213</v>
      </c>
      <c r="H4961">
        <v>7297</v>
      </c>
      <c r="I4961">
        <v>116.75</v>
      </c>
      <c r="J4961">
        <v>21.02</v>
      </c>
      <c r="K4961">
        <v>7159.23</v>
      </c>
      <c r="L4961" s="5">
        <v>46294</v>
      </c>
      <c r="M4961" t="s">
        <v>10627</v>
      </c>
      <c r="N4961" t="s">
        <v>207</v>
      </c>
      <c r="O4961" t="s">
        <v>10716</v>
      </c>
      <c r="P4961" t="s">
        <v>208</v>
      </c>
      <c r="Q4961" t="s">
        <v>209</v>
      </c>
    </row>
    <row r="4962" spans="1:17" x14ac:dyDescent="0.3">
      <c r="A4962" t="s">
        <v>10717</v>
      </c>
      <c r="C4962" t="s">
        <v>10718</v>
      </c>
      <c r="D4962" t="s">
        <v>10718</v>
      </c>
      <c r="E4962" s="5">
        <v>46292</v>
      </c>
      <c r="F4962" t="s">
        <v>204</v>
      </c>
      <c r="G4962" t="s">
        <v>205</v>
      </c>
      <c r="H4962">
        <v>9797</v>
      </c>
      <c r="I4962">
        <v>166.55</v>
      </c>
      <c r="J4962">
        <v>29.98</v>
      </c>
      <c r="K4962">
        <v>9600.4699999999993</v>
      </c>
      <c r="L4962" s="5">
        <v>46294</v>
      </c>
      <c r="M4962" t="s">
        <v>10627</v>
      </c>
      <c r="N4962" t="s">
        <v>207</v>
      </c>
      <c r="O4962" t="s">
        <v>10718</v>
      </c>
      <c r="P4962" t="s">
        <v>208</v>
      </c>
      <c r="Q4962" t="s">
        <v>209</v>
      </c>
    </row>
    <row r="4963" spans="1:17" x14ac:dyDescent="0.3">
      <c r="A4963" t="s">
        <v>10719</v>
      </c>
      <c r="C4963" t="s">
        <v>10720</v>
      </c>
      <c r="D4963" t="s">
        <v>10721</v>
      </c>
      <c r="E4963" s="5">
        <v>46292</v>
      </c>
      <c r="F4963" t="s">
        <v>204</v>
      </c>
      <c r="G4963" t="s">
        <v>220</v>
      </c>
      <c r="H4963">
        <v>12998</v>
      </c>
      <c r="I4963">
        <v>38.99</v>
      </c>
      <c r="J4963">
        <v>7.02</v>
      </c>
      <c r="K4963">
        <v>12951.99</v>
      </c>
      <c r="L4963" s="5">
        <v>46294</v>
      </c>
      <c r="M4963" t="s">
        <v>10627</v>
      </c>
      <c r="N4963" t="s">
        <v>207</v>
      </c>
      <c r="O4963" t="s">
        <v>10721</v>
      </c>
      <c r="P4963" t="s">
        <v>208</v>
      </c>
      <c r="Q4963" t="s">
        <v>209</v>
      </c>
    </row>
    <row r="4964" spans="1:17" x14ac:dyDescent="0.3">
      <c r="A4964" t="s">
        <v>10722</v>
      </c>
      <c r="C4964" t="s">
        <v>10723</v>
      </c>
      <c r="D4964" t="s">
        <v>10723</v>
      </c>
      <c r="E4964" s="5">
        <v>46292</v>
      </c>
      <c r="F4964" t="s">
        <v>204</v>
      </c>
      <c r="G4964" t="s">
        <v>213</v>
      </c>
      <c r="H4964">
        <v>9298</v>
      </c>
      <c r="I4964">
        <v>148.77000000000001</v>
      </c>
      <c r="J4964">
        <v>26.78</v>
      </c>
      <c r="K4964">
        <v>9122.4500000000007</v>
      </c>
      <c r="L4964" s="5">
        <v>46294</v>
      </c>
      <c r="M4964" t="s">
        <v>10627</v>
      </c>
      <c r="N4964" t="s">
        <v>207</v>
      </c>
      <c r="O4964" t="s">
        <v>10723</v>
      </c>
      <c r="P4964" t="s">
        <v>208</v>
      </c>
      <c r="Q4964" t="s">
        <v>209</v>
      </c>
    </row>
    <row r="4965" spans="1:17" x14ac:dyDescent="0.3">
      <c r="A4965" t="s">
        <v>10724</v>
      </c>
      <c r="C4965" t="s">
        <v>10725</v>
      </c>
      <c r="D4965" t="s">
        <v>10725</v>
      </c>
      <c r="E4965" s="5">
        <v>46292</v>
      </c>
      <c r="F4965" t="s">
        <v>204</v>
      </c>
      <c r="G4965" t="s">
        <v>220</v>
      </c>
      <c r="H4965">
        <v>1498</v>
      </c>
      <c r="I4965">
        <v>0</v>
      </c>
      <c r="J4965">
        <v>0</v>
      </c>
      <c r="K4965">
        <v>1498</v>
      </c>
      <c r="L4965" s="5">
        <v>46294</v>
      </c>
      <c r="M4965" t="s">
        <v>10627</v>
      </c>
      <c r="N4965" t="s">
        <v>207</v>
      </c>
      <c r="O4965" t="s">
        <v>10725</v>
      </c>
      <c r="P4965" t="s">
        <v>208</v>
      </c>
      <c r="Q4965" t="s">
        <v>209</v>
      </c>
    </row>
    <row r="4966" spans="1:17" x14ac:dyDescent="0.3">
      <c r="A4966" t="s">
        <v>10726</v>
      </c>
      <c r="C4966" t="s">
        <v>10727</v>
      </c>
      <c r="D4966" t="s">
        <v>10727</v>
      </c>
      <c r="E4966" s="5">
        <v>46292</v>
      </c>
      <c r="F4966" t="s">
        <v>204</v>
      </c>
      <c r="G4966" t="s">
        <v>205</v>
      </c>
      <c r="H4966">
        <v>499</v>
      </c>
      <c r="I4966">
        <v>9.48</v>
      </c>
      <c r="J4966">
        <v>1.71</v>
      </c>
      <c r="K4966">
        <v>487.81</v>
      </c>
      <c r="L4966" s="5">
        <v>46294</v>
      </c>
      <c r="M4966" t="s">
        <v>10627</v>
      </c>
      <c r="N4966" t="s">
        <v>207</v>
      </c>
      <c r="O4966" t="s">
        <v>10727</v>
      </c>
      <c r="P4966" t="s">
        <v>208</v>
      </c>
      <c r="Q4966" t="s">
        <v>209</v>
      </c>
    </row>
    <row r="4967" spans="1:17" x14ac:dyDescent="0.3">
      <c r="A4967" t="s">
        <v>10728</v>
      </c>
      <c r="C4967" t="s">
        <v>10729</v>
      </c>
      <c r="D4967" t="s">
        <v>10729</v>
      </c>
      <c r="E4967" s="5">
        <v>46292</v>
      </c>
      <c r="F4967" t="s">
        <v>204</v>
      </c>
      <c r="G4967" t="s">
        <v>213</v>
      </c>
      <c r="H4967">
        <v>4298</v>
      </c>
      <c r="I4967">
        <v>68.77</v>
      </c>
      <c r="J4967">
        <v>12.38</v>
      </c>
      <c r="K4967">
        <v>4216.8500000000004</v>
      </c>
      <c r="L4967" s="5">
        <v>46294</v>
      </c>
      <c r="M4967" t="s">
        <v>10627</v>
      </c>
      <c r="N4967" t="s">
        <v>207</v>
      </c>
      <c r="O4967" t="s">
        <v>10729</v>
      </c>
      <c r="P4967" t="s">
        <v>208</v>
      </c>
      <c r="Q4967" t="s">
        <v>209</v>
      </c>
    </row>
    <row r="4968" spans="1:17" x14ac:dyDescent="0.3">
      <c r="A4968" t="s">
        <v>10730</v>
      </c>
      <c r="C4968" t="s">
        <v>10731</v>
      </c>
      <c r="D4968" t="s">
        <v>10732</v>
      </c>
      <c r="E4968" s="5">
        <v>46292</v>
      </c>
      <c r="F4968" t="s">
        <v>204</v>
      </c>
      <c r="G4968" t="s">
        <v>213</v>
      </c>
      <c r="H4968">
        <v>1799</v>
      </c>
      <c r="I4968">
        <v>32.380000000000003</v>
      </c>
      <c r="J4968">
        <v>5.83</v>
      </c>
      <c r="K4968">
        <v>1760.79</v>
      </c>
      <c r="L4968" s="5">
        <v>46294</v>
      </c>
      <c r="M4968" t="s">
        <v>10627</v>
      </c>
      <c r="N4968" t="s">
        <v>207</v>
      </c>
      <c r="O4968" t="s">
        <v>10732</v>
      </c>
      <c r="P4968" t="s">
        <v>208</v>
      </c>
      <c r="Q4968" t="s">
        <v>209</v>
      </c>
    </row>
    <row r="4969" spans="1:17" x14ac:dyDescent="0.3">
      <c r="A4969" t="s">
        <v>10733</v>
      </c>
      <c r="C4969" t="s">
        <v>10734</v>
      </c>
      <c r="D4969" t="s">
        <v>10734</v>
      </c>
      <c r="E4969" s="5">
        <v>46292</v>
      </c>
      <c r="F4969" t="s">
        <v>204</v>
      </c>
      <c r="G4969" t="s">
        <v>205</v>
      </c>
      <c r="H4969">
        <v>5597</v>
      </c>
      <c r="I4969">
        <v>95.15</v>
      </c>
      <c r="J4969">
        <v>17.13</v>
      </c>
      <c r="K4969">
        <v>5484.72</v>
      </c>
      <c r="L4969" s="5">
        <v>46294</v>
      </c>
      <c r="M4969" t="s">
        <v>10627</v>
      </c>
      <c r="N4969" t="s">
        <v>207</v>
      </c>
      <c r="O4969" t="s">
        <v>10734</v>
      </c>
      <c r="P4969" t="s">
        <v>208</v>
      </c>
      <c r="Q4969" t="s">
        <v>209</v>
      </c>
    </row>
    <row r="4970" spans="1:17" x14ac:dyDescent="0.3">
      <c r="A4970" t="s">
        <v>10735</v>
      </c>
      <c r="C4970" t="s">
        <v>10736</v>
      </c>
      <c r="D4970" t="s">
        <v>10736</v>
      </c>
      <c r="E4970" s="5">
        <v>46292</v>
      </c>
      <c r="F4970" t="s">
        <v>204</v>
      </c>
      <c r="G4970" t="s">
        <v>205</v>
      </c>
      <c r="H4970">
        <v>2798</v>
      </c>
      <c r="I4970">
        <v>47.57</v>
      </c>
      <c r="J4970">
        <v>8.56</v>
      </c>
      <c r="K4970">
        <v>2741.87</v>
      </c>
      <c r="L4970" s="5">
        <v>46294</v>
      </c>
      <c r="M4970" t="s">
        <v>10627</v>
      </c>
      <c r="N4970" t="s">
        <v>207</v>
      </c>
      <c r="O4970" t="s">
        <v>10736</v>
      </c>
      <c r="P4970" t="s">
        <v>208</v>
      </c>
      <c r="Q4970" t="s">
        <v>209</v>
      </c>
    </row>
    <row r="4971" spans="1:17" x14ac:dyDescent="0.3">
      <c r="A4971" t="s">
        <v>10737</v>
      </c>
      <c r="C4971" t="s">
        <v>10738</v>
      </c>
      <c r="D4971" t="s">
        <v>10738</v>
      </c>
      <c r="E4971" s="5">
        <v>46292</v>
      </c>
      <c r="F4971" t="s">
        <v>204</v>
      </c>
      <c r="G4971" t="s">
        <v>213</v>
      </c>
      <c r="H4971">
        <v>5598</v>
      </c>
      <c r="I4971">
        <v>89.57</v>
      </c>
      <c r="J4971">
        <v>16.12</v>
      </c>
      <c r="K4971">
        <v>5492.31</v>
      </c>
      <c r="L4971" s="5">
        <v>46294</v>
      </c>
      <c r="M4971" t="s">
        <v>10627</v>
      </c>
      <c r="N4971" t="s">
        <v>207</v>
      </c>
      <c r="O4971" t="s">
        <v>10738</v>
      </c>
      <c r="P4971" t="s">
        <v>208</v>
      </c>
      <c r="Q4971" t="s">
        <v>209</v>
      </c>
    </row>
    <row r="4972" spans="1:17" x14ac:dyDescent="0.3">
      <c r="A4972" t="s">
        <v>10739</v>
      </c>
      <c r="C4972" t="s">
        <v>10740</v>
      </c>
      <c r="D4972" t="s">
        <v>10741</v>
      </c>
      <c r="E4972" s="5">
        <v>46292</v>
      </c>
      <c r="F4972" t="s">
        <v>204</v>
      </c>
      <c r="G4972" t="s">
        <v>213</v>
      </c>
      <c r="H4972">
        <v>5397</v>
      </c>
      <c r="I4972">
        <v>86.35</v>
      </c>
      <c r="J4972">
        <v>15.54</v>
      </c>
      <c r="K4972">
        <v>5295.11</v>
      </c>
      <c r="L4972" s="5">
        <v>46294</v>
      </c>
      <c r="M4972" t="s">
        <v>10627</v>
      </c>
      <c r="N4972" t="s">
        <v>207</v>
      </c>
      <c r="O4972" t="s">
        <v>10741</v>
      </c>
      <c r="P4972" t="s">
        <v>208</v>
      </c>
      <c r="Q4972" t="s">
        <v>209</v>
      </c>
    </row>
    <row r="4973" spans="1:17" x14ac:dyDescent="0.3">
      <c r="A4973" t="s">
        <v>10742</v>
      </c>
      <c r="C4973" t="s">
        <v>10743</v>
      </c>
      <c r="D4973" t="s">
        <v>10743</v>
      </c>
      <c r="E4973" s="5">
        <v>46292</v>
      </c>
      <c r="F4973" t="s">
        <v>204</v>
      </c>
      <c r="G4973" t="s">
        <v>220</v>
      </c>
      <c r="H4973">
        <v>799</v>
      </c>
      <c r="I4973">
        <v>0</v>
      </c>
      <c r="J4973">
        <v>0</v>
      </c>
      <c r="K4973">
        <v>799</v>
      </c>
      <c r="L4973" s="5">
        <v>46294</v>
      </c>
      <c r="M4973" t="s">
        <v>10627</v>
      </c>
      <c r="N4973" t="s">
        <v>207</v>
      </c>
      <c r="O4973" t="s">
        <v>10743</v>
      </c>
      <c r="P4973" t="s">
        <v>208</v>
      </c>
      <c r="Q4973" t="s">
        <v>209</v>
      </c>
    </row>
    <row r="4974" spans="1:17" x14ac:dyDescent="0.3">
      <c r="A4974" t="s">
        <v>10744</v>
      </c>
      <c r="C4974" t="s">
        <v>10745</v>
      </c>
      <c r="D4974" t="s">
        <v>10745</v>
      </c>
      <c r="E4974" s="5">
        <v>46292</v>
      </c>
      <c r="F4974" t="s">
        <v>204</v>
      </c>
      <c r="G4974" t="s">
        <v>213</v>
      </c>
      <c r="H4974">
        <v>5998</v>
      </c>
      <c r="I4974">
        <v>95.97</v>
      </c>
      <c r="J4974">
        <v>17.27</v>
      </c>
      <c r="K4974">
        <v>5884.76</v>
      </c>
      <c r="L4974" s="5">
        <v>46294</v>
      </c>
      <c r="M4974" t="s">
        <v>10627</v>
      </c>
      <c r="N4974" t="s">
        <v>207</v>
      </c>
      <c r="O4974" t="s">
        <v>10745</v>
      </c>
      <c r="P4974" t="s">
        <v>208</v>
      </c>
      <c r="Q4974" t="s">
        <v>209</v>
      </c>
    </row>
    <row r="4975" spans="1:17" x14ac:dyDescent="0.3">
      <c r="A4975" t="s">
        <v>10746</v>
      </c>
      <c r="C4975" t="s">
        <v>10747</v>
      </c>
      <c r="D4975" t="s">
        <v>10747</v>
      </c>
      <c r="E4975" s="5">
        <v>46292</v>
      </c>
      <c r="F4975" t="s">
        <v>204</v>
      </c>
      <c r="G4975" t="s">
        <v>213</v>
      </c>
      <c r="H4975">
        <v>3298</v>
      </c>
      <c r="I4975">
        <v>52.77</v>
      </c>
      <c r="J4975">
        <v>9.5</v>
      </c>
      <c r="K4975">
        <v>3235.73</v>
      </c>
      <c r="L4975" s="5">
        <v>46294</v>
      </c>
      <c r="M4975" t="s">
        <v>10627</v>
      </c>
      <c r="N4975" t="s">
        <v>207</v>
      </c>
      <c r="O4975" t="s">
        <v>10747</v>
      </c>
      <c r="P4975" t="s">
        <v>208</v>
      </c>
      <c r="Q4975" t="s">
        <v>209</v>
      </c>
    </row>
    <row r="4976" spans="1:17" x14ac:dyDescent="0.3">
      <c r="A4976" t="s">
        <v>10748</v>
      </c>
      <c r="C4976" t="s">
        <v>10749</v>
      </c>
      <c r="D4976" t="s">
        <v>10749</v>
      </c>
      <c r="E4976" s="5">
        <v>46292</v>
      </c>
      <c r="F4976" t="s">
        <v>204</v>
      </c>
      <c r="G4976" t="s">
        <v>220</v>
      </c>
      <c r="H4976">
        <v>5348</v>
      </c>
      <c r="I4976">
        <v>16.04</v>
      </c>
      <c r="J4976">
        <v>2.89</v>
      </c>
      <c r="K4976">
        <v>5329.07</v>
      </c>
      <c r="L4976" s="5">
        <v>46294</v>
      </c>
      <c r="M4976" t="s">
        <v>10627</v>
      </c>
      <c r="N4976" t="s">
        <v>207</v>
      </c>
      <c r="O4976" t="s">
        <v>10749</v>
      </c>
      <c r="P4976" t="s">
        <v>208</v>
      </c>
      <c r="Q4976" t="s">
        <v>209</v>
      </c>
    </row>
    <row r="4977" spans="1:17" x14ac:dyDescent="0.3">
      <c r="A4977" t="s">
        <v>10750</v>
      </c>
      <c r="C4977" t="s">
        <v>10751</v>
      </c>
      <c r="D4977" t="s">
        <v>10751</v>
      </c>
      <c r="E4977" s="5">
        <v>46292</v>
      </c>
      <c r="F4977" t="s">
        <v>204</v>
      </c>
      <c r="G4977" t="s">
        <v>220</v>
      </c>
      <c r="H4977">
        <v>8498</v>
      </c>
      <c r="I4977">
        <v>25.49</v>
      </c>
      <c r="J4977">
        <v>4.59</v>
      </c>
      <c r="K4977">
        <v>8467.92</v>
      </c>
      <c r="L4977" s="5">
        <v>46294</v>
      </c>
      <c r="M4977" t="s">
        <v>10627</v>
      </c>
      <c r="N4977" t="s">
        <v>207</v>
      </c>
      <c r="O4977" t="s">
        <v>10751</v>
      </c>
      <c r="P4977" t="s">
        <v>208</v>
      </c>
      <c r="Q4977" t="s">
        <v>209</v>
      </c>
    </row>
    <row r="4978" spans="1:17" x14ac:dyDescent="0.3">
      <c r="A4978" t="s">
        <v>10752</v>
      </c>
      <c r="C4978" t="s">
        <v>10753</v>
      </c>
      <c r="D4978" t="s">
        <v>10754</v>
      </c>
      <c r="E4978" s="5">
        <v>46292</v>
      </c>
      <c r="F4978" t="s">
        <v>204</v>
      </c>
      <c r="G4978" t="s">
        <v>213</v>
      </c>
      <c r="H4978">
        <v>599</v>
      </c>
      <c r="I4978">
        <v>10.78</v>
      </c>
      <c r="J4978">
        <v>1.94</v>
      </c>
      <c r="K4978">
        <v>586.28</v>
      </c>
      <c r="L4978" s="5">
        <v>46294</v>
      </c>
      <c r="M4978" t="s">
        <v>10627</v>
      </c>
      <c r="N4978" t="s">
        <v>207</v>
      </c>
      <c r="O4978" t="s">
        <v>10754</v>
      </c>
      <c r="P4978" t="s">
        <v>208</v>
      </c>
      <c r="Q4978" t="s">
        <v>209</v>
      </c>
    </row>
    <row r="4979" spans="1:17" x14ac:dyDescent="0.3">
      <c r="A4979" t="s">
        <v>10755</v>
      </c>
      <c r="C4979" t="s">
        <v>10756</v>
      </c>
      <c r="D4979" t="s">
        <v>10756</v>
      </c>
      <c r="E4979" s="5">
        <v>46292</v>
      </c>
      <c r="F4979" t="s">
        <v>204</v>
      </c>
      <c r="G4979" t="s">
        <v>220</v>
      </c>
      <c r="H4979">
        <v>4197</v>
      </c>
      <c r="I4979">
        <v>12.59</v>
      </c>
      <c r="J4979">
        <v>2.27</v>
      </c>
      <c r="K4979">
        <v>4182.1400000000003</v>
      </c>
      <c r="L4979" s="5">
        <v>46294</v>
      </c>
      <c r="M4979" t="s">
        <v>10627</v>
      </c>
      <c r="N4979" t="s">
        <v>207</v>
      </c>
      <c r="O4979" t="s">
        <v>10756</v>
      </c>
      <c r="P4979" t="s">
        <v>208</v>
      </c>
      <c r="Q4979" t="s">
        <v>209</v>
      </c>
    </row>
    <row r="4980" spans="1:17" x14ac:dyDescent="0.3">
      <c r="A4980" t="s">
        <v>10757</v>
      </c>
      <c r="C4980" t="s">
        <v>10758</v>
      </c>
      <c r="D4980" t="s">
        <v>10758</v>
      </c>
      <c r="E4980" s="5">
        <v>46292</v>
      </c>
      <c r="F4980" t="s">
        <v>204</v>
      </c>
      <c r="G4980" t="s">
        <v>220</v>
      </c>
      <c r="H4980">
        <v>5298</v>
      </c>
      <c r="I4980">
        <v>15.89</v>
      </c>
      <c r="J4980">
        <v>2.86</v>
      </c>
      <c r="K4980">
        <v>5279.25</v>
      </c>
      <c r="L4980" s="5">
        <v>46294</v>
      </c>
      <c r="M4980" t="s">
        <v>10627</v>
      </c>
      <c r="N4980" t="s">
        <v>207</v>
      </c>
      <c r="O4980" t="s">
        <v>10758</v>
      </c>
      <c r="P4980" t="s">
        <v>208</v>
      </c>
      <c r="Q4980" t="s">
        <v>209</v>
      </c>
    </row>
    <row r="4981" spans="1:17" x14ac:dyDescent="0.3">
      <c r="A4981" t="s">
        <v>10759</v>
      </c>
      <c r="C4981" t="s">
        <v>10760</v>
      </c>
      <c r="D4981" t="s">
        <v>10761</v>
      </c>
      <c r="E4981" s="5">
        <v>46292</v>
      </c>
      <c r="F4981" t="s">
        <v>204</v>
      </c>
      <c r="G4981" t="s">
        <v>205</v>
      </c>
      <c r="H4981">
        <v>1499</v>
      </c>
      <c r="I4981">
        <v>28.48</v>
      </c>
      <c r="J4981">
        <v>5.13</v>
      </c>
      <c r="K4981">
        <v>1465.39</v>
      </c>
      <c r="L4981" s="5">
        <v>46294</v>
      </c>
      <c r="M4981" t="s">
        <v>10627</v>
      </c>
      <c r="N4981" t="s">
        <v>207</v>
      </c>
      <c r="O4981" t="s">
        <v>10761</v>
      </c>
      <c r="P4981" t="s">
        <v>208</v>
      </c>
      <c r="Q4981" t="s">
        <v>209</v>
      </c>
    </row>
    <row r="4982" spans="1:17" x14ac:dyDescent="0.3">
      <c r="A4982" t="s">
        <v>10762</v>
      </c>
      <c r="C4982" t="s">
        <v>10763</v>
      </c>
      <c r="D4982" t="s">
        <v>10763</v>
      </c>
      <c r="E4982" s="5">
        <v>46292</v>
      </c>
      <c r="F4982" t="s">
        <v>204</v>
      </c>
      <c r="G4982" t="s">
        <v>220</v>
      </c>
      <c r="H4982">
        <v>4797</v>
      </c>
      <c r="I4982">
        <v>14.39</v>
      </c>
      <c r="J4982">
        <v>2.59</v>
      </c>
      <c r="K4982">
        <v>4780.0200000000004</v>
      </c>
      <c r="L4982" s="5">
        <v>46294</v>
      </c>
      <c r="M4982" t="s">
        <v>10627</v>
      </c>
      <c r="N4982" t="s">
        <v>207</v>
      </c>
      <c r="O4982" t="s">
        <v>10763</v>
      </c>
      <c r="P4982" t="s">
        <v>208</v>
      </c>
      <c r="Q4982" t="s">
        <v>209</v>
      </c>
    </row>
    <row r="4983" spans="1:17" x14ac:dyDescent="0.3">
      <c r="A4983" t="s">
        <v>10764</v>
      </c>
      <c r="C4983" t="s">
        <v>10765</v>
      </c>
      <c r="D4983" t="s">
        <v>10765</v>
      </c>
      <c r="E4983" s="5">
        <v>46292</v>
      </c>
      <c r="F4983" t="s">
        <v>204</v>
      </c>
      <c r="G4983" t="s">
        <v>213</v>
      </c>
      <c r="H4983">
        <v>6998</v>
      </c>
      <c r="I4983">
        <v>111.97</v>
      </c>
      <c r="J4983">
        <v>20.149999999999999</v>
      </c>
      <c r="K4983">
        <v>6865.88</v>
      </c>
      <c r="L4983" s="5">
        <v>46294</v>
      </c>
      <c r="M4983" t="s">
        <v>10627</v>
      </c>
      <c r="N4983" t="s">
        <v>207</v>
      </c>
      <c r="O4983" t="s">
        <v>10765</v>
      </c>
      <c r="P4983" t="s">
        <v>208</v>
      </c>
      <c r="Q4983" t="s">
        <v>209</v>
      </c>
    </row>
    <row r="4984" spans="1:17" x14ac:dyDescent="0.3">
      <c r="A4984" t="s">
        <v>10766</v>
      </c>
      <c r="C4984" t="s">
        <v>10767</v>
      </c>
      <c r="D4984" t="s">
        <v>10767</v>
      </c>
      <c r="E4984" s="5">
        <v>46292</v>
      </c>
      <c r="F4984" t="s">
        <v>204</v>
      </c>
      <c r="G4984" t="s">
        <v>255</v>
      </c>
      <c r="H4984">
        <v>1499</v>
      </c>
      <c r="I4984">
        <v>22.49</v>
      </c>
      <c r="J4984">
        <v>4.05</v>
      </c>
      <c r="K4984">
        <v>1472.46</v>
      </c>
      <c r="L4984" s="5">
        <v>46294</v>
      </c>
      <c r="M4984" t="s">
        <v>10627</v>
      </c>
      <c r="N4984" t="s">
        <v>207</v>
      </c>
      <c r="O4984" t="s">
        <v>10767</v>
      </c>
      <c r="P4984" t="s">
        <v>208</v>
      </c>
      <c r="Q4984" t="s">
        <v>209</v>
      </c>
    </row>
    <row r="4985" spans="1:17" x14ac:dyDescent="0.3">
      <c r="A4985" t="s">
        <v>10768</v>
      </c>
      <c r="C4985" t="s">
        <v>10769</v>
      </c>
      <c r="D4985" t="s">
        <v>10769</v>
      </c>
      <c r="E4985" s="5">
        <v>46292</v>
      </c>
      <c r="F4985" t="s">
        <v>204</v>
      </c>
      <c r="G4985" t="s">
        <v>205</v>
      </c>
      <c r="H4985">
        <v>1798</v>
      </c>
      <c r="I4985">
        <v>34.159999999999997</v>
      </c>
      <c r="J4985">
        <v>6.15</v>
      </c>
      <c r="K4985">
        <v>1757.69</v>
      </c>
      <c r="L4985" s="5">
        <v>46294</v>
      </c>
      <c r="M4985" t="s">
        <v>10627</v>
      </c>
      <c r="N4985" t="s">
        <v>207</v>
      </c>
      <c r="O4985" t="s">
        <v>10769</v>
      </c>
      <c r="P4985" t="s">
        <v>208</v>
      </c>
      <c r="Q4985" t="s">
        <v>209</v>
      </c>
    </row>
    <row r="4986" spans="1:17" x14ac:dyDescent="0.3">
      <c r="A4986" t="s">
        <v>10770</v>
      </c>
      <c r="C4986" t="s">
        <v>10771</v>
      </c>
      <c r="D4986" t="s">
        <v>10771</v>
      </c>
      <c r="E4986" s="5">
        <v>46292</v>
      </c>
      <c r="F4986" t="s">
        <v>204</v>
      </c>
      <c r="G4986" t="s">
        <v>205</v>
      </c>
      <c r="H4986">
        <v>1298</v>
      </c>
      <c r="I4986">
        <v>24.66</v>
      </c>
      <c r="J4986">
        <v>4.4400000000000004</v>
      </c>
      <c r="K4986">
        <v>1268.9000000000001</v>
      </c>
      <c r="L4986" s="5">
        <v>46294</v>
      </c>
      <c r="M4986" t="s">
        <v>10627</v>
      </c>
      <c r="N4986" t="s">
        <v>207</v>
      </c>
      <c r="O4986" t="s">
        <v>10771</v>
      </c>
      <c r="P4986" t="s">
        <v>208</v>
      </c>
      <c r="Q4986" t="s">
        <v>209</v>
      </c>
    </row>
    <row r="4987" spans="1:17" x14ac:dyDescent="0.3">
      <c r="A4987" t="s">
        <v>10772</v>
      </c>
      <c r="C4987" t="s">
        <v>10773</v>
      </c>
      <c r="D4987" t="s">
        <v>10773</v>
      </c>
      <c r="E4987" s="5">
        <v>46292</v>
      </c>
      <c r="F4987" t="s">
        <v>204</v>
      </c>
      <c r="G4987" t="s">
        <v>220</v>
      </c>
      <c r="H4987">
        <v>2098</v>
      </c>
      <c r="I4987">
        <v>6.29</v>
      </c>
      <c r="J4987">
        <v>1.1299999999999999</v>
      </c>
      <c r="K4987">
        <v>2090.58</v>
      </c>
      <c r="L4987" s="5">
        <v>46294</v>
      </c>
      <c r="M4987" t="s">
        <v>10627</v>
      </c>
      <c r="N4987" t="s">
        <v>207</v>
      </c>
      <c r="O4987" t="s">
        <v>10773</v>
      </c>
      <c r="P4987" t="s">
        <v>208</v>
      </c>
      <c r="Q4987" t="s">
        <v>209</v>
      </c>
    </row>
    <row r="4988" spans="1:17" x14ac:dyDescent="0.3">
      <c r="A4988" t="s">
        <v>10774</v>
      </c>
      <c r="C4988" t="s">
        <v>10775</v>
      </c>
      <c r="D4988" t="s">
        <v>10775</v>
      </c>
      <c r="E4988" s="5">
        <v>46292</v>
      </c>
      <c r="F4988" t="s">
        <v>204</v>
      </c>
      <c r="G4988" t="s">
        <v>220</v>
      </c>
      <c r="H4988">
        <v>349</v>
      </c>
      <c r="I4988">
        <v>0</v>
      </c>
      <c r="J4988">
        <v>0</v>
      </c>
      <c r="K4988">
        <v>349</v>
      </c>
      <c r="L4988" s="5">
        <v>46294</v>
      </c>
      <c r="M4988" t="s">
        <v>10627</v>
      </c>
      <c r="N4988" t="s">
        <v>207</v>
      </c>
      <c r="O4988" t="s">
        <v>10775</v>
      </c>
      <c r="P4988" t="s">
        <v>208</v>
      </c>
      <c r="Q4988" t="s">
        <v>209</v>
      </c>
    </row>
    <row r="4989" spans="1:17" x14ac:dyDescent="0.3">
      <c r="A4989" t="s">
        <v>10776</v>
      </c>
      <c r="C4989" t="s">
        <v>10777</v>
      </c>
      <c r="D4989" t="s">
        <v>10777</v>
      </c>
      <c r="E4989" s="5">
        <v>46292</v>
      </c>
      <c r="F4989" t="s">
        <v>204</v>
      </c>
      <c r="G4989" t="s">
        <v>220</v>
      </c>
      <c r="H4989">
        <v>2897</v>
      </c>
      <c r="I4989">
        <v>8.69</v>
      </c>
      <c r="J4989">
        <v>1.56</v>
      </c>
      <c r="K4989">
        <v>2886.75</v>
      </c>
      <c r="L4989" s="5">
        <v>46294</v>
      </c>
      <c r="M4989" t="s">
        <v>10627</v>
      </c>
      <c r="N4989" t="s">
        <v>207</v>
      </c>
      <c r="O4989" t="s">
        <v>10777</v>
      </c>
      <c r="P4989" t="s">
        <v>208</v>
      </c>
      <c r="Q4989" t="s">
        <v>209</v>
      </c>
    </row>
    <row r="4990" spans="1:17" x14ac:dyDescent="0.3">
      <c r="A4990" t="s">
        <v>10778</v>
      </c>
      <c r="C4990" t="s">
        <v>10779</v>
      </c>
      <c r="D4990" t="s">
        <v>10779</v>
      </c>
      <c r="E4990" s="5">
        <v>46292</v>
      </c>
      <c r="F4990" t="s">
        <v>204</v>
      </c>
      <c r="G4990" t="s">
        <v>205</v>
      </c>
      <c r="H4990">
        <v>349</v>
      </c>
      <c r="I4990">
        <v>6.63</v>
      </c>
      <c r="J4990">
        <v>1.19</v>
      </c>
      <c r="K4990">
        <v>341.18</v>
      </c>
      <c r="L4990" s="5">
        <v>46294</v>
      </c>
      <c r="M4990" t="s">
        <v>10627</v>
      </c>
      <c r="N4990" t="s">
        <v>207</v>
      </c>
      <c r="O4990" t="s">
        <v>10779</v>
      </c>
      <c r="P4990" t="s">
        <v>208</v>
      </c>
      <c r="Q4990" t="s">
        <v>209</v>
      </c>
    </row>
    <row r="4991" spans="1:17" x14ac:dyDescent="0.3">
      <c r="A4991" t="s">
        <v>10780</v>
      </c>
      <c r="C4991" t="s">
        <v>10781</v>
      </c>
      <c r="D4991" t="s">
        <v>10781</v>
      </c>
      <c r="E4991" s="5">
        <v>46292</v>
      </c>
      <c r="F4991" t="s">
        <v>204</v>
      </c>
      <c r="G4991" t="s">
        <v>220</v>
      </c>
      <c r="H4991">
        <v>6597</v>
      </c>
      <c r="I4991">
        <v>19.79</v>
      </c>
      <c r="J4991">
        <v>3.56</v>
      </c>
      <c r="K4991">
        <v>6573.65</v>
      </c>
      <c r="L4991" s="5">
        <v>46294</v>
      </c>
      <c r="M4991" t="s">
        <v>10627</v>
      </c>
      <c r="N4991" t="s">
        <v>207</v>
      </c>
      <c r="O4991" t="s">
        <v>10781</v>
      </c>
      <c r="P4991" t="s">
        <v>208</v>
      </c>
      <c r="Q4991" t="s">
        <v>209</v>
      </c>
    </row>
    <row r="4992" spans="1:17" x14ac:dyDescent="0.3">
      <c r="A4992" t="s">
        <v>10782</v>
      </c>
      <c r="C4992" t="s">
        <v>10783</v>
      </c>
      <c r="D4992" t="s">
        <v>10783</v>
      </c>
      <c r="E4992" s="5">
        <v>46292</v>
      </c>
      <c r="F4992" t="s">
        <v>204</v>
      </c>
      <c r="G4992" t="s">
        <v>220</v>
      </c>
      <c r="H4992">
        <v>7999</v>
      </c>
      <c r="I4992">
        <v>24</v>
      </c>
      <c r="J4992">
        <v>4.32</v>
      </c>
      <c r="K4992">
        <v>7970.68</v>
      </c>
      <c r="L4992" s="5">
        <v>46294</v>
      </c>
      <c r="M4992" t="s">
        <v>10627</v>
      </c>
      <c r="N4992" t="s">
        <v>207</v>
      </c>
      <c r="O4992" t="s">
        <v>10783</v>
      </c>
      <c r="P4992" t="s">
        <v>208</v>
      </c>
      <c r="Q4992" t="s">
        <v>209</v>
      </c>
    </row>
    <row r="4993" spans="1:17" x14ac:dyDescent="0.3">
      <c r="A4993" t="s">
        <v>10784</v>
      </c>
      <c r="C4993" t="s">
        <v>10785</v>
      </c>
      <c r="D4993" t="s">
        <v>10785</v>
      </c>
      <c r="E4993" s="5">
        <v>46292</v>
      </c>
      <c r="F4993" t="s">
        <v>204</v>
      </c>
      <c r="G4993" t="s">
        <v>213</v>
      </c>
      <c r="H4993">
        <v>999</v>
      </c>
      <c r="I4993">
        <v>17.98</v>
      </c>
      <c r="J4993">
        <v>3.24</v>
      </c>
      <c r="K4993">
        <v>977.78</v>
      </c>
      <c r="L4993" s="5">
        <v>46294</v>
      </c>
      <c r="M4993" t="s">
        <v>10627</v>
      </c>
      <c r="N4993" t="s">
        <v>207</v>
      </c>
      <c r="O4993" t="s">
        <v>10785</v>
      </c>
      <c r="P4993" t="s">
        <v>208</v>
      </c>
      <c r="Q4993" t="s">
        <v>209</v>
      </c>
    </row>
    <row r="4994" spans="1:17" x14ac:dyDescent="0.3">
      <c r="A4994" t="s">
        <v>10786</v>
      </c>
      <c r="C4994" t="s">
        <v>10787</v>
      </c>
      <c r="D4994" t="s">
        <v>10787</v>
      </c>
      <c r="E4994" s="5">
        <v>46292</v>
      </c>
      <c r="F4994" t="s">
        <v>204</v>
      </c>
      <c r="G4994" t="s">
        <v>220</v>
      </c>
      <c r="H4994">
        <v>7999</v>
      </c>
      <c r="I4994">
        <v>24</v>
      </c>
      <c r="J4994">
        <v>4.32</v>
      </c>
      <c r="K4994">
        <v>7970.68</v>
      </c>
      <c r="L4994" s="5">
        <v>46294</v>
      </c>
      <c r="M4994" t="s">
        <v>10627</v>
      </c>
      <c r="N4994" t="s">
        <v>207</v>
      </c>
      <c r="O4994" t="s">
        <v>10787</v>
      </c>
      <c r="P4994" t="s">
        <v>208</v>
      </c>
      <c r="Q4994" t="s">
        <v>209</v>
      </c>
    </row>
    <row r="4995" spans="1:17" x14ac:dyDescent="0.3">
      <c r="A4995" t="s">
        <v>10788</v>
      </c>
      <c r="C4995" t="s">
        <v>10789</v>
      </c>
      <c r="D4995" t="s">
        <v>10789</v>
      </c>
      <c r="E4995" s="5">
        <v>46292</v>
      </c>
      <c r="F4995" t="s">
        <v>204</v>
      </c>
      <c r="G4995" t="s">
        <v>255</v>
      </c>
      <c r="H4995">
        <v>1598</v>
      </c>
      <c r="I4995">
        <v>23.97</v>
      </c>
      <c r="J4995">
        <v>4.3099999999999996</v>
      </c>
      <c r="K4995">
        <v>1569.72</v>
      </c>
      <c r="L4995" s="5">
        <v>46294</v>
      </c>
      <c r="M4995" t="s">
        <v>10627</v>
      </c>
      <c r="N4995" t="s">
        <v>207</v>
      </c>
      <c r="O4995" t="s">
        <v>10789</v>
      </c>
      <c r="P4995" t="s">
        <v>208</v>
      </c>
      <c r="Q4995" t="s">
        <v>209</v>
      </c>
    </row>
    <row r="4996" spans="1:17" x14ac:dyDescent="0.3">
      <c r="A4996" t="s">
        <v>10790</v>
      </c>
      <c r="C4996" t="s">
        <v>10791</v>
      </c>
      <c r="D4996" t="s">
        <v>10792</v>
      </c>
      <c r="E4996" s="5">
        <v>46292</v>
      </c>
      <c r="F4996" t="s">
        <v>204</v>
      </c>
      <c r="G4996" t="s">
        <v>205</v>
      </c>
      <c r="H4996">
        <v>1598</v>
      </c>
      <c r="I4996">
        <v>30.36</v>
      </c>
      <c r="J4996">
        <v>5.46</v>
      </c>
      <c r="K4996">
        <v>1562.18</v>
      </c>
      <c r="L4996" s="5">
        <v>46294</v>
      </c>
      <c r="M4996" t="s">
        <v>10627</v>
      </c>
      <c r="N4996" t="s">
        <v>207</v>
      </c>
      <c r="O4996" t="s">
        <v>10792</v>
      </c>
      <c r="P4996" t="s">
        <v>208</v>
      </c>
      <c r="Q4996" t="s">
        <v>209</v>
      </c>
    </row>
    <row r="4997" spans="1:17" x14ac:dyDescent="0.3">
      <c r="A4997" t="s">
        <v>10793</v>
      </c>
      <c r="C4997" t="s">
        <v>10794</v>
      </c>
      <c r="D4997" t="s">
        <v>10794</v>
      </c>
      <c r="E4997" s="5">
        <v>46292</v>
      </c>
      <c r="F4997" t="s">
        <v>204</v>
      </c>
      <c r="G4997" t="s">
        <v>255</v>
      </c>
      <c r="H4997">
        <v>999</v>
      </c>
      <c r="I4997">
        <v>14.99</v>
      </c>
      <c r="J4997">
        <v>2.7</v>
      </c>
      <c r="K4997">
        <v>981.31</v>
      </c>
      <c r="L4997" s="5">
        <v>46294</v>
      </c>
      <c r="M4997" t="s">
        <v>10627</v>
      </c>
      <c r="N4997" t="s">
        <v>207</v>
      </c>
      <c r="O4997" t="s">
        <v>10794</v>
      </c>
      <c r="P4997" t="s">
        <v>208</v>
      </c>
      <c r="Q4997" t="s">
        <v>209</v>
      </c>
    </row>
    <row r="4998" spans="1:17" x14ac:dyDescent="0.3">
      <c r="A4998" t="s">
        <v>10795</v>
      </c>
      <c r="C4998" t="s">
        <v>10796</v>
      </c>
      <c r="D4998" t="s">
        <v>10796</v>
      </c>
      <c r="E4998" s="5">
        <v>46292</v>
      </c>
      <c r="F4998" t="s">
        <v>204</v>
      </c>
      <c r="G4998" t="s">
        <v>220</v>
      </c>
      <c r="H4998">
        <v>9998</v>
      </c>
      <c r="I4998">
        <v>29.99</v>
      </c>
      <c r="J4998">
        <v>5.4</v>
      </c>
      <c r="K4998">
        <v>9962.61</v>
      </c>
      <c r="L4998" s="5">
        <v>46294</v>
      </c>
      <c r="M4998" t="s">
        <v>10627</v>
      </c>
      <c r="N4998" t="s">
        <v>207</v>
      </c>
      <c r="O4998" t="s">
        <v>10796</v>
      </c>
      <c r="P4998" t="s">
        <v>208</v>
      </c>
      <c r="Q4998" t="s">
        <v>209</v>
      </c>
    </row>
    <row r="4999" spans="1:17" x14ac:dyDescent="0.3">
      <c r="A4999" t="s">
        <v>10797</v>
      </c>
      <c r="C4999" t="s">
        <v>10798</v>
      </c>
      <c r="D4999" t="s">
        <v>10798</v>
      </c>
      <c r="E4999" s="5">
        <v>46292</v>
      </c>
      <c r="F4999" t="s">
        <v>204</v>
      </c>
      <c r="G4999" t="s">
        <v>220</v>
      </c>
      <c r="H4999">
        <v>1098</v>
      </c>
      <c r="I4999">
        <v>0</v>
      </c>
      <c r="J4999">
        <v>0</v>
      </c>
      <c r="K4999">
        <v>1098</v>
      </c>
      <c r="L4999" s="5">
        <v>46294</v>
      </c>
      <c r="M4999" t="s">
        <v>10627</v>
      </c>
      <c r="N4999" t="s">
        <v>207</v>
      </c>
      <c r="O4999" t="s">
        <v>10798</v>
      </c>
      <c r="P4999" t="s">
        <v>208</v>
      </c>
      <c r="Q4999" t="s">
        <v>209</v>
      </c>
    </row>
    <row r="5000" spans="1:17" x14ac:dyDescent="0.3">
      <c r="A5000" t="s">
        <v>10799</v>
      </c>
      <c r="C5000" t="s">
        <v>10800</v>
      </c>
      <c r="D5000" t="s">
        <v>10800</v>
      </c>
      <c r="E5000" s="5">
        <v>46292</v>
      </c>
      <c r="F5000" t="s">
        <v>204</v>
      </c>
      <c r="G5000" t="s">
        <v>220</v>
      </c>
      <c r="H5000">
        <v>2848</v>
      </c>
      <c r="I5000">
        <v>8.5399999999999991</v>
      </c>
      <c r="J5000">
        <v>1.54</v>
      </c>
      <c r="K5000">
        <v>2837.92</v>
      </c>
      <c r="L5000" s="5">
        <v>46294</v>
      </c>
      <c r="M5000" t="s">
        <v>10627</v>
      </c>
      <c r="N5000" t="s">
        <v>207</v>
      </c>
      <c r="O5000" t="s">
        <v>10800</v>
      </c>
      <c r="P5000" t="s">
        <v>208</v>
      </c>
      <c r="Q5000" t="s">
        <v>209</v>
      </c>
    </row>
    <row r="5001" spans="1:17" x14ac:dyDescent="0.3">
      <c r="A5001" t="s">
        <v>10801</v>
      </c>
      <c r="C5001" t="s">
        <v>10802</v>
      </c>
      <c r="D5001" t="s">
        <v>10802</v>
      </c>
      <c r="E5001" s="5">
        <v>46292</v>
      </c>
      <c r="F5001" t="s">
        <v>204</v>
      </c>
      <c r="G5001" t="s">
        <v>220</v>
      </c>
      <c r="H5001">
        <v>1799</v>
      </c>
      <c r="I5001">
        <v>0</v>
      </c>
      <c r="J5001">
        <v>0</v>
      </c>
      <c r="K5001">
        <v>1799</v>
      </c>
      <c r="L5001" s="5">
        <v>46294</v>
      </c>
      <c r="M5001" t="s">
        <v>10627</v>
      </c>
      <c r="N5001" t="s">
        <v>207</v>
      </c>
      <c r="O5001" t="s">
        <v>10802</v>
      </c>
      <c r="P5001" t="s">
        <v>208</v>
      </c>
      <c r="Q5001" t="s">
        <v>209</v>
      </c>
    </row>
    <row r="5002" spans="1:17" x14ac:dyDescent="0.3">
      <c r="A5002" t="s">
        <v>10803</v>
      </c>
      <c r="C5002" t="s">
        <v>10804</v>
      </c>
      <c r="D5002" t="s">
        <v>10804</v>
      </c>
      <c r="E5002" s="5">
        <v>46292</v>
      </c>
      <c r="F5002" t="s">
        <v>204</v>
      </c>
      <c r="G5002" t="s">
        <v>220</v>
      </c>
      <c r="H5002">
        <v>1799</v>
      </c>
      <c r="I5002">
        <v>0</v>
      </c>
      <c r="J5002">
        <v>0</v>
      </c>
      <c r="K5002">
        <v>1799</v>
      </c>
      <c r="L5002" s="5">
        <v>46294</v>
      </c>
      <c r="M5002" t="s">
        <v>10627</v>
      </c>
      <c r="N5002" t="s">
        <v>207</v>
      </c>
      <c r="O5002" t="s">
        <v>10804</v>
      </c>
      <c r="P5002" t="s">
        <v>208</v>
      </c>
      <c r="Q5002" t="s">
        <v>209</v>
      </c>
    </row>
    <row r="5003" spans="1:17" x14ac:dyDescent="0.3">
      <c r="A5003" t="s">
        <v>10805</v>
      </c>
      <c r="C5003" t="s">
        <v>10806</v>
      </c>
      <c r="D5003" t="s">
        <v>10807</v>
      </c>
      <c r="E5003" s="5">
        <v>46292</v>
      </c>
      <c r="F5003" t="s">
        <v>204</v>
      </c>
      <c r="G5003" t="s">
        <v>213</v>
      </c>
      <c r="H5003">
        <v>2098</v>
      </c>
      <c r="I5003">
        <v>33.57</v>
      </c>
      <c r="J5003">
        <v>6.04</v>
      </c>
      <c r="K5003">
        <v>2058.39</v>
      </c>
      <c r="L5003" s="5">
        <v>46294</v>
      </c>
      <c r="M5003" t="s">
        <v>10627</v>
      </c>
      <c r="N5003" t="s">
        <v>207</v>
      </c>
      <c r="O5003" t="s">
        <v>10807</v>
      </c>
      <c r="P5003" t="s">
        <v>208</v>
      </c>
      <c r="Q5003" t="s">
        <v>209</v>
      </c>
    </row>
    <row r="5004" spans="1:17" x14ac:dyDescent="0.3">
      <c r="A5004" t="s">
        <v>10808</v>
      </c>
      <c r="C5004" t="s">
        <v>10809</v>
      </c>
      <c r="D5004" t="s">
        <v>10809</v>
      </c>
      <c r="E5004" s="5">
        <v>46292</v>
      </c>
      <c r="F5004" t="s">
        <v>204</v>
      </c>
      <c r="G5004" t="s">
        <v>213</v>
      </c>
      <c r="H5004">
        <v>3298</v>
      </c>
      <c r="I5004">
        <v>52.77</v>
      </c>
      <c r="J5004">
        <v>9.5</v>
      </c>
      <c r="K5004">
        <v>3235.73</v>
      </c>
      <c r="L5004" s="5">
        <v>46294</v>
      </c>
      <c r="M5004" t="s">
        <v>10627</v>
      </c>
      <c r="N5004" t="s">
        <v>207</v>
      </c>
      <c r="O5004" t="s">
        <v>10809</v>
      </c>
      <c r="P5004" t="s">
        <v>208</v>
      </c>
      <c r="Q5004" t="s">
        <v>209</v>
      </c>
    </row>
    <row r="5005" spans="1:17" x14ac:dyDescent="0.3">
      <c r="A5005" t="s">
        <v>10810</v>
      </c>
      <c r="C5005" t="s">
        <v>10811</v>
      </c>
      <c r="D5005" t="s">
        <v>10811</v>
      </c>
      <c r="E5005" s="5">
        <v>46292</v>
      </c>
      <c r="F5005" t="s">
        <v>204</v>
      </c>
      <c r="G5005" t="s">
        <v>213</v>
      </c>
      <c r="H5005">
        <v>1799</v>
      </c>
      <c r="I5005">
        <v>32.380000000000003</v>
      </c>
      <c r="J5005">
        <v>5.83</v>
      </c>
      <c r="K5005">
        <v>1760.79</v>
      </c>
      <c r="L5005" s="5">
        <v>46294</v>
      </c>
      <c r="M5005" t="s">
        <v>10627</v>
      </c>
      <c r="N5005" t="s">
        <v>207</v>
      </c>
      <c r="O5005" t="s">
        <v>10811</v>
      </c>
      <c r="P5005" t="s">
        <v>208</v>
      </c>
      <c r="Q5005" t="s">
        <v>209</v>
      </c>
    </row>
    <row r="5006" spans="1:17" x14ac:dyDescent="0.3">
      <c r="A5006" t="s">
        <v>10812</v>
      </c>
      <c r="C5006" t="s">
        <v>10813</v>
      </c>
      <c r="D5006" t="s">
        <v>10813</v>
      </c>
      <c r="E5006" s="5">
        <v>46292</v>
      </c>
      <c r="F5006" t="s">
        <v>204</v>
      </c>
      <c r="G5006" t="s">
        <v>220</v>
      </c>
      <c r="H5006">
        <v>3798</v>
      </c>
      <c r="I5006">
        <v>11.39</v>
      </c>
      <c r="J5006">
        <v>2.0499999999999998</v>
      </c>
      <c r="K5006">
        <v>3784.56</v>
      </c>
      <c r="L5006" s="5">
        <v>46294</v>
      </c>
      <c r="M5006" t="s">
        <v>10627</v>
      </c>
      <c r="N5006" t="s">
        <v>207</v>
      </c>
      <c r="O5006" t="s">
        <v>10813</v>
      </c>
      <c r="P5006" t="s">
        <v>208</v>
      </c>
      <c r="Q5006" t="s">
        <v>209</v>
      </c>
    </row>
    <row r="5007" spans="1:17" x14ac:dyDescent="0.3">
      <c r="A5007" t="s">
        <v>10814</v>
      </c>
      <c r="C5007" t="s">
        <v>10815</v>
      </c>
      <c r="D5007" t="s">
        <v>10815</v>
      </c>
      <c r="E5007" s="5">
        <v>46292</v>
      </c>
      <c r="F5007" t="s">
        <v>204</v>
      </c>
      <c r="G5007" t="s">
        <v>220</v>
      </c>
      <c r="H5007">
        <v>1499</v>
      </c>
      <c r="I5007">
        <v>0</v>
      </c>
      <c r="J5007">
        <v>0</v>
      </c>
      <c r="K5007">
        <v>1499</v>
      </c>
      <c r="L5007" s="5">
        <v>46294</v>
      </c>
      <c r="M5007" t="s">
        <v>10627</v>
      </c>
      <c r="N5007" t="s">
        <v>207</v>
      </c>
      <c r="O5007" t="s">
        <v>10815</v>
      </c>
      <c r="P5007" t="s">
        <v>208</v>
      </c>
      <c r="Q5007" t="s">
        <v>209</v>
      </c>
    </row>
    <row r="5008" spans="1:17" x14ac:dyDescent="0.3">
      <c r="A5008" t="s">
        <v>10816</v>
      </c>
      <c r="C5008" t="s">
        <v>10817</v>
      </c>
      <c r="D5008" t="s">
        <v>10817</v>
      </c>
      <c r="E5008" s="5">
        <v>46292</v>
      </c>
      <c r="F5008" t="s">
        <v>204</v>
      </c>
      <c r="G5008" t="s">
        <v>220</v>
      </c>
      <c r="H5008">
        <v>3998</v>
      </c>
      <c r="I5008">
        <v>11.99</v>
      </c>
      <c r="J5008">
        <v>2.16</v>
      </c>
      <c r="K5008">
        <v>3983.85</v>
      </c>
      <c r="L5008" s="5">
        <v>46294</v>
      </c>
      <c r="M5008" t="s">
        <v>10627</v>
      </c>
      <c r="N5008" t="s">
        <v>207</v>
      </c>
      <c r="O5008" t="s">
        <v>10817</v>
      </c>
      <c r="P5008" t="s">
        <v>208</v>
      </c>
      <c r="Q5008" t="s">
        <v>209</v>
      </c>
    </row>
    <row r="5009" spans="1:17" x14ac:dyDescent="0.3">
      <c r="A5009" t="s">
        <v>10818</v>
      </c>
      <c r="C5009" t="s">
        <v>10819</v>
      </c>
      <c r="D5009" t="s">
        <v>10820</v>
      </c>
      <c r="E5009" s="5">
        <v>46292</v>
      </c>
      <c r="F5009" t="s">
        <v>204</v>
      </c>
      <c r="G5009" t="s">
        <v>220</v>
      </c>
      <c r="H5009">
        <v>1299</v>
      </c>
      <c r="I5009">
        <v>0</v>
      </c>
      <c r="J5009">
        <v>0</v>
      </c>
      <c r="K5009">
        <v>1299</v>
      </c>
      <c r="L5009" s="5">
        <v>46294</v>
      </c>
      <c r="M5009" t="s">
        <v>10627</v>
      </c>
      <c r="N5009" t="s">
        <v>207</v>
      </c>
      <c r="O5009" t="s">
        <v>10820</v>
      </c>
      <c r="P5009" t="s">
        <v>208</v>
      </c>
      <c r="Q5009" t="s">
        <v>209</v>
      </c>
    </row>
    <row r="5010" spans="1:17" x14ac:dyDescent="0.3">
      <c r="A5010" t="s">
        <v>10821</v>
      </c>
      <c r="C5010" t="s">
        <v>10822</v>
      </c>
      <c r="D5010" t="s">
        <v>10822</v>
      </c>
      <c r="E5010" s="5">
        <v>46292</v>
      </c>
      <c r="F5010" t="s">
        <v>204</v>
      </c>
      <c r="G5010" t="s">
        <v>213</v>
      </c>
      <c r="H5010">
        <v>4999</v>
      </c>
      <c r="I5010">
        <v>79.98</v>
      </c>
      <c r="J5010">
        <v>14.4</v>
      </c>
      <c r="K5010">
        <v>4904.62</v>
      </c>
      <c r="L5010" s="5">
        <v>46294</v>
      </c>
      <c r="M5010" t="s">
        <v>10627</v>
      </c>
      <c r="N5010" t="s">
        <v>207</v>
      </c>
      <c r="O5010" t="s">
        <v>10822</v>
      </c>
      <c r="P5010" t="s">
        <v>208</v>
      </c>
      <c r="Q5010" t="s">
        <v>209</v>
      </c>
    </row>
    <row r="5011" spans="1:17" x14ac:dyDescent="0.3">
      <c r="A5011" t="s">
        <v>10823</v>
      </c>
      <c r="C5011" t="s">
        <v>10824</v>
      </c>
      <c r="D5011" t="s">
        <v>10824</v>
      </c>
      <c r="E5011" s="5">
        <v>46292</v>
      </c>
      <c r="F5011" t="s">
        <v>204</v>
      </c>
      <c r="G5011" t="s">
        <v>255</v>
      </c>
      <c r="H5011">
        <v>3499</v>
      </c>
      <c r="I5011">
        <v>41.99</v>
      </c>
      <c r="J5011">
        <v>7.56</v>
      </c>
      <c r="K5011">
        <v>3449.45</v>
      </c>
      <c r="L5011" s="5">
        <v>46294</v>
      </c>
      <c r="M5011" t="s">
        <v>10627</v>
      </c>
      <c r="N5011" t="s">
        <v>207</v>
      </c>
      <c r="O5011" t="s">
        <v>10824</v>
      </c>
      <c r="P5011" t="s">
        <v>208</v>
      </c>
      <c r="Q5011" t="s">
        <v>209</v>
      </c>
    </row>
    <row r="5012" spans="1:17" x14ac:dyDescent="0.3">
      <c r="A5012" t="s">
        <v>10825</v>
      </c>
      <c r="C5012" t="s">
        <v>10826</v>
      </c>
      <c r="D5012" t="s">
        <v>10826</v>
      </c>
      <c r="E5012" s="5">
        <v>46292</v>
      </c>
      <c r="F5012" t="s">
        <v>204</v>
      </c>
      <c r="G5012" t="s">
        <v>213</v>
      </c>
      <c r="H5012">
        <v>1299</v>
      </c>
      <c r="I5012">
        <v>23.38</v>
      </c>
      <c r="J5012">
        <v>4.21</v>
      </c>
      <c r="K5012">
        <v>1271.4100000000001</v>
      </c>
      <c r="L5012" s="5">
        <v>46294</v>
      </c>
      <c r="M5012" t="s">
        <v>10627</v>
      </c>
      <c r="N5012" t="s">
        <v>207</v>
      </c>
      <c r="O5012" t="s">
        <v>10826</v>
      </c>
      <c r="P5012" t="s">
        <v>208</v>
      </c>
      <c r="Q5012" t="s">
        <v>209</v>
      </c>
    </row>
    <row r="5013" spans="1:17" x14ac:dyDescent="0.3">
      <c r="A5013" t="s">
        <v>10827</v>
      </c>
      <c r="C5013" t="s">
        <v>10828</v>
      </c>
      <c r="D5013" t="s">
        <v>10828</v>
      </c>
      <c r="E5013" s="5">
        <v>46292</v>
      </c>
      <c r="F5013" t="s">
        <v>204</v>
      </c>
      <c r="G5013" t="s">
        <v>220</v>
      </c>
      <c r="H5013">
        <v>499</v>
      </c>
      <c r="I5013">
        <v>0</v>
      </c>
      <c r="J5013">
        <v>0</v>
      </c>
      <c r="K5013">
        <v>499</v>
      </c>
      <c r="L5013" s="5">
        <v>46294</v>
      </c>
      <c r="M5013" t="s">
        <v>10627</v>
      </c>
      <c r="N5013" t="s">
        <v>207</v>
      </c>
      <c r="O5013" t="s">
        <v>10828</v>
      </c>
      <c r="P5013" t="s">
        <v>208</v>
      </c>
      <c r="Q5013" t="s">
        <v>209</v>
      </c>
    </row>
    <row r="5014" spans="1:17" x14ac:dyDescent="0.3">
      <c r="A5014" t="s">
        <v>10829</v>
      </c>
      <c r="C5014" t="s">
        <v>10830</v>
      </c>
      <c r="D5014" t="s">
        <v>10830</v>
      </c>
      <c r="E5014" s="5">
        <v>46292</v>
      </c>
      <c r="F5014" t="s">
        <v>204</v>
      </c>
      <c r="G5014" t="s">
        <v>205</v>
      </c>
      <c r="H5014">
        <v>999</v>
      </c>
      <c r="I5014">
        <v>18.98</v>
      </c>
      <c r="J5014">
        <v>3.42</v>
      </c>
      <c r="K5014">
        <v>976.6</v>
      </c>
      <c r="L5014" s="5">
        <v>46294</v>
      </c>
      <c r="M5014" t="s">
        <v>10627</v>
      </c>
      <c r="N5014" t="s">
        <v>207</v>
      </c>
      <c r="O5014" t="s">
        <v>10830</v>
      </c>
      <c r="P5014" t="s">
        <v>208</v>
      </c>
      <c r="Q5014" t="s">
        <v>209</v>
      </c>
    </row>
    <row r="5015" spans="1:17" x14ac:dyDescent="0.3">
      <c r="A5015" t="s">
        <v>10831</v>
      </c>
      <c r="C5015" t="s">
        <v>10832</v>
      </c>
      <c r="D5015" t="s">
        <v>10833</v>
      </c>
      <c r="E5015" s="5">
        <v>46292</v>
      </c>
      <c r="F5015" t="s">
        <v>204</v>
      </c>
      <c r="G5015" t="s">
        <v>213</v>
      </c>
      <c r="H5015">
        <v>2598</v>
      </c>
      <c r="I5015">
        <v>41.57</v>
      </c>
      <c r="J5015">
        <v>7.48</v>
      </c>
      <c r="K5015">
        <v>2548.9499999999998</v>
      </c>
      <c r="L5015" s="5">
        <v>46294</v>
      </c>
      <c r="M5015" t="s">
        <v>10627</v>
      </c>
      <c r="N5015" t="s">
        <v>207</v>
      </c>
      <c r="O5015" t="s">
        <v>10833</v>
      </c>
      <c r="P5015" t="s">
        <v>208</v>
      </c>
      <c r="Q5015" t="s">
        <v>209</v>
      </c>
    </row>
    <row r="5016" spans="1:17" x14ac:dyDescent="0.3">
      <c r="A5016" t="s">
        <v>10834</v>
      </c>
      <c r="C5016" t="s">
        <v>10835</v>
      </c>
      <c r="D5016" t="s">
        <v>10835</v>
      </c>
      <c r="E5016" s="5">
        <v>46292</v>
      </c>
      <c r="F5016" t="s">
        <v>204</v>
      </c>
      <c r="G5016" t="s">
        <v>255</v>
      </c>
      <c r="H5016">
        <v>6798</v>
      </c>
      <c r="I5016">
        <v>81.58</v>
      </c>
      <c r="J5016">
        <v>14.68</v>
      </c>
      <c r="K5016">
        <v>6701.74</v>
      </c>
      <c r="L5016" s="5">
        <v>46294</v>
      </c>
      <c r="M5016" t="s">
        <v>10627</v>
      </c>
      <c r="N5016" t="s">
        <v>207</v>
      </c>
      <c r="O5016" t="s">
        <v>10835</v>
      </c>
      <c r="P5016" t="s">
        <v>208</v>
      </c>
      <c r="Q5016" t="s">
        <v>209</v>
      </c>
    </row>
    <row r="5017" spans="1:17" x14ac:dyDescent="0.3">
      <c r="A5017" t="s">
        <v>10836</v>
      </c>
      <c r="C5017" t="s">
        <v>10837</v>
      </c>
      <c r="D5017" t="s">
        <v>10837</v>
      </c>
      <c r="E5017" s="5">
        <v>46292</v>
      </c>
      <c r="F5017" t="s">
        <v>204</v>
      </c>
      <c r="G5017" t="s">
        <v>205</v>
      </c>
      <c r="H5017">
        <v>499</v>
      </c>
      <c r="I5017">
        <v>9.48</v>
      </c>
      <c r="J5017">
        <v>1.71</v>
      </c>
      <c r="K5017">
        <v>487.81</v>
      </c>
      <c r="L5017" s="5">
        <v>46294</v>
      </c>
      <c r="M5017" t="s">
        <v>10627</v>
      </c>
      <c r="N5017" t="s">
        <v>207</v>
      </c>
      <c r="O5017" t="s">
        <v>10837</v>
      </c>
      <c r="P5017" t="s">
        <v>208</v>
      </c>
      <c r="Q5017" t="s">
        <v>209</v>
      </c>
    </row>
    <row r="5018" spans="1:17" x14ac:dyDescent="0.3">
      <c r="A5018" t="s">
        <v>10838</v>
      </c>
      <c r="C5018" t="s">
        <v>10839</v>
      </c>
      <c r="D5018" t="s">
        <v>10839</v>
      </c>
      <c r="E5018" s="5">
        <v>46292</v>
      </c>
      <c r="F5018" t="s">
        <v>204</v>
      </c>
      <c r="G5018" t="s">
        <v>220</v>
      </c>
      <c r="H5018">
        <v>7997</v>
      </c>
      <c r="I5018">
        <v>23.99</v>
      </c>
      <c r="J5018">
        <v>4.32</v>
      </c>
      <c r="K5018">
        <v>7968.69</v>
      </c>
      <c r="L5018" s="5">
        <v>46294</v>
      </c>
      <c r="M5018" t="s">
        <v>10627</v>
      </c>
      <c r="N5018" t="s">
        <v>207</v>
      </c>
      <c r="O5018" t="s">
        <v>10839</v>
      </c>
      <c r="P5018" t="s">
        <v>208</v>
      </c>
      <c r="Q5018" t="s">
        <v>209</v>
      </c>
    </row>
    <row r="5019" spans="1:17" x14ac:dyDescent="0.3">
      <c r="A5019" t="s">
        <v>10840</v>
      </c>
      <c r="C5019" t="s">
        <v>10841</v>
      </c>
      <c r="D5019" t="s">
        <v>10841</v>
      </c>
      <c r="E5019" s="5">
        <v>46292</v>
      </c>
      <c r="F5019" t="s">
        <v>204</v>
      </c>
      <c r="G5019" t="s">
        <v>220</v>
      </c>
      <c r="H5019">
        <v>349</v>
      </c>
      <c r="I5019">
        <v>0</v>
      </c>
      <c r="J5019">
        <v>0</v>
      </c>
      <c r="K5019">
        <v>349</v>
      </c>
      <c r="L5019" s="5">
        <v>46294</v>
      </c>
      <c r="M5019" t="s">
        <v>10627</v>
      </c>
      <c r="N5019" t="s">
        <v>207</v>
      </c>
      <c r="O5019" t="s">
        <v>10841</v>
      </c>
      <c r="P5019" t="s">
        <v>208</v>
      </c>
      <c r="Q5019" t="s">
        <v>209</v>
      </c>
    </row>
    <row r="5020" spans="1:17" x14ac:dyDescent="0.3">
      <c r="A5020" t="s">
        <v>10842</v>
      </c>
      <c r="C5020" t="s">
        <v>10843</v>
      </c>
      <c r="D5020" t="s">
        <v>10843</v>
      </c>
      <c r="E5020" s="5">
        <v>46292</v>
      </c>
      <c r="F5020" t="s">
        <v>204</v>
      </c>
      <c r="G5020" t="s">
        <v>220</v>
      </c>
      <c r="H5020">
        <v>999</v>
      </c>
      <c r="I5020">
        <v>0</v>
      </c>
      <c r="J5020">
        <v>0</v>
      </c>
      <c r="K5020">
        <v>999</v>
      </c>
      <c r="L5020" s="5">
        <v>46294</v>
      </c>
      <c r="M5020" t="s">
        <v>10627</v>
      </c>
      <c r="N5020" t="s">
        <v>207</v>
      </c>
      <c r="O5020" t="s">
        <v>10843</v>
      </c>
      <c r="P5020" t="s">
        <v>208</v>
      </c>
      <c r="Q5020" t="s">
        <v>209</v>
      </c>
    </row>
    <row r="5021" spans="1:17" x14ac:dyDescent="0.3">
      <c r="A5021" t="s">
        <v>10844</v>
      </c>
      <c r="C5021" t="s">
        <v>10845</v>
      </c>
      <c r="D5021" t="s">
        <v>10845</v>
      </c>
      <c r="E5021" s="5">
        <v>46292</v>
      </c>
      <c r="F5021" t="s">
        <v>204</v>
      </c>
      <c r="G5021" t="s">
        <v>213</v>
      </c>
      <c r="H5021">
        <v>10297</v>
      </c>
      <c r="I5021">
        <v>164.75</v>
      </c>
      <c r="J5021">
        <v>29.66</v>
      </c>
      <c r="K5021">
        <v>10102.59</v>
      </c>
      <c r="L5021" s="5">
        <v>46294</v>
      </c>
      <c r="M5021" t="s">
        <v>10627</v>
      </c>
      <c r="N5021" t="s">
        <v>207</v>
      </c>
      <c r="O5021" t="s">
        <v>10845</v>
      </c>
      <c r="P5021" t="s">
        <v>208</v>
      </c>
      <c r="Q5021" t="s">
        <v>209</v>
      </c>
    </row>
    <row r="5022" spans="1:17" x14ac:dyDescent="0.3">
      <c r="A5022" t="s">
        <v>10846</v>
      </c>
      <c r="C5022" t="s">
        <v>10847</v>
      </c>
      <c r="D5022" t="s">
        <v>10848</v>
      </c>
      <c r="E5022" s="5">
        <v>46292</v>
      </c>
      <c r="F5022" t="s">
        <v>204</v>
      </c>
      <c r="G5022" t="s">
        <v>205</v>
      </c>
      <c r="H5022">
        <v>3797</v>
      </c>
      <c r="I5022">
        <v>64.55</v>
      </c>
      <c r="J5022">
        <v>11.62</v>
      </c>
      <c r="K5022">
        <v>3720.83</v>
      </c>
      <c r="L5022" s="5">
        <v>46294</v>
      </c>
      <c r="M5022" t="s">
        <v>10627</v>
      </c>
      <c r="N5022" t="s">
        <v>207</v>
      </c>
      <c r="O5022" t="s">
        <v>10848</v>
      </c>
      <c r="P5022" t="s">
        <v>208</v>
      </c>
      <c r="Q5022" t="s">
        <v>209</v>
      </c>
    </row>
    <row r="5023" spans="1:17" x14ac:dyDescent="0.3">
      <c r="A5023" t="s">
        <v>10849</v>
      </c>
      <c r="C5023" t="s">
        <v>10850</v>
      </c>
      <c r="D5023" t="s">
        <v>10850</v>
      </c>
      <c r="E5023" s="5">
        <v>46292</v>
      </c>
      <c r="F5023" t="s">
        <v>204</v>
      </c>
      <c r="G5023" t="s">
        <v>205</v>
      </c>
      <c r="H5023">
        <v>798</v>
      </c>
      <c r="I5023">
        <v>15.16</v>
      </c>
      <c r="J5023">
        <v>2.73</v>
      </c>
      <c r="K5023">
        <v>780.11</v>
      </c>
      <c r="L5023" s="5">
        <v>46294</v>
      </c>
      <c r="M5023" t="s">
        <v>10627</v>
      </c>
      <c r="N5023" t="s">
        <v>207</v>
      </c>
      <c r="O5023" t="s">
        <v>10850</v>
      </c>
      <c r="P5023" t="s">
        <v>208</v>
      </c>
      <c r="Q5023" t="s">
        <v>209</v>
      </c>
    </row>
    <row r="5024" spans="1:17" x14ac:dyDescent="0.3">
      <c r="A5024" t="s">
        <v>10851</v>
      </c>
      <c r="C5024" t="s">
        <v>10852</v>
      </c>
      <c r="D5024" t="s">
        <v>10852</v>
      </c>
      <c r="E5024" s="5">
        <v>46292</v>
      </c>
      <c r="F5024" t="s">
        <v>204</v>
      </c>
      <c r="G5024" t="s">
        <v>220</v>
      </c>
      <c r="H5024">
        <v>1298</v>
      </c>
      <c r="I5024">
        <v>0</v>
      </c>
      <c r="J5024">
        <v>0</v>
      </c>
      <c r="K5024">
        <v>1298</v>
      </c>
      <c r="L5024" s="5">
        <v>46294</v>
      </c>
      <c r="M5024" t="s">
        <v>10627</v>
      </c>
      <c r="N5024" t="s">
        <v>207</v>
      </c>
      <c r="O5024" t="s">
        <v>10852</v>
      </c>
      <c r="P5024" t="s">
        <v>208</v>
      </c>
      <c r="Q5024" t="s">
        <v>209</v>
      </c>
    </row>
    <row r="5025" spans="1:17" x14ac:dyDescent="0.3">
      <c r="A5025" t="s">
        <v>10853</v>
      </c>
      <c r="C5025" t="s">
        <v>10854</v>
      </c>
      <c r="D5025" t="s">
        <v>10854</v>
      </c>
      <c r="E5025" s="5">
        <v>46292</v>
      </c>
      <c r="F5025" t="s">
        <v>204</v>
      </c>
      <c r="G5025" t="s">
        <v>220</v>
      </c>
      <c r="H5025">
        <v>499</v>
      </c>
      <c r="I5025">
        <v>0</v>
      </c>
      <c r="J5025">
        <v>0</v>
      </c>
      <c r="K5025">
        <v>499</v>
      </c>
      <c r="L5025" s="5">
        <v>46294</v>
      </c>
      <c r="M5025" t="s">
        <v>10627</v>
      </c>
      <c r="N5025" t="s">
        <v>207</v>
      </c>
      <c r="O5025" t="s">
        <v>10854</v>
      </c>
      <c r="P5025" t="s">
        <v>208</v>
      </c>
      <c r="Q5025" t="s">
        <v>209</v>
      </c>
    </row>
    <row r="5026" spans="1:17" x14ac:dyDescent="0.3">
      <c r="A5026" t="s">
        <v>10855</v>
      </c>
      <c r="C5026" t="s">
        <v>10856</v>
      </c>
      <c r="D5026" t="s">
        <v>10856</v>
      </c>
      <c r="E5026" s="5">
        <v>46292</v>
      </c>
      <c r="F5026" t="s">
        <v>204</v>
      </c>
      <c r="G5026" t="s">
        <v>220</v>
      </c>
      <c r="H5026">
        <v>4997</v>
      </c>
      <c r="I5026">
        <v>14.99</v>
      </c>
      <c r="J5026">
        <v>2.7</v>
      </c>
      <c r="K5026">
        <v>4979.3100000000004</v>
      </c>
      <c r="L5026" s="5">
        <v>46294</v>
      </c>
      <c r="M5026" t="s">
        <v>10627</v>
      </c>
      <c r="N5026" t="s">
        <v>207</v>
      </c>
      <c r="O5026" t="s">
        <v>10856</v>
      </c>
      <c r="P5026" t="s">
        <v>208</v>
      </c>
      <c r="Q5026" t="s">
        <v>209</v>
      </c>
    </row>
    <row r="5027" spans="1:17" x14ac:dyDescent="0.3">
      <c r="A5027" t="s">
        <v>10857</v>
      </c>
      <c r="C5027" t="s">
        <v>10858</v>
      </c>
      <c r="D5027" t="s">
        <v>10858</v>
      </c>
      <c r="E5027" s="5">
        <v>46292</v>
      </c>
      <c r="F5027" t="s">
        <v>204</v>
      </c>
      <c r="G5027" t="s">
        <v>220</v>
      </c>
      <c r="H5027">
        <v>798</v>
      </c>
      <c r="I5027">
        <v>0</v>
      </c>
      <c r="J5027">
        <v>0</v>
      </c>
      <c r="K5027">
        <v>798</v>
      </c>
      <c r="L5027" s="5">
        <v>46294</v>
      </c>
      <c r="M5027" t="s">
        <v>10627</v>
      </c>
      <c r="N5027" t="s">
        <v>207</v>
      </c>
      <c r="O5027" t="s">
        <v>10858</v>
      </c>
      <c r="P5027" t="s">
        <v>208</v>
      </c>
      <c r="Q5027" t="s">
        <v>209</v>
      </c>
    </row>
    <row r="5028" spans="1:17" x14ac:dyDescent="0.3">
      <c r="A5028" t="s">
        <v>10859</v>
      </c>
      <c r="C5028" t="s">
        <v>10860</v>
      </c>
      <c r="D5028" t="s">
        <v>10860</v>
      </c>
      <c r="E5028" s="5">
        <v>46292</v>
      </c>
      <c r="F5028" t="s">
        <v>204</v>
      </c>
      <c r="G5028" t="s">
        <v>205</v>
      </c>
      <c r="H5028">
        <v>4999</v>
      </c>
      <c r="I5028">
        <v>84.98</v>
      </c>
      <c r="J5028">
        <v>15.3</v>
      </c>
      <c r="K5028">
        <v>4898.72</v>
      </c>
      <c r="L5028" s="5">
        <v>46294</v>
      </c>
      <c r="M5028" t="s">
        <v>10627</v>
      </c>
      <c r="N5028" t="s">
        <v>207</v>
      </c>
      <c r="O5028" t="s">
        <v>10860</v>
      </c>
      <c r="P5028" t="s">
        <v>208</v>
      </c>
      <c r="Q5028" t="s">
        <v>209</v>
      </c>
    </row>
    <row r="5029" spans="1:17" x14ac:dyDescent="0.3">
      <c r="A5029" t="s">
        <v>10861</v>
      </c>
      <c r="C5029" t="s">
        <v>10862</v>
      </c>
      <c r="D5029" t="s">
        <v>10862</v>
      </c>
      <c r="E5029" s="5">
        <v>46292</v>
      </c>
      <c r="F5029" t="s">
        <v>204</v>
      </c>
      <c r="G5029" t="s">
        <v>220</v>
      </c>
      <c r="H5029">
        <v>2098</v>
      </c>
      <c r="I5029">
        <v>6.29</v>
      </c>
      <c r="J5029">
        <v>1.1299999999999999</v>
      </c>
      <c r="K5029">
        <v>2090.58</v>
      </c>
      <c r="L5029" s="5">
        <v>46294</v>
      </c>
      <c r="M5029" t="s">
        <v>10627</v>
      </c>
      <c r="N5029" t="s">
        <v>207</v>
      </c>
      <c r="O5029" t="s">
        <v>10862</v>
      </c>
      <c r="P5029" t="s">
        <v>208</v>
      </c>
      <c r="Q5029" t="s">
        <v>209</v>
      </c>
    </row>
    <row r="5030" spans="1:17" x14ac:dyDescent="0.3">
      <c r="A5030" t="s">
        <v>10863</v>
      </c>
      <c r="C5030" t="s">
        <v>10864</v>
      </c>
      <c r="D5030" t="s">
        <v>10864</v>
      </c>
      <c r="E5030" s="5">
        <v>46292</v>
      </c>
      <c r="F5030" t="s">
        <v>204</v>
      </c>
      <c r="G5030" t="s">
        <v>220</v>
      </c>
      <c r="H5030">
        <v>1499</v>
      </c>
      <c r="I5030">
        <v>0</v>
      </c>
      <c r="J5030">
        <v>0</v>
      </c>
      <c r="K5030">
        <v>1499</v>
      </c>
      <c r="L5030" s="5">
        <v>46294</v>
      </c>
      <c r="M5030" t="s">
        <v>10627</v>
      </c>
      <c r="N5030" t="s">
        <v>207</v>
      </c>
      <c r="O5030" t="s">
        <v>10864</v>
      </c>
      <c r="P5030" t="s">
        <v>208</v>
      </c>
      <c r="Q5030" t="s">
        <v>209</v>
      </c>
    </row>
    <row r="5031" spans="1:17" x14ac:dyDescent="0.3">
      <c r="A5031" t="s">
        <v>10865</v>
      </c>
      <c r="C5031" t="s">
        <v>10866</v>
      </c>
      <c r="D5031" t="s">
        <v>10866</v>
      </c>
      <c r="E5031" s="5">
        <v>46292</v>
      </c>
      <c r="F5031" t="s">
        <v>204</v>
      </c>
      <c r="G5031" t="s">
        <v>220</v>
      </c>
      <c r="H5031">
        <v>1499</v>
      </c>
      <c r="I5031">
        <v>0</v>
      </c>
      <c r="J5031">
        <v>0</v>
      </c>
      <c r="K5031">
        <v>1499</v>
      </c>
      <c r="L5031" s="5">
        <v>46294</v>
      </c>
      <c r="M5031" t="s">
        <v>10627</v>
      </c>
      <c r="N5031" t="s">
        <v>207</v>
      </c>
      <c r="O5031" t="s">
        <v>10866</v>
      </c>
      <c r="P5031" t="s">
        <v>208</v>
      </c>
      <c r="Q5031" t="s">
        <v>209</v>
      </c>
    </row>
    <row r="5032" spans="1:17" x14ac:dyDescent="0.3">
      <c r="A5032" t="s">
        <v>10867</v>
      </c>
      <c r="C5032" t="s">
        <v>10868</v>
      </c>
      <c r="D5032" t="s">
        <v>10868</v>
      </c>
      <c r="E5032" s="5">
        <v>46292</v>
      </c>
      <c r="F5032" t="s">
        <v>204</v>
      </c>
      <c r="G5032" t="s">
        <v>255</v>
      </c>
      <c r="H5032">
        <v>4999</v>
      </c>
      <c r="I5032">
        <v>59.99</v>
      </c>
      <c r="J5032">
        <v>10.8</v>
      </c>
      <c r="K5032">
        <v>4928.21</v>
      </c>
      <c r="L5032" s="5">
        <v>46294</v>
      </c>
      <c r="M5032" t="s">
        <v>10627</v>
      </c>
      <c r="N5032" t="s">
        <v>207</v>
      </c>
      <c r="O5032" t="s">
        <v>10868</v>
      </c>
      <c r="P5032" t="s">
        <v>208</v>
      </c>
      <c r="Q5032" t="s">
        <v>209</v>
      </c>
    </row>
    <row r="5033" spans="1:17" x14ac:dyDescent="0.3">
      <c r="A5033" t="s">
        <v>10869</v>
      </c>
      <c r="C5033" t="s">
        <v>10870</v>
      </c>
      <c r="D5033" t="s">
        <v>10870</v>
      </c>
      <c r="E5033" s="5">
        <v>46292</v>
      </c>
      <c r="F5033" t="s">
        <v>204</v>
      </c>
      <c r="G5033" t="s">
        <v>220</v>
      </c>
      <c r="H5033">
        <v>8998</v>
      </c>
      <c r="I5033">
        <v>26.99</v>
      </c>
      <c r="J5033">
        <v>4.8600000000000003</v>
      </c>
      <c r="K5033">
        <v>8966.15</v>
      </c>
      <c r="L5033" s="5">
        <v>46294</v>
      </c>
      <c r="M5033" t="s">
        <v>10627</v>
      </c>
      <c r="N5033" t="s">
        <v>207</v>
      </c>
      <c r="O5033" t="s">
        <v>10870</v>
      </c>
      <c r="P5033" t="s">
        <v>208</v>
      </c>
      <c r="Q5033" t="s">
        <v>209</v>
      </c>
    </row>
    <row r="5034" spans="1:17" x14ac:dyDescent="0.3">
      <c r="A5034" t="s">
        <v>10871</v>
      </c>
      <c r="C5034" t="s">
        <v>10872</v>
      </c>
      <c r="D5034" t="s">
        <v>10872</v>
      </c>
      <c r="E5034" s="5">
        <v>46292</v>
      </c>
      <c r="F5034" t="s">
        <v>204</v>
      </c>
      <c r="G5034" t="s">
        <v>255</v>
      </c>
      <c r="H5034">
        <v>1848</v>
      </c>
      <c r="I5034">
        <v>27.72</v>
      </c>
      <c r="J5034">
        <v>4.99</v>
      </c>
      <c r="K5034">
        <v>1815.29</v>
      </c>
      <c r="L5034" s="5">
        <v>46294</v>
      </c>
      <c r="M5034" t="s">
        <v>10627</v>
      </c>
      <c r="N5034" t="s">
        <v>207</v>
      </c>
      <c r="O5034" t="s">
        <v>10872</v>
      </c>
      <c r="P5034" t="s">
        <v>208</v>
      </c>
      <c r="Q5034" t="s">
        <v>209</v>
      </c>
    </row>
    <row r="5035" spans="1:17" x14ac:dyDescent="0.3">
      <c r="A5035" t="s">
        <v>10873</v>
      </c>
      <c r="C5035" t="s">
        <v>10874</v>
      </c>
      <c r="D5035" t="s">
        <v>10874</v>
      </c>
      <c r="E5035" s="5">
        <v>46292</v>
      </c>
      <c r="F5035" t="s">
        <v>204</v>
      </c>
      <c r="G5035" t="s">
        <v>255</v>
      </c>
      <c r="H5035">
        <v>7999</v>
      </c>
      <c r="I5035">
        <v>95.99</v>
      </c>
      <c r="J5035">
        <v>17.28</v>
      </c>
      <c r="K5035">
        <v>7885.73</v>
      </c>
      <c r="L5035" s="5">
        <v>46294</v>
      </c>
      <c r="M5035" t="s">
        <v>10627</v>
      </c>
      <c r="N5035" t="s">
        <v>207</v>
      </c>
      <c r="O5035" t="s">
        <v>10874</v>
      </c>
      <c r="P5035" t="s">
        <v>208</v>
      </c>
      <c r="Q5035" t="s">
        <v>209</v>
      </c>
    </row>
    <row r="5036" spans="1:17" x14ac:dyDescent="0.3">
      <c r="A5036" t="s">
        <v>10875</v>
      </c>
      <c r="C5036" t="s">
        <v>10876</v>
      </c>
      <c r="D5036" t="s">
        <v>10876</v>
      </c>
      <c r="E5036" s="5">
        <v>46292</v>
      </c>
      <c r="F5036" t="s">
        <v>204</v>
      </c>
      <c r="G5036" t="s">
        <v>220</v>
      </c>
      <c r="H5036">
        <v>2499</v>
      </c>
      <c r="I5036">
        <v>7.5</v>
      </c>
      <c r="J5036">
        <v>1.35</v>
      </c>
      <c r="K5036">
        <v>2490.15</v>
      </c>
      <c r="L5036" s="5">
        <v>46294</v>
      </c>
      <c r="M5036" t="s">
        <v>10627</v>
      </c>
      <c r="N5036" t="s">
        <v>207</v>
      </c>
      <c r="O5036" t="s">
        <v>10876</v>
      </c>
      <c r="P5036" t="s">
        <v>208</v>
      </c>
      <c r="Q5036" t="s">
        <v>209</v>
      </c>
    </row>
    <row r="5037" spans="1:17" x14ac:dyDescent="0.3">
      <c r="A5037" t="s">
        <v>10877</v>
      </c>
      <c r="C5037" t="s">
        <v>10878</v>
      </c>
      <c r="D5037" t="s">
        <v>10878</v>
      </c>
      <c r="E5037" s="5">
        <v>46292</v>
      </c>
      <c r="F5037" t="s">
        <v>204</v>
      </c>
      <c r="G5037" t="s">
        <v>213</v>
      </c>
      <c r="H5037">
        <v>1298</v>
      </c>
      <c r="I5037">
        <v>23.36</v>
      </c>
      <c r="J5037">
        <v>4.2</v>
      </c>
      <c r="K5037">
        <v>1270.44</v>
      </c>
      <c r="L5037" s="5">
        <v>46294</v>
      </c>
      <c r="M5037" t="s">
        <v>10627</v>
      </c>
      <c r="N5037" t="s">
        <v>207</v>
      </c>
      <c r="O5037" t="s">
        <v>10878</v>
      </c>
      <c r="P5037" t="s">
        <v>208</v>
      </c>
      <c r="Q5037" t="s">
        <v>209</v>
      </c>
    </row>
    <row r="5038" spans="1:17" x14ac:dyDescent="0.3">
      <c r="A5038" t="s">
        <v>10879</v>
      </c>
      <c r="C5038" t="s">
        <v>10880</v>
      </c>
      <c r="D5038" t="s">
        <v>10881</v>
      </c>
      <c r="E5038" s="5">
        <v>46292</v>
      </c>
      <c r="F5038" t="s">
        <v>204</v>
      </c>
      <c r="G5038" t="s">
        <v>220</v>
      </c>
      <c r="H5038">
        <v>3499</v>
      </c>
      <c r="I5038">
        <v>10.5</v>
      </c>
      <c r="J5038">
        <v>1.89</v>
      </c>
      <c r="K5038">
        <v>3486.61</v>
      </c>
      <c r="L5038" s="5">
        <v>46294</v>
      </c>
      <c r="M5038" t="s">
        <v>10627</v>
      </c>
      <c r="N5038" t="s">
        <v>207</v>
      </c>
      <c r="O5038" t="s">
        <v>10881</v>
      </c>
      <c r="P5038" t="s">
        <v>208</v>
      </c>
      <c r="Q5038" t="s">
        <v>209</v>
      </c>
    </row>
    <row r="5039" spans="1:17" x14ac:dyDescent="0.3">
      <c r="A5039" t="s">
        <v>10882</v>
      </c>
      <c r="C5039" t="s">
        <v>10883</v>
      </c>
      <c r="D5039" t="s">
        <v>10883</v>
      </c>
      <c r="E5039" s="5">
        <v>46292</v>
      </c>
      <c r="F5039" t="s">
        <v>204</v>
      </c>
      <c r="G5039" t="s">
        <v>255</v>
      </c>
      <c r="H5039">
        <v>3348</v>
      </c>
      <c r="I5039">
        <v>40.18</v>
      </c>
      <c r="J5039">
        <v>7.23</v>
      </c>
      <c r="K5039">
        <v>3300.59</v>
      </c>
      <c r="L5039" s="5">
        <v>46294</v>
      </c>
      <c r="M5039" t="s">
        <v>10627</v>
      </c>
      <c r="N5039" t="s">
        <v>207</v>
      </c>
      <c r="O5039" t="s">
        <v>10883</v>
      </c>
      <c r="P5039" t="s">
        <v>208</v>
      </c>
      <c r="Q5039" t="s">
        <v>209</v>
      </c>
    </row>
    <row r="5040" spans="1:17" x14ac:dyDescent="0.3">
      <c r="A5040" t="s">
        <v>10884</v>
      </c>
      <c r="C5040" t="s">
        <v>10885</v>
      </c>
      <c r="D5040" t="s">
        <v>10885</v>
      </c>
      <c r="E5040" s="5">
        <v>46292</v>
      </c>
      <c r="F5040" t="s">
        <v>204</v>
      </c>
      <c r="G5040" t="s">
        <v>220</v>
      </c>
      <c r="H5040">
        <v>2499</v>
      </c>
      <c r="I5040">
        <v>7.5</v>
      </c>
      <c r="J5040">
        <v>1.35</v>
      </c>
      <c r="K5040">
        <v>2490.15</v>
      </c>
      <c r="L5040" s="5">
        <v>46294</v>
      </c>
      <c r="M5040" t="s">
        <v>10627</v>
      </c>
      <c r="N5040" t="s">
        <v>207</v>
      </c>
      <c r="O5040" t="s">
        <v>10885</v>
      </c>
      <c r="P5040" t="s">
        <v>208</v>
      </c>
      <c r="Q5040" t="s">
        <v>209</v>
      </c>
    </row>
    <row r="5041" spans="1:17" x14ac:dyDescent="0.3">
      <c r="A5041" t="s">
        <v>10886</v>
      </c>
      <c r="C5041" t="s">
        <v>10887</v>
      </c>
      <c r="D5041" t="s">
        <v>10887</v>
      </c>
      <c r="E5041" s="5">
        <v>46292</v>
      </c>
      <c r="F5041" t="s">
        <v>204</v>
      </c>
      <c r="G5041" t="s">
        <v>255</v>
      </c>
      <c r="H5041">
        <v>3499</v>
      </c>
      <c r="I5041">
        <v>41.99</v>
      </c>
      <c r="J5041">
        <v>7.56</v>
      </c>
      <c r="K5041">
        <v>3449.45</v>
      </c>
      <c r="L5041" s="5">
        <v>46294</v>
      </c>
      <c r="M5041" t="s">
        <v>10627</v>
      </c>
      <c r="N5041" t="s">
        <v>207</v>
      </c>
      <c r="O5041" t="s">
        <v>10887</v>
      </c>
      <c r="P5041" t="s">
        <v>208</v>
      </c>
      <c r="Q5041" t="s">
        <v>209</v>
      </c>
    </row>
    <row r="5042" spans="1:17" x14ac:dyDescent="0.3">
      <c r="A5042" t="s">
        <v>10888</v>
      </c>
      <c r="C5042" t="s">
        <v>10889</v>
      </c>
      <c r="D5042" t="s">
        <v>10889</v>
      </c>
      <c r="E5042" s="5">
        <v>46292</v>
      </c>
      <c r="F5042" t="s">
        <v>204</v>
      </c>
      <c r="G5042" t="s">
        <v>213</v>
      </c>
      <c r="H5042">
        <v>1499</v>
      </c>
      <c r="I5042">
        <v>26.98</v>
      </c>
      <c r="J5042">
        <v>4.8600000000000003</v>
      </c>
      <c r="K5042">
        <v>1467.16</v>
      </c>
      <c r="L5042" s="5">
        <v>46294</v>
      </c>
      <c r="M5042" t="s">
        <v>10627</v>
      </c>
      <c r="N5042" t="s">
        <v>207</v>
      </c>
      <c r="O5042" t="s">
        <v>10889</v>
      </c>
      <c r="P5042" t="s">
        <v>208</v>
      </c>
      <c r="Q5042" t="s">
        <v>209</v>
      </c>
    </row>
    <row r="5043" spans="1:17" x14ac:dyDescent="0.3">
      <c r="A5043" t="s">
        <v>10890</v>
      </c>
      <c r="C5043" t="s">
        <v>10891</v>
      </c>
      <c r="D5043" t="s">
        <v>10891</v>
      </c>
      <c r="E5043" s="5">
        <v>46292</v>
      </c>
      <c r="F5043" t="s">
        <v>204</v>
      </c>
      <c r="G5043" t="s">
        <v>220</v>
      </c>
      <c r="H5043">
        <v>8498</v>
      </c>
      <c r="I5043">
        <v>25.49</v>
      </c>
      <c r="J5043">
        <v>4.59</v>
      </c>
      <c r="K5043">
        <v>8467.92</v>
      </c>
      <c r="L5043" s="5">
        <v>46294</v>
      </c>
      <c r="M5043" t="s">
        <v>10627</v>
      </c>
      <c r="N5043" t="s">
        <v>207</v>
      </c>
      <c r="O5043" t="s">
        <v>10891</v>
      </c>
      <c r="P5043" t="s">
        <v>208</v>
      </c>
      <c r="Q5043" t="s">
        <v>209</v>
      </c>
    </row>
    <row r="5044" spans="1:17" x14ac:dyDescent="0.3">
      <c r="A5044" t="s">
        <v>10892</v>
      </c>
      <c r="C5044" t="s">
        <v>10893</v>
      </c>
      <c r="D5044" t="s">
        <v>10893</v>
      </c>
      <c r="E5044" s="5">
        <v>46292</v>
      </c>
      <c r="F5044" t="s">
        <v>204</v>
      </c>
      <c r="G5044" t="s">
        <v>213</v>
      </c>
      <c r="H5044">
        <v>299</v>
      </c>
      <c r="I5044">
        <v>5.38</v>
      </c>
      <c r="J5044">
        <v>0.97</v>
      </c>
      <c r="K5044">
        <v>292.64999999999998</v>
      </c>
      <c r="L5044" s="5">
        <v>46294</v>
      </c>
      <c r="M5044" t="s">
        <v>10627</v>
      </c>
      <c r="N5044" t="s">
        <v>207</v>
      </c>
      <c r="O5044" t="s">
        <v>10893</v>
      </c>
      <c r="P5044" t="s">
        <v>208</v>
      </c>
      <c r="Q5044" t="s">
        <v>209</v>
      </c>
    </row>
    <row r="5045" spans="1:17" x14ac:dyDescent="0.3">
      <c r="A5045" t="s">
        <v>10894</v>
      </c>
      <c r="C5045" t="s">
        <v>10895</v>
      </c>
      <c r="D5045" t="s">
        <v>10895</v>
      </c>
      <c r="E5045" s="5">
        <v>46292</v>
      </c>
      <c r="F5045" t="s">
        <v>204</v>
      </c>
      <c r="G5045" t="s">
        <v>220</v>
      </c>
      <c r="H5045">
        <v>7999</v>
      </c>
      <c r="I5045">
        <v>24</v>
      </c>
      <c r="J5045">
        <v>4.32</v>
      </c>
      <c r="K5045">
        <v>7970.68</v>
      </c>
      <c r="L5045" s="5">
        <v>46294</v>
      </c>
      <c r="M5045" t="s">
        <v>10627</v>
      </c>
      <c r="N5045" t="s">
        <v>207</v>
      </c>
      <c r="O5045" t="s">
        <v>10895</v>
      </c>
      <c r="P5045" t="s">
        <v>208</v>
      </c>
      <c r="Q5045" t="s">
        <v>209</v>
      </c>
    </row>
    <row r="5046" spans="1:17" x14ac:dyDescent="0.3">
      <c r="A5046" t="s">
        <v>10896</v>
      </c>
      <c r="C5046" t="s">
        <v>10897</v>
      </c>
      <c r="D5046" t="s">
        <v>10897</v>
      </c>
      <c r="E5046" s="5">
        <v>46292</v>
      </c>
      <c r="F5046" t="s">
        <v>204</v>
      </c>
      <c r="G5046" t="s">
        <v>213</v>
      </c>
      <c r="H5046">
        <v>1947</v>
      </c>
      <c r="I5046">
        <v>35.049999999999997</v>
      </c>
      <c r="J5046">
        <v>6.31</v>
      </c>
      <c r="K5046">
        <v>1905.64</v>
      </c>
      <c r="L5046" s="5">
        <v>46294</v>
      </c>
      <c r="M5046" t="s">
        <v>10627</v>
      </c>
      <c r="N5046" t="s">
        <v>207</v>
      </c>
      <c r="O5046" t="s">
        <v>10897</v>
      </c>
      <c r="P5046" t="s">
        <v>208</v>
      </c>
      <c r="Q5046" t="s">
        <v>209</v>
      </c>
    </row>
    <row r="5047" spans="1:17" x14ac:dyDescent="0.3">
      <c r="A5047" t="s">
        <v>10898</v>
      </c>
      <c r="C5047" t="s">
        <v>10899</v>
      </c>
      <c r="D5047" t="s">
        <v>10900</v>
      </c>
      <c r="E5047" s="5">
        <v>46292</v>
      </c>
      <c r="F5047" t="s">
        <v>204</v>
      </c>
      <c r="G5047" t="s">
        <v>220</v>
      </c>
      <c r="H5047">
        <v>1799</v>
      </c>
      <c r="I5047">
        <v>0</v>
      </c>
      <c r="J5047">
        <v>0</v>
      </c>
      <c r="K5047">
        <v>1799</v>
      </c>
      <c r="L5047" s="5">
        <v>46294</v>
      </c>
      <c r="M5047" t="s">
        <v>10627</v>
      </c>
      <c r="N5047" t="s">
        <v>207</v>
      </c>
      <c r="O5047" t="s">
        <v>10900</v>
      </c>
      <c r="P5047" t="s">
        <v>208</v>
      </c>
      <c r="Q5047" t="s">
        <v>209</v>
      </c>
    </row>
    <row r="5048" spans="1:17" x14ac:dyDescent="0.3">
      <c r="A5048" t="s">
        <v>10901</v>
      </c>
      <c r="C5048" t="s">
        <v>10902</v>
      </c>
      <c r="D5048" t="s">
        <v>10902</v>
      </c>
      <c r="E5048" s="5">
        <v>46292</v>
      </c>
      <c r="F5048" t="s">
        <v>204</v>
      </c>
      <c r="G5048" t="s">
        <v>213</v>
      </c>
      <c r="H5048">
        <v>1499</v>
      </c>
      <c r="I5048">
        <v>26.98</v>
      </c>
      <c r="J5048">
        <v>4.8600000000000003</v>
      </c>
      <c r="K5048">
        <v>1467.16</v>
      </c>
      <c r="L5048" s="5">
        <v>46294</v>
      </c>
      <c r="M5048" t="s">
        <v>10627</v>
      </c>
      <c r="N5048" t="s">
        <v>207</v>
      </c>
      <c r="O5048" t="s">
        <v>10902</v>
      </c>
      <c r="P5048" t="s">
        <v>208</v>
      </c>
      <c r="Q5048" t="s">
        <v>209</v>
      </c>
    </row>
    <row r="5049" spans="1:17" x14ac:dyDescent="0.3">
      <c r="A5049" t="s">
        <v>10903</v>
      </c>
      <c r="C5049" t="s">
        <v>10904</v>
      </c>
      <c r="D5049" t="s">
        <v>10904</v>
      </c>
      <c r="E5049" s="5">
        <v>46292</v>
      </c>
      <c r="F5049" t="s">
        <v>204</v>
      </c>
      <c r="G5049" t="s">
        <v>220</v>
      </c>
      <c r="H5049">
        <v>3499</v>
      </c>
      <c r="I5049">
        <v>10.5</v>
      </c>
      <c r="J5049">
        <v>1.89</v>
      </c>
      <c r="K5049">
        <v>3486.61</v>
      </c>
      <c r="L5049" s="5">
        <v>46294</v>
      </c>
      <c r="M5049" t="s">
        <v>10627</v>
      </c>
      <c r="N5049" t="s">
        <v>207</v>
      </c>
      <c r="O5049" t="s">
        <v>10904</v>
      </c>
      <c r="P5049" t="s">
        <v>208</v>
      </c>
      <c r="Q5049" t="s">
        <v>209</v>
      </c>
    </row>
    <row r="5050" spans="1:17" x14ac:dyDescent="0.3">
      <c r="A5050" t="s">
        <v>10905</v>
      </c>
      <c r="C5050" t="s">
        <v>10906</v>
      </c>
      <c r="D5050" t="s">
        <v>10906</v>
      </c>
      <c r="E5050" s="5">
        <v>46292</v>
      </c>
      <c r="F5050" t="s">
        <v>204</v>
      </c>
      <c r="G5050" t="s">
        <v>213</v>
      </c>
      <c r="H5050">
        <v>4147</v>
      </c>
      <c r="I5050">
        <v>66.349999999999994</v>
      </c>
      <c r="J5050">
        <v>11.94</v>
      </c>
      <c r="K5050">
        <v>4068.71</v>
      </c>
      <c r="L5050" s="5">
        <v>46294</v>
      </c>
      <c r="M5050" t="s">
        <v>10627</v>
      </c>
      <c r="N5050" t="s">
        <v>207</v>
      </c>
      <c r="O5050" t="s">
        <v>10906</v>
      </c>
      <c r="P5050" t="s">
        <v>208</v>
      </c>
      <c r="Q5050" t="s">
        <v>209</v>
      </c>
    </row>
    <row r="5051" spans="1:17" x14ac:dyDescent="0.3">
      <c r="A5051" t="s">
        <v>10907</v>
      </c>
      <c r="C5051" t="s">
        <v>10908</v>
      </c>
      <c r="D5051" t="s">
        <v>10908</v>
      </c>
      <c r="E5051" s="5">
        <v>46292</v>
      </c>
      <c r="F5051" t="s">
        <v>204</v>
      </c>
      <c r="G5051" t="s">
        <v>213</v>
      </c>
      <c r="H5051">
        <v>299</v>
      </c>
      <c r="I5051">
        <v>5.38</v>
      </c>
      <c r="J5051">
        <v>0.97</v>
      </c>
      <c r="K5051">
        <v>292.64999999999998</v>
      </c>
      <c r="L5051" s="5">
        <v>46294</v>
      </c>
      <c r="M5051" t="s">
        <v>10627</v>
      </c>
      <c r="N5051" t="s">
        <v>207</v>
      </c>
      <c r="O5051" t="s">
        <v>10908</v>
      </c>
      <c r="P5051" t="s">
        <v>208</v>
      </c>
      <c r="Q5051" t="s">
        <v>209</v>
      </c>
    </row>
    <row r="5052" spans="1:17" x14ac:dyDescent="0.3">
      <c r="A5052" t="s">
        <v>10909</v>
      </c>
      <c r="C5052" t="s">
        <v>10910</v>
      </c>
      <c r="D5052" t="s">
        <v>10910</v>
      </c>
      <c r="E5052" s="5">
        <v>46292</v>
      </c>
      <c r="F5052" t="s">
        <v>204</v>
      </c>
      <c r="G5052" t="s">
        <v>213</v>
      </c>
      <c r="H5052">
        <v>299</v>
      </c>
      <c r="I5052">
        <v>5.38</v>
      </c>
      <c r="J5052">
        <v>0.97</v>
      </c>
      <c r="K5052">
        <v>292.64999999999998</v>
      </c>
      <c r="L5052" s="5">
        <v>46294</v>
      </c>
      <c r="M5052" t="s">
        <v>10627</v>
      </c>
      <c r="N5052" t="s">
        <v>207</v>
      </c>
      <c r="O5052" t="s">
        <v>10910</v>
      </c>
      <c r="P5052" t="s">
        <v>208</v>
      </c>
      <c r="Q5052" t="s">
        <v>209</v>
      </c>
    </row>
    <row r="5053" spans="1:17" x14ac:dyDescent="0.3">
      <c r="A5053" t="s">
        <v>10911</v>
      </c>
      <c r="C5053" t="s">
        <v>10912</v>
      </c>
      <c r="D5053" t="s">
        <v>10912</v>
      </c>
      <c r="E5053" s="5">
        <v>46292</v>
      </c>
      <c r="F5053" t="s">
        <v>204</v>
      </c>
      <c r="G5053" t="s">
        <v>255</v>
      </c>
      <c r="H5053">
        <v>4999</v>
      </c>
      <c r="I5053">
        <v>59.99</v>
      </c>
      <c r="J5053">
        <v>10.8</v>
      </c>
      <c r="K5053">
        <v>4928.21</v>
      </c>
      <c r="L5053" s="5">
        <v>46294</v>
      </c>
      <c r="M5053" t="s">
        <v>10627</v>
      </c>
      <c r="N5053" t="s">
        <v>207</v>
      </c>
      <c r="O5053" t="s">
        <v>10912</v>
      </c>
      <c r="P5053" t="s">
        <v>208</v>
      </c>
      <c r="Q5053" t="s">
        <v>209</v>
      </c>
    </row>
    <row r="5054" spans="1:17" x14ac:dyDescent="0.3">
      <c r="A5054" t="s">
        <v>10913</v>
      </c>
      <c r="C5054" t="s">
        <v>10914</v>
      </c>
      <c r="D5054" t="s">
        <v>10914</v>
      </c>
      <c r="E5054" s="5">
        <v>46292</v>
      </c>
      <c r="F5054" t="s">
        <v>204</v>
      </c>
      <c r="G5054" t="s">
        <v>220</v>
      </c>
      <c r="H5054">
        <v>1499</v>
      </c>
      <c r="I5054">
        <v>0</v>
      </c>
      <c r="J5054">
        <v>0</v>
      </c>
      <c r="K5054">
        <v>1499</v>
      </c>
      <c r="L5054" s="5">
        <v>46294</v>
      </c>
      <c r="M5054" t="s">
        <v>10627</v>
      </c>
      <c r="N5054" t="s">
        <v>207</v>
      </c>
      <c r="O5054" t="s">
        <v>10914</v>
      </c>
      <c r="P5054" t="s">
        <v>208</v>
      </c>
      <c r="Q5054" t="s">
        <v>209</v>
      </c>
    </row>
    <row r="5055" spans="1:17" x14ac:dyDescent="0.3">
      <c r="A5055" t="s">
        <v>10915</v>
      </c>
      <c r="C5055" t="s">
        <v>10916</v>
      </c>
      <c r="D5055" t="s">
        <v>10916</v>
      </c>
      <c r="E5055" s="5">
        <v>46292</v>
      </c>
      <c r="F5055" t="s">
        <v>204</v>
      </c>
      <c r="G5055" t="s">
        <v>220</v>
      </c>
      <c r="H5055">
        <v>1499</v>
      </c>
      <c r="I5055">
        <v>0</v>
      </c>
      <c r="J5055">
        <v>0</v>
      </c>
      <c r="K5055">
        <v>1499</v>
      </c>
      <c r="L5055" s="5">
        <v>46294</v>
      </c>
      <c r="M5055" t="s">
        <v>10627</v>
      </c>
      <c r="N5055" t="s">
        <v>207</v>
      </c>
      <c r="O5055" t="s">
        <v>10916</v>
      </c>
      <c r="P5055" t="s">
        <v>208</v>
      </c>
      <c r="Q5055" t="s">
        <v>209</v>
      </c>
    </row>
    <row r="5056" spans="1:17" x14ac:dyDescent="0.3">
      <c r="A5056" t="s">
        <v>10917</v>
      </c>
      <c r="C5056" t="s">
        <v>10918</v>
      </c>
      <c r="D5056" t="s">
        <v>10918</v>
      </c>
      <c r="E5056" s="5">
        <v>46292</v>
      </c>
      <c r="F5056" t="s">
        <v>204</v>
      </c>
      <c r="G5056" t="s">
        <v>205</v>
      </c>
      <c r="H5056">
        <v>3498</v>
      </c>
      <c r="I5056">
        <v>59.47</v>
      </c>
      <c r="J5056">
        <v>10.7</v>
      </c>
      <c r="K5056">
        <v>3427.83</v>
      </c>
      <c r="L5056" s="5">
        <v>46294</v>
      </c>
      <c r="M5056" t="s">
        <v>10627</v>
      </c>
      <c r="N5056" t="s">
        <v>207</v>
      </c>
      <c r="O5056" t="s">
        <v>10918</v>
      </c>
      <c r="P5056" t="s">
        <v>208</v>
      </c>
      <c r="Q5056" t="s">
        <v>209</v>
      </c>
    </row>
    <row r="5057" spans="1:17" x14ac:dyDescent="0.3">
      <c r="A5057" t="s">
        <v>10919</v>
      </c>
      <c r="C5057" t="s">
        <v>10920</v>
      </c>
      <c r="D5057" t="s">
        <v>10920</v>
      </c>
      <c r="E5057" s="5">
        <v>46292</v>
      </c>
      <c r="F5057" t="s">
        <v>204</v>
      </c>
      <c r="G5057" t="s">
        <v>220</v>
      </c>
      <c r="H5057">
        <v>7999</v>
      </c>
      <c r="I5057">
        <v>24</v>
      </c>
      <c r="J5057">
        <v>4.32</v>
      </c>
      <c r="K5057">
        <v>7970.68</v>
      </c>
      <c r="L5057" s="5">
        <v>46294</v>
      </c>
      <c r="M5057" t="s">
        <v>10627</v>
      </c>
      <c r="N5057" t="s">
        <v>207</v>
      </c>
      <c r="O5057" t="s">
        <v>10920</v>
      </c>
      <c r="P5057" t="s">
        <v>208</v>
      </c>
      <c r="Q5057" t="s">
        <v>209</v>
      </c>
    </row>
    <row r="5058" spans="1:17" x14ac:dyDescent="0.3">
      <c r="A5058" t="s">
        <v>10921</v>
      </c>
      <c r="C5058" t="s">
        <v>10922</v>
      </c>
      <c r="D5058" t="s">
        <v>10922</v>
      </c>
      <c r="E5058" s="5">
        <v>46292</v>
      </c>
      <c r="F5058" t="s">
        <v>204</v>
      </c>
      <c r="G5058" t="s">
        <v>213</v>
      </c>
      <c r="H5058">
        <v>998</v>
      </c>
      <c r="I5058">
        <v>17.96</v>
      </c>
      <c r="J5058">
        <v>3.23</v>
      </c>
      <c r="K5058">
        <v>976.81</v>
      </c>
      <c r="L5058" s="5">
        <v>46294</v>
      </c>
      <c r="M5058" t="s">
        <v>10627</v>
      </c>
      <c r="N5058" t="s">
        <v>207</v>
      </c>
      <c r="O5058" t="s">
        <v>10922</v>
      </c>
      <c r="P5058" t="s">
        <v>208</v>
      </c>
      <c r="Q5058" t="s">
        <v>209</v>
      </c>
    </row>
    <row r="5059" spans="1:17" x14ac:dyDescent="0.3">
      <c r="A5059" t="s">
        <v>10923</v>
      </c>
      <c r="C5059" t="s">
        <v>10924</v>
      </c>
      <c r="D5059" t="s">
        <v>10924</v>
      </c>
      <c r="E5059" s="5">
        <v>46292</v>
      </c>
      <c r="F5059" t="s">
        <v>204</v>
      </c>
      <c r="G5059" t="s">
        <v>220</v>
      </c>
      <c r="H5059">
        <v>2498</v>
      </c>
      <c r="I5059">
        <v>7.49</v>
      </c>
      <c r="J5059">
        <v>1.35</v>
      </c>
      <c r="K5059">
        <v>2489.16</v>
      </c>
      <c r="L5059" s="5">
        <v>46294</v>
      </c>
      <c r="M5059" t="s">
        <v>10627</v>
      </c>
      <c r="N5059" t="s">
        <v>207</v>
      </c>
      <c r="O5059" t="s">
        <v>10924</v>
      </c>
      <c r="P5059" t="s">
        <v>208</v>
      </c>
      <c r="Q5059" t="s">
        <v>209</v>
      </c>
    </row>
    <row r="5060" spans="1:17" x14ac:dyDescent="0.3">
      <c r="A5060" t="s">
        <v>10925</v>
      </c>
      <c r="C5060" t="s">
        <v>10926</v>
      </c>
      <c r="D5060" t="s">
        <v>10926</v>
      </c>
      <c r="E5060" s="5">
        <v>46292</v>
      </c>
      <c r="F5060" t="s">
        <v>204</v>
      </c>
      <c r="G5060" t="s">
        <v>213</v>
      </c>
      <c r="H5060">
        <v>349</v>
      </c>
      <c r="I5060">
        <v>6.28</v>
      </c>
      <c r="J5060">
        <v>1.1299999999999999</v>
      </c>
      <c r="K5060">
        <v>341.59</v>
      </c>
      <c r="L5060" s="5">
        <v>46294</v>
      </c>
      <c r="M5060" t="s">
        <v>10627</v>
      </c>
      <c r="N5060" t="s">
        <v>207</v>
      </c>
      <c r="O5060" t="s">
        <v>10926</v>
      </c>
      <c r="P5060" t="s">
        <v>208</v>
      </c>
      <c r="Q5060" t="s">
        <v>209</v>
      </c>
    </row>
    <row r="5061" spans="1:17" x14ac:dyDescent="0.3">
      <c r="A5061" t="s">
        <v>10927</v>
      </c>
      <c r="C5061" t="s">
        <v>10928</v>
      </c>
      <c r="D5061" t="s">
        <v>10928</v>
      </c>
      <c r="E5061" s="5">
        <v>46292</v>
      </c>
      <c r="F5061" t="s">
        <v>204</v>
      </c>
      <c r="G5061" t="s">
        <v>213</v>
      </c>
      <c r="H5061">
        <v>8998</v>
      </c>
      <c r="I5061">
        <v>143.97</v>
      </c>
      <c r="J5061">
        <v>25.91</v>
      </c>
      <c r="K5061">
        <v>8828.1200000000008</v>
      </c>
      <c r="L5061" s="5">
        <v>46294</v>
      </c>
      <c r="M5061" t="s">
        <v>10627</v>
      </c>
      <c r="N5061" t="s">
        <v>207</v>
      </c>
      <c r="O5061" t="s">
        <v>10928</v>
      </c>
      <c r="P5061" t="s">
        <v>208</v>
      </c>
      <c r="Q5061" t="s">
        <v>209</v>
      </c>
    </row>
    <row r="5062" spans="1:17" x14ac:dyDescent="0.3">
      <c r="A5062" t="s">
        <v>10929</v>
      </c>
      <c r="C5062" t="s">
        <v>10930</v>
      </c>
      <c r="D5062" t="s">
        <v>10930</v>
      </c>
      <c r="E5062" s="5">
        <v>46292</v>
      </c>
      <c r="F5062" t="s">
        <v>204</v>
      </c>
      <c r="G5062" t="s">
        <v>213</v>
      </c>
      <c r="H5062">
        <v>2999</v>
      </c>
      <c r="I5062">
        <v>47.98</v>
      </c>
      <c r="J5062">
        <v>8.64</v>
      </c>
      <c r="K5062">
        <v>2942.38</v>
      </c>
      <c r="L5062" s="5">
        <v>46294</v>
      </c>
      <c r="M5062" t="s">
        <v>10627</v>
      </c>
      <c r="N5062" t="s">
        <v>207</v>
      </c>
      <c r="O5062" t="s">
        <v>10930</v>
      </c>
      <c r="P5062" t="s">
        <v>208</v>
      </c>
      <c r="Q5062" t="s">
        <v>209</v>
      </c>
    </row>
    <row r="5063" spans="1:17" x14ac:dyDescent="0.3">
      <c r="A5063" t="s">
        <v>10931</v>
      </c>
      <c r="C5063" t="s">
        <v>10932</v>
      </c>
      <c r="D5063" t="s">
        <v>10932</v>
      </c>
      <c r="E5063" s="5">
        <v>46292</v>
      </c>
      <c r="F5063" t="s">
        <v>204</v>
      </c>
      <c r="G5063" t="s">
        <v>220</v>
      </c>
      <c r="H5063">
        <v>4298</v>
      </c>
      <c r="I5063">
        <v>12.89</v>
      </c>
      <c r="J5063">
        <v>2.3199999999999998</v>
      </c>
      <c r="K5063">
        <v>4282.79</v>
      </c>
      <c r="L5063" s="5">
        <v>46294</v>
      </c>
      <c r="M5063" t="s">
        <v>10627</v>
      </c>
      <c r="N5063" t="s">
        <v>207</v>
      </c>
      <c r="O5063" t="s">
        <v>10932</v>
      </c>
      <c r="P5063" t="s">
        <v>208</v>
      </c>
      <c r="Q5063" t="s">
        <v>209</v>
      </c>
    </row>
    <row r="5064" spans="1:17" x14ac:dyDescent="0.3">
      <c r="A5064" t="s">
        <v>10933</v>
      </c>
      <c r="C5064" t="s">
        <v>10934</v>
      </c>
      <c r="D5064" t="s">
        <v>10934</v>
      </c>
      <c r="E5064" s="5">
        <v>46292</v>
      </c>
      <c r="F5064" t="s">
        <v>204</v>
      </c>
      <c r="G5064" t="s">
        <v>220</v>
      </c>
      <c r="H5064">
        <v>4298</v>
      </c>
      <c r="I5064">
        <v>12.89</v>
      </c>
      <c r="J5064">
        <v>2.3199999999999998</v>
      </c>
      <c r="K5064">
        <v>4282.79</v>
      </c>
      <c r="L5064" s="5">
        <v>46294</v>
      </c>
      <c r="M5064" t="s">
        <v>10627</v>
      </c>
      <c r="N5064" t="s">
        <v>207</v>
      </c>
      <c r="O5064" t="s">
        <v>10934</v>
      </c>
      <c r="P5064" t="s">
        <v>208</v>
      </c>
      <c r="Q5064" t="s">
        <v>209</v>
      </c>
    </row>
    <row r="5065" spans="1:17" x14ac:dyDescent="0.3">
      <c r="A5065" t="s">
        <v>10935</v>
      </c>
      <c r="C5065" t="s">
        <v>10936</v>
      </c>
      <c r="D5065" t="s">
        <v>10936</v>
      </c>
      <c r="E5065" s="5">
        <v>46292</v>
      </c>
      <c r="F5065" t="s">
        <v>204</v>
      </c>
      <c r="G5065" t="s">
        <v>220</v>
      </c>
      <c r="H5065">
        <v>6147</v>
      </c>
      <c r="I5065">
        <v>18.440000000000001</v>
      </c>
      <c r="J5065">
        <v>3.32</v>
      </c>
      <c r="K5065">
        <v>6125.24</v>
      </c>
      <c r="L5065" s="5">
        <v>46294</v>
      </c>
      <c r="M5065" t="s">
        <v>10627</v>
      </c>
      <c r="N5065" t="s">
        <v>207</v>
      </c>
      <c r="O5065" t="s">
        <v>10936</v>
      </c>
      <c r="P5065" t="s">
        <v>208</v>
      </c>
      <c r="Q5065" t="s">
        <v>209</v>
      </c>
    </row>
    <row r="5066" spans="1:17" x14ac:dyDescent="0.3">
      <c r="A5066" t="s">
        <v>10937</v>
      </c>
      <c r="C5066" t="s">
        <v>10938</v>
      </c>
      <c r="D5066" t="s">
        <v>10938</v>
      </c>
      <c r="E5066" s="5">
        <v>46292</v>
      </c>
      <c r="F5066" t="s">
        <v>204</v>
      </c>
      <c r="G5066" t="s">
        <v>205</v>
      </c>
      <c r="H5066">
        <v>4298</v>
      </c>
      <c r="I5066">
        <v>73.069999999999993</v>
      </c>
      <c r="J5066">
        <v>13.15</v>
      </c>
      <c r="K5066">
        <v>4211.78</v>
      </c>
      <c r="L5066" s="5">
        <v>46294</v>
      </c>
      <c r="M5066" t="s">
        <v>10627</v>
      </c>
      <c r="N5066" t="s">
        <v>207</v>
      </c>
      <c r="O5066" t="s">
        <v>10938</v>
      </c>
      <c r="P5066" t="s">
        <v>208</v>
      </c>
      <c r="Q5066" t="s">
        <v>209</v>
      </c>
    </row>
    <row r="5067" spans="1:17" x14ac:dyDescent="0.3">
      <c r="A5067" t="s">
        <v>10939</v>
      </c>
      <c r="C5067" t="s">
        <v>10940</v>
      </c>
      <c r="D5067" t="s">
        <v>10941</v>
      </c>
      <c r="E5067" s="5">
        <v>46292</v>
      </c>
      <c r="F5067" t="s">
        <v>204</v>
      </c>
      <c r="G5067" t="s">
        <v>205</v>
      </c>
      <c r="H5067">
        <v>948</v>
      </c>
      <c r="I5067">
        <v>18.010000000000002</v>
      </c>
      <c r="J5067">
        <v>3.24</v>
      </c>
      <c r="K5067">
        <v>926.75</v>
      </c>
      <c r="L5067" s="5">
        <v>46294</v>
      </c>
      <c r="M5067" t="s">
        <v>10627</v>
      </c>
      <c r="N5067" t="s">
        <v>207</v>
      </c>
      <c r="O5067" t="s">
        <v>10941</v>
      </c>
      <c r="P5067" t="s">
        <v>208</v>
      </c>
      <c r="Q5067" t="s">
        <v>209</v>
      </c>
    </row>
    <row r="5068" spans="1:17" x14ac:dyDescent="0.3">
      <c r="A5068" t="s">
        <v>10942</v>
      </c>
      <c r="C5068" t="s">
        <v>10943</v>
      </c>
      <c r="D5068" t="s">
        <v>10943</v>
      </c>
      <c r="E5068" s="5">
        <v>46292</v>
      </c>
      <c r="F5068" t="s">
        <v>204</v>
      </c>
      <c r="G5068" t="s">
        <v>213</v>
      </c>
      <c r="H5068">
        <v>1398</v>
      </c>
      <c r="I5068">
        <v>25.16</v>
      </c>
      <c r="J5068">
        <v>4.53</v>
      </c>
      <c r="K5068">
        <v>1368.31</v>
      </c>
      <c r="L5068" s="5">
        <v>46294</v>
      </c>
      <c r="M5068" t="s">
        <v>10627</v>
      </c>
      <c r="N5068" t="s">
        <v>207</v>
      </c>
      <c r="O5068" t="s">
        <v>10943</v>
      </c>
      <c r="P5068" t="s">
        <v>208</v>
      </c>
      <c r="Q5068" t="s">
        <v>209</v>
      </c>
    </row>
    <row r="5069" spans="1:17" x14ac:dyDescent="0.3">
      <c r="A5069" t="s">
        <v>10944</v>
      </c>
      <c r="C5069" t="s">
        <v>10945</v>
      </c>
      <c r="D5069" t="s">
        <v>10945</v>
      </c>
      <c r="E5069" s="5">
        <v>46292</v>
      </c>
      <c r="F5069" t="s">
        <v>204</v>
      </c>
      <c r="G5069" t="s">
        <v>220</v>
      </c>
      <c r="H5069">
        <v>1799</v>
      </c>
      <c r="I5069">
        <v>0</v>
      </c>
      <c r="J5069">
        <v>0</v>
      </c>
      <c r="K5069">
        <v>1799</v>
      </c>
      <c r="L5069" s="5">
        <v>46294</v>
      </c>
      <c r="M5069" t="s">
        <v>10627</v>
      </c>
      <c r="N5069" t="s">
        <v>207</v>
      </c>
      <c r="O5069" t="s">
        <v>10945</v>
      </c>
      <c r="P5069" t="s">
        <v>208</v>
      </c>
      <c r="Q5069" t="s">
        <v>209</v>
      </c>
    </row>
    <row r="5070" spans="1:17" x14ac:dyDescent="0.3">
      <c r="A5070" t="s">
        <v>10946</v>
      </c>
      <c r="C5070" t="s">
        <v>10947</v>
      </c>
      <c r="D5070" t="s">
        <v>10947</v>
      </c>
      <c r="E5070" s="5">
        <v>46292</v>
      </c>
      <c r="F5070" t="s">
        <v>204</v>
      </c>
      <c r="G5070" t="s">
        <v>255</v>
      </c>
      <c r="H5070">
        <v>8498</v>
      </c>
      <c r="I5070">
        <v>101.98</v>
      </c>
      <c r="J5070">
        <v>18.36</v>
      </c>
      <c r="K5070">
        <v>8377.66</v>
      </c>
      <c r="L5070" s="5">
        <v>46294</v>
      </c>
      <c r="M5070" t="s">
        <v>10627</v>
      </c>
      <c r="N5070" t="s">
        <v>207</v>
      </c>
      <c r="O5070" t="s">
        <v>10947</v>
      </c>
      <c r="P5070" t="s">
        <v>208</v>
      </c>
      <c r="Q5070" t="s">
        <v>209</v>
      </c>
    </row>
    <row r="5071" spans="1:17" x14ac:dyDescent="0.3">
      <c r="A5071" t="s">
        <v>10948</v>
      </c>
      <c r="C5071" t="s">
        <v>10949</v>
      </c>
      <c r="D5071" t="s">
        <v>10949</v>
      </c>
      <c r="E5071" s="5">
        <v>46292</v>
      </c>
      <c r="F5071" t="s">
        <v>204</v>
      </c>
      <c r="G5071" t="s">
        <v>220</v>
      </c>
      <c r="H5071">
        <v>5298</v>
      </c>
      <c r="I5071">
        <v>15.89</v>
      </c>
      <c r="J5071">
        <v>2.86</v>
      </c>
      <c r="K5071">
        <v>5279.25</v>
      </c>
      <c r="L5071" s="5">
        <v>46294</v>
      </c>
      <c r="M5071" t="s">
        <v>10627</v>
      </c>
      <c r="N5071" t="s">
        <v>207</v>
      </c>
      <c r="O5071" t="s">
        <v>10949</v>
      </c>
      <c r="P5071" t="s">
        <v>208</v>
      </c>
      <c r="Q5071" t="s">
        <v>209</v>
      </c>
    </row>
    <row r="5072" spans="1:17" x14ac:dyDescent="0.3">
      <c r="A5072" t="s">
        <v>10950</v>
      </c>
      <c r="C5072" t="s">
        <v>10951</v>
      </c>
      <c r="D5072" t="s">
        <v>10951</v>
      </c>
      <c r="E5072" s="5">
        <v>46292</v>
      </c>
      <c r="F5072" t="s">
        <v>204</v>
      </c>
      <c r="G5072" t="s">
        <v>220</v>
      </c>
      <c r="H5072">
        <v>1299</v>
      </c>
      <c r="I5072">
        <v>0</v>
      </c>
      <c r="J5072">
        <v>0</v>
      </c>
      <c r="K5072">
        <v>1299</v>
      </c>
      <c r="L5072" s="5">
        <v>46294</v>
      </c>
      <c r="M5072" t="s">
        <v>10627</v>
      </c>
      <c r="N5072" t="s">
        <v>207</v>
      </c>
      <c r="O5072" t="s">
        <v>10951</v>
      </c>
      <c r="P5072" t="s">
        <v>208</v>
      </c>
      <c r="Q5072" t="s">
        <v>209</v>
      </c>
    </row>
    <row r="5073" spans="1:17" x14ac:dyDescent="0.3">
      <c r="A5073" t="s">
        <v>10952</v>
      </c>
      <c r="C5073" t="s">
        <v>10953</v>
      </c>
      <c r="D5073" t="s">
        <v>10953</v>
      </c>
      <c r="E5073" s="5">
        <v>46292</v>
      </c>
      <c r="F5073" t="s">
        <v>204</v>
      </c>
      <c r="G5073" t="s">
        <v>213</v>
      </c>
      <c r="H5073">
        <v>2798</v>
      </c>
      <c r="I5073">
        <v>44.77</v>
      </c>
      <c r="J5073">
        <v>8.06</v>
      </c>
      <c r="K5073">
        <v>2745.17</v>
      </c>
      <c r="L5073" s="5">
        <v>46294</v>
      </c>
      <c r="M5073" t="s">
        <v>10627</v>
      </c>
      <c r="N5073" t="s">
        <v>207</v>
      </c>
      <c r="O5073" t="s">
        <v>10953</v>
      </c>
      <c r="P5073" t="s">
        <v>208</v>
      </c>
      <c r="Q5073" t="s">
        <v>209</v>
      </c>
    </row>
    <row r="5074" spans="1:17" x14ac:dyDescent="0.3">
      <c r="A5074" t="s">
        <v>10954</v>
      </c>
      <c r="C5074" t="s">
        <v>10955</v>
      </c>
      <c r="D5074" t="s">
        <v>10955</v>
      </c>
      <c r="E5074" s="5">
        <v>46292</v>
      </c>
      <c r="F5074" t="s">
        <v>204</v>
      </c>
      <c r="G5074" t="s">
        <v>213</v>
      </c>
      <c r="H5074">
        <v>848</v>
      </c>
      <c r="I5074">
        <v>15.26</v>
      </c>
      <c r="J5074">
        <v>2.75</v>
      </c>
      <c r="K5074">
        <v>829.99</v>
      </c>
      <c r="L5074" s="5">
        <v>46294</v>
      </c>
      <c r="M5074" t="s">
        <v>10627</v>
      </c>
      <c r="N5074" t="s">
        <v>207</v>
      </c>
      <c r="O5074" t="s">
        <v>10955</v>
      </c>
      <c r="P5074" t="s">
        <v>208</v>
      </c>
      <c r="Q5074" t="s">
        <v>209</v>
      </c>
    </row>
    <row r="5075" spans="1:17" x14ac:dyDescent="0.3">
      <c r="A5075" t="s">
        <v>10956</v>
      </c>
      <c r="C5075" t="s">
        <v>10957</v>
      </c>
      <c r="D5075" t="s">
        <v>10957</v>
      </c>
      <c r="E5075" s="5">
        <v>46292</v>
      </c>
      <c r="F5075" t="s">
        <v>204</v>
      </c>
      <c r="G5075" t="s">
        <v>220</v>
      </c>
      <c r="H5075">
        <v>299</v>
      </c>
      <c r="I5075">
        <v>0</v>
      </c>
      <c r="J5075">
        <v>0</v>
      </c>
      <c r="K5075">
        <v>299</v>
      </c>
      <c r="L5075" s="5">
        <v>46294</v>
      </c>
      <c r="M5075" t="s">
        <v>10627</v>
      </c>
      <c r="N5075" t="s">
        <v>207</v>
      </c>
      <c r="O5075" t="s">
        <v>10957</v>
      </c>
      <c r="P5075" t="s">
        <v>208</v>
      </c>
      <c r="Q5075" t="s">
        <v>209</v>
      </c>
    </row>
    <row r="5076" spans="1:17" x14ac:dyDescent="0.3">
      <c r="A5076" t="s">
        <v>10958</v>
      </c>
      <c r="C5076" t="s">
        <v>10959</v>
      </c>
      <c r="D5076" t="s">
        <v>10959</v>
      </c>
      <c r="E5076" s="5">
        <v>46292</v>
      </c>
      <c r="F5076" t="s">
        <v>204</v>
      </c>
      <c r="G5076" t="s">
        <v>220</v>
      </c>
      <c r="H5076">
        <v>1648</v>
      </c>
      <c r="I5076">
        <v>0</v>
      </c>
      <c r="J5076">
        <v>0</v>
      </c>
      <c r="K5076">
        <v>1648</v>
      </c>
      <c r="L5076" s="5">
        <v>46294</v>
      </c>
      <c r="M5076" t="s">
        <v>10627</v>
      </c>
      <c r="N5076" t="s">
        <v>207</v>
      </c>
      <c r="O5076" t="s">
        <v>10959</v>
      </c>
      <c r="P5076" t="s">
        <v>208</v>
      </c>
      <c r="Q5076" t="s">
        <v>209</v>
      </c>
    </row>
    <row r="5077" spans="1:17" x14ac:dyDescent="0.3">
      <c r="A5077" t="s">
        <v>10960</v>
      </c>
      <c r="C5077" t="s">
        <v>10961</v>
      </c>
      <c r="D5077" t="s">
        <v>10961</v>
      </c>
      <c r="E5077" s="5">
        <v>46292</v>
      </c>
      <c r="F5077" t="s">
        <v>204</v>
      </c>
      <c r="G5077" t="s">
        <v>255</v>
      </c>
      <c r="H5077">
        <v>7999</v>
      </c>
      <c r="I5077">
        <v>95.99</v>
      </c>
      <c r="J5077">
        <v>17.28</v>
      </c>
      <c r="K5077">
        <v>7885.73</v>
      </c>
      <c r="L5077" s="5">
        <v>46294</v>
      </c>
      <c r="M5077" t="s">
        <v>10627</v>
      </c>
      <c r="N5077" t="s">
        <v>207</v>
      </c>
      <c r="O5077" t="s">
        <v>10961</v>
      </c>
      <c r="P5077" t="s">
        <v>208</v>
      </c>
      <c r="Q5077" t="s">
        <v>209</v>
      </c>
    </row>
    <row r="5078" spans="1:17" x14ac:dyDescent="0.3">
      <c r="A5078" t="s">
        <v>10962</v>
      </c>
      <c r="C5078" t="s">
        <v>10963</v>
      </c>
      <c r="D5078" t="s">
        <v>10963</v>
      </c>
      <c r="E5078" s="5">
        <v>46292</v>
      </c>
      <c r="F5078" t="s">
        <v>204</v>
      </c>
      <c r="G5078" t="s">
        <v>220</v>
      </c>
      <c r="H5078">
        <v>3598</v>
      </c>
      <c r="I5078">
        <v>10.79</v>
      </c>
      <c r="J5078">
        <v>1.94</v>
      </c>
      <c r="K5078">
        <v>3585.27</v>
      </c>
      <c r="L5078" s="5">
        <v>46294</v>
      </c>
      <c r="M5078" t="s">
        <v>10627</v>
      </c>
      <c r="N5078" t="s">
        <v>207</v>
      </c>
      <c r="O5078" t="s">
        <v>10963</v>
      </c>
      <c r="P5078" t="s">
        <v>208</v>
      </c>
      <c r="Q5078" t="s">
        <v>209</v>
      </c>
    </row>
    <row r="5079" spans="1:17" x14ac:dyDescent="0.3">
      <c r="A5079" t="s">
        <v>10964</v>
      </c>
      <c r="C5079" t="s">
        <v>10965</v>
      </c>
      <c r="D5079" t="s">
        <v>10965</v>
      </c>
      <c r="E5079" s="5">
        <v>46292</v>
      </c>
      <c r="F5079" t="s">
        <v>204</v>
      </c>
      <c r="G5079" t="s">
        <v>205</v>
      </c>
      <c r="H5079">
        <v>1499</v>
      </c>
      <c r="I5079">
        <v>28.48</v>
      </c>
      <c r="J5079">
        <v>5.13</v>
      </c>
      <c r="K5079">
        <v>1465.39</v>
      </c>
      <c r="L5079" s="5">
        <v>46294</v>
      </c>
      <c r="M5079" t="s">
        <v>10627</v>
      </c>
      <c r="N5079" t="s">
        <v>207</v>
      </c>
      <c r="O5079" t="s">
        <v>10965</v>
      </c>
      <c r="P5079" t="s">
        <v>208</v>
      </c>
      <c r="Q5079" t="s">
        <v>209</v>
      </c>
    </row>
    <row r="5080" spans="1:17" x14ac:dyDescent="0.3">
      <c r="A5080" t="s">
        <v>10966</v>
      </c>
      <c r="C5080" t="s">
        <v>10967</v>
      </c>
      <c r="D5080" t="s">
        <v>10968</v>
      </c>
      <c r="E5080" s="5">
        <v>46292</v>
      </c>
      <c r="F5080" t="s">
        <v>204</v>
      </c>
      <c r="G5080" t="s">
        <v>220</v>
      </c>
      <c r="H5080">
        <v>4498</v>
      </c>
      <c r="I5080">
        <v>13.49</v>
      </c>
      <c r="J5080">
        <v>2.4300000000000002</v>
      </c>
      <c r="K5080">
        <v>4482.08</v>
      </c>
      <c r="L5080" s="5">
        <v>46294</v>
      </c>
      <c r="M5080" t="s">
        <v>10627</v>
      </c>
      <c r="N5080" t="s">
        <v>207</v>
      </c>
      <c r="O5080" t="s">
        <v>10968</v>
      </c>
      <c r="P5080" t="s">
        <v>208</v>
      </c>
      <c r="Q5080" t="s">
        <v>209</v>
      </c>
    </row>
    <row r="5081" spans="1:17" x14ac:dyDescent="0.3">
      <c r="A5081" t="s">
        <v>10969</v>
      </c>
      <c r="C5081" t="s">
        <v>10970</v>
      </c>
      <c r="D5081" t="s">
        <v>10970</v>
      </c>
      <c r="E5081" s="5">
        <v>46292</v>
      </c>
      <c r="F5081" t="s">
        <v>204</v>
      </c>
      <c r="G5081" t="s">
        <v>220</v>
      </c>
      <c r="H5081">
        <v>349</v>
      </c>
      <c r="I5081">
        <v>0</v>
      </c>
      <c r="J5081">
        <v>0</v>
      </c>
      <c r="K5081">
        <v>349</v>
      </c>
      <c r="L5081" s="5">
        <v>46294</v>
      </c>
      <c r="M5081" t="s">
        <v>10627</v>
      </c>
      <c r="N5081" t="s">
        <v>207</v>
      </c>
      <c r="O5081" t="s">
        <v>10970</v>
      </c>
      <c r="P5081" t="s">
        <v>208</v>
      </c>
      <c r="Q5081" t="s">
        <v>209</v>
      </c>
    </row>
    <row r="5082" spans="1:17" x14ac:dyDescent="0.3">
      <c r="A5082" t="s">
        <v>10971</v>
      </c>
      <c r="C5082" t="s">
        <v>10972</v>
      </c>
      <c r="D5082" t="s">
        <v>10972</v>
      </c>
      <c r="E5082" s="5">
        <v>46292</v>
      </c>
      <c r="F5082" t="s">
        <v>204</v>
      </c>
      <c r="G5082" t="s">
        <v>220</v>
      </c>
      <c r="H5082">
        <v>4999</v>
      </c>
      <c r="I5082">
        <v>15</v>
      </c>
      <c r="J5082">
        <v>2.7</v>
      </c>
      <c r="K5082">
        <v>4981.3</v>
      </c>
      <c r="L5082" s="5">
        <v>46294</v>
      </c>
      <c r="M5082" t="s">
        <v>10627</v>
      </c>
      <c r="N5082" t="s">
        <v>207</v>
      </c>
      <c r="O5082" t="s">
        <v>10972</v>
      </c>
      <c r="P5082" t="s">
        <v>208</v>
      </c>
      <c r="Q5082" t="s">
        <v>209</v>
      </c>
    </row>
    <row r="5083" spans="1:17" x14ac:dyDescent="0.3">
      <c r="A5083" t="s">
        <v>10973</v>
      </c>
      <c r="C5083" t="s">
        <v>10974</v>
      </c>
      <c r="D5083" t="s">
        <v>10974</v>
      </c>
      <c r="E5083" s="5">
        <v>46292</v>
      </c>
      <c r="F5083" t="s">
        <v>204</v>
      </c>
      <c r="G5083" t="s">
        <v>213</v>
      </c>
      <c r="H5083">
        <v>1299</v>
      </c>
      <c r="I5083">
        <v>23.38</v>
      </c>
      <c r="J5083">
        <v>4.21</v>
      </c>
      <c r="K5083">
        <v>1271.4100000000001</v>
      </c>
      <c r="L5083" s="5">
        <v>46294</v>
      </c>
      <c r="M5083" t="s">
        <v>10627</v>
      </c>
      <c r="N5083" t="s">
        <v>207</v>
      </c>
      <c r="O5083" t="s">
        <v>10974</v>
      </c>
      <c r="P5083" t="s">
        <v>208</v>
      </c>
      <c r="Q5083" t="s">
        <v>209</v>
      </c>
    </row>
    <row r="5084" spans="1:17" x14ac:dyDescent="0.3">
      <c r="A5084" t="s">
        <v>10975</v>
      </c>
      <c r="C5084" t="s">
        <v>10976</v>
      </c>
      <c r="D5084" t="s">
        <v>10976</v>
      </c>
      <c r="E5084" s="5">
        <v>46292</v>
      </c>
      <c r="F5084" t="s">
        <v>204</v>
      </c>
      <c r="G5084" t="s">
        <v>220</v>
      </c>
      <c r="H5084">
        <v>7297</v>
      </c>
      <c r="I5084">
        <v>21.89</v>
      </c>
      <c r="J5084">
        <v>3.94</v>
      </c>
      <c r="K5084">
        <v>7271.17</v>
      </c>
      <c r="L5084" s="5">
        <v>46294</v>
      </c>
      <c r="M5084" t="s">
        <v>10627</v>
      </c>
      <c r="N5084" t="s">
        <v>207</v>
      </c>
      <c r="O5084" t="s">
        <v>10976</v>
      </c>
      <c r="P5084" t="s">
        <v>208</v>
      </c>
      <c r="Q5084" t="s">
        <v>209</v>
      </c>
    </row>
    <row r="5085" spans="1:17" x14ac:dyDescent="0.3">
      <c r="A5085" t="s">
        <v>10977</v>
      </c>
      <c r="C5085" t="s">
        <v>10978</v>
      </c>
      <c r="D5085" t="s">
        <v>10978</v>
      </c>
      <c r="E5085" s="5">
        <v>46292</v>
      </c>
      <c r="F5085" t="s">
        <v>204</v>
      </c>
      <c r="G5085" t="s">
        <v>255</v>
      </c>
      <c r="H5085">
        <v>999</v>
      </c>
      <c r="I5085">
        <v>14.99</v>
      </c>
      <c r="J5085">
        <v>2.7</v>
      </c>
      <c r="K5085">
        <v>981.31</v>
      </c>
      <c r="L5085" s="5">
        <v>46294</v>
      </c>
      <c r="M5085" t="s">
        <v>10627</v>
      </c>
      <c r="N5085" t="s">
        <v>207</v>
      </c>
      <c r="O5085" t="s">
        <v>10978</v>
      </c>
      <c r="P5085" t="s">
        <v>208</v>
      </c>
      <c r="Q5085" t="s">
        <v>209</v>
      </c>
    </row>
    <row r="5086" spans="1:17" x14ac:dyDescent="0.3">
      <c r="A5086" t="s">
        <v>10979</v>
      </c>
      <c r="C5086" t="s">
        <v>10980</v>
      </c>
      <c r="D5086" t="s">
        <v>10981</v>
      </c>
      <c r="E5086" s="5">
        <v>46292</v>
      </c>
      <c r="F5086" t="s">
        <v>204</v>
      </c>
      <c r="G5086" t="s">
        <v>205</v>
      </c>
      <c r="H5086">
        <v>4297</v>
      </c>
      <c r="I5086">
        <v>73.05</v>
      </c>
      <c r="J5086">
        <v>13.15</v>
      </c>
      <c r="K5086">
        <v>4210.8</v>
      </c>
      <c r="L5086" s="5">
        <v>46294</v>
      </c>
      <c r="M5086" t="s">
        <v>10627</v>
      </c>
      <c r="N5086" t="s">
        <v>207</v>
      </c>
      <c r="O5086" t="s">
        <v>10981</v>
      </c>
      <c r="P5086" t="s">
        <v>208</v>
      </c>
      <c r="Q5086" t="s">
        <v>209</v>
      </c>
    </row>
    <row r="5087" spans="1:17" x14ac:dyDescent="0.3">
      <c r="A5087" t="s">
        <v>10982</v>
      </c>
      <c r="C5087" t="s">
        <v>10983</v>
      </c>
      <c r="D5087" t="s">
        <v>10983</v>
      </c>
      <c r="E5087" s="5">
        <v>46292</v>
      </c>
      <c r="F5087" t="s">
        <v>204</v>
      </c>
      <c r="G5087" t="s">
        <v>220</v>
      </c>
      <c r="H5087">
        <v>349</v>
      </c>
      <c r="I5087">
        <v>0</v>
      </c>
      <c r="J5087">
        <v>0</v>
      </c>
      <c r="K5087">
        <v>349</v>
      </c>
      <c r="L5087" s="5">
        <v>46294</v>
      </c>
      <c r="M5087" t="s">
        <v>10627</v>
      </c>
      <c r="N5087" t="s">
        <v>207</v>
      </c>
      <c r="O5087" t="s">
        <v>10983</v>
      </c>
      <c r="P5087" t="s">
        <v>208</v>
      </c>
      <c r="Q5087" t="s">
        <v>209</v>
      </c>
    </row>
    <row r="5088" spans="1:17" x14ac:dyDescent="0.3">
      <c r="A5088" t="s">
        <v>10984</v>
      </c>
      <c r="C5088" t="s">
        <v>10985</v>
      </c>
      <c r="D5088" t="s">
        <v>10985</v>
      </c>
      <c r="E5088" s="5">
        <v>46292</v>
      </c>
      <c r="F5088" t="s">
        <v>204</v>
      </c>
      <c r="G5088" t="s">
        <v>213</v>
      </c>
      <c r="H5088">
        <v>8598</v>
      </c>
      <c r="I5088">
        <v>137.57</v>
      </c>
      <c r="J5088">
        <v>24.76</v>
      </c>
      <c r="K5088">
        <v>8435.67</v>
      </c>
      <c r="L5088" s="5">
        <v>46294</v>
      </c>
      <c r="M5088" t="s">
        <v>10627</v>
      </c>
      <c r="N5088" t="s">
        <v>207</v>
      </c>
      <c r="O5088" t="s">
        <v>10985</v>
      </c>
      <c r="P5088" t="s">
        <v>208</v>
      </c>
      <c r="Q5088" t="s">
        <v>209</v>
      </c>
    </row>
    <row r="5089" spans="1:17" x14ac:dyDescent="0.3">
      <c r="A5089" t="s">
        <v>10986</v>
      </c>
      <c r="C5089" t="s">
        <v>10987</v>
      </c>
      <c r="D5089" t="s">
        <v>10988</v>
      </c>
      <c r="E5089" s="5">
        <v>46292</v>
      </c>
      <c r="F5089" t="s">
        <v>204</v>
      </c>
      <c r="G5089" t="s">
        <v>213</v>
      </c>
      <c r="H5089">
        <v>1598</v>
      </c>
      <c r="I5089">
        <v>28.76</v>
      </c>
      <c r="J5089">
        <v>5.18</v>
      </c>
      <c r="K5089">
        <v>1564.06</v>
      </c>
      <c r="L5089" s="5">
        <v>46294</v>
      </c>
      <c r="M5089" t="s">
        <v>10627</v>
      </c>
      <c r="N5089" t="s">
        <v>207</v>
      </c>
      <c r="O5089" t="s">
        <v>10988</v>
      </c>
      <c r="P5089" t="s">
        <v>208</v>
      </c>
      <c r="Q5089" t="s">
        <v>209</v>
      </c>
    </row>
    <row r="5090" spans="1:17" x14ac:dyDescent="0.3">
      <c r="A5090" t="s">
        <v>10989</v>
      </c>
      <c r="C5090" t="s">
        <v>10990</v>
      </c>
      <c r="D5090" t="s">
        <v>10991</v>
      </c>
      <c r="E5090" s="5">
        <v>46292</v>
      </c>
      <c r="F5090" t="s">
        <v>204</v>
      </c>
      <c r="G5090" t="s">
        <v>220</v>
      </c>
      <c r="H5090">
        <v>1597</v>
      </c>
      <c r="I5090">
        <v>0</v>
      </c>
      <c r="J5090">
        <v>0</v>
      </c>
      <c r="K5090">
        <v>1597</v>
      </c>
      <c r="L5090" s="5">
        <v>46294</v>
      </c>
      <c r="M5090" t="s">
        <v>10627</v>
      </c>
      <c r="N5090" t="s">
        <v>207</v>
      </c>
      <c r="O5090" t="s">
        <v>10991</v>
      </c>
      <c r="P5090" t="s">
        <v>208</v>
      </c>
      <c r="Q5090" t="s">
        <v>209</v>
      </c>
    </row>
    <row r="5091" spans="1:17" x14ac:dyDescent="0.3">
      <c r="A5091" t="s">
        <v>10992</v>
      </c>
      <c r="C5091" t="s">
        <v>10993</v>
      </c>
      <c r="D5091" t="s">
        <v>10993</v>
      </c>
      <c r="E5091" s="5">
        <v>46292</v>
      </c>
      <c r="F5091" t="s">
        <v>204</v>
      </c>
      <c r="G5091" t="s">
        <v>220</v>
      </c>
      <c r="H5091">
        <v>3499</v>
      </c>
      <c r="I5091">
        <v>10.5</v>
      </c>
      <c r="J5091">
        <v>1.89</v>
      </c>
      <c r="K5091">
        <v>3486.61</v>
      </c>
      <c r="L5091" s="5">
        <v>46294</v>
      </c>
      <c r="M5091" t="s">
        <v>10627</v>
      </c>
      <c r="N5091" t="s">
        <v>207</v>
      </c>
      <c r="O5091" t="s">
        <v>10993</v>
      </c>
      <c r="P5091" t="s">
        <v>208</v>
      </c>
      <c r="Q5091" t="s">
        <v>209</v>
      </c>
    </row>
    <row r="5092" spans="1:17" x14ac:dyDescent="0.3">
      <c r="A5092" t="s">
        <v>10994</v>
      </c>
      <c r="C5092" t="s">
        <v>10995</v>
      </c>
      <c r="D5092" t="s">
        <v>10996</v>
      </c>
      <c r="E5092" s="5">
        <v>46292</v>
      </c>
      <c r="F5092" t="s">
        <v>204</v>
      </c>
      <c r="G5092" t="s">
        <v>205</v>
      </c>
      <c r="H5092">
        <v>799</v>
      </c>
      <c r="I5092">
        <v>15.18</v>
      </c>
      <c r="J5092">
        <v>2.73</v>
      </c>
      <c r="K5092">
        <v>781.09</v>
      </c>
      <c r="L5092" s="5">
        <v>46294</v>
      </c>
      <c r="M5092" t="s">
        <v>10627</v>
      </c>
      <c r="N5092" t="s">
        <v>207</v>
      </c>
      <c r="O5092" t="s">
        <v>10996</v>
      </c>
      <c r="P5092" t="s">
        <v>208</v>
      </c>
      <c r="Q5092" t="s">
        <v>209</v>
      </c>
    </row>
    <row r="5093" spans="1:17" x14ac:dyDescent="0.3">
      <c r="A5093" t="s">
        <v>10997</v>
      </c>
      <c r="C5093" t="s">
        <v>10998</v>
      </c>
      <c r="D5093" t="s">
        <v>10998</v>
      </c>
      <c r="E5093" s="5">
        <v>46292</v>
      </c>
      <c r="F5093" t="s">
        <v>204</v>
      </c>
      <c r="G5093" t="s">
        <v>213</v>
      </c>
      <c r="H5093">
        <v>1499</v>
      </c>
      <c r="I5093">
        <v>26.98</v>
      </c>
      <c r="J5093">
        <v>4.8600000000000003</v>
      </c>
      <c r="K5093">
        <v>1467.16</v>
      </c>
      <c r="L5093" s="5">
        <v>46294</v>
      </c>
      <c r="M5093" t="s">
        <v>10627</v>
      </c>
      <c r="N5093" t="s">
        <v>207</v>
      </c>
      <c r="O5093" t="s">
        <v>10998</v>
      </c>
      <c r="P5093" t="s">
        <v>208</v>
      </c>
      <c r="Q5093" t="s">
        <v>209</v>
      </c>
    </row>
    <row r="5094" spans="1:17" x14ac:dyDescent="0.3">
      <c r="A5094" t="s">
        <v>10999</v>
      </c>
      <c r="C5094" t="s">
        <v>11000</v>
      </c>
      <c r="D5094" t="s">
        <v>11000</v>
      </c>
      <c r="E5094" s="5">
        <v>46292</v>
      </c>
      <c r="F5094" t="s">
        <v>204</v>
      </c>
      <c r="G5094" t="s">
        <v>220</v>
      </c>
      <c r="H5094">
        <v>2499</v>
      </c>
      <c r="I5094">
        <v>7.5</v>
      </c>
      <c r="J5094">
        <v>1.35</v>
      </c>
      <c r="K5094">
        <v>2490.15</v>
      </c>
      <c r="L5094" s="5">
        <v>46294</v>
      </c>
      <c r="M5094" t="s">
        <v>10627</v>
      </c>
      <c r="N5094" t="s">
        <v>207</v>
      </c>
      <c r="O5094" t="s">
        <v>11000</v>
      </c>
      <c r="P5094" t="s">
        <v>208</v>
      </c>
      <c r="Q5094" t="s">
        <v>209</v>
      </c>
    </row>
    <row r="5095" spans="1:17" x14ac:dyDescent="0.3">
      <c r="A5095" t="s">
        <v>11001</v>
      </c>
      <c r="C5095" t="s">
        <v>11002</v>
      </c>
      <c r="D5095" t="s">
        <v>11002</v>
      </c>
      <c r="E5095" s="5">
        <v>46292</v>
      </c>
      <c r="F5095" t="s">
        <v>204</v>
      </c>
      <c r="G5095" t="s">
        <v>213</v>
      </c>
      <c r="H5095">
        <v>349</v>
      </c>
      <c r="I5095">
        <v>6.28</v>
      </c>
      <c r="J5095">
        <v>1.1299999999999999</v>
      </c>
      <c r="K5095">
        <v>341.59</v>
      </c>
      <c r="L5095" s="5">
        <v>46294</v>
      </c>
      <c r="M5095" t="s">
        <v>10627</v>
      </c>
      <c r="N5095" t="s">
        <v>207</v>
      </c>
      <c r="O5095" t="s">
        <v>11002</v>
      </c>
      <c r="P5095" t="s">
        <v>208</v>
      </c>
      <c r="Q5095" t="s">
        <v>209</v>
      </c>
    </row>
    <row r="5096" spans="1:17" x14ac:dyDescent="0.3">
      <c r="A5096" t="s">
        <v>11003</v>
      </c>
      <c r="C5096" t="s">
        <v>11004</v>
      </c>
      <c r="D5096" t="s">
        <v>11004</v>
      </c>
      <c r="E5096" s="5">
        <v>46292</v>
      </c>
      <c r="F5096" t="s">
        <v>204</v>
      </c>
      <c r="G5096" t="s">
        <v>220</v>
      </c>
      <c r="H5096">
        <v>3098</v>
      </c>
      <c r="I5096">
        <v>9.2899999999999991</v>
      </c>
      <c r="J5096">
        <v>1.67</v>
      </c>
      <c r="K5096">
        <v>3087.04</v>
      </c>
      <c r="L5096" s="5">
        <v>46294</v>
      </c>
      <c r="M5096" t="s">
        <v>10627</v>
      </c>
      <c r="N5096" t="s">
        <v>207</v>
      </c>
      <c r="O5096" t="s">
        <v>11004</v>
      </c>
      <c r="P5096" t="s">
        <v>208</v>
      </c>
      <c r="Q5096" t="s">
        <v>209</v>
      </c>
    </row>
    <row r="5097" spans="1:17" x14ac:dyDescent="0.3">
      <c r="A5097" t="s">
        <v>11005</v>
      </c>
      <c r="C5097" t="s">
        <v>11006</v>
      </c>
      <c r="D5097" t="s">
        <v>11006</v>
      </c>
      <c r="E5097" s="5">
        <v>46292</v>
      </c>
      <c r="F5097" t="s">
        <v>204</v>
      </c>
      <c r="G5097" t="s">
        <v>220</v>
      </c>
      <c r="H5097">
        <v>299</v>
      </c>
      <c r="I5097">
        <v>0</v>
      </c>
      <c r="J5097">
        <v>0</v>
      </c>
      <c r="K5097">
        <v>299</v>
      </c>
      <c r="L5097" s="5">
        <v>46294</v>
      </c>
      <c r="M5097" t="s">
        <v>10627</v>
      </c>
      <c r="N5097" t="s">
        <v>207</v>
      </c>
      <c r="O5097" t="s">
        <v>11006</v>
      </c>
      <c r="P5097" t="s">
        <v>208</v>
      </c>
      <c r="Q5097" t="s">
        <v>209</v>
      </c>
    </row>
    <row r="5098" spans="1:17" x14ac:dyDescent="0.3">
      <c r="A5098" t="s">
        <v>11007</v>
      </c>
      <c r="C5098" t="s">
        <v>11008</v>
      </c>
      <c r="D5098" t="s">
        <v>11008</v>
      </c>
      <c r="E5098" s="5">
        <v>46292</v>
      </c>
      <c r="F5098" t="s">
        <v>204</v>
      </c>
      <c r="G5098" t="s">
        <v>255</v>
      </c>
      <c r="H5098">
        <v>999</v>
      </c>
      <c r="I5098">
        <v>14.99</v>
      </c>
      <c r="J5098">
        <v>2.7</v>
      </c>
      <c r="K5098">
        <v>981.31</v>
      </c>
      <c r="L5098" s="5">
        <v>46294</v>
      </c>
      <c r="M5098" t="s">
        <v>10627</v>
      </c>
      <c r="N5098" t="s">
        <v>207</v>
      </c>
      <c r="O5098" t="s">
        <v>11008</v>
      </c>
      <c r="P5098" t="s">
        <v>208</v>
      </c>
      <c r="Q5098" t="s">
        <v>209</v>
      </c>
    </row>
    <row r="5099" spans="1:17" x14ac:dyDescent="0.3">
      <c r="A5099" t="s">
        <v>11009</v>
      </c>
      <c r="C5099" t="s">
        <v>11010</v>
      </c>
      <c r="D5099" t="s">
        <v>11010</v>
      </c>
      <c r="E5099" s="5">
        <v>46292</v>
      </c>
      <c r="F5099" t="s">
        <v>204</v>
      </c>
      <c r="G5099" t="s">
        <v>220</v>
      </c>
      <c r="H5099">
        <v>499</v>
      </c>
      <c r="I5099">
        <v>0</v>
      </c>
      <c r="J5099">
        <v>0</v>
      </c>
      <c r="K5099">
        <v>499</v>
      </c>
      <c r="L5099" s="5">
        <v>46294</v>
      </c>
      <c r="M5099" t="s">
        <v>10627</v>
      </c>
      <c r="N5099" t="s">
        <v>207</v>
      </c>
      <c r="O5099" t="s">
        <v>11010</v>
      </c>
      <c r="P5099" t="s">
        <v>208</v>
      </c>
      <c r="Q5099" t="s">
        <v>209</v>
      </c>
    </row>
    <row r="5100" spans="1:17" x14ac:dyDescent="0.3">
      <c r="A5100" t="s">
        <v>11011</v>
      </c>
      <c r="C5100" t="s">
        <v>11012</v>
      </c>
      <c r="D5100" t="s">
        <v>11012</v>
      </c>
      <c r="E5100" s="5">
        <v>46292</v>
      </c>
      <c r="F5100" t="s">
        <v>204</v>
      </c>
      <c r="G5100" t="s">
        <v>205</v>
      </c>
      <c r="H5100">
        <v>8498</v>
      </c>
      <c r="I5100">
        <v>144.47</v>
      </c>
      <c r="J5100">
        <v>26</v>
      </c>
      <c r="K5100">
        <v>8327.5300000000007</v>
      </c>
      <c r="L5100" s="5">
        <v>46294</v>
      </c>
      <c r="M5100" t="s">
        <v>10627</v>
      </c>
      <c r="N5100" t="s">
        <v>207</v>
      </c>
      <c r="O5100" t="s">
        <v>11012</v>
      </c>
      <c r="P5100" t="s">
        <v>208</v>
      </c>
      <c r="Q5100" t="s">
        <v>209</v>
      </c>
    </row>
    <row r="5101" spans="1:17" x14ac:dyDescent="0.3">
      <c r="A5101" t="s">
        <v>11013</v>
      </c>
      <c r="C5101" t="s">
        <v>11014</v>
      </c>
      <c r="D5101" t="s">
        <v>11014</v>
      </c>
      <c r="E5101" s="5">
        <v>46292</v>
      </c>
      <c r="F5101" t="s">
        <v>204</v>
      </c>
      <c r="G5101" t="s">
        <v>205</v>
      </c>
      <c r="H5101">
        <v>1747</v>
      </c>
      <c r="I5101">
        <v>33.19</v>
      </c>
      <c r="J5101">
        <v>5.97</v>
      </c>
      <c r="K5101">
        <v>1707.84</v>
      </c>
      <c r="L5101" s="5">
        <v>46294</v>
      </c>
      <c r="M5101" t="s">
        <v>10627</v>
      </c>
      <c r="N5101" t="s">
        <v>207</v>
      </c>
      <c r="O5101" t="s">
        <v>11014</v>
      </c>
      <c r="P5101" t="s">
        <v>208</v>
      </c>
      <c r="Q5101" t="s">
        <v>209</v>
      </c>
    </row>
    <row r="5102" spans="1:17" x14ac:dyDescent="0.3">
      <c r="A5102" t="s">
        <v>11015</v>
      </c>
      <c r="C5102" t="s">
        <v>11016</v>
      </c>
      <c r="D5102" t="s">
        <v>11016</v>
      </c>
      <c r="E5102" s="5">
        <v>46292</v>
      </c>
      <c r="F5102" t="s">
        <v>204</v>
      </c>
      <c r="G5102" t="s">
        <v>213</v>
      </c>
      <c r="H5102">
        <v>999</v>
      </c>
      <c r="I5102">
        <v>17.98</v>
      </c>
      <c r="J5102">
        <v>3.24</v>
      </c>
      <c r="K5102">
        <v>977.78</v>
      </c>
      <c r="L5102" s="5">
        <v>46294</v>
      </c>
      <c r="M5102" t="s">
        <v>10627</v>
      </c>
      <c r="N5102" t="s">
        <v>207</v>
      </c>
      <c r="O5102" t="s">
        <v>11016</v>
      </c>
      <c r="P5102" t="s">
        <v>208</v>
      </c>
      <c r="Q5102" t="s">
        <v>209</v>
      </c>
    </row>
    <row r="5103" spans="1:17" x14ac:dyDescent="0.3">
      <c r="A5103" t="s">
        <v>11017</v>
      </c>
      <c r="C5103" t="s">
        <v>11018</v>
      </c>
      <c r="D5103" t="s">
        <v>11018</v>
      </c>
      <c r="E5103" s="5">
        <v>46292</v>
      </c>
      <c r="F5103" t="s">
        <v>204</v>
      </c>
      <c r="G5103" t="s">
        <v>220</v>
      </c>
      <c r="H5103">
        <v>16297</v>
      </c>
      <c r="I5103">
        <v>48.89</v>
      </c>
      <c r="J5103">
        <v>8.8000000000000007</v>
      </c>
      <c r="K5103">
        <v>16239.31</v>
      </c>
      <c r="L5103" s="5">
        <v>46294</v>
      </c>
      <c r="M5103" t="s">
        <v>10627</v>
      </c>
      <c r="N5103" t="s">
        <v>207</v>
      </c>
      <c r="O5103" t="s">
        <v>11018</v>
      </c>
      <c r="P5103" t="s">
        <v>208</v>
      </c>
      <c r="Q5103" t="s">
        <v>209</v>
      </c>
    </row>
    <row r="5104" spans="1:17" x14ac:dyDescent="0.3">
      <c r="A5104" t="s">
        <v>11019</v>
      </c>
      <c r="C5104" t="s">
        <v>11020</v>
      </c>
      <c r="D5104" t="s">
        <v>11020</v>
      </c>
      <c r="E5104" s="5">
        <v>46292</v>
      </c>
      <c r="F5104" t="s">
        <v>204</v>
      </c>
      <c r="G5104" t="s">
        <v>220</v>
      </c>
      <c r="H5104">
        <v>2598</v>
      </c>
      <c r="I5104">
        <v>7.79</v>
      </c>
      <c r="J5104">
        <v>1.4</v>
      </c>
      <c r="K5104">
        <v>2588.81</v>
      </c>
      <c r="L5104" s="5">
        <v>46294</v>
      </c>
      <c r="M5104" t="s">
        <v>10627</v>
      </c>
      <c r="N5104" t="s">
        <v>207</v>
      </c>
      <c r="O5104" t="s">
        <v>11020</v>
      </c>
      <c r="P5104" t="s">
        <v>208</v>
      </c>
      <c r="Q5104" t="s">
        <v>209</v>
      </c>
    </row>
    <row r="5105" spans="1:17" x14ac:dyDescent="0.3">
      <c r="A5105" t="s">
        <v>11021</v>
      </c>
      <c r="C5105" t="s">
        <v>11022</v>
      </c>
      <c r="D5105" t="s">
        <v>11022</v>
      </c>
      <c r="E5105" s="5">
        <v>46292</v>
      </c>
      <c r="F5105" t="s">
        <v>204</v>
      </c>
      <c r="G5105" t="s">
        <v>255</v>
      </c>
      <c r="H5105">
        <v>4798</v>
      </c>
      <c r="I5105">
        <v>57.58</v>
      </c>
      <c r="J5105">
        <v>10.36</v>
      </c>
      <c r="K5105">
        <v>4730.0600000000004</v>
      </c>
      <c r="L5105" s="5">
        <v>46294</v>
      </c>
      <c r="M5105" t="s">
        <v>10627</v>
      </c>
      <c r="N5105" t="s">
        <v>207</v>
      </c>
      <c r="O5105" t="s">
        <v>11022</v>
      </c>
      <c r="P5105" t="s">
        <v>208</v>
      </c>
      <c r="Q5105" t="s">
        <v>209</v>
      </c>
    </row>
    <row r="5106" spans="1:17" x14ac:dyDescent="0.3">
      <c r="A5106" t="s">
        <v>11023</v>
      </c>
      <c r="C5106" t="s">
        <v>11024</v>
      </c>
      <c r="D5106" t="s">
        <v>11025</v>
      </c>
      <c r="E5106" s="5">
        <v>46292</v>
      </c>
      <c r="F5106" t="s">
        <v>204</v>
      </c>
      <c r="G5106" t="s">
        <v>205</v>
      </c>
      <c r="H5106">
        <v>499</v>
      </c>
      <c r="I5106">
        <v>9.48</v>
      </c>
      <c r="J5106">
        <v>1.71</v>
      </c>
      <c r="K5106">
        <v>487.81</v>
      </c>
      <c r="L5106" s="5">
        <v>46294</v>
      </c>
      <c r="M5106" t="s">
        <v>10627</v>
      </c>
      <c r="N5106" t="s">
        <v>207</v>
      </c>
      <c r="O5106" t="s">
        <v>11025</v>
      </c>
      <c r="P5106" t="s">
        <v>208</v>
      </c>
      <c r="Q5106" t="s">
        <v>209</v>
      </c>
    </row>
    <row r="5107" spans="1:17" x14ac:dyDescent="0.3">
      <c r="A5107" t="s">
        <v>11026</v>
      </c>
      <c r="C5107" t="s">
        <v>11027</v>
      </c>
      <c r="D5107" t="s">
        <v>11027</v>
      </c>
      <c r="E5107" s="5">
        <v>46292</v>
      </c>
      <c r="F5107" t="s">
        <v>204</v>
      </c>
      <c r="G5107" t="s">
        <v>220</v>
      </c>
      <c r="H5107">
        <v>7999</v>
      </c>
      <c r="I5107">
        <v>24</v>
      </c>
      <c r="J5107">
        <v>4.32</v>
      </c>
      <c r="K5107">
        <v>7970.68</v>
      </c>
      <c r="L5107" s="5">
        <v>46294</v>
      </c>
      <c r="M5107" t="s">
        <v>10627</v>
      </c>
      <c r="N5107" t="s">
        <v>207</v>
      </c>
      <c r="O5107" t="s">
        <v>11027</v>
      </c>
      <c r="P5107" t="s">
        <v>208</v>
      </c>
      <c r="Q5107" t="s">
        <v>209</v>
      </c>
    </row>
    <row r="5108" spans="1:17" x14ac:dyDescent="0.3">
      <c r="A5108" t="s">
        <v>11028</v>
      </c>
      <c r="C5108" t="s">
        <v>11029</v>
      </c>
      <c r="D5108" t="s">
        <v>11029</v>
      </c>
      <c r="E5108" s="5">
        <v>46292</v>
      </c>
      <c r="F5108" t="s">
        <v>204</v>
      </c>
      <c r="G5108" t="s">
        <v>220</v>
      </c>
      <c r="H5108">
        <v>599</v>
      </c>
      <c r="I5108">
        <v>0</v>
      </c>
      <c r="J5108">
        <v>0</v>
      </c>
      <c r="K5108">
        <v>599</v>
      </c>
      <c r="L5108" s="5">
        <v>46294</v>
      </c>
      <c r="M5108" t="s">
        <v>10627</v>
      </c>
      <c r="N5108" t="s">
        <v>207</v>
      </c>
      <c r="O5108" t="s">
        <v>11029</v>
      </c>
      <c r="P5108" t="s">
        <v>208</v>
      </c>
      <c r="Q5108" t="s">
        <v>209</v>
      </c>
    </row>
    <row r="5109" spans="1:17" x14ac:dyDescent="0.3">
      <c r="A5109" t="s">
        <v>11030</v>
      </c>
      <c r="B5109" t="s">
        <v>9934</v>
      </c>
      <c r="E5109" s="5">
        <v>46292</v>
      </c>
      <c r="F5109" t="s">
        <v>921</v>
      </c>
      <c r="G5109" t="s">
        <v>213</v>
      </c>
      <c r="H5109">
        <v>4097</v>
      </c>
      <c r="I5109">
        <v>0</v>
      </c>
      <c r="J5109">
        <v>0</v>
      </c>
      <c r="K5109">
        <v>-4097</v>
      </c>
      <c r="L5109" s="5">
        <v>46294</v>
      </c>
      <c r="M5109" t="s">
        <v>10627</v>
      </c>
      <c r="N5109" t="s">
        <v>207</v>
      </c>
      <c r="O5109" t="s">
        <v>9935</v>
      </c>
      <c r="P5109" t="s">
        <v>208</v>
      </c>
    </row>
    <row r="5110" spans="1:17" x14ac:dyDescent="0.3">
      <c r="A5110" t="s">
        <v>11031</v>
      </c>
      <c r="B5110" t="s">
        <v>8307</v>
      </c>
      <c r="E5110" s="5">
        <v>46292</v>
      </c>
      <c r="F5110" t="s">
        <v>921</v>
      </c>
      <c r="G5110" t="s">
        <v>255</v>
      </c>
      <c r="H5110">
        <v>2598</v>
      </c>
      <c r="I5110">
        <v>0</v>
      </c>
      <c r="J5110">
        <v>0</v>
      </c>
      <c r="K5110">
        <v>-2598</v>
      </c>
      <c r="L5110" s="5">
        <v>46294</v>
      </c>
      <c r="M5110" t="s">
        <v>10627</v>
      </c>
      <c r="N5110" t="s">
        <v>207</v>
      </c>
      <c r="O5110" t="s">
        <v>8308</v>
      </c>
      <c r="P5110" t="s">
        <v>208</v>
      </c>
    </row>
    <row r="5111" spans="1:17" x14ac:dyDescent="0.3">
      <c r="A5111" t="s">
        <v>11032</v>
      </c>
      <c r="B5111" t="s">
        <v>9613</v>
      </c>
      <c r="E5111" s="5">
        <v>46292</v>
      </c>
      <c r="F5111" t="s">
        <v>921</v>
      </c>
      <c r="G5111" t="s">
        <v>220</v>
      </c>
      <c r="H5111">
        <v>1499</v>
      </c>
      <c r="I5111">
        <v>0</v>
      </c>
      <c r="J5111">
        <v>0</v>
      </c>
      <c r="K5111">
        <v>-1499</v>
      </c>
      <c r="L5111" s="5">
        <v>46294</v>
      </c>
      <c r="M5111" t="s">
        <v>10627</v>
      </c>
      <c r="N5111" t="s">
        <v>207</v>
      </c>
      <c r="O5111" t="s">
        <v>9614</v>
      </c>
      <c r="P5111" t="s">
        <v>208</v>
      </c>
    </row>
    <row r="5112" spans="1:17" x14ac:dyDescent="0.3">
      <c r="A5112" t="s">
        <v>11033</v>
      </c>
      <c r="B5112" t="s">
        <v>9163</v>
      </c>
      <c r="E5112" s="5">
        <v>46292</v>
      </c>
      <c r="F5112" t="s">
        <v>921</v>
      </c>
      <c r="G5112" t="s">
        <v>213</v>
      </c>
      <c r="H5112">
        <v>2897</v>
      </c>
      <c r="I5112">
        <v>0</v>
      </c>
      <c r="J5112">
        <v>0</v>
      </c>
      <c r="K5112">
        <v>-2897</v>
      </c>
      <c r="L5112" s="5">
        <v>46294</v>
      </c>
      <c r="M5112" t="s">
        <v>10627</v>
      </c>
      <c r="N5112" t="s">
        <v>207</v>
      </c>
      <c r="O5112" t="s">
        <v>9164</v>
      </c>
      <c r="P5112" t="s">
        <v>208</v>
      </c>
    </row>
    <row r="5113" spans="1:17" x14ac:dyDescent="0.3">
      <c r="A5113" t="s">
        <v>11034</v>
      </c>
      <c r="B5113" t="s">
        <v>8798</v>
      </c>
      <c r="E5113" s="5">
        <v>46292</v>
      </c>
      <c r="F5113" t="s">
        <v>921</v>
      </c>
      <c r="G5113" t="s">
        <v>220</v>
      </c>
      <c r="H5113">
        <v>1998</v>
      </c>
      <c r="I5113">
        <v>0</v>
      </c>
      <c r="J5113">
        <v>0</v>
      </c>
      <c r="K5113">
        <v>-1998</v>
      </c>
      <c r="L5113" s="5">
        <v>46294</v>
      </c>
      <c r="M5113" t="s">
        <v>10627</v>
      </c>
      <c r="N5113" t="s">
        <v>207</v>
      </c>
      <c r="O5113" t="s">
        <v>8799</v>
      </c>
      <c r="P5113" t="s">
        <v>208</v>
      </c>
    </row>
    <row r="5114" spans="1:17" x14ac:dyDescent="0.3">
      <c r="A5114" t="s">
        <v>11035</v>
      </c>
      <c r="B5114" t="s">
        <v>8813</v>
      </c>
      <c r="E5114" s="5">
        <v>46292</v>
      </c>
      <c r="F5114" t="s">
        <v>921</v>
      </c>
      <c r="G5114" t="s">
        <v>220</v>
      </c>
      <c r="H5114">
        <v>2298</v>
      </c>
      <c r="I5114">
        <v>0</v>
      </c>
      <c r="J5114">
        <v>0</v>
      </c>
      <c r="K5114">
        <v>-2298</v>
      </c>
      <c r="L5114" s="5">
        <v>46294</v>
      </c>
      <c r="M5114" t="s">
        <v>10627</v>
      </c>
      <c r="N5114" t="s">
        <v>207</v>
      </c>
      <c r="O5114" t="s">
        <v>8814</v>
      </c>
      <c r="P5114" t="s">
        <v>208</v>
      </c>
    </row>
    <row r="5115" spans="1:17" x14ac:dyDescent="0.3">
      <c r="A5115" t="s">
        <v>11036</v>
      </c>
      <c r="C5115" t="s">
        <v>11037</v>
      </c>
      <c r="D5115" t="s">
        <v>11037</v>
      </c>
      <c r="E5115" s="5">
        <v>46293</v>
      </c>
      <c r="F5115" t="s">
        <v>204</v>
      </c>
      <c r="G5115" t="s">
        <v>220</v>
      </c>
      <c r="H5115">
        <v>7999</v>
      </c>
      <c r="I5115">
        <v>24</v>
      </c>
      <c r="J5115">
        <v>4.32</v>
      </c>
      <c r="K5115">
        <v>7970.68</v>
      </c>
      <c r="L5115" s="5">
        <v>46295</v>
      </c>
      <c r="M5115" t="s">
        <v>11038</v>
      </c>
      <c r="N5115" t="s">
        <v>207</v>
      </c>
      <c r="O5115" t="s">
        <v>11037</v>
      </c>
      <c r="P5115" t="s">
        <v>208</v>
      </c>
      <c r="Q5115" t="s">
        <v>209</v>
      </c>
    </row>
    <row r="5116" spans="1:17" x14ac:dyDescent="0.3">
      <c r="A5116" t="s">
        <v>11039</v>
      </c>
      <c r="C5116" t="s">
        <v>11040</v>
      </c>
      <c r="D5116" t="s">
        <v>11041</v>
      </c>
      <c r="E5116" s="5">
        <v>46293</v>
      </c>
      <c r="F5116" t="s">
        <v>204</v>
      </c>
      <c r="G5116" t="s">
        <v>213</v>
      </c>
      <c r="H5116">
        <v>4999</v>
      </c>
      <c r="I5116">
        <v>79.98</v>
      </c>
      <c r="J5116">
        <v>14.4</v>
      </c>
      <c r="K5116">
        <v>4904.62</v>
      </c>
      <c r="L5116" s="5">
        <v>46295</v>
      </c>
      <c r="M5116" t="s">
        <v>11038</v>
      </c>
      <c r="N5116" t="s">
        <v>207</v>
      </c>
      <c r="O5116" t="s">
        <v>11041</v>
      </c>
      <c r="P5116" t="s">
        <v>208</v>
      </c>
      <c r="Q5116" t="s">
        <v>209</v>
      </c>
    </row>
    <row r="5117" spans="1:17" x14ac:dyDescent="0.3">
      <c r="A5117" t="s">
        <v>11042</v>
      </c>
      <c r="C5117" t="s">
        <v>11043</v>
      </c>
      <c r="D5117" t="s">
        <v>11044</v>
      </c>
      <c r="E5117" s="5">
        <v>46293</v>
      </c>
      <c r="F5117" t="s">
        <v>204</v>
      </c>
      <c r="G5117" t="s">
        <v>213</v>
      </c>
      <c r="H5117">
        <v>1499</v>
      </c>
      <c r="I5117">
        <v>26.98</v>
      </c>
      <c r="J5117">
        <v>4.8600000000000003</v>
      </c>
      <c r="K5117">
        <v>1467.16</v>
      </c>
      <c r="L5117" s="5">
        <v>46295</v>
      </c>
      <c r="M5117" t="s">
        <v>11038</v>
      </c>
      <c r="N5117" t="s">
        <v>207</v>
      </c>
      <c r="O5117" t="s">
        <v>11044</v>
      </c>
      <c r="P5117" t="s">
        <v>208</v>
      </c>
      <c r="Q5117" t="s">
        <v>209</v>
      </c>
    </row>
    <row r="5118" spans="1:17" x14ac:dyDescent="0.3">
      <c r="A5118" t="s">
        <v>11045</v>
      </c>
      <c r="C5118" t="s">
        <v>11046</v>
      </c>
      <c r="D5118" t="s">
        <v>11046</v>
      </c>
      <c r="E5118" s="5">
        <v>46293</v>
      </c>
      <c r="F5118" t="s">
        <v>204</v>
      </c>
      <c r="G5118" t="s">
        <v>205</v>
      </c>
      <c r="H5118">
        <v>9498</v>
      </c>
      <c r="I5118">
        <v>161.47</v>
      </c>
      <c r="J5118">
        <v>29.06</v>
      </c>
      <c r="K5118">
        <v>9307.4699999999993</v>
      </c>
      <c r="L5118" s="5">
        <v>46295</v>
      </c>
      <c r="M5118" t="s">
        <v>11038</v>
      </c>
      <c r="N5118" t="s">
        <v>207</v>
      </c>
      <c r="O5118" t="s">
        <v>11046</v>
      </c>
      <c r="P5118" t="s">
        <v>208</v>
      </c>
      <c r="Q5118" t="s">
        <v>209</v>
      </c>
    </row>
    <row r="5119" spans="1:17" x14ac:dyDescent="0.3">
      <c r="A5119" t="s">
        <v>11047</v>
      </c>
      <c r="C5119" t="s">
        <v>11048</v>
      </c>
      <c r="D5119" t="s">
        <v>11048</v>
      </c>
      <c r="E5119" s="5">
        <v>46293</v>
      </c>
      <c r="F5119" t="s">
        <v>204</v>
      </c>
      <c r="G5119" t="s">
        <v>255</v>
      </c>
      <c r="H5119">
        <v>7797</v>
      </c>
      <c r="I5119">
        <v>93.56</v>
      </c>
      <c r="J5119">
        <v>16.84</v>
      </c>
      <c r="K5119">
        <v>7686.6</v>
      </c>
      <c r="L5119" s="5">
        <v>46295</v>
      </c>
      <c r="M5119" t="s">
        <v>11038</v>
      </c>
      <c r="N5119" t="s">
        <v>207</v>
      </c>
      <c r="O5119" t="s">
        <v>11048</v>
      </c>
      <c r="P5119" t="s">
        <v>208</v>
      </c>
      <c r="Q5119" t="s">
        <v>209</v>
      </c>
    </row>
    <row r="5120" spans="1:17" x14ac:dyDescent="0.3">
      <c r="A5120" t="s">
        <v>11049</v>
      </c>
      <c r="C5120" t="s">
        <v>11050</v>
      </c>
      <c r="D5120" t="s">
        <v>11051</v>
      </c>
      <c r="E5120" s="5">
        <v>46293</v>
      </c>
      <c r="F5120" t="s">
        <v>204</v>
      </c>
      <c r="G5120" t="s">
        <v>255</v>
      </c>
      <c r="H5120">
        <v>2999</v>
      </c>
      <c r="I5120">
        <v>35.99</v>
      </c>
      <c r="J5120">
        <v>6.48</v>
      </c>
      <c r="K5120">
        <v>2956.53</v>
      </c>
      <c r="L5120" s="5">
        <v>46295</v>
      </c>
      <c r="M5120" t="s">
        <v>11038</v>
      </c>
      <c r="N5120" t="s">
        <v>207</v>
      </c>
      <c r="O5120" t="s">
        <v>11051</v>
      </c>
      <c r="P5120" t="s">
        <v>208</v>
      </c>
      <c r="Q5120" t="s">
        <v>209</v>
      </c>
    </row>
    <row r="5121" spans="1:17" x14ac:dyDescent="0.3">
      <c r="A5121" t="s">
        <v>11052</v>
      </c>
      <c r="C5121" t="s">
        <v>11053</v>
      </c>
      <c r="D5121" t="s">
        <v>11053</v>
      </c>
      <c r="E5121" s="5">
        <v>46293</v>
      </c>
      <c r="F5121" t="s">
        <v>204</v>
      </c>
      <c r="G5121" t="s">
        <v>220</v>
      </c>
      <c r="H5121">
        <v>4999</v>
      </c>
      <c r="I5121">
        <v>15</v>
      </c>
      <c r="J5121">
        <v>2.7</v>
      </c>
      <c r="K5121">
        <v>4981.3</v>
      </c>
      <c r="L5121" s="5">
        <v>46295</v>
      </c>
      <c r="M5121" t="s">
        <v>11038</v>
      </c>
      <c r="N5121" t="s">
        <v>207</v>
      </c>
      <c r="O5121" t="s">
        <v>11053</v>
      </c>
      <c r="P5121" t="s">
        <v>208</v>
      </c>
      <c r="Q5121" t="s">
        <v>209</v>
      </c>
    </row>
    <row r="5122" spans="1:17" x14ac:dyDescent="0.3">
      <c r="A5122" t="s">
        <v>11054</v>
      </c>
      <c r="C5122" t="s">
        <v>11055</v>
      </c>
      <c r="D5122" t="s">
        <v>11055</v>
      </c>
      <c r="E5122" s="5">
        <v>46293</v>
      </c>
      <c r="F5122" t="s">
        <v>204</v>
      </c>
      <c r="G5122" t="s">
        <v>213</v>
      </c>
      <c r="H5122">
        <v>5347</v>
      </c>
      <c r="I5122">
        <v>85.55</v>
      </c>
      <c r="J5122">
        <v>15.4</v>
      </c>
      <c r="K5122">
        <v>5246.05</v>
      </c>
      <c r="L5122" s="5">
        <v>46295</v>
      </c>
      <c r="M5122" t="s">
        <v>11038</v>
      </c>
      <c r="N5122" t="s">
        <v>207</v>
      </c>
      <c r="O5122" t="s">
        <v>11055</v>
      </c>
      <c r="P5122" t="s">
        <v>208</v>
      </c>
      <c r="Q5122" t="s">
        <v>209</v>
      </c>
    </row>
    <row r="5123" spans="1:17" x14ac:dyDescent="0.3">
      <c r="A5123" t="s">
        <v>11056</v>
      </c>
      <c r="C5123" t="s">
        <v>11057</v>
      </c>
      <c r="D5123" t="s">
        <v>11057</v>
      </c>
      <c r="E5123" s="5">
        <v>46293</v>
      </c>
      <c r="F5123" t="s">
        <v>204</v>
      </c>
      <c r="G5123" t="s">
        <v>213</v>
      </c>
      <c r="H5123">
        <v>1498</v>
      </c>
      <c r="I5123">
        <v>26.96</v>
      </c>
      <c r="J5123">
        <v>4.8499999999999996</v>
      </c>
      <c r="K5123">
        <v>1466.19</v>
      </c>
      <c r="L5123" s="5">
        <v>46295</v>
      </c>
      <c r="M5123" t="s">
        <v>11038</v>
      </c>
      <c r="N5123" t="s">
        <v>207</v>
      </c>
      <c r="O5123" t="s">
        <v>11057</v>
      </c>
      <c r="P5123" t="s">
        <v>208</v>
      </c>
      <c r="Q5123" t="s">
        <v>209</v>
      </c>
    </row>
    <row r="5124" spans="1:17" x14ac:dyDescent="0.3">
      <c r="A5124" t="s">
        <v>11058</v>
      </c>
      <c r="C5124" t="s">
        <v>11059</v>
      </c>
      <c r="D5124" t="s">
        <v>11060</v>
      </c>
      <c r="E5124" s="5">
        <v>46293</v>
      </c>
      <c r="F5124" t="s">
        <v>204</v>
      </c>
      <c r="G5124" t="s">
        <v>213</v>
      </c>
      <c r="H5124">
        <v>499</v>
      </c>
      <c r="I5124">
        <v>8.98</v>
      </c>
      <c r="J5124">
        <v>1.62</v>
      </c>
      <c r="K5124">
        <v>488.4</v>
      </c>
      <c r="L5124" s="5">
        <v>46295</v>
      </c>
      <c r="M5124" t="s">
        <v>11038</v>
      </c>
      <c r="N5124" t="s">
        <v>207</v>
      </c>
      <c r="O5124" t="s">
        <v>11060</v>
      </c>
      <c r="P5124" t="s">
        <v>208</v>
      </c>
      <c r="Q5124" t="s">
        <v>209</v>
      </c>
    </row>
    <row r="5125" spans="1:17" x14ac:dyDescent="0.3">
      <c r="A5125" t="s">
        <v>11061</v>
      </c>
      <c r="C5125" t="s">
        <v>11062</v>
      </c>
      <c r="D5125" t="s">
        <v>11062</v>
      </c>
      <c r="E5125" s="5">
        <v>46293</v>
      </c>
      <c r="F5125" t="s">
        <v>204</v>
      </c>
      <c r="G5125" t="s">
        <v>220</v>
      </c>
      <c r="H5125">
        <v>11498</v>
      </c>
      <c r="I5125">
        <v>34.49</v>
      </c>
      <c r="J5125">
        <v>6.21</v>
      </c>
      <c r="K5125">
        <v>11457.3</v>
      </c>
      <c r="L5125" s="5">
        <v>46295</v>
      </c>
      <c r="M5125" t="s">
        <v>11038</v>
      </c>
      <c r="N5125" t="s">
        <v>207</v>
      </c>
      <c r="O5125" t="s">
        <v>11062</v>
      </c>
      <c r="P5125" t="s">
        <v>208</v>
      </c>
      <c r="Q5125" t="s">
        <v>209</v>
      </c>
    </row>
    <row r="5126" spans="1:17" x14ac:dyDescent="0.3">
      <c r="A5126" t="s">
        <v>11063</v>
      </c>
      <c r="C5126" t="s">
        <v>11064</v>
      </c>
      <c r="D5126" t="s">
        <v>11064</v>
      </c>
      <c r="E5126" s="5">
        <v>46293</v>
      </c>
      <c r="F5126" t="s">
        <v>204</v>
      </c>
      <c r="G5126" t="s">
        <v>213</v>
      </c>
      <c r="H5126">
        <v>8297</v>
      </c>
      <c r="I5126">
        <v>132.75</v>
      </c>
      <c r="J5126">
        <v>23.9</v>
      </c>
      <c r="K5126">
        <v>8140.35</v>
      </c>
      <c r="L5126" s="5">
        <v>46295</v>
      </c>
      <c r="M5126" t="s">
        <v>11038</v>
      </c>
      <c r="N5126" t="s">
        <v>207</v>
      </c>
      <c r="O5126" t="s">
        <v>11064</v>
      </c>
      <c r="P5126" t="s">
        <v>208</v>
      </c>
      <c r="Q5126" t="s">
        <v>209</v>
      </c>
    </row>
    <row r="5127" spans="1:17" x14ac:dyDescent="0.3">
      <c r="A5127" t="s">
        <v>11065</v>
      </c>
      <c r="C5127" t="s">
        <v>11066</v>
      </c>
      <c r="D5127" t="s">
        <v>11066</v>
      </c>
      <c r="E5127" s="5">
        <v>46293</v>
      </c>
      <c r="F5127" t="s">
        <v>204</v>
      </c>
      <c r="G5127" t="s">
        <v>220</v>
      </c>
      <c r="H5127">
        <v>3798</v>
      </c>
      <c r="I5127">
        <v>11.39</v>
      </c>
      <c r="J5127">
        <v>2.0499999999999998</v>
      </c>
      <c r="K5127">
        <v>3784.56</v>
      </c>
      <c r="L5127" s="5">
        <v>46295</v>
      </c>
      <c r="M5127" t="s">
        <v>11038</v>
      </c>
      <c r="N5127" t="s">
        <v>207</v>
      </c>
      <c r="O5127" t="s">
        <v>11066</v>
      </c>
      <c r="P5127" t="s">
        <v>208</v>
      </c>
      <c r="Q5127" t="s">
        <v>209</v>
      </c>
    </row>
    <row r="5128" spans="1:17" x14ac:dyDescent="0.3">
      <c r="A5128" t="s">
        <v>11067</v>
      </c>
      <c r="C5128" t="s">
        <v>11068</v>
      </c>
      <c r="D5128" t="s">
        <v>11068</v>
      </c>
      <c r="E5128" s="5">
        <v>46293</v>
      </c>
      <c r="F5128" t="s">
        <v>204</v>
      </c>
      <c r="G5128" t="s">
        <v>220</v>
      </c>
      <c r="H5128">
        <v>5097</v>
      </c>
      <c r="I5128">
        <v>15.29</v>
      </c>
      <c r="J5128">
        <v>2.75</v>
      </c>
      <c r="K5128">
        <v>5078.96</v>
      </c>
      <c r="L5128" s="5">
        <v>46295</v>
      </c>
      <c r="M5128" t="s">
        <v>11038</v>
      </c>
      <c r="N5128" t="s">
        <v>207</v>
      </c>
      <c r="O5128" t="s">
        <v>11068</v>
      </c>
      <c r="P5128" t="s">
        <v>208</v>
      </c>
      <c r="Q5128" t="s">
        <v>209</v>
      </c>
    </row>
    <row r="5129" spans="1:17" x14ac:dyDescent="0.3">
      <c r="A5129" t="s">
        <v>11069</v>
      </c>
      <c r="C5129" t="s">
        <v>11070</v>
      </c>
      <c r="D5129" t="s">
        <v>11071</v>
      </c>
      <c r="E5129" s="5">
        <v>46293</v>
      </c>
      <c r="F5129" t="s">
        <v>204</v>
      </c>
      <c r="G5129" t="s">
        <v>220</v>
      </c>
      <c r="H5129">
        <v>3499</v>
      </c>
      <c r="I5129">
        <v>10.5</v>
      </c>
      <c r="J5129">
        <v>1.89</v>
      </c>
      <c r="K5129">
        <v>3486.61</v>
      </c>
      <c r="L5129" s="5">
        <v>46295</v>
      </c>
      <c r="M5129" t="s">
        <v>11038</v>
      </c>
      <c r="N5129" t="s">
        <v>207</v>
      </c>
      <c r="O5129" t="s">
        <v>11071</v>
      </c>
      <c r="P5129" t="s">
        <v>208</v>
      </c>
      <c r="Q5129" t="s">
        <v>209</v>
      </c>
    </row>
    <row r="5130" spans="1:17" x14ac:dyDescent="0.3">
      <c r="A5130" t="s">
        <v>11072</v>
      </c>
      <c r="C5130" t="s">
        <v>11073</v>
      </c>
      <c r="D5130" t="s">
        <v>11074</v>
      </c>
      <c r="E5130" s="5">
        <v>46293</v>
      </c>
      <c r="F5130" t="s">
        <v>204</v>
      </c>
      <c r="G5130" t="s">
        <v>220</v>
      </c>
      <c r="H5130">
        <v>5347</v>
      </c>
      <c r="I5130">
        <v>16.04</v>
      </c>
      <c r="J5130">
        <v>2.89</v>
      </c>
      <c r="K5130">
        <v>5328.07</v>
      </c>
      <c r="L5130" s="5">
        <v>46295</v>
      </c>
      <c r="M5130" t="s">
        <v>11038</v>
      </c>
      <c r="N5130" t="s">
        <v>207</v>
      </c>
      <c r="O5130" t="s">
        <v>11074</v>
      </c>
      <c r="P5130" t="s">
        <v>208</v>
      </c>
      <c r="Q5130" t="s">
        <v>209</v>
      </c>
    </row>
    <row r="5131" spans="1:17" x14ac:dyDescent="0.3">
      <c r="A5131" t="s">
        <v>11075</v>
      </c>
      <c r="C5131" t="s">
        <v>11076</v>
      </c>
      <c r="D5131" t="s">
        <v>11076</v>
      </c>
      <c r="E5131" s="5">
        <v>46293</v>
      </c>
      <c r="F5131" t="s">
        <v>204</v>
      </c>
      <c r="G5131" t="s">
        <v>220</v>
      </c>
      <c r="H5131">
        <v>7999</v>
      </c>
      <c r="I5131">
        <v>24</v>
      </c>
      <c r="J5131">
        <v>4.32</v>
      </c>
      <c r="K5131">
        <v>7970.68</v>
      </c>
      <c r="L5131" s="5">
        <v>46295</v>
      </c>
      <c r="M5131" t="s">
        <v>11038</v>
      </c>
      <c r="N5131" t="s">
        <v>207</v>
      </c>
      <c r="O5131" t="s">
        <v>11076</v>
      </c>
      <c r="P5131" t="s">
        <v>208</v>
      </c>
      <c r="Q5131" t="s">
        <v>209</v>
      </c>
    </row>
    <row r="5132" spans="1:17" x14ac:dyDescent="0.3">
      <c r="A5132" t="s">
        <v>11077</v>
      </c>
      <c r="C5132" t="s">
        <v>11078</v>
      </c>
      <c r="D5132" t="s">
        <v>11078</v>
      </c>
      <c r="E5132" s="5">
        <v>46293</v>
      </c>
      <c r="F5132" t="s">
        <v>204</v>
      </c>
      <c r="G5132" t="s">
        <v>213</v>
      </c>
      <c r="H5132">
        <v>1499</v>
      </c>
      <c r="I5132">
        <v>26.98</v>
      </c>
      <c r="J5132">
        <v>4.8600000000000003</v>
      </c>
      <c r="K5132">
        <v>1467.16</v>
      </c>
      <c r="L5132" s="5">
        <v>46295</v>
      </c>
      <c r="M5132" t="s">
        <v>11038</v>
      </c>
      <c r="N5132" t="s">
        <v>207</v>
      </c>
      <c r="O5132" t="s">
        <v>11078</v>
      </c>
      <c r="P5132" t="s">
        <v>208</v>
      </c>
      <c r="Q5132" t="s">
        <v>209</v>
      </c>
    </row>
    <row r="5133" spans="1:17" x14ac:dyDescent="0.3">
      <c r="A5133" t="s">
        <v>11079</v>
      </c>
      <c r="C5133" t="s">
        <v>11080</v>
      </c>
      <c r="D5133" t="s">
        <v>11080</v>
      </c>
      <c r="E5133" s="5">
        <v>46293</v>
      </c>
      <c r="F5133" t="s">
        <v>204</v>
      </c>
      <c r="G5133" t="s">
        <v>255</v>
      </c>
      <c r="H5133">
        <v>2598</v>
      </c>
      <c r="I5133">
        <v>31.18</v>
      </c>
      <c r="J5133">
        <v>5.61</v>
      </c>
      <c r="K5133">
        <v>2561.21</v>
      </c>
      <c r="L5133" s="5">
        <v>46295</v>
      </c>
      <c r="M5133" t="s">
        <v>11038</v>
      </c>
      <c r="N5133" t="s">
        <v>207</v>
      </c>
      <c r="O5133" t="s">
        <v>11080</v>
      </c>
      <c r="P5133" t="s">
        <v>208</v>
      </c>
      <c r="Q5133" t="s">
        <v>209</v>
      </c>
    </row>
    <row r="5134" spans="1:17" x14ac:dyDescent="0.3">
      <c r="A5134" t="s">
        <v>11081</v>
      </c>
      <c r="C5134" t="s">
        <v>11082</v>
      </c>
      <c r="D5134" t="s">
        <v>11083</v>
      </c>
      <c r="E5134" s="5">
        <v>46293</v>
      </c>
      <c r="F5134" t="s">
        <v>204</v>
      </c>
      <c r="G5134" t="s">
        <v>213</v>
      </c>
      <c r="H5134">
        <v>6597</v>
      </c>
      <c r="I5134">
        <v>105.55</v>
      </c>
      <c r="J5134">
        <v>19</v>
      </c>
      <c r="K5134">
        <v>6472.45</v>
      </c>
      <c r="L5134" s="5">
        <v>46295</v>
      </c>
      <c r="M5134" t="s">
        <v>11038</v>
      </c>
      <c r="N5134" t="s">
        <v>207</v>
      </c>
      <c r="O5134" t="s">
        <v>11083</v>
      </c>
      <c r="P5134" t="s">
        <v>208</v>
      </c>
      <c r="Q5134" t="s">
        <v>209</v>
      </c>
    </row>
    <row r="5135" spans="1:17" x14ac:dyDescent="0.3">
      <c r="A5135" t="s">
        <v>11084</v>
      </c>
      <c r="C5135" t="s">
        <v>11085</v>
      </c>
      <c r="D5135" t="s">
        <v>11086</v>
      </c>
      <c r="E5135" s="5">
        <v>46293</v>
      </c>
      <c r="F5135" t="s">
        <v>204</v>
      </c>
      <c r="G5135" t="s">
        <v>255</v>
      </c>
      <c r="H5135">
        <v>5298</v>
      </c>
      <c r="I5135">
        <v>63.58</v>
      </c>
      <c r="J5135">
        <v>11.44</v>
      </c>
      <c r="K5135">
        <v>5222.9799999999996</v>
      </c>
      <c r="L5135" s="5">
        <v>46295</v>
      </c>
      <c r="M5135" t="s">
        <v>11038</v>
      </c>
      <c r="N5135" t="s">
        <v>207</v>
      </c>
      <c r="O5135" t="s">
        <v>11086</v>
      </c>
      <c r="P5135" t="s">
        <v>208</v>
      </c>
      <c r="Q5135" t="s">
        <v>209</v>
      </c>
    </row>
    <row r="5136" spans="1:17" x14ac:dyDescent="0.3">
      <c r="A5136" t="s">
        <v>11087</v>
      </c>
      <c r="C5136" t="s">
        <v>11088</v>
      </c>
      <c r="D5136" t="s">
        <v>11088</v>
      </c>
      <c r="E5136" s="5">
        <v>46293</v>
      </c>
      <c r="F5136" t="s">
        <v>204</v>
      </c>
      <c r="G5136" t="s">
        <v>213</v>
      </c>
      <c r="H5136">
        <v>4998</v>
      </c>
      <c r="I5136">
        <v>79.97</v>
      </c>
      <c r="J5136">
        <v>14.39</v>
      </c>
      <c r="K5136">
        <v>4903.6400000000003</v>
      </c>
      <c r="L5136" s="5">
        <v>46295</v>
      </c>
      <c r="M5136" t="s">
        <v>11038</v>
      </c>
      <c r="N5136" t="s">
        <v>207</v>
      </c>
      <c r="O5136" t="s">
        <v>11088</v>
      </c>
      <c r="P5136" t="s">
        <v>208</v>
      </c>
      <c r="Q5136" t="s">
        <v>209</v>
      </c>
    </row>
    <row r="5137" spans="1:17" x14ac:dyDescent="0.3">
      <c r="A5137" t="s">
        <v>11089</v>
      </c>
      <c r="C5137" t="s">
        <v>11090</v>
      </c>
      <c r="D5137" t="s">
        <v>11091</v>
      </c>
      <c r="E5137" s="5">
        <v>46293</v>
      </c>
      <c r="F5137" t="s">
        <v>204</v>
      </c>
      <c r="G5137" t="s">
        <v>220</v>
      </c>
      <c r="H5137">
        <v>2998</v>
      </c>
      <c r="I5137">
        <v>8.99</v>
      </c>
      <c r="J5137">
        <v>1.62</v>
      </c>
      <c r="K5137">
        <v>2987.39</v>
      </c>
      <c r="L5137" s="5">
        <v>46295</v>
      </c>
      <c r="M5137" t="s">
        <v>11038</v>
      </c>
      <c r="N5137" t="s">
        <v>207</v>
      </c>
      <c r="O5137" t="s">
        <v>11091</v>
      </c>
      <c r="P5137" t="s">
        <v>208</v>
      </c>
      <c r="Q5137" t="s">
        <v>209</v>
      </c>
    </row>
    <row r="5138" spans="1:17" x14ac:dyDescent="0.3">
      <c r="A5138" t="s">
        <v>11092</v>
      </c>
      <c r="C5138" t="s">
        <v>11093</v>
      </c>
      <c r="D5138" t="s">
        <v>11094</v>
      </c>
      <c r="E5138" s="5">
        <v>46293</v>
      </c>
      <c r="F5138" t="s">
        <v>204</v>
      </c>
      <c r="G5138" t="s">
        <v>220</v>
      </c>
      <c r="H5138">
        <v>1398</v>
      </c>
      <c r="I5138">
        <v>0</v>
      </c>
      <c r="J5138">
        <v>0</v>
      </c>
      <c r="K5138">
        <v>1398</v>
      </c>
      <c r="L5138" s="5">
        <v>46295</v>
      </c>
      <c r="M5138" t="s">
        <v>11038</v>
      </c>
      <c r="N5138" t="s">
        <v>207</v>
      </c>
      <c r="O5138" t="s">
        <v>11094</v>
      </c>
      <c r="P5138" t="s">
        <v>208</v>
      </c>
      <c r="Q5138" t="s">
        <v>209</v>
      </c>
    </row>
    <row r="5139" spans="1:17" x14ac:dyDescent="0.3">
      <c r="A5139" t="s">
        <v>11095</v>
      </c>
      <c r="C5139" t="s">
        <v>11096</v>
      </c>
      <c r="D5139" t="s">
        <v>11096</v>
      </c>
      <c r="E5139" s="5">
        <v>46293</v>
      </c>
      <c r="F5139" t="s">
        <v>204</v>
      </c>
      <c r="G5139" t="s">
        <v>220</v>
      </c>
      <c r="H5139">
        <v>8798</v>
      </c>
      <c r="I5139">
        <v>26.39</v>
      </c>
      <c r="J5139">
        <v>4.75</v>
      </c>
      <c r="K5139">
        <v>8766.86</v>
      </c>
      <c r="L5139" s="5">
        <v>46295</v>
      </c>
      <c r="M5139" t="s">
        <v>11038</v>
      </c>
      <c r="N5139" t="s">
        <v>207</v>
      </c>
      <c r="O5139" t="s">
        <v>11096</v>
      </c>
      <c r="P5139" t="s">
        <v>208</v>
      </c>
      <c r="Q5139" t="s">
        <v>209</v>
      </c>
    </row>
    <row r="5140" spans="1:17" x14ac:dyDescent="0.3">
      <c r="A5140" t="s">
        <v>11097</v>
      </c>
      <c r="C5140" t="s">
        <v>11098</v>
      </c>
      <c r="D5140" t="s">
        <v>11099</v>
      </c>
      <c r="E5140" s="5">
        <v>46293</v>
      </c>
      <c r="F5140" t="s">
        <v>204</v>
      </c>
      <c r="G5140" t="s">
        <v>213</v>
      </c>
      <c r="H5140">
        <v>8297</v>
      </c>
      <c r="I5140">
        <v>132.75</v>
      </c>
      <c r="J5140">
        <v>23.9</v>
      </c>
      <c r="K5140">
        <v>8140.35</v>
      </c>
      <c r="L5140" s="5">
        <v>46295</v>
      </c>
      <c r="M5140" t="s">
        <v>11038</v>
      </c>
      <c r="N5140" t="s">
        <v>207</v>
      </c>
      <c r="O5140" t="s">
        <v>11099</v>
      </c>
      <c r="P5140" t="s">
        <v>208</v>
      </c>
      <c r="Q5140" t="s">
        <v>209</v>
      </c>
    </row>
    <row r="5141" spans="1:17" x14ac:dyDescent="0.3">
      <c r="A5141" t="s">
        <v>11100</v>
      </c>
      <c r="C5141" t="s">
        <v>11101</v>
      </c>
      <c r="D5141" t="s">
        <v>11101</v>
      </c>
      <c r="E5141" s="5">
        <v>46293</v>
      </c>
      <c r="F5141" t="s">
        <v>204</v>
      </c>
      <c r="G5141" t="s">
        <v>220</v>
      </c>
      <c r="H5141">
        <v>7999</v>
      </c>
      <c r="I5141">
        <v>24</v>
      </c>
      <c r="J5141">
        <v>4.32</v>
      </c>
      <c r="K5141">
        <v>7970.68</v>
      </c>
      <c r="L5141" s="5">
        <v>46295</v>
      </c>
      <c r="M5141" t="s">
        <v>11038</v>
      </c>
      <c r="N5141" t="s">
        <v>207</v>
      </c>
      <c r="O5141" t="s">
        <v>11101</v>
      </c>
      <c r="P5141" t="s">
        <v>208</v>
      </c>
      <c r="Q5141" t="s">
        <v>209</v>
      </c>
    </row>
    <row r="5142" spans="1:17" x14ac:dyDescent="0.3">
      <c r="A5142" t="s">
        <v>11102</v>
      </c>
      <c r="C5142" t="s">
        <v>11103</v>
      </c>
      <c r="D5142" t="s">
        <v>11103</v>
      </c>
      <c r="E5142" s="5">
        <v>46293</v>
      </c>
      <c r="F5142" t="s">
        <v>204</v>
      </c>
      <c r="G5142" t="s">
        <v>220</v>
      </c>
      <c r="H5142">
        <v>9497</v>
      </c>
      <c r="I5142">
        <v>28.49</v>
      </c>
      <c r="J5142">
        <v>5.13</v>
      </c>
      <c r="K5142">
        <v>9463.3799999999992</v>
      </c>
      <c r="L5142" s="5">
        <v>46295</v>
      </c>
      <c r="M5142" t="s">
        <v>11038</v>
      </c>
      <c r="N5142" t="s">
        <v>207</v>
      </c>
      <c r="O5142" t="s">
        <v>11103</v>
      </c>
      <c r="P5142" t="s">
        <v>208</v>
      </c>
      <c r="Q5142" t="s">
        <v>209</v>
      </c>
    </row>
    <row r="5143" spans="1:17" x14ac:dyDescent="0.3">
      <c r="A5143" t="s">
        <v>11104</v>
      </c>
      <c r="C5143" t="s">
        <v>11105</v>
      </c>
      <c r="D5143" t="s">
        <v>11105</v>
      </c>
      <c r="E5143" s="5">
        <v>46293</v>
      </c>
      <c r="F5143" t="s">
        <v>204</v>
      </c>
      <c r="G5143" t="s">
        <v>220</v>
      </c>
      <c r="H5143">
        <v>599</v>
      </c>
      <c r="I5143">
        <v>0</v>
      </c>
      <c r="J5143">
        <v>0</v>
      </c>
      <c r="K5143">
        <v>599</v>
      </c>
      <c r="L5143" s="5">
        <v>46295</v>
      </c>
      <c r="M5143" t="s">
        <v>11038</v>
      </c>
      <c r="N5143" t="s">
        <v>207</v>
      </c>
      <c r="O5143" t="s">
        <v>11105</v>
      </c>
      <c r="P5143" t="s">
        <v>208</v>
      </c>
      <c r="Q5143" t="s">
        <v>209</v>
      </c>
    </row>
    <row r="5144" spans="1:17" x14ac:dyDescent="0.3">
      <c r="A5144" t="s">
        <v>11106</v>
      </c>
      <c r="C5144" t="s">
        <v>11107</v>
      </c>
      <c r="D5144" t="s">
        <v>11107</v>
      </c>
      <c r="E5144" s="5">
        <v>46293</v>
      </c>
      <c r="F5144" t="s">
        <v>204</v>
      </c>
      <c r="G5144" t="s">
        <v>213</v>
      </c>
      <c r="H5144">
        <v>5998</v>
      </c>
      <c r="I5144">
        <v>95.97</v>
      </c>
      <c r="J5144">
        <v>17.27</v>
      </c>
      <c r="K5144">
        <v>5884.76</v>
      </c>
      <c r="L5144" s="5">
        <v>46295</v>
      </c>
      <c r="M5144" t="s">
        <v>11038</v>
      </c>
      <c r="N5144" t="s">
        <v>207</v>
      </c>
      <c r="O5144" t="s">
        <v>11107</v>
      </c>
      <c r="P5144" t="s">
        <v>208</v>
      </c>
      <c r="Q5144" t="s">
        <v>209</v>
      </c>
    </row>
    <row r="5145" spans="1:17" x14ac:dyDescent="0.3">
      <c r="A5145" t="s">
        <v>11108</v>
      </c>
      <c r="C5145" t="s">
        <v>11109</v>
      </c>
      <c r="D5145" t="s">
        <v>11110</v>
      </c>
      <c r="E5145" s="5">
        <v>46293</v>
      </c>
      <c r="F5145" t="s">
        <v>204</v>
      </c>
      <c r="G5145" t="s">
        <v>213</v>
      </c>
      <c r="H5145">
        <v>12297</v>
      </c>
      <c r="I5145">
        <v>196.75</v>
      </c>
      <c r="J5145">
        <v>35.42</v>
      </c>
      <c r="K5145">
        <v>12064.83</v>
      </c>
      <c r="L5145" s="5">
        <v>46295</v>
      </c>
      <c r="M5145" t="s">
        <v>11038</v>
      </c>
      <c r="N5145" t="s">
        <v>207</v>
      </c>
      <c r="O5145" t="s">
        <v>11110</v>
      </c>
      <c r="P5145" t="s">
        <v>208</v>
      </c>
      <c r="Q5145" t="s">
        <v>209</v>
      </c>
    </row>
    <row r="5146" spans="1:17" x14ac:dyDescent="0.3">
      <c r="A5146" t="s">
        <v>11111</v>
      </c>
      <c r="C5146" t="s">
        <v>11112</v>
      </c>
      <c r="D5146" t="s">
        <v>11112</v>
      </c>
      <c r="E5146" s="5">
        <v>46293</v>
      </c>
      <c r="F5146" t="s">
        <v>204</v>
      </c>
      <c r="G5146" t="s">
        <v>220</v>
      </c>
      <c r="H5146">
        <v>6797</v>
      </c>
      <c r="I5146">
        <v>20.39</v>
      </c>
      <c r="J5146">
        <v>3.67</v>
      </c>
      <c r="K5146">
        <v>6772.94</v>
      </c>
      <c r="L5146" s="5">
        <v>46295</v>
      </c>
      <c r="M5146" t="s">
        <v>11038</v>
      </c>
      <c r="N5146" t="s">
        <v>207</v>
      </c>
      <c r="O5146" t="s">
        <v>11112</v>
      </c>
      <c r="P5146" t="s">
        <v>208</v>
      </c>
      <c r="Q5146" t="s">
        <v>209</v>
      </c>
    </row>
    <row r="5147" spans="1:17" x14ac:dyDescent="0.3">
      <c r="A5147" t="s">
        <v>11113</v>
      </c>
      <c r="C5147" t="s">
        <v>11114</v>
      </c>
      <c r="D5147" t="s">
        <v>11114</v>
      </c>
      <c r="E5147" s="5">
        <v>46293</v>
      </c>
      <c r="F5147" t="s">
        <v>204</v>
      </c>
      <c r="G5147" t="s">
        <v>220</v>
      </c>
      <c r="H5147">
        <v>1148</v>
      </c>
      <c r="I5147">
        <v>0</v>
      </c>
      <c r="J5147">
        <v>0</v>
      </c>
      <c r="K5147">
        <v>1148</v>
      </c>
      <c r="L5147" s="5">
        <v>46295</v>
      </c>
      <c r="M5147" t="s">
        <v>11038</v>
      </c>
      <c r="N5147" t="s">
        <v>207</v>
      </c>
      <c r="O5147" t="s">
        <v>11114</v>
      </c>
      <c r="P5147" t="s">
        <v>208</v>
      </c>
      <c r="Q5147" t="s">
        <v>209</v>
      </c>
    </row>
    <row r="5148" spans="1:17" x14ac:dyDescent="0.3">
      <c r="A5148" t="s">
        <v>11115</v>
      </c>
      <c r="C5148" t="s">
        <v>11116</v>
      </c>
      <c r="D5148" t="s">
        <v>11117</v>
      </c>
      <c r="E5148" s="5">
        <v>46293</v>
      </c>
      <c r="F5148" t="s">
        <v>204</v>
      </c>
      <c r="G5148" t="s">
        <v>220</v>
      </c>
      <c r="H5148">
        <v>3998</v>
      </c>
      <c r="I5148">
        <v>11.99</v>
      </c>
      <c r="J5148">
        <v>2.16</v>
      </c>
      <c r="K5148">
        <v>3983.85</v>
      </c>
      <c r="L5148" s="5">
        <v>46295</v>
      </c>
      <c r="M5148" t="s">
        <v>11038</v>
      </c>
      <c r="N5148" t="s">
        <v>207</v>
      </c>
      <c r="O5148" t="s">
        <v>11117</v>
      </c>
      <c r="P5148" t="s">
        <v>208</v>
      </c>
      <c r="Q5148" t="s">
        <v>209</v>
      </c>
    </row>
    <row r="5149" spans="1:17" x14ac:dyDescent="0.3">
      <c r="A5149" t="s">
        <v>11118</v>
      </c>
      <c r="C5149" t="s">
        <v>11119</v>
      </c>
      <c r="D5149" t="s">
        <v>11119</v>
      </c>
      <c r="E5149" s="5">
        <v>46293</v>
      </c>
      <c r="F5149" t="s">
        <v>204</v>
      </c>
      <c r="G5149" t="s">
        <v>213</v>
      </c>
      <c r="H5149">
        <v>7998</v>
      </c>
      <c r="I5149">
        <v>127.97</v>
      </c>
      <c r="J5149">
        <v>23.03</v>
      </c>
      <c r="K5149">
        <v>7847</v>
      </c>
      <c r="L5149" s="5">
        <v>46295</v>
      </c>
      <c r="M5149" t="s">
        <v>11038</v>
      </c>
      <c r="N5149" t="s">
        <v>207</v>
      </c>
      <c r="O5149" t="s">
        <v>11119</v>
      </c>
      <c r="P5149" t="s">
        <v>208</v>
      </c>
      <c r="Q5149" t="s">
        <v>209</v>
      </c>
    </row>
    <row r="5150" spans="1:17" x14ac:dyDescent="0.3">
      <c r="A5150" t="s">
        <v>11120</v>
      </c>
      <c r="C5150" t="s">
        <v>11121</v>
      </c>
      <c r="D5150" t="s">
        <v>11121</v>
      </c>
      <c r="E5150" s="5">
        <v>46293</v>
      </c>
      <c r="F5150" t="s">
        <v>204</v>
      </c>
      <c r="G5150" t="s">
        <v>213</v>
      </c>
      <c r="H5150">
        <v>1299</v>
      </c>
      <c r="I5150">
        <v>23.38</v>
      </c>
      <c r="J5150">
        <v>4.21</v>
      </c>
      <c r="K5150">
        <v>1271.4100000000001</v>
      </c>
      <c r="L5150" s="5">
        <v>46295</v>
      </c>
      <c r="M5150" t="s">
        <v>11038</v>
      </c>
      <c r="N5150" t="s">
        <v>207</v>
      </c>
      <c r="O5150" t="s">
        <v>11121</v>
      </c>
      <c r="P5150" t="s">
        <v>208</v>
      </c>
      <c r="Q5150" t="s">
        <v>209</v>
      </c>
    </row>
    <row r="5151" spans="1:17" x14ac:dyDescent="0.3">
      <c r="A5151" t="s">
        <v>11122</v>
      </c>
      <c r="C5151" t="s">
        <v>11123</v>
      </c>
      <c r="D5151" t="s">
        <v>11123</v>
      </c>
      <c r="E5151" s="5">
        <v>46293</v>
      </c>
      <c r="F5151" t="s">
        <v>204</v>
      </c>
      <c r="G5151" t="s">
        <v>213</v>
      </c>
      <c r="H5151">
        <v>2798</v>
      </c>
      <c r="I5151">
        <v>44.77</v>
      </c>
      <c r="J5151">
        <v>8.06</v>
      </c>
      <c r="K5151">
        <v>2745.17</v>
      </c>
      <c r="L5151" s="5">
        <v>46295</v>
      </c>
      <c r="M5151" t="s">
        <v>11038</v>
      </c>
      <c r="N5151" t="s">
        <v>207</v>
      </c>
      <c r="O5151" t="s">
        <v>11123</v>
      </c>
      <c r="P5151" t="s">
        <v>208</v>
      </c>
      <c r="Q5151" t="s">
        <v>209</v>
      </c>
    </row>
    <row r="5152" spans="1:17" x14ac:dyDescent="0.3">
      <c r="A5152" t="s">
        <v>11124</v>
      </c>
      <c r="C5152" t="s">
        <v>11125</v>
      </c>
      <c r="D5152" t="s">
        <v>11125</v>
      </c>
      <c r="E5152" s="5">
        <v>46293</v>
      </c>
      <c r="F5152" t="s">
        <v>204</v>
      </c>
      <c r="G5152" t="s">
        <v>220</v>
      </c>
      <c r="H5152">
        <v>4298</v>
      </c>
      <c r="I5152">
        <v>12.89</v>
      </c>
      <c r="J5152">
        <v>2.3199999999999998</v>
      </c>
      <c r="K5152">
        <v>4282.79</v>
      </c>
      <c r="L5152" s="5">
        <v>46295</v>
      </c>
      <c r="M5152" t="s">
        <v>11038</v>
      </c>
      <c r="N5152" t="s">
        <v>207</v>
      </c>
      <c r="O5152" t="s">
        <v>11125</v>
      </c>
      <c r="P5152" t="s">
        <v>208</v>
      </c>
      <c r="Q5152" t="s">
        <v>209</v>
      </c>
    </row>
    <row r="5153" spans="1:17" x14ac:dyDescent="0.3">
      <c r="A5153" t="s">
        <v>11126</v>
      </c>
      <c r="C5153" t="s">
        <v>11127</v>
      </c>
      <c r="D5153" t="s">
        <v>11127</v>
      </c>
      <c r="E5153" s="5">
        <v>46293</v>
      </c>
      <c r="F5153" t="s">
        <v>204</v>
      </c>
      <c r="G5153" t="s">
        <v>255</v>
      </c>
      <c r="H5153">
        <v>4798</v>
      </c>
      <c r="I5153">
        <v>57.58</v>
      </c>
      <c r="J5153">
        <v>10.36</v>
      </c>
      <c r="K5153">
        <v>4730.0600000000004</v>
      </c>
      <c r="L5153" s="5">
        <v>46295</v>
      </c>
      <c r="M5153" t="s">
        <v>11038</v>
      </c>
      <c r="N5153" t="s">
        <v>207</v>
      </c>
      <c r="O5153" t="s">
        <v>11127</v>
      </c>
      <c r="P5153" t="s">
        <v>208</v>
      </c>
      <c r="Q5153" t="s">
        <v>209</v>
      </c>
    </row>
    <row r="5154" spans="1:17" x14ac:dyDescent="0.3">
      <c r="A5154" t="s">
        <v>11128</v>
      </c>
      <c r="C5154" t="s">
        <v>11129</v>
      </c>
      <c r="D5154" t="s">
        <v>11129</v>
      </c>
      <c r="E5154" s="5">
        <v>46293</v>
      </c>
      <c r="F5154" t="s">
        <v>204</v>
      </c>
      <c r="G5154" t="s">
        <v>213</v>
      </c>
      <c r="H5154">
        <v>1799</v>
      </c>
      <c r="I5154">
        <v>32.380000000000003</v>
      </c>
      <c r="J5154">
        <v>5.83</v>
      </c>
      <c r="K5154">
        <v>1760.79</v>
      </c>
      <c r="L5154" s="5">
        <v>46295</v>
      </c>
      <c r="M5154" t="s">
        <v>11038</v>
      </c>
      <c r="N5154" t="s">
        <v>207</v>
      </c>
      <c r="O5154" t="s">
        <v>11129</v>
      </c>
      <c r="P5154" t="s">
        <v>208</v>
      </c>
      <c r="Q5154" t="s">
        <v>209</v>
      </c>
    </row>
    <row r="5155" spans="1:17" x14ac:dyDescent="0.3">
      <c r="A5155" t="s">
        <v>11130</v>
      </c>
      <c r="C5155" t="s">
        <v>11131</v>
      </c>
      <c r="D5155" t="s">
        <v>11132</v>
      </c>
      <c r="E5155" s="5">
        <v>46293</v>
      </c>
      <c r="F5155" t="s">
        <v>204</v>
      </c>
      <c r="G5155" t="s">
        <v>220</v>
      </c>
      <c r="H5155">
        <v>4999</v>
      </c>
      <c r="I5155">
        <v>15</v>
      </c>
      <c r="J5155">
        <v>2.7</v>
      </c>
      <c r="K5155">
        <v>4981.3</v>
      </c>
      <c r="L5155" s="5">
        <v>46295</v>
      </c>
      <c r="M5155" t="s">
        <v>11038</v>
      </c>
      <c r="N5155" t="s">
        <v>207</v>
      </c>
      <c r="O5155" t="s">
        <v>11132</v>
      </c>
      <c r="P5155" t="s">
        <v>208</v>
      </c>
      <c r="Q5155" t="s">
        <v>209</v>
      </c>
    </row>
    <row r="5156" spans="1:17" x14ac:dyDescent="0.3">
      <c r="A5156" t="s">
        <v>11133</v>
      </c>
      <c r="C5156" t="s">
        <v>11134</v>
      </c>
      <c r="D5156" t="s">
        <v>11135</v>
      </c>
      <c r="E5156" s="5">
        <v>46293</v>
      </c>
      <c r="F5156" t="s">
        <v>204</v>
      </c>
      <c r="G5156" t="s">
        <v>220</v>
      </c>
      <c r="H5156">
        <v>1499</v>
      </c>
      <c r="I5156">
        <v>0</v>
      </c>
      <c r="J5156">
        <v>0</v>
      </c>
      <c r="K5156">
        <v>1499</v>
      </c>
      <c r="L5156" s="5">
        <v>46295</v>
      </c>
      <c r="M5156" t="s">
        <v>11038</v>
      </c>
      <c r="N5156" t="s">
        <v>207</v>
      </c>
      <c r="O5156" t="s">
        <v>11135</v>
      </c>
      <c r="P5156" t="s">
        <v>208</v>
      </c>
      <c r="Q5156" t="s">
        <v>209</v>
      </c>
    </row>
    <row r="5157" spans="1:17" x14ac:dyDescent="0.3">
      <c r="A5157" t="s">
        <v>11136</v>
      </c>
      <c r="C5157" t="s">
        <v>11137</v>
      </c>
      <c r="D5157" t="s">
        <v>11137</v>
      </c>
      <c r="E5157" s="5">
        <v>46293</v>
      </c>
      <c r="F5157" t="s">
        <v>204</v>
      </c>
      <c r="G5157" t="s">
        <v>220</v>
      </c>
      <c r="H5157">
        <v>4999</v>
      </c>
      <c r="I5157">
        <v>15</v>
      </c>
      <c r="J5157">
        <v>2.7</v>
      </c>
      <c r="K5157">
        <v>4981.3</v>
      </c>
      <c r="L5157" s="5">
        <v>46295</v>
      </c>
      <c r="M5157" t="s">
        <v>11038</v>
      </c>
      <c r="N5157" t="s">
        <v>207</v>
      </c>
      <c r="O5157" t="s">
        <v>11137</v>
      </c>
      <c r="P5157" t="s">
        <v>208</v>
      </c>
      <c r="Q5157" t="s">
        <v>209</v>
      </c>
    </row>
    <row r="5158" spans="1:17" x14ac:dyDescent="0.3">
      <c r="A5158" t="s">
        <v>11138</v>
      </c>
      <c r="C5158" t="s">
        <v>11139</v>
      </c>
      <c r="D5158" t="s">
        <v>11139</v>
      </c>
      <c r="E5158" s="5">
        <v>46293</v>
      </c>
      <c r="F5158" t="s">
        <v>204</v>
      </c>
      <c r="G5158" t="s">
        <v>205</v>
      </c>
      <c r="H5158">
        <v>3499</v>
      </c>
      <c r="I5158">
        <v>59.48</v>
      </c>
      <c r="J5158">
        <v>10.71</v>
      </c>
      <c r="K5158">
        <v>3428.81</v>
      </c>
      <c r="L5158" s="5">
        <v>46295</v>
      </c>
      <c r="M5158" t="s">
        <v>11038</v>
      </c>
      <c r="N5158" t="s">
        <v>207</v>
      </c>
      <c r="O5158" t="s">
        <v>11139</v>
      </c>
      <c r="P5158" t="s">
        <v>208</v>
      </c>
      <c r="Q5158" t="s">
        <v>209</v>
      </c>
    </row>
    <row r="5159" spans="1:17" x14ac:dyDescent="0.3">
      <c r="A5159" t="s">
        <v>11140</v>
      </c>
      <c r="C5159" t="s">
        <v>11141</v>
      </c>
      <c r="D5159" t="s">
        <v>11141</v>
      </c>
      <c r="E5159" s="5">
        <v>46293</v>
      </c>
      <c r="F5159" t="s">
        <v>204</v>
      </c>
      <c r="G5159" t="s">
        <v>205</v>
      </c>
      <c r="H5159">
        <v>3598</v>
      </c>
      <c r="I5159">
        <v>61.17</v>
      </c>
      <c r="J5159">
        <v>11.01</v>
      </c>
      <c r="K5159">
        <v>3525.82</v>
      </c>
      <c r="L5159" s="5">
        <v>46295</v>
      </c>
      <c r="M5159" t="s">
        <v>11038</v>
      </c>
      <c r="N5159" t="s">
        <v>207</v>
      </c>
      <c r="O5159" t="s">
        <v>11141</v>
      </c>
      <c r="P5159" t="s">
        <v>208</v>
      </c>
      <c r="Q5159" t="s">
        <v>209</v>
      </c>
    </row>
    <row r="5160" spans="1:17" x14ac:dyDescent="0.3">
      <c r="A5160" t="s">
        <v>11142</v>
      </c>
      <c r="C5160" t="s">
        <v>11143</v>
      </c>
      <c r="D5160" t="s">
        <v>11144</v>
      </c>
      <c r="E5160" s="5">
        <v>46293</v>
      </c>
      <c r="F5160" t="s">
        <v>204</v>
      </c>
      <c r="G5160" t="s">
        <v>220</v>
      </c>
      <c r="H5160">
        <v>499</v>
      </c>
      <c r="I5160">
        <v>0</v>
      </c>
      <c r="J5160">
        <v>0</v>
      </c>
      <c r="K5160">
        <v>499</v>
      </c>
      <c r="L5160" s="5">
        <v>46295</v>
      </c>
      <c r="M5160" t="s">
        <v>11038</v>
      </c>
      <c r="N5160" t="s">
        <v>207</v>
      </c>
      <c r="O5160" t="s">
        <v>11144</v>
      </c>
      <c r="P5160" t="s">
        <v>208</v>
      </c>
      <c r="Q5160" t="s">
        <v>209</v>
      </c>
    </row>
    <row r="5161" spans="1:17" x14ac:dyDescent="0.3">
      <c r="A5161" t="s">
        <v>11145</v>
      </c>
      <c r="C5161" t="s">
        <v>11146</v>
      </c>
      <c r="D5161" t="s">
        <v>11146</v>
      </c>
      <c r="E5161" s="5">
        <v>46293</v>
      </c>
      <c r="F5161" t="s">
        <v>204</v>
      </c>
      <c r="G5161" t="s">
        <v>220</v>
      </c>
      <c r="H5161">
        <v>6397</v>
      </c>
      <c r="I5161">
        <v>19.190000000000001</v>
      </c>
      <c r="J5161">
        <v>3.45</v>
      </c>
      <c r="K5161">
        <v>6374.36</v>
      </c>
      <c r="L5161" s="5">
        <v>46295</v>
      </c>
      <c r="M5161" t="s">
        <v>11038</v>
      </c>
      <c r="N5161" t="s">
        <v>207</v>
      </c>
      <c r="O5161" t="s">
        <v>11146</v>
      </c>
      <c r="P5161" t="s">
        <v>208</v>
      </c>
      <c r="Q5161" t="s">
        <v>209</v>
      </c>
    </row>
    <row r="5162" spans="1:17" x14ac:dyDescent="0.3">
      <c r="A5162" t="s">
        <v>11147</v>
      </c>
      <c r="C5162" t="s">
        <v>11148</v>
      </c>
      <c r="D5162" t="s">
        <v>11148</v>
      </c>
      <c r="E5162" s="5">
        <v>46293</v>
      </c>
      <c r="F5162" t="s">
        <v>204</v>
      </c>
      <c r="G5162" t="s">
        <v>220</v>
      </c>
      <c r="H5162">
        <v>7999</v>
      </c>
      <c r="I5162">
        <v>24</v>
      </c>
      <c r="J5162">
        <v>4.32</v>
      </c>
      <c r="K5162">
        <v>7970.68</v>
      </c>
      <c r="L5162" s="5">
        <v>46295</v>
      </c>
      <c r="M5162" t="s">
        <v>11038</v>
      </c>
      <c r="N5162" t="s">
        <v>207</v>
      </c>
      <c r="O5162" t="s">
        <v>11148</v>
      </c>
      <c r="P5162" t="s">
        <v>208</v>
      </c>
      <c r="Q5162" t="s">
        <v>209</v>
      </c>
    </row>
    <row r="5163" spans="1:17" x14ac:dyDescent="0.3">
      <c r="A5163" t="s">
        <v>11149</v>
      </c>
      <c r="C5163" t="s">
        <v>11150</v>
      </c>
      <c r="D5163" t="s">
        <v>11150</v>
      </c>
      <c r="E5163" s="5">
        <v>46293</v>
      </c>
      <c r="F5163" t="s">
        <v>204</v>
      </c>
      <c r="G5163" t="s">
        <v>205</v>
      </c>
      <c r="H5163">
        <v>12497</v>
      </c>
      <c r="I5163">
        <v>212.45</v>
      </c>
      <c r="J5163">
        <v>38.24</v>
      </c>
      <c r="K5163">
        <v>12246.31</v>
      </c>
      <c r="L5163" s="5">
        <v>46295</v>
      </c>
      <c r="M5163" t="s">
        <v>11038</v>
      </c>
      <c r="N5163" t="s">
        <v>207</v>
      </c>
      <c r="O5163" t="s">
        <v>11150</v>
      </c>
      <c r="P5163" t="s">
        <v>208</v>
      </c>
      <c r="Q5163" t="s">
        <v>209</v>
      </c>
    </row>
    <row r="5164" spans="1:17" x14ac:dyDescent="0.3">
      <c r="A5164" t="s">
        <v>11151</v>
      </c>
      <c r="C5164" t="s">
        <v>11152</v>
      </c>
      <c r="D5164" t="s">
        <v>11152</v>
      </c>
      <c r="E5164" s="5">
        <v>46293</v>
      </c>
      <c r="F5164" t="s">
        <v>204</v>
      </c>
      <c r="G5164" t="s">
        <v>220</v>
      </c>
      <c r="H5164">
        <v>299</v>
      </c>
      <c r="I5164">
        <v>0</v>
      </c>
      <c r="J5164">
        <v>0</v>
      </c>
      <c r="K5164">
        <v>299</v>
      </c>
      <c r="L5164" s="5">
        <v>46295</v>
      </c>
      <c r="M5164" t="s">
        <v>11038</v>
      </c>
      <c r="N5164" t="s">
        <v>207</v>
      </c>
      <c r="O5164" t="s">
        <v>11152</v>
      </c>
      <c r="P5164" t="s">
        <v>208</v>
      </c>
      <c r="Q5164" t="s">
        <v>209</v>
      </c>
    </row>
    <row r="5165" spans="1:17" x14ac:dyDescent="0.3">
      <c r="A5165" t="s">
        <v>11153</v>
      </c>
      <c r="C5165" t="s">
        <v>11154</v>
      </c>
      <c r="D5165" t="s">
        <v>11154</v>
      </c>
      <c r="E5165" s="5">
        <v>46293</v>
      </c>
      <c r="F5165" t="s">
        <v>204</v>
      </c>
      <c r="G5165" t="s">
        <v>220</v>
      </c>
      <c r="H5165">
        <v>4999</v>
      </c>
      <c r="I5165">
        <v>15</v>
      </c>
      <c r="J5165">
        <v>2.7</v>
      </c>
      <c r="K5165">
        <v>4981.3</v>
      </c>
      <c r="L5165" s="5">
        <v>46295</v>
      </c>
      <c r="M5165" t="s">
        <v>11038</v>
      </c>
      <c r="N5165" t="s">
        <v>207</v>
      </c>
      <c r="O5165" t="s">
        <v>11154</v>
      </c>
      <c r="P5165" t="s">
        <v>208</v>
      </c>
      <c r="Q5165" t="s">
        <v>209</v>
      </c>
    </row>
    <row r="5166" spans="1:17" x14ac:dyDescent="0.3">
      <c r="A5166" t="s">
        <v>11155</v>
      </c>
      <c r="C5166" t="s">
        <v>11156</v>
      </c>
      <c r="D5166" t="s">
        <v>11156</v>
      </c>
      <c r="E5166" s="5">
        <v>46293</v>
      </c>
      <c r="F5166" t="s">
        <v>204</v>
      </c>
      <c r="G5166" t="s">
        <v>220</v>
      </c>
      <c r="H5166">
        <v>599</v>
      </c>
      <c r="I5166">
        <v>0</v>
      </c>
      <c r="J5166">
        <v>0</v>
      </c>
      <c r="K5166">
        <v>599</v>
      </c>
      <c r="L5166" s="5">
        <v>46295</v>
      </c>
      <c r="M5166" t="s">
        <v>11038</v>
      </c>
      <c r="N5166" t="s">
        <v>207</v>
      </c>
      <c r="O5166" t="s">
        <v>11156</v>
      </c>
      <c r="P5166" t="s">
        <v>208</v>
      </c>
      <c r="Q5166" t="s">
        <v>209</v>
      </c>
    </row>
    <row r="5167" spans="1:17" x14ac:dyDescent="0.3">
      <c r="A5167" t="s">
        <v>11157</v>
      </c>
      <c r="C5167" t="s">
        <v>11158</v>
      </c>
      <c r="D5167" t="s">
        <v>11158</v>
      </c>
      <c r="E5167" s="5">
        <v>46293</v>
      </c>
      <c r="F5167" t="s">
        <v>204</v>
      </c>
      <c r="G5167" t="s">
        <v>255</v>
      </c>
      <c r="H5167">
        <v>1798</v>
      </c>
      <c r="I5167">
        <v>26.97</v>
      </c>
      <c r="J5167">
        <v>4.8499999999999996</v>
      </c>
      <c r="K5167">
        <v>1766.18</v>
      </c>
      <c r="L5167" s="5">
        <v>46295</v>
      </c>
      <c r="M5167" t="s">
        <v>11038</v>
      </c>
      <c r="N5167" t="s">
        <v>207</v>
      </c>
      <c r="O5167" t="s">
        <v>11158</v>
      </c>
      <c r="P5167" t="s">
        <v>208</v>
      </c>
      <c r="Q5167" t="s">
        <v>209</v>
      </c>
    </row>
    <row r="5168" spans="1:17" x14ac:dyDescent="0.3">
      <c r="A5168" t="s">
        <v>11159</v>
      </c>
      <c r="C5168" t="s">
        <v>11160</v>
      </c>
      <c r="D5168" t="s">
        <v>11160</v>
      </c>
      <c r="E5168" s="5">
        <v>46293</v>
      </c>
      <c r="F5168" t="s">
        <v>204</v>
      </c>
      <c r="G5168" t="s">
        <v>220</v>
      </c>
      <c r="H5168">
        <v>999</v>
      </c>
      <c r="I5168">
        <v>0</v>
      </c>
      <c r="J5168">
        <v>0</v>
      </c>
      <c r="K5168">
        <v>999</v>
      </c>
      <c r="L5168" s="5">
        <v>46295</v>
      </c>
      <c r="M5168" t="s">
        <v>11038</v>
      </c>
      <c r="N5168" t="s">
        <v>207</v>
      </c>
      <c r="O5168" t="s">
        <v>11160</v>
      </c>
      <c r="P5168" t="s">
        <v>208</v>
      </c>
      <c r="Q5168" t="s">
        <v>209</v>
      </c>
    </row>
    <row r="5169" spans="1:17" x14ac:dyDescent="0.3">
      <c r="A5169" t="s">
        <v>11161</v>
      </c>
      <c r="C5169" t="s">
        <v>11162</v>
      </c>
      <c r="D5169" t="s">
        <v>11162</v>
      </c>
      <c r="E5169" s="5">
        <v>46293</v>
      </c>
      <c r="F5169" t="s">
        <v>204</v>
      </c>
      <c r="G5169" t="s">
        <v>220</v>
      </c>
      <c r="H5169">
        <v>499</v>
      </c>
      <c r="I5169">
        <v>0</v>
      </c>
      <c r="J5169">
        <v>0</v>
      </c>
      <c r="K5169">
        <v>499</v>
      </c>
      <c r="L5169" s="5">
        <v>46295</v>
      </c>
      <c r="M5169" t="s">
        <v>11038</v>
      </c>
      <c r="N5169" t="s">
        <v>207</v>
      </c>
      <c r="O5169" t="s">
        <v>11162</v>
      </c>
      <c r="P5169" t="s">
        <v>208</v>
      </c>
      <c r="Q5169" t="s">
        <v>209</v>
      </c>
    </row>
    <row r="5170" spans="1:17" x14ac:dyDescent="0.3">
      <c r="A5170" t="s">
        <v>11163</v>
      </c>
      <c r="C5170" t="s">
        <v>11164</v>
      </c>
      <c r="D5170" t="s">
        <v>11164</v>
      </c>
      <c r="E5170" s="5">
        <v>46293</v>
      </c>
      <c r="F5170" t="s">
        <v>204</v>
      </c>
      <c r="G5170" t="s">
        <v>255</v>
      </c>
      <c r="H5170">
        <v>599</v>
      </c>
      <c r="I5170">
        <v>8.99</v>
      </c>
      <c r="J5170">
        <v>1.62</v>
      </c>
      <c r="K5170">
        <v>588.39</v>
      </c>
      <c r="L5170" s="5">
        <v>46295</v>
      </c>
      <c r="M5170" t="s">
        <v>11038</v>
      </c>
      <c r="N5170" t="s">
        <v>207</v>
      </c>
      <c r="O5170" t="s">
        <v>11164</v>
      </c>
      <c r="P5170" t="s">
        <v>208</v>
      </c>
      <c r="Q5170" t="s">
        <v>209</v>
      </c>
    </row>
    <row r="5171" spans="1:17" x14ac:dyDescent="0.3">
      <c r="A5171" t="s">
        <v>11165</v>
      </c>
      <c r="C5171" t="s">
        <v>11166</v>
      </c>
      <c r="D5171" t="s">
        <v>11166</v>
      </c>
      <c r="E5171" s="5">
        <v>46293</v>
      </c>
      <c r="F5171" t="s">
        <v>204</v>
      </c>
      <c r="G5171" t="s">
        <v>220</v>
      </c>
      <c r="H5171">
        <v>7999</v>
      </c>
      <c r="I5171">
        <v>24</v>
      </c>
      <c r="J5171">
        <v>4.32</v>
      </c>
      <c r="K5171">
        <v>7970.68</v>
      </c>
      <c r="L5171" s="5">
        <v>46295</v>
      </c>
      <c r="M5171" t="s">
        <v>11038</v>
      </c>
      <c r="N5171" t="s">
        <v>207</v>
      </c>
      <c r="O5171" t="s">
        <v>11166</v>
      </c>
      <c r="P5171" t="s">
        <v>208</v>
      </c>
      <c r="Q5171" t="s">
        <v>209</v>
      </c>
    </row>
    <row r="5172" spans="1:17" x14ac:dyDescent="0.3">
      <c r="A5172" t="s">
        <v>11167</v>
      </c>
      <c r="C5172" t="s">
        <v>11168</v>
      </c>
      <c r="D5172" t="s">
        <v>11168</v>
      </c>
      <c r="E5172" s="5">
        <v>46293</v>
      </c>
      <c r="F5172" t="s">
        <v>204</v>
      </c>
      <c r="G5172" t="s">
        <v>220</v>
      </c>
      <c r="H5172">
        <v>499</v>
      </c>
      <c r="I5172">
        <v>0</v>
      </c>
      <c r="J5172">
        <v>0</v>
      </c>
      <c r="K5172">
        <v>499</v>
      </c>
      <c r="L5172" s="5">
        <v>46295</v>
      </c>
      <c r="M5172" t="s">
        <v>11038</v>
      </c>
      <c r="N5172" t="s">
        <v>207</v>
      </c>
      <c r="O5172" t="s">
        <v>11168</v>
      </c>
      <c r="P5172" t="s">
        <v>208</v>
      </c>
      <c r="Q5172" t="s">
        <v>209</v>
      </c>
    </row>
    <row r="5173" spans="1:17" x14ac:dyDescent="0.3">
      <c r="A5173" t="s">
        <v>11169</v>
      </c>
      <c r="C5173" t="s">
        <v>11170</v>
      </c>
      <c r="D5173" t="s">
        <v>11170</v>
      </c>
      <c r="E5173" s="5">
        <v>46293</v>
      </c>
      <c r="F5173" t="s">
        <v>204</v>
      </c>
      <c r="G5173" t="s">
        <v>220</v>
      </c>
      <c r="H5173">
        <v>7397</v>
      </c>
      <c r="I5173">
        <v>22.19</v>
      </c>
      <c r="J5173">
        <v>3.99</v>
      </c>
      <c r="K5173">
        <v>7370.82</v>
      </c>
      <c r="L5173" s="5">
        <v>46295</v>
      </c>
      <c r="M5173" t="s">
        <v>11038</v>
      </c>
      <c r="N5173" t="s">
        <v>207</v>
      </c>
      <c r="O5173" t="s">
        <v>11170</v>
      </c>
      <c r="P5173" t="s">
        <v>208</v>
      </c>
      <c r="Q5173" t="s">
        <v>209</v>
      </c>
    </row>
    <row r="5174" spans="1:17" x14ac:dyDescent="0.3">
      <c r="A5174" t="s">
        <v>11171</v>
      </c>
      <c r="C5174" t="s">
        <v>11172</v>
      </c>
      <c r="D5174" t="s">
        <v>11172</v>
      </c>
      <c r="E5174" s="5">
        <v>46293</v>
      </c>
      <c r="F5174" t="s">
        <v>204</v>
      </c>
      <c r="G5174" t="s">
        <v>213</v>
      </c>
      <c r="H5174">
        <v>2499</v>
      </c>
      <c r="I5174">
        <v>39.979999999999997</v>
      </c>
      <c r="J5174">
        <v>7.2</v>
      </c>
      <c r="K5174">
        <v>2451.8200000000002</v>
      </c>
      <c r="L5174" s="5">
        <v>46295</v>
      </c>
      <c r="M5174" t="s">
        <v>11038</v>
      </c>
      <c r="N5174" t="s">
        <v>207</v>
      </c>
      <c r="O5174" t="s">
        <v>11172</v>
      </c>
      <c r="P5174" t="s">
        <v>208</v>
      </c>
      <c r="Q5174" t="s">
        <v>209</v>
      </c>
    </row>
    <row r="5175" spans="1:17" x14ac:dyDescent="0.3">
      <c r="A5175" t="s">
        <v>11173</v>
      </c>
      <c r="C5175" t="s">
        <v>11174</v>
      </c>
      <c r="D5175" t="s">
        <v>11174</v>
      </c>
      <c r="E5175" s="5">
        <v>46293</v>
      </c>
      <c r="F5175" t="s">
        <v>204</v>
      </c>
      <c r="G5175" t="s">
        <v>205</v>
      </c>
      <c r="H5175">
        <v>599</v>
      </c>
      <c r="I5175">
        <v>11.38</v>
      </c>
      <c r="J5175">
        <v>2.0499999999999998</v>
      </c>
      <c r="K5175">
        <v>585.57000000000005</v>
      </c>
      <c r="L5175" s="5">
        <v>46295</v>
      </c>
      <c r="M5175" t="s">
        <v>11038</v>
      </c>
      <c r="N5175" t="s">
        <v>207</v>
      </c>
      <c r="O5175" t="s">
        <v>11174</v>
      </c>
      <c r="P5175" t="s">
        <v>208</v>
      </c>
      <c r="Q5175" t="s">
        <v>209</v>
      </c>
    </row>
    <row r="5176" spans="1:17" x14ac:dyDescent="0.3">
      <c r="A5176" t="s">
        <v>11175</v>
      </c>
      <c r="C5176" t="s">
        <v>11176</v>
      </c>
      <c r="D5176" t="s">
        <v>11176</v>
      </c>
      <c r="E5176" s="5">
        <v>46293</v>
      </c>
      <c r="F5176" t="s">
        <v>204</v>
      </c>
      <c r="G5176" t="s">
        <v>255</v>
      </c>
      <c r="H5176">
        <v>648</v>
      </c>
      <c r="I5176">
        <v>9.7200000000000006</v>
      </c>
      <c r="J5176">
        <v>1.75</v>
      </c>
      <c r="K5176">
        <v>636.53</v>
      </c>
      <c r="L5176" s="5">
        <v>46295</v>
      </c>
      <c r="M5176" t="s">
        <v>11038</v>
      </c>
      <c r="N5176" t="s">
        <v>207</v>
      </c>
      <c r="O5176" t="s">
        <v>11176</v>
      </c>
      <c r="P5176" t="s">
        <v>208</v>
      </c>
      <c r="Q5176" t="s">
        <v>209</v>
      </c>
    </row>
    <row r="5177" spans="1:17" x14ac:dyDescent="0.3">
      <c r="A5177" t="s">
        <v>11177</v>
      </c>
      <c r="C5177" t="s">
        <v>11178</v>
      </c>
      <c r="D5177" t="s">
        <v>11178</v>
      </c>
      <c r="E5177" s="5">
        <v>46293</v>
      </c>
      <c r="F5177" t="s">
        <v>204</v>
      </c>
      <c r="G5177" t="s">
        <v>213</v>
      </c>
      <c r="H5177">
        <v>299</v>
      </c>
      <c r="I5177">
        <v>5.38</v>
      </c>
      <c r="J5177">
        <v>0.97</v>
      </c>
      <c r="K5177">
        <v>292.64999999999998</v>
      </c>
      <c r="L5177" s="5">
        <v>46295</v>
      </c>
      <c r="M5177" t="s">
        <v>11038</v>
      </c>
      <c r="N5177" t="s">
        <v>207</v>
      </c>
      <c r="O5177" t="s">
        <v>11178</v>
      </c>
      <c r="P5177" t="s">
        <v>208</v>
      </c>
      <c r="Q5177" t="s">
        <v>209</v>
      </c>
    </row>
    <row r="5178" spans="1:17" x14ac:dyDescent="0.3">
      <c r="A5178" t="s">
        <v>11179</v>
      </c>
      <c r="C5178" t="s">
        <v>11180</v>
      </c>
      <c r="D5178" t="s">
        <v>11180</v>
      </c>
      <c r="E5178" s="5">
        <v>46293</v>
      </c>
      <c r="F5178" t="s">
        <v>204</v>
      </c>
      <c r="G5178" t="s">
        <v>220</v>
      </c>
      <c r="H5178">
        <v>4999</v>
      </c>
      <c r="I5178">
        <v>15</v>
      </c>
      <c r="J5178">
        <v>2.7</v>
      </c>
      <c r="K5178">
        <v>4981.3</v>
      </c>
      <c r="L5178" s="5">
        <v>46295</v>
      </c>
      <c r="M5178" t="s">
        <v>11038</v>
      </c>
      <c r="N5178" t="s">
        <v>207</v>
      </c>
      <c r="O5178" t="s">
        <v>11180</v>
      </c>
      <c r="P5178" t="s">
        <v>208</v>
      </c>
      <c r="Q5178" t="s">
        <v>209</v>
      </c>
    </row>
    <row r="5179" spans="1:17" x14ac:dyDescent="0.3">
      <c r="A5179" t="s">
        <v>11181</v>
      </c>
      <c r="C5179" t="s">
        <v>11182</v>
      </c>
      <c r="D5179" t="s">
        <v>11182</v>
      </c>
      <c r="E5179" s="5">
        <v>46293</v>
      </c>
      <c r="F5179" t="s">
        <v>204</v>
      </c>
      <c r="G5179" t="s">
        <v>213</v>
      </c>
      <c r="H5179">
        <v>1998</v>
      </c>
      <c r="I5179">
        <v>35.96</v>
      </c>
      <c r="J5179">
        <v>6.47</v>
      </c>
      <c r="K5179">
        <v>1955.57</v>
      </c>
      <c r="L5179" s="5">
        <v>46295</v>
      </c>
      <c r="M5179" t="s">
        <v>11038</v>
      </c>
      <c r="N5179" t="s">
        <v>207</v>
      </c>
      <c r="O5179" t="s">
        <v>11182</v>
      </c>
      <c r="P5179" t="s">
        <v>208</v>
      </c>
      <c r="Q5179" t="s">
        <v>209</v>
      </c>
    </row>
    <row r="5180" spans="1:17" x14ac:dyDescent="0.3">
      <c r="A5180" t="s">
        <v>11183</v>
      </c>
      <c r="C5180" t="s">
        <v>11184</v>
      </c>
      <c r="D5180" t="s">
        <v>11184</v>
      </c>
      <c r="E5180" s="5">
        <v>46293</v>
      </c>
      <c r="F5180" t="s">
        <v>204</v>
      </c>
      <c r="G5180" t="s">
        <v>205</v>
      </c>
      <c r="H5180">
        <v>4999</v>
      </c>
      <c r="I5180">
        <v>84.98</v>
      </c>
      <c r="J5180">
        <v>15.3</v>
      </c>
      <c r="K5180">
        <v>4898.72</v>
      </c>
      <c r="L5180" s="5">
        <v>46295</v>
      </c>
      <c r="M5180" t="s">
        <v>11038</v>
      </c>
      <c r="N5180" t="s">
        <v>207</v>
      </c>
      <c r="O5180" t="s">
        <v>11184</v>
      </c>
      <c r="P5180" t="s">
        <v>208</v>
      </c>
      <c r="Q5180" t="s">
        <v>209</v>
      </c>
    </row>
    <row r="5181" spans="1:17" x14ac:dyDescent="0.3">
      <c r="A5181" t="s">
        <v>11185</v>
      </c>
      <c r="C5181" t="s">
        <v>11186</v>
      </c>
      <c r="D5181" t="s">
        <v>11186</v>
      </c>
      <c r="E5181" s="5">
        <v>46293</v>
      </c>
      <c r="F5181" t="s">
        <v>204</v>
      </c>
      <c r="G5181" t="s">
        <v>213</v>
      </c>
      <c r="H5181">
        <v>1499</v>
      </c>
      <c r="I5181">
        <v>26.98</v>
      </c>
      <c r="J5181">
        <v>4.8600000000000003</v>
      </c>
      <c r="K5181">
        <v>1467.16</v>
      </c>
      <c r="L5181" s="5">
        <v>46295</v>
      </c>
      <c r="M5181" t="s">
        <v>11038</v>
      </c>
      <c r="N5181" t="s">
        <v>207</v>
      </c>
      <c r="O5181" t="s">
        <v>11186</v>
      </c>
      <c r="P5181" t="s">
        <v>208</v>
      </c>
      <c r="Q5181" t="s">
        <v>209</v>
      </c>
    </row>
    <row r="5182" spans="1:17" x14ac:dyDescent="0.3">
      <c r="A5182" t="s">
        <v>11187</v>
      </c>
      <c r="C5182" t="s">
        <v>11188</v>
      </c>
      <c r="D5182" t="s">
        <v>11188</v>
      </c>
      <c r="E5182" s="5">
        <v>46293</v>
      </c>
      <c r="F5182" t="s">
        <v>204</v>
      </c>
      <c r="G5182" t="s">
        <v>220</v>
      </c>
      <c r="H5182">
        <v>3298</v>
      </c>
      <c r="I5182">
        <v>9.89</v>
      </c>
      <c r="J5182">
        <v>1.78</v>
      </c>
      <c r="K5182">
        <v>3286.33</v>
      </c>
      <c r="L5182" s="5">
        <v>46295</v>
      </c>
      <c r="M5182" t="s">
        <v>11038</v>
      </c>
      <c r="N5182" t="s">
        <v>207</v>
      </c>
      <c r="O5182" t="s">
        <v>11188</v>
      </c>
      <c r="P5182" t="s">
        <v>208</v>
      </c>
      <c r="Q5182" t="s">
        <v>209</v>
      </c>
    </row>
    <row r="5183" spans="1:17" x14ac:dyDescent="0.3">
      <c r="A5183" t="s">
        <v>11189</v>
      </c>
      <c r="C5183" t="s">
        <v>11190</v>
      </c>
      <c r="D5183" t="s">
        <v>11190</v>
      </c>
      <c r="E5183" s="5">
        <v>46293</v>
      </c>
      <c r="F5183" t="s">
        <v>204</v>
      </c>
      <c r="G5183" t="s">
        <v>220</v>
      </c>
      <c r="H5183">
        <v>599</v>
      </c>
      <c r="I5183">
        <v>0</v>
      </c>
      <c r="J5183">
        <v>0</v>
      </c>
      <c r="K5183">
        <v>599</v>
      </c>
      <c r="L5183" s="5">
        <v>46295</v>
      </c>
      <c r="M5183" t="s">
        <v>11038</v>
      </c>
      <c r="N5183" t="s">
        <v>207</v>
      </c>
      <c r="O5183" t="s">
        <v>11190</v>
      </c>
      <c r="P5183" t="s">
        <v>208</v>
      </c>
      <c r="Q5183" t="s">
        <v>209</v>
      </c>
    </row>
    <row r="5184" spans="1:17" x14ac:dyDescent="0.3">
      <c r="A5184" t="s">
        <v>11191</v>
      </c>
      <c r="C5184" t="s">
        <v>11192</v>
      </c>
      <c r="D5184" t="s">
        <v>11192</v>
      </c>
      <c r="E5184" s="5">
        <v>46293</v>
      </c>
      <c r="F5184" t="s">
        <v>204</v>
      </c>
      <c r="G5184" t="s">
        <v>213</v>
      </c>
      <c r="H5184">
        <v>4098</v>
      </c>
      <c r="I5184">
        <v>65.569999999999993</v>
      </c>
      <c r="J5184">
        <v>11.8</v>
      </c>
      <c r="K5184">
        <v>4020.63</v>
      </c>
      <c r="L5184" s="5">
        <v>46295</v>
      </c>
      <c r="M5184" t="s">
        <v>11038</v>
      </c>
      <c r="N5184" t="s">
        <v>207</v>
      </c>
      <c r="O5184" t="s">
        <v>11192</v>
      </c>
      <c r="P5184" t="s">
        <v>208</v>
      </c>
      <c r="Q5184" t="s">
        <v>209</v>
      </c>
    </row>
    <row r="5185" spans="1:17" x14ac:dyDescent="0.3">
      <c r="A5185" t="s">
        <v>11193</v>
      </c>
      <c r="C5185" t="s">
        <v>11194</v>
      </c>
      <c r="D5185" t="s">
        <v>11194</v>
      </c>
      <c r="E5185" s="5">
        <v>46293</v>
      </c>
      <c r="F5185" t="s">
        <v>204</v>
      </c>
      <c r="G5185" t="s">
        <v>205</v>
      </c>
      <c r="H5185">
        <v>3298</v>
      </c>
      <c r="I5185">
        <v>56.07</v>
      </c>
      <c r="J5185">
        <v>10.09</v>
      </c>
      <c r="K5185">
        <v>3231.84</v>
      </c>
      <c r="L5185" s="5">
        <v>46295</v>
      </c>
      <c r="M5185" t="s">
        <v>11038</v>
      </c>
      <c r="N5185" t="s">
        <v>207</v>
      </c>
      <c r="O5185" t="s">
        <v>11194</v>
      </c>
      <c r="P5185" t="s">
        <v>208</v>
      </c>
      <c r="Q5185" t="s">
        <v>209</v>
      </c>
    </row>
    <row r="5186" spans="1:17" x14ac:dyDescent="0.3">
      <c r="A5186" t="s">
        <v>11195</v>
      </c>
      <c r="C5186" t="s">
        <v>11196</v>
      </c>
      <c r="D5186" t="s">
        <v>11196</v>
      </c>
      <c r="E5186" s="5">
        <v>46293</v>
      </c>
      <c r="F5186" t="s">
        <v>204</v>
      </c>
      <c r="G5186" t="s">
        <v>213</v>
      </c>
      <c r="H5186">
        <v>349</v>
      </c>
      <c r="I5186">
        <v>6.28</v>
      </c>
      <c r="J5186">
        <v>1.1299999999999999</v>
      </c>
      <c r="K5186">
        <v>341.59</v>
      </c>
      <c r="L5186" s="5">
        <v>46295</v>
      </c>
      <c r="M5186" t="s">
        <v>11038</v>
      </c>
      <c r="N5186" t="s">
        <v>207</v>
      </c>
      <c r="O5186" t="s">
        <v>11196</v>
      </c>
      <c r="P5186" t="s">
        <v>208</v>
      </c>
      <c r="Q5186" t="s">
        <v>209</v>
      </c>
    </row>
    <row r="5187" spans="1:17" x14ac:dyDescent="0.3">
      <c r="A5187" t="s">
        <v>11197</v>
      </c>
      <c r="C5187" t="s">
        <v>11198</v>
      </c>
      <c r="D5187" t="s">
        <v>11198</v>
      </c>
      <c r="E5187" s="5">
        <v>46293</v>
      </c>
      <c r="F5187" t="s">
        <v>204</v>
      </c>
      <c r="G5187" t="s">
        <v>220</v>
      </c>
      <c r="H5187">
        <v>2999</v>
      </c>
      <c r="I5187">
        <v>9</v>
      </c>
      <c r="J5187">
        <v>1.62</v>
      </c>
      <c r="K5187">
        <v>2988.38</v>
      </c>
      <c r="L5187" s="5">
        <v>46295</v>
      </c>
      <c r="M5187" t="s">
        <v>11038</v>
      </c>
      <c r="N5187" t="s">
        <v>207</v>
      </c>
      <c r="O5187" t="s">
        <v>11198</v>
      </c>
      <c r="P5187" t="s">
        <v>208</v>
      </c>
      <c r="Q5187" t="s">
        <v>209</v>
      </c>
    </row>
    <row r="5188" spans="1:17" x14ac:dyDescent="0.3">
      <c r="A5188" t="s">
        <v>11199</v>
      </c>
      <c r="C5188" t="s">
        <v>11200</v>
      </c>
      <c r="D5188" t="s">
        <v>11201</v>
      </c>
      <c r="E5188" s="5">
        <v>46293</v>
      </c>
      <c r="F5188" t="s">
        <v>204</v>
      </c>
      <c r="G5188" t="s">
        <v>205</v>
      </c>
      <c r="H5188">
        <v>3998</v>
      </c>
      <c r="I5188">
        <v>67.97</v>
      </c>
      <c r="J5188">
        <v>12.23</v>
      </c>
      <c r="K5188">
        <v>3917.8</v>
      </c>
      <c r="L5188" s="5">
        <v>46295</v>
      </c>
      <c r="M5188" t="s">
        <v>11038</v>
      </c>
      <c r="N5188" t="s">
        <v>207</v>
      </c>
      <c r="O5188" t="s">
        <v>11201</v>
      </c>
      <c r="P5188" t="s">
        <v>208</v>
      </c>
      <c r="Q5188" t="s">
        <v>209</v>
      </c>
    </row>
    <row r="5189" spans="1:17" x14ac:dyDescent="0.3">
      <c r="A5189" t="s">
        <v>11202</v>
      </c>
      <c r="C5189" t="s">
        <v>11203</v>
      </c>
      <c r="D5189" t="s">
        <v>11203</v>
      </c>
      <c r="E5189" s="5">
        <v>46293</v>
      </c>
      <c r="F5189" t="s">
        <v>204</v>
      </c>
      <c r="G5189" t="s">
        <v>205</v>
      </c>
      <c r="H5189">
        <v>8798</v>
      </c>
      <c r="I5189">
        <v>149.57</v>
      </c>
      <c r="J5189">
        <v>26.92</v>
      </c>
      <c r="K5189">
        <v>8621.51</v>
      </c>
      <c r="L5189" s="5">
        <v>46295</v>
      </c>
      <c r="M5189" t="s">
        <v>11038</v>
      </c>
      <c r="N5189" t="s">
        <v>207</v>
      </c>
      <c r="O5189" t="s">
        <v>11203</v>
      </c>
      <c r="P5189" t="s">
        <v>208</v>
      </c>
      <c r="Q5189" t="s">
        <v>209</v>
      </c>
    </row>
    <row r="5190" spans="1:17" x14ac:dyDescent="0.3">
      <c r="A5190" t="s">
        <v>11204</v>
      </c>
      <c r="C5190" t="s">
        <v>11205</v>
      </c>
      <c r="D5190" t="s">
        <v>11205</v>
      </c>
      <c r="E5190" s="5">
        <v>46293</v>
      </c>
      <c r="F5190" t="s">
        <v>204</v>
      </c>
      <c r="G5190" t="s">
        <v>213</v>
      </c>
      <c r="H5190">
        <v>3598</v>
      </c>
      <c r="I5190">
        <v>57.57</v>
      </c>
      <c r="J5190">
        <v>10.36</v>
      </c>
      <c r="K5190">
        <v>3530.07</v>
      </c>
      <c r="L5190" s="5">
        <v>46295</v>
      </c>
      <c r="M5190" t="s">
        <v>11038</v>
      </c>
      <c r="N5190" t="s">
        <v>207</v>
      </c>
      <c r="O5190" t="s">
        <v>11205</v>
      </c>
      <c r="P5190" t="s">
        <v>208</v>
      </c>
      <c r="Q5190" t="s">
        <v>209</v>
      </c>
    </row>
    <row r="5191" spans="1:17" x14ac:dyDescent="0.3">
      <c r="A5191" t="s">
        <v>11206</v>
      </c>
      <c r="C5191" t="s">
        <v>11207</v>
      </c>
      <c r="D5191" t="s">
        <v>11207</v>
      </c>
      <c r="E5191" s="5">
        <v>46293</v>
      </c>
      <c r="F5191" t="s">
        <v>204</v>
      </c>
      <c r="G5191" t="s">
        <v>220</v>
      </c>
      <c r="H5191">
        <v>4999</v>
      </c>
      <c r="I5191">
        <v>15</v>
      </c>
      <c r="J5191">
        <v>2.7</v>
      </c>
      <c r="K5191">
        <v>4981.3</v>
      </c>
      <c r="L5191" s="5">
        <v>46295</v>
      </c>
      <c r="M5191" t="s">
        <v>11038</v>
      </c>
      <c r="N5191" t="s">
        <v>207</v>
      </c>
      <c r="O5191" t="s">
        <v>11207</v>
      </c>
      <c r="P5191" t="s">
        <v>208</v>
      </c>
      <c r="Q5191" t="s">
        <v>209</v>
      </c>
    </row>
    <row r="5192" spans="1:17" x14ac:dyDescent="0.3">
      <c r="A5192" t="s">
        <v>11208</v>
      </c>
      <c r="C5192" t="s">
        <v>11209</v>
      </c>
      <c r="D5192" t="s">
        <v>11209</v>
      </c>
      <c r="E5192" s="5">
        <v>46293</v>
      </c>
      <c r="F5192" t="s">
        <v>204</v>
      </c>
      <c r="G5192" t="s">
        <v>220</v>
      </c>
      <c r="H5192">
        <v>10397</v>
      </c>
      <c r="I5192">
        <v>31.19</v>
      </c>
      <c r="J5192">
        <v>5.61</v>
      </c>
      <c r="K5192">
        <v>10360.200000000001</v>
      </c>
      <c r="L5192" s="5">
        <v>46295</v>
      </c>
      <c r="M5192" t="s">
        <v>11038</v>
      </c>
      <c r="N5192" t="s">
        <v>207</v>
      </c>
      <c r="O5192" t="s">
        <v>11209</v>
      </c>
      <c r="P5192" t="s">
        <v>208</v>
      </c>
      <c r="Q5192" t="s">
        <v>209</v>
      </c>
    </row>
    <row r="5193" spans="1:17" x14ac:dyDescent="0.3">
      <c r="A5193" t="s">
        <v>11210</v>
      </c>
      <c r="C5193" t="s">
        <v>11211</v>
      </c>
      <c r="D5193" t="s">
        <v>11211</v>
      </c>
      <c r="E5193" s="5">
        <v>46293</v>
      </c>
      <c r="F5193" t="s">
        <v>204</v>
      </c>
      <c r="G5193" t="s">
        <v>213</v>
      </c>
      <c r="H5193">
        <v>3798</v>
      </c>
      <c r="I5193">
        <v>60.77</v>
      </c>
      <c r="J5193">
        <v>10.94</v>
      </c>
      <c r="K5193">
        <v>3726.29</v>
      </c>
      <c r="L5193" s="5">
        <v>46295</v>
      </c>
      <c r="M5193" t="s">
        <v>11038</v>
      </c>
      <c r="N5193" t="s">
        <v>207</v>
      </c>
      <c r="O5193" t="s">
        <v>11211</v>
      </c>
      <c r="P5193" t="s">
        <v>208</v>
      </c>
      <c r="Q5193" t="s">
        <v>209</v>
      </c>
    </row>
    <row r="5194" spans="1:17" x14ac:dyDescent="0.3">
      <c r="A5194" t="s">
        <v>11212</v>
      </c>
      <c r="C5194" t="s">
        <v>11213</v>
      </c>
      <c r="D5194" t="s">
        <v>11213</v>
      </c>
      <c r="E5194" s="5">
        <v>46293</v>
      </c>
      <c r="F5194" t="s">
        <v>204</v>
      </c>
      <c r="G5194" t="s">
        <v>220</v>
      </c>
      <c r="H5194">
        <v>599</v>
      </c>
      <c r="I5194">
        <v>0</v>
      </c>
      <c r="J5194">
        <v>0</v>
      </c>
      <c r="K5194">
        <v>599</v>
      </c>
      <c r="L5194" s="5">
        <v>46295</v>
      </c>
      <c r="M5194" t="s">
        <v>11038</v>
      </c>
      <c r="N5194" t="s">
        <v>207</v>
      </c>
      <c r="O5194" t="s">
        <v>11213</v>
      </c>
      <c r="P5194" t="s">
        <v>208</v>
      </c>
      <c r="Q5194" t="s">
        <v>209</v>
      </c>
    </row>
    <row r="5195" spans="1:17" x14ac:dyDescent="0.3">
      <c r="A5195" t="s">
        <v>11214</v>
      </c>
      <c r="C5195" t="s">
        <v>11215</v>
      </c>
      <c r="D5195" t="s">
        <v>11215</v>
      </c>
      <c r="E5195" s="5">
        <v>46293</v>
      </c>
      <c r="F5195" t="s">
        <v>204</v>
      </c>
      <c r="G5195" t="s">
        <v>220</v>
      </c>
      <c r="H5195">
        <v>3598</v>
      </c>
      <c r="I5195">
        <v>10.79</v>
      </c>
      <c r="J5195">
        <v>1.94</v>
      </c>
      <c r="K5195">
        <v>3585.27</v>
      </c>
      <c r="L5195" s="5">
        <v>46295</v>
      </c>
      <c r="M5195" t="s">
        <v>11038</v>
      </c>
      <c r="N5195" t="s">
        <v>207</v>
      </c>
      <c r="O5195" t="s">
        <v>11215</v>
      </c>
      <c r="P5195" t="s">
        <v>208</v>
      </c>
      <c r="Q5195" t="s">
        <v>209</v>
      </c>
    </row>
    <row r="5196" spans="1:17" x14ac:dyDescent="0.3">
      <c r="A5196" t="s">
        <v>11216</v>
      </c>
      <c r="C5196" t="s">
        <v>11217</v>
      </c>
      <c r="D5196" t="s">
        <v>11217</v>
      </c>
      <c r="E5196" s="5">
        <v>46293</v>
      </c>
      <c r="F5196" t="s">
        <v>204</v>
      </c>
      <c r="G5196" t="s">
        <v>220</v>
      </c>
      <c r="H5196">
        <v>1348</v>
      </c>
      <c r="I5196">
        <v>0</v>
      </c>
      <c r="J5196">
        <v>0</v>
      </c>
      <c r="K5196">
        <v>1348</v>
      </c>
      <c r="L5196" s="5">
        <v>46295</v>
      </c>
      <c r="M5196" t="s">
        <v>11038</v>
      </c>
      <c r="N5196" t="s">
        <v>207</v>
      </c>
      <c r="O5196" t="s">
        <v>11217</v>
      </c>
      <c r="P5196" t="s">
        <v>208</v>
      </c>
      <c r="Q5196" t="s">
        <v>209</v>
      </c>
    </row>
    <row r="5197" spans="1:17" x14ac:dyDescent="0.3">
      <c r="A5197" t="s">
        <v>11218</v>
      </c>
      <c r="C5197" t="s">
        <v>11219</v>
      </c>
      <c r="D5197" t="s">
        <v>11219</v>
      </c>
      <c r="E5197" s="5">
        <v>46293</v>
      </c>
      <c r="F5197" t="s">
        <v>204</v>
      </c>
      <c r="G5197" t="s">
        <v>220</v>
      </c>
      <c r="H5197">
        <v>3798</v>
      </c>
      <c r="I5197">
        <v>11.39</v>
      </c>
      <c r="J5197">
        <v>2.0499999999999998</v>
      </c>
      <c r="K5197">
        <v>3784.56</v>
      </c>
      <c r="L5197" s="5">
        <v>46295</v>
      </c>
      <c r="M5197" t="s">
        <v>11038</v>
      </c>
      <c r="N5197" t="s">
        <v>207</v>
      </c>
      <c r="O5197" t="s">
        <v>11219</v>
      </c>
      <c r="P5197" t="s">
        <v>208</v>
      </c>
      <c r="Q5197" t="s">
        <v>209</v>
      </c>
    </row>
    <row r="5198" spans="1:17" x14ac:dyDescent="0.3">
      <c r="A5198" t="s">
        <v>11220</v>
      </c>
      <c r="C5198" t="s">
        <v>11221</v>
      </c>
      <c r="D5198" t="s">
        <v>11221</v>
      </c>
      <c r="E5198" s="5">
        <v>46293</v>
      </c>
      <c r="F5198" t="s">
        <v>204</v>
      </c>
      <c r="G5198" t="s">
        <v>220</v>
      </c>
      <c r="H5198">
        <v>2499</v>
      </c>
      <c r="I5198">
        <v>7.5</v>
      </c>
      <c r="J5198">
        <v>1.35</v>
      </c>
      <c r="K5198">
        <v>2490.15</v>
      </c>
      <c r="L5198" s="5">
        <v>46295</v>
      </c>
      <c r="M5198" t="s">
        <v>11038</v>
      </c>
      <c r="N5198" t="s">
        <v>207</v>
      </c>
      <c r="O5198" t="s">
        <v>11221</v>
      </c>
      <c r="P5198" t="s">
        <v>208</v>
      </c>
      <c r="Q5198" t="s">
        <v>209</v>
      </c>
    </row>
    <row r="5199" spans="1:17" x14ac:dyDescent="0.3">
      <c r="A5199" t="s">
        <v>11222</v>
      </c>
      <c r="C5199" t="s">
        <v>11223</v>
      </c>
      <c r="D5199" t="s">
        <v>11223</v>
      </c>
      <c r="E5199" s="5">
        <v>46293</v>
      </c>
      <c r="F5199" t="s">
        <v>204</v>
      </c>
      <c r="G5199" t="s">
        <v>255</v>
      </c>
      <c r="H5199">
        <v>799</v>
      </c>
      <c r="I5199">
        <v>11.99</v>
      </c>
      <c r="J5199">
        <v>2.16</v>
      </c>
      <c r="K5199">
        <v>784.85</v>
      </c>
      <c r="L5199" s="5">
        <v>46295</v>
      </c>
      <c r="M5199" t="s">
        <v>11038</v>
      </c>
      <c r="N5199" t="s">
        <v>207</v>
      </c>
      <c r="O5199" t="s">
        <v>11223</v>
      </c>
      <c r="P5199" t="s">
        <v>208</v>
      </c>
      <c r="Q5199" t="s">
        <v>209</v>
      </c>
    </row>
    <row r="5200" spans="1:17" x14ac:dyDescent="0.3">
      <c r="A5200" t="s">
        <v>11224</v>
      </c>
      <c r="C5200" t="s">
        <v>11225</v>
      </c>
      <c r="D5200" t="s">
        <v>11225</v>
      </c>
      <c r="E5200" s="5">
        <v>46293</v>
      </c>
      <c r="F5200" t="s">
        <v>204</v>
      </c>
      <c r="G5200" t="s">
        <v>213</v>
      </c>
      <c r="H5200">
        <v>4798</v>
      </c>
      <c r="I5200">
        <v>76.77</v>
      </c>
      <c r="J5200">
        <v>13.82</v>
      </c>
      <c r="K5200">
        <v>4707.41</v>
      </c>
      <c r="L5200" s="5">
        <v>46295</v>
      </c>
      <c r="M5200" t="s">
        <v>11038</v>
      </c>
      <c r="N5200" t="s">
        <v>207</v>
      </c>
      <c r="O5200" t="s">
        <v>11225</v>
      </c>
      <c r="P5200" t="s">
        <v>208</v>
      </c>
      <c r="Q5200" t="s">
        <v>209</v>
      </c>
    </row>
    <row r="5201" spans="1:17" x14ac:dyDescent="0.3">
      <c r="A5201" t="s">
        <v>11226</v>
      </c>
      <c r="C5201" t="s">
        <v>11227</v>
      </c>
      <c r="D5201" t="s">
        <v>11227</v>
      </c>
      <c r="E5201" s="5">
        <v>46293</v>
      </c>
      <c r="F5201" t="s">
        <v>204</v>
      </c>
      <c r="G5201" t="s">
        <v>220</v>
      </c>
      <c r="H5201">
        <v>1299</v>
      </c>
      <c r="I5201">
        <v>0</v>
      </c>
      <c r="J5201">
        <v>0</v>
      </c>
      <c r="K5201">
        <v>1299</v>
      </c>
      <c r="L5201" s="5">
        <v>46295</v>
      </c>
      <c r="M5201" t="s">
        <v>11038</v>
      </c>
      <c r="N5201" t="s">
        <v>207</v>
      </c>
      <c r="O5201" t="s">
        <v>11227</v>
      </c>
      <c r="P5201" t="s">
        <v>208</v>
      </c>
      <c r="Q5201" t="s">
        <v>209</v>
      </c>
    </row>
    <row r="5202" spans="1:17" x14ac:dyDescent="0.3">
      <c r="A5202" t="s">
        <v>11228</v>
      </c>
      <c r="C5202" t="s">
        <v>11229</v>
      </c>
      <c r="D5202" t="s">
        <v>11229</v>
      </c>
      <c r="E5202" s="5">
        <v>46293</v>
      </c>
      <c r="F5202" t="s">
        <v>204</v>
      </c>
      <c r="G5202" t="s">
        <v>213</v>
      </c>
      <c r="H5202">
        <v>349</v>
      </c>
      <c r="I5202">
        <v>6.28</v>
      </c>
      <c r="J5202">
        <v>1.1299999999999999</v>
      </c>
      <c r="K5202">
        <v>341.59</v>
      </c>
      <c r="L5202" s="5">
        <v>46295</v>
      </c>
      <c r="M5202" t="s">
        <v>11038</v>
      </c>
      <c r="N5202" t="s">
        <v>207</v>
      </c>
      <c r="O5202" t="s">
        <v>11229</v>
      </c>
      <c r="P5202" t="s">
        <v>208</v>
      </c>
      <c r="Q5202" t="s">
        <v>209</v>
      </c>
    </row>
    <row r="5203" spans="1:17" x14ac:dyDescent="0.3">
      <c r="A5203" t="s">
        <v>11230</v>
      </c>
      <c r="C5203" t="s">
        <v>11231</v>
      </c>
      <c r="D5203" t="s">
        <v>11231</v>
      </c>
      <c r="E5203" s="5">
        <v>46293</v>
      </c>
      <c r="F5203" t="s">
        <v>204</v>
      </c>
      <c r="G5203" t="s">
        <v>205</v>
      </c>
      <c r="H5203">
        <v>1299</v>
      </c>
      <c r="I5203">
        <v>24.68</v>
      </c>
      <c r="J5203">
        <v>4.4400000000000004</v>
      </c>
      <c r="K5203">
        <v>1269.8800000000001</v>
      </c>
      <c r="L5203" s="5">
        <v>46295</v>
      </c>
      <c r="M5203" t="s">
        <v>11038</v>
      </c>
      <c r="N5203" t="s">
        <v>207</v>
      </c>
      <c r="O5203" t="s">
        <v>11231</v>
      </c>
      <c r="P5203" t="s">
        <v>208</v>
      </c>
      <c r="Q5203" t="s">
        <v>209</v>
      </c>
    </row>
    <row r="5204" spans="1:17" x14ac:dyDescent="0.3">
      <c r="A5204" t="s">
        <v>11232</v>
      </c>
      <c r="C5204" t="s">
        <v>11233</v>
      </c>
      <c r="D5204" t="s">
        <v>11233</v>
      </c>
      <c r="E5204" s="5">
        <v>46293</v>
      </c>
      <c r="F5204" t="s">
        <v>204</v>
      </c>
      <c r="G5204" t="s">
        <v>220</v>
      </c>
      <c r="H5204">
        <v>4197</v>
      </c>
      <c r="I5204">
        <v>12.59</v>
      </c>
      <c r="J5204">
        <v>2.27</v>
      </c>
      <c r="K5204">
        <v>4182.1400000000003</v>
      </c>
      <c r="L5204" s="5">
        <v>46295</v>
      </c>
      <c r="M5204" t="s">
        <v>11038</v>
      </c>
      <c r="N5204" t="s">
        <v>207</v>
      </c>
      <c r="O5204" t="s">
        <v>11233</v>
      </c>
      <c r="P5204" t="s">
        <v>208</v>
      </c>
      <c r="Q5204" t="s">
        <v>209</v>
      </c>
    </row>
    <row r="5205" spans="1:17" x14ac:dyDescent="0.3">
      <c r="A5205" t="s">
        <v>11234</v>
      </c>
      <c r="C5205" t="s">
        <v>11235</v>
      </c>
      <c r="D5205" t="s">
        <v>11235</v>
      </c>
      <c r="E5205" s="5">
        <v>46293</v>
      </c>
      <c r="F5205" t="s">
        <v>204</v>
      </c>
      <c r="G5205" t="s">
        <v>213</v>
      </c>
      <c r="H5205">
        <v>6998</v>
      </c>
      <c r="I5205">
        <v>111.97</v>
      </c>
      <c r="J5205">
        <v>20.149999999999999</v>
      </c>
      <c r="K5205">
        <v>6865.88</v>
      </c>
      <c r="L5205" s="5">
        <v>46295</v>
      </c>
      <c r="M5205" t="s">
        <v>11038</v>
      </c>
      <c r="N5205" t="s">
        <v>207</v>
      </c>
      <c r="O5205" t="s">
        <v>11235</v>
      </c>
      <c r="P5205" t="s">
        <v>208</v>
      </c>
      <c r="Q5205" t="s">
        <v>209</v>
      </c>
    </row>
    <row r="5206" spans="1:17" x14ac:dyDescent="0.3">
      <c r="A5206" t="s">
        <v>11236</v>
      </c>
      <c r="C5206" t="s">
        <v>11237</v>
      </c>
      <c r="D5206" t="s">
        <v>11237</v>
      </c>
      <c r="E5206" s="5">
        <v>46293</v>
      </c>
      <c r="F5206" t="s">
        <v>204</v>
      </c>
      <c r="G5206" t="s">
        <v>220</v>
      </c>
      <c r="H5206">
        <v>299</v>
      </c>
      <c r="I5206">
        <v>0</v>
      </c>
      <c r="J5206">
        <v>0</v>
      </c>
      <c r="K5206">
        <v>299</v>
      </c>
      <c r="L5206" s="5">
        <v>46295</v>
      </c>
      <c r="M5206" t="s">
        <v>11038</v>
      </c>
      <c r="N5206" t="s">
        <v>207</v>
      </c>
      <c r="O5206" t="s">
        <v>11237</v>
      </c>
      <c r="P5206" t="s">
        <v>208</v>
      </c>
      <c r="Q5206" t="s">
        <v>209</v>
      </c>
    </row>
    <row r="5207" spans="1:17" x14ac:dyDescent="0.3">
      <c r="A5207" t="s">
        <v>11238</v>
      </c>
      <c r="C5207" t="s">
        <v>11239</v>
      </c>
      <c r="D5207" t="s">
        <v>11239</v>
      </c>
      <c r="E5207" s="5">
        <v>46293</v>
      </c>
      <c r="F5207" t="s">
        <v>204</v>
      </c>
      <c r="G5207" t="s">
        <v>220</v>
      </c>
      <c r="H5207">
        <v>349</v>
      </c>
      <c r="I5207">
        <v>0</v>
      </c>
      <c r="J5207">
        <v>0</v>
      </c>
      <c r="K5207">
        <v>349</v>
      </c>
      <c r="L5207" s="5">
        <v>46295</v>
      </c>
      <c r="M5207" t="s">
        <v>11038</v>
      </c>
      <c r="N5207" t="s">
        <v>207</v>
      </c>
      <c r="O5207" t="s">
        <v>11239</v>
      </c>
      <c r="P5207" t="s">
        <v>208</v>
      </c>
      <c r="Q5207" t="s">
        <v>209</v>
      </c>
    </row>
    <row r="5208" spans="1:17" x14ac:dyDescent="0.3">
      <c r="A5208" t="s">
        <v>11240</v>
      </c>
      <c r="C5208" t="s">
        <v>11241</v>
      </c>
      <c r="D5208" t="s">
        <v>11241</v>
      </c>
      <c r="E5208" s="5">
        <v>46293</v>
      </c>
      <c r="F5208" t="s">
        <v>204</v>
      </c>
      <c r="G5208" t="s">
        <v>213</v>
      </c>
      <c r="H5208">
        <v>8998</v>
      </c>
      <c r="I5208">
        <v>143.97</v>
      </c>
      <c r="J5208">
        <v>25.91</v>
      </c>
      <c r="K5208">
        <v>8828.1200000000008</v>
      </c>
      <c r="L5208" s="5">
        <v>46295</v>
      </c>
      <c r="M5208" t="s">
        <v>11038</v>
      </c>
      <c r="N5208" t="s">
        <v>207</v>
      </c>
      <c r="O5208" t="s">
        <v>11241</v>
      </c>
      <c r="P5208" t="s">
        <v>208</v>
      </c>
      <c r="Q5208" t="s">
        <v>209</v>
      </c>
    </row>
    <row r="5209" spans="1:17" x14ac:dyDescent="0.3">
      <c r="A5209" t="s">
        <v>11242</v>
      </c>
      <c r="C5209" t="s">
        <v>11243</v>
      </c>
      <c r="D5209" t="s">
        <v>11243</v>
      </c>
      <c r="E5209" s="5">
        <v>46293</v>
      </c>
      <c r="F5209" t="s">
        <v>204</v>
      </c>
      <c r="G5209" t="s">
        <v>213</v>
      </c>
      <c r="H5209">
        <v>5498</v>
      </c>
      <c r="I5209">
        <v>87.97</v>
      </c>
      <c r="J5209">
        <v>15.83</v>
      </c>
      <c r="K5209">
        <v>5394.2</v>
      </c>
      <c r="L5209" s="5">
        <v>46295</v>
      </c>
      <c r="M5209" t="s">
        <v>11038</v>
      </c>
      <c r="N5209" t="s">
        <v>207</v>
      </c>
      <c r="O5209" t="s">
        <v>11243</v>
      </c>
      <c r="P5209" t="s">
        <v>208</v>
      </c>
      <c r="Q5209" t="s">
        <v>209</v>
      </c>
    </row>
    <row r="5210" spans="1:17" x14ac:dyDescent="0.3">
      <c r="A5210" t="s">
        <v>11244</v>
      </c>
      <c r="C5210" t="s">
        <v>11245</v>
      </c>
      <c r="D5210" t="s">
        <v>11245</v>
      </c>
      <c r="E5210" s="5">
        <v>46293</v>
      </c>
      <c r="F5210" t="s">
        <v>204</v>
      </c>
      <c r="G5210" t="s">
        <v>213</v>
      </c>
      <c r="H5210">
        <v>499</v>
      </c>
      <c r="I5210">
        <v>8.98</v>
      </c>
      <c r="J5210">
        <v>1.62</v>
      </c>
      <c r="K5210">
        <v>488.4</v>
      </c>
      <c r="L5210" s="5">
        <v>46295</v>
      </c>
      <c r="M5210" t="s">
        <v>11038</v>
      </c>
      <c r="N5210" t="s">
        <v>207</v>
      </c>
      <c r="O5210" t="s">
        <v>11245</v>
      </c>
      <c r="P5210" t="s">
        <v>208</v>
      </c>
      <c r="Q5210" t="s">
        <v>209</v>
      </c>
    </row>
    <row r="5211" spans="1:17" x14ac:dyDescent="0.3">
      <c r="A5211" t="s">
        <v>11246</v>
      </c>
      <c r="C5211" t="s">
        <v>11247</v>
      </c>
      <c r="D5211" t="s">
        <v>11247</v>
      </c>
      <c r="E5211" s="5">
        <v>46293</v>
      </c>
      <c r="F5211" t="s">
        <v>204</v>
      </c>
      <c r="G5211" t="s">
        <v>220</v>
      </c>
      <c r="H5211">
        <v>7999</v>
      </c>
      <c r="I5211">
        <v>24</v>
      </c>
      <c r="J5211">
        <v>4.32</v>
      </c>
      <c r="K5211">
        <v>7970.68</v>
      </c>
      <c r="L5211" s="5">
        <v>46295</v>
      </c>
      <c r="M5211" t="s">
        <v>11038</v>
      </c>
      <c r="N5211" t="s">
        <v>207</v>
      </c>
      <c r="O5211" t="s">
        <v>11247</v>
      </c>
      <c r="P5211" t="s">
        <v>208</v>
      </c>
      <c r="Q5211" t="s">
        <v>209</v>
      </c>
    </row>
    <row r="5212" spans="1:17" x14ac:dyDescent="0.3">
      <c r="A5212" t="s">
        <v>11248</v>
      </c>
      <c r="C5212" t="s">
        <v>11249</v>
      </c>
      <c r="D5212" t="s">
        <v>11250</v>
      </c>
      <c r="E5212" s="5">
        <v>46293</v>
      </c>
      <c r="F5212" t="s">
        <v>204</v>
      </c>
      <c r="G5212" t="s">
        <v>220</v>
      </c>
      <c r="H5212">
        <v>599</v>
      </c>
      <c r="I5212">
        <v>0</v>
      </c>
      <c r="J5212">
        <v>0</v>
      </c>
      <c r="K5212">
        <v>599</v>
      </c>
      <c r="L5212" s="5">
        <v>46295</v>
      </c>
      <c r="M5212" t="s">
        <v>11038</v>
      </c>
      <c r="N5212" t="s">
        <v>207</v>
      </c>
      <c r="O5212" t="s">
        <v>11250</v>
      </c>
      <c r="P5212" t="s">
        <v>208</v>
      </c>
      <c r="Q5212" t="s">
        <v>209</v>
      </c>
    </row>
    <row r="5213" spans="1:17" x14ac:dyDescent="0.3">
      <c r="A5213" t="s">
        <v>11251</v>
      </c>
      <c r="C5213" t="s">
        <v>11252</v>
      </c>
      <c r="D5213" t="s">
        <v>11252</v>
      </c>
      <c r="E5213" s="5">
        <v>46293</v>
      </c>
      <c r="F5213" t="s">
        <v>204</v>
      </c>
      <c r="G5213" t="s">
        <v>220</v>
      </c>
      <c r="H5213">
        <v>349</v>
      </c>
      <c r="I5213">
        <v>0</v>
      </c>
      <c r="J5213">
        <v>0</v>
      </c>
      <c r="K5213">
        <v>349</v>
      </c>
      <c r="L5213" s="5">
        <v>46295</v>
      </c>
      <c r="M5213" t="s">
        <v>11038</v>
      </c>
      <c r="N5213" t="s">
        <v>207</v>
      </c>
      <c r="O5213" t="s">
        <v>11252</v>
      </c>
      <c r="P5213" t="s">
        <v>208</v>
      </c>
      <c r="Q5213" t="s">
        <v>209</v>
      </c>
    </row>
    <row r="5214" spans="1:17" x14ac:dyDescent="0.3">
      <c r="A5214" t="s">
        <v>11253</v>
      </c>
      <c r="C5214" t="s">
        <v>11254</v>
      </c>
      <c r="D5214" t="s">
        <v>11255</v>
      </c>
      <c r="E5214" s="5">
        <v>46293</v>
      </c>
      <c r="F5214" t="s">
        <v>204</v>
      </c>
      <c r="G5214" t="s">
        <v>205</v>
      </c>
      <c r="H5214">
        <v>4798</v>
      </c>
      <c r="I5214">
        <v>81.569999999999993</v>
      </c>
      <c r="J5214">
        <v>14.68</v>
      </c>
      <c r="K5214">
        <v>4701.75</v>
      </c>
      <c r="L5214" s="5">
        <v>46295</v>
      </c>
      <c r="M5214" t="s">
        <v>11038</v>
      </c>
      <c r="N5214" t="s">
        <v>207</v>
      </c>
      <c r="O5214" t="s">
        <v>11255</v>
      </c>
      <c r="P5214" t="s">
        <v>208</v>
      </c>
      <c r="Q5214" t="s">
        <v>209</v>
      </c>
    </row>
    <row r="5215" spans="1:17" x14ac:dyDescent="0.3">
      <c r="A5215" t="s">
        <v>11256</v>
      </c>
      <c r="C5215" t="s">
        <v>11257</v>
      </c>
      <c r="D5215" t="s">
        <v>11258</v>
      </c>
      <c r="E5215" s="5">
        <v>46293</v>
      </c>
      <c r="F5215" t="s">
        <v>204</v>
      </c>
      <c r="G5215" t="s">
        <v>220</v>
      </c>
      <c r="H5215">
        <v>2097</v>
      </c>
      <c r="I5215">
        <v>6.29</v>
      </c>
      <c r="J5215">
        <v>1.1299999999999999</v>
      </c>
      <c r="K5215">
        <v>2089.58</v>
      </c>
      <c r="L5215" s="5">
        <v>46295</v>
      </c>
      <c r="M5215" t="s">
        <v>11038</v>
      </c>
      <c r="N5215" t="s">
        <v>207</v>
      </c>
      <c r="O5215" t="s">
        <v>11258</v>
      </c>
      <c r="P5215" t="s">
        <v>208</v>
      </c>
      <c r="Q5215" t="s">
        <v>209</v>
      </c>
    </row>
    <row r="5216" spans="1:17" x14ac:dyDescent="0.3">
      <c r="A5216" t="s">
        <v>11259</v>
      </c>
      <c r="C5216" t="s">
        <v>11260</v>
      </c>
      <c r="D5216" t="s">
        <v>11260</v>
      </c>
      <c r="E5216" s="5">
        <v>46293</v>
      </c>
      <c r="F5216" t="s">
        <v>204</v>
      </c>
      <c r="G5216" t="s">
        <v>255</v>
      </c>
      <c r="H5216">
        <v>2298</v>
      </c>
      <c r="I5216">
        <v>27.58</v>
      </c>
      <c r="J5216">
        <v>4.96</v>
      </c>
      <c r="K5216">
        <v>2265.46</v>
      </c>
      <c r="L5216" s="5">
        <v>46295</v>
      </c>
      <c r="M5216" t="s">
        <v>11038</v>
      </c>
      <c r="N5216" t="s">
        <v>207</v>
      </c>
      <c r="O5216" t="s">
        <v>11260</v>
      </c>
      <c r="P5216" t="s">
        <v>208</v>
      </c>
      <c r="Q5216" t="s">
        <v>209</v>
      </c>
    </row>
    <row r="5217" spans="1:17" x14ac:dyDescent="0.3">
      <c r="A5217" t="s">
        <v>11261</v>
      </c>
      <c r="C5217" t="s">
        <v>11262</v>
      </c>
      <c r="D5217" t="s">
        <v>11262</v>
      </c>
      <c r="E5217" s="5">
        <v>46293</v>
      </c>
      <c r="F5217" t="s">
        <v>204</v>
      </c>
      <c r="G5217" t="s">
        <v>220</v>
      </c>
      <c r="H5217">
        <v>3848</v>
      </c>
      <c r="I5217">
        <v>11.54</v>
      </c>
      <c r="J5217">
        <v>2.08</v>
      </c>
      <c r="K5217">
        <v>3834.38</v>
      </c>
      <c r="L5217" s="5">
        <v>46295</v>
      </c>
      <c r="M5217" t="s">
        <v>11038</v>
      </c>
      <c r="N5217" t="s">
        <v>207</v>
      </c>
      <c r="O5217" t="s">
        <v>11262</v>
      </c>
      <c r="P5217" t="s">
        <v>208</v>
      </c>
      <c r="Q5217" t="s">
        <v>209</v>
      </c>
    </row>
    <row r="5218" spans="1:17" x14ac:dyDescent="0.3">
      <c r="A5218" t="s">
        <v>11263</v>
      </c>
      <c r="C5218" t="s">
        <v>11264</v>
      </c>
      <c r="D5218" t="s">
        <v>11264</v>
      </c>
      <c r="E5218" s="5">
        <v>46293</v>
      </c>
      <c r="F5218" t="s">
        <v>204</v>
      </c>
      <c r="G5218" t="s">
        <v>220</v>
      </c>
      <c r="H5218">
        <v>16597</v>
      </c>
      <c r="I5218">
        <v>49.79</v>
      </c>
      <c r="J5218">
        <v>8.9600000000000009</v>
      </c>
      <c r="K5218">
        <v>16538.25</v>
      </c>
      <c r="L5218" s="5">
        <v>46295</v>
      </c>
      <c r="M5218" t="s">
        <v>11038</v>
      </c>
      <c r="N5218" t="s">
        <v>207</v>
      </c>
      <c r="O5218" t="s">
        <v>11264</v>
      </c>
      <c r="P5218" t="s">
        <v>208</v>
      </c>
      <c r="Q5218" t="s">
        <v>209</v>
      </c>
    </row>
    <row r="5219" spans="1:17" x14ac:dyDescent="0.3">
      <c r="A5219" t="s">
        <v>11265</v>
      </c>
      <c r="C5219" t="s">
        <v>11266</v>
      </c>
      <c r="D5219" t="s">
        <v>11266</v>
      </c>
      <c r="E5219" s="5">
        <v>46293</v>
      </c>
      <c r="F5219" t="s">
        <v>204</v>
      </c>
      <c r="G5219" t="s">
        <v>220</v>
      </c>
      <c r="H5219">
        <v>299</v>
      </c>
      <c r="I5219">
        <v>0</v>
      </c>
      <c r="J5219">
        <v>0</v>
      </c>
      <c r="K5219">
        <v>299</v>
      </c>
      <c r="L5219" s="5">
        <v>46295</v>
      </c>
      <c r="M5219" t="s">
        <v>11038</v>
      </c>
      <c r="N5219" t="s">
        <v>207</v>
      </c>
      <c r="O5219" t="s">
        <v>11266</v>
      </c>
      <c r="P5219" t="s">
        <v>208</v>
      </c>
      <c r="Q5219" t="s">
        <v>209</v>
      </c>
    </row>
    <row r="5220" spans="1:17" x14ac:dyDescent="0.3">
      <c r="A5220" t="s">
        <v>11267</v>
      </c>
      <c r="C5220" t="s">
        <v>11268</v>
      </c>
      <c r="D5220" t="s">
        <v>11268</v>
      </c>
      <c r="E5220" s="5">
        <v>46293</v>
      </c>
      <c r="F5220" t="s">
        <v>204</v>
      </c>
      <c r="G5220" t="s">
        <v>220</v>
      </c>
      <c r="H5220">
        <v>2098</v>
      </c>
      <c r="I5220">
        <v>6.29</v>
      </c>
      <c r="J5220">
        <v>1.1299999999999999</v>
      </c>
      <c r="K5220">
        <v>2090.58</v>
      </c>
      <c r="L5220" s="5">
        <v>46295</v>
      </c>
      <c r="M5220" t="s">
        <v>11038</v>
      </c>
      <c r="N5220" t="s">
        <v>207</v>
      </c>
      <c r="O5220" t="s">
        <v>11268</v>
      </c>
      <c r="P5220" t="s">
        <v>208</v>
      </c>
      <c r="Q5220" t="s">
        <v>209</v>
      </c>
    </row>
    <row r="5221" spans="1:17" x14ac:dyDescent="0.3">
      <c r="A5221" t="s">
        <v>11269</v>
      </c>
      <c r="C5221" t="s">
        <v>11270</v>
      </c>
      <c r="D5221" t="s">
        <v>11270</v>
      </c>
      <c r="E5221" s="5">
        <v>46293</v>
      </c>
      <c r="F5221" t="s">
        <v>204</v>
      </c>
      <c r="G5221" t="s">
        <v>205</v>
      </c>
      <c r="H5221">
        <v>1499</v>
      </c>
      <c r="I5221">
        <v>28.48</v>
      </c>
      <c r="J5221">
        <v>5.13</v>
      </c>
      <c r="K5221">
        <v>1465.39</v>
      </c>
      <c r="L5221" s="5">
        <v>46295</v>
      </c>
      <c r="M5221" t="s">
        <v>11038</v>
      </c>
      <c r="N5221" t="s">
        <v>207</v>
      </c>
      <c r="O5221" t="s">
        <v>11270</v>
      </c>
      <c r="P5221" t="s">
        <v>208</v>
      </c>
      <c r="Q5221" t="s">
        <v>209</v>
      </c>
    </row>
    <row r="5222" spans="1:17" x14ac:dyDescent="0.3">
      <c r="A5222" t="s">
        <v>11271</v>
      </c>
      <c r="C5222" t="s">
        <v>11272</v>
      </c>
      <c r="D5222" t="s">
        <v>11272</v>
      </c>
      <c r="E5222" s="5">
        <v>46293</v>
      </c>
      <c r="F5222" t="s">
        <v>204</v>
      </c>
      <c r="G5222" t="s">
        <v>220</v>
      </c>
      <c r="H5222">
        <v>2998</v>
      </c>
      <c r="I5222">
        <v>8.99</v>
      </c>
      <c r="J5222">
        <v>1.62</v>
      </c>
      <c r="K5222">
        <v>2987.39</v>
      </c>
      <c r="L5222" s="5">
        <v>46295</v>
      </c>
      <c r="M5222" t="s">
        <v>11038</v>
      </c>
      <c r="N5222" t="s">
        <v>207</v>
      </c>
      <c r="O5222" t="s">
        <v>11272</v>
      </c>
      <c r="P5222" t="s">
        <v>208</v>
      </c>
      <c r="Q5222" t="s">
        <v>209</v>
      </c>
    </row>
    <row r="5223" spans="1:17" x14ac:dyDescent="0.3">
      <c r="A5223" t="s">
        <v>11273</v>
      </c>
      <c r="C5223" t="s">
        <v>11274</v>
      </c>
      <c r="D5223" t="s">
        <v>11274</v>
      </c>
      <c r="E5223" s="5">
        <v>46293</v>
      </c>
      <c r="F5223" t="s">
        <v>204</v>
      </c>
      <c r="G5223" t="s">
        <v>213</v>
      </c>
      <c r="H5223">
        <v>349</v>
      </c>
      <c r="I5223">
        <v>6.28</v>
      </c>
      <c r="J5223">
        <v>1.1299999999999999</v>
      </c>
      <c r="K5223">
        <v>341.59</v>
      </c>
      <c r="L5223" s="5">
        <v>46295</v>
      </c>
      <c r="M5223" t="s">
        <v>11038</v>
      </c>
      <c r="N5223" t="s">
        <v>207</v>
      </c>
      <c r="O5223" t="s">
        <v>11274</v>
      </c>
      <c r="P5223" t="s">
        <v>208</v>
      </c>
      <c r="Q5223" t="s">
        <v>209</v>
      </c>
    </row>
    <row r="5224" spans="1:17" x14ac:dyDescent="0.3">
      <c r="A5224" t="s">
        <v>11275</v>
      </c>
      <c r="C5224" t="s">
        <v>11276</v>
      </c>
      <c r="D5224" t="s">
        <v>11276</v>
      </c>
      <c r="E5224" s="5">
        <v>46293</v>
      </c>
      <c r="F5224" t="s">
        <v>204</v>
      </c>
      <c r="G5224" t="s">
        <v>220</v>
      </c>
      <c r="H5224">
        <v>7999</v>
      </c>
      <c r="I5224">
        <v>24</v>
      </c>
      <c r="J5224">
        <v>4.32</v>
      </c>
      <c r="K5224">
        <v>7970.68</v>
      </c>
      <c r="L5224" s="5">
        <v>46295</v>
      </c>
      <c r="M5224" t="s">
        <v>11038</v>
      </c>
      <c r="N5224" t="s">
        <v>207</v>
      </c>
      <c r="O5224" t="s">
        <v>11276</v>
      </c>
      <c r="P5224" t="s">
        <v>208</v>
      </c>
      <c r="Q5224" t="s">
        <v>209</v>
      </c>
    </row>
    <row r="5225" spans="1:17" x14ac:dyDescent="0.3">
      <c r="A5225" t="s">
        <v>11277</v>
      </c>
      <c r="C5225" t="s">
        <v>11278</v>
      </c>
      <c r="D5225" t="s">
        <v>11278</v>
      </c>
      <c r="E5225" s="5">
        <v>46293</v>
      </c>
      <c r="F5225" t="s">
        <v>204</v>
      </c>
      <c r="G5225" t="s">
        <v>213</v>
      </c>
      <c r="H5225">
        <v>2598</v>
      </c>
      <c r="I5225">
        <v>41.57</v>
      </c>
      <c r="J5225">
        <v>7.48</v>
      </c>
      <c r="K5225">
        <v>2548.9499999999998</v>
      </c>
      <c r="L5225" s="5">
        <v>46295</v>
      </c>
      <c r="M5225" t="s">
        <v>11038</v>
      </c>
      <c r="N5225" t="s">
        <v>207</v>
      </c>
      <c r="O5225" t="s">
        <v>11278</v>
      </c>
      <c r="P5225" t="s">
        <v>208</v>
      </c>
      <c r="Q5225" t="s">
        <v>209</v>
      </c>
    </row>
    <row r="5226" spans="1:17" x14ac:dyDescent="0.3">
      <c r="A5226" t="s">
        <v>11279</v>
      </c>
      <c r="C5226" t="s">
        <v>11280</v>
      </c>
      <c r="D5226" t="s">
        <v>11280</v>
      </c>
      <c r="E5226" s="5">
        <v>46293</v>
      </c>
      <c r="F5226" t="s">
        <v>204</v>
      </c>
      <c r="G5226" t="s">
        <v>213</v>
      </c>
      <c r="H5226">
        <v>349</v>
      </c>
      <c r="I5226">
        <v>6.28</v>
      </c>
      <c r="J5226">
        <v>1.1299999999999999</v>
      </c>
      <c r="K5226">
        <v>341.59</v>
      </c>
      <c r="L5226" s="5">
        <v>46295</v>
      </c>
      <c r="M5226" t="s">
        <v>11038</v>
      </c>
      <c r="N5226" t="s">
        <v>207</v>
      </c>
      <c r="O5226" t="s">
        <v>11280</v>
      </c>
      <c r="P5226" t="s">
        <v>208</v>
      </c>
      <c r="Q5226" t="s">
        <v>209</v>
      </c>
    </row>
    <row r="5227" spans="1:17" x14ac:dyDescent="0.3">
      <c r="A5227" t="s">
        <v>11281</v>
      </c>
      <c r="C5227" t="s">
        <v>11282</v>
      </c>
      <c r="D5227" t="s">
        <v>11282</v>
      </c>
      <c r="E5227" s="5">
        <v>46293</v>
      </c>
      <c r="F5227" t="s">
        <v>204</v>
      </c>
      <c r="G5227" t="s">
        <v>220</v>
      </c>
      <c r="H5227">
        <v>2499</v>
      </c>
      <c r="I5227">
        <v>7.5</v>
      </c>
      <c r="J5227">
        <v>1.35</v>
      </c>
      <c r="K5227">
        <v>2490.15</v>
      </c>
      <c r="L5227" s="5">
        <v>46295</v>
      </c>
      <c r="M5227" t="s">
        <v>11038</v>
      </c>
      <c r="N5227" t="s">
        <v>207</v>
      </c>
      <c r="O5227" t="s">
        <v>11282</v>
      </c>
      <c r="P5227" t="s">
        <v>208</v>
      </c>
      <c r="Q5227" t="s">
        <v>209</v>
      </c>
    </row>
    <row r="5228" spans="1:17" x14ac:dyDescent="0.3">
      <c r="A5228" t="s">
        <v>11283</v>
      </c>
      <c r="C5228" t="s">
        <v>11284</v>
      </c>
      <c r="D5228" t="s">
        <v>11285</v>
      </c>
      <c r="E5228" s="5">
        <v>46293</v>
      </c>
      <c r="F5228" t="s">
        <v>204</v>
      </c>
      <c r="G5228" t="s">
        <v>213</v>
      </c>
      <c r="H5228">
        <v>4999</v>
      </c>
      <c r="I5228">
        <v>79.98</v>
      </c>
      <c r="J5228">
        <v>14.4</v>
      </c>
      <c r="K5228">
        <v>4904.62</v>
      </c>
      <c r="L5228" s="5">
        <v>46295</v>
      </c>
      <c r="M5228" t="s">
        <v>11038</v>
      </c>
      <c r="N5228" t="s">
        <v>207</v>
      </c>
      <c r="O5228" t="s">
        <v>11285</v>
      </c>
      <c r="P5228" t="s">
        <v>208</v>
      </c>
      <c r="Q5228" t="s">
        <v>209</v>
      </c>
    </row>
    <row r="5229" spans="1:17" x14ac:dyDescent="0.3">
      <c r="A5229" t="s">
        <v>11286</v>
      </c>
      <c r="C5229" t="s">
        <v>11287</v>
      </c>
      <c r="D5229" t="s">
        <v>11287</v>
      </c>
      <c r="E5229" s="5">
        <v>46293</v>
      </c>
      <c r="F5229" t="s">
        <v>204</v>
      </c>
      <c r="G5229" t="s">
        <v>213</v>
      </c>
      <c r="H5229">
        <v>999</v>
      </c>
      <c r="I5229">
        <v>17.98</v>
      </c>
      <c r="J5229">
        <v>3.24</v>
      </c>
      <c r="K5229">
        <v>977.78</v>
      </c>
      <c r="L5229" s="5">
        <v>46295</v>
      </c>
      <c r="M5229" t="s">
        <v>11038</v>
      </c>
      <c r="N5229" t="s">
        <v>207</v>
      </c>
      <c r="O5229" t="s">
        <v>11287</v>
      </c>
      <c r="P5229" t="s">
        <v>208</v>
      </c>
      <c r="Q5229" t="s">
        <v>209</v>
      </c>
    </row>
    <row r="5230" spans="1:17" x14ac:dyDescent="0.3">
      <c r="A5230" t="s">
        <v>11288</v>
      </c>
      <c r="C5230" t="s">
        <v>11289</v>
      </c>
      <c r="D5230" t="s">
        <v>11289</v>
      </c>
      <c r="E5230" s="5">
        <v>46293</v>
      </c>
      <c r="F5230" t="s">
        <v>204</v>
      </c>
      <c r="G5230" t="s">
        <v>213</v>
      </c>
      <c r="H5230">
        <v>1299</v>
      </c>
      <c r="I5230">
        <v>23.38</v>
      </c>
      <c r="J5230">
        <v>4.21</v>
      </c>
      <c r="K5230">
        <v>1271.4100000000001</v>
      </c>
      <c r="L5230" s="5">
        <v>46295</v>
      </c>
      <c r="M5230" t="s">
        <v>11038</v>
      </c>
      <c r="N5230" t="s">
        <v>207</v>
      </c>
      <c r="O5230" t="s">
        <v>11289</v>
      </c>
      <c r="P5230" t="s">
        <v>208</v>
      </c>
      <c r="Q5230" t="s">
        <v>209</v>
      </c>
    </row>
    <row r="5231" spans="1:17" x14ac:dyDescent="0.3">
      <c r="A5231" t="s">
        <v>11290</v>
      </c>
      <c r="C5231" t="s">
        <v>11291</v>
      </c>
      <c r="D5231" t="s">
        <v>11292</v>
      </c>
      <c r="E5231" s="5">
        <v>46293</v>
      </c>
      <c r="F5231" t="s">
        <v>204</v>
      </c>
      <c r="G5231" t="s">
        <v>220</v>
      </c>
      <c r="H5231">
        <v>3499</v>
      </c>
      <c r="I5231">
        <v>10.5</v>
      </c>
      <c r="J5231">
        <v>1.89</v>
      </c>
      <c r="K5231">
        <v>3486.61</v>
      </c>
      <c r="L5231" s="5">
        <v>46295</v>
      </c>
      <c r="M5231" t="s">
        <v>11038</v>
      </c>
      <c r="N5231" t="s">
        <v>207</v>
      </c>
      <c r="O5231" t="s">
        <v>11292</v>
      </c>
      <c r="P5231" t="s">
        <v>208</v>
      </c>
      <c r="Q5231" t="s">
        <v>209</v>
      </c>
    </row>
    <row r="5232" spans="1:17" x14ac:dyDescent="0.3">
      <c r="A5232" t="s">
        <v>11293</v>
      </c>
      <c r="C5232" t="s">
        <v>11294</v>
      </c>
      <c r="D5232" t="s">
        <v>11294</v>
      </c>
      <c r="E5232" s="5">
        <v>46293</v>
      </c>
      <c r="F5232" t="s">
        <v>204</v>
      </c>
      <c r="G5232" t="s">
        <v>255</v>
      </c>
      <c r="H5232">
        <v>3998</v>
      </c>
      <c r="I5232">
        <v>47.98</v>
      </c>
      <c r="J5232">
        <v>8.64</v>
      </c>
      <c r="K5232">
        <v>3941.38</v>
      </c>
      <c r="L5232" s="5">
        <v>46295</v>
      </c>
      <c r="M5232" t="s">
        <v>11038</v>
      </c>
      <c r="N5232" t="s">
        <v>207</v>
      </c>
      <c r="O5232" t="s">
        <v>11294</v>
      </c>
      <c r="P5232" t="s">
        <v>208</v>
      </c>
      <c r="Q5232" t="s">
        <v>209</v>
      </c>
    </row>
    <row r="5233" spans="1:17" x14ac:dyDescent="0.3">
      <c r="A5233" t="s">
        <v>11295</v>
      </c>
      <c r="C5233" t="s">
        <v>11296</v>
      </c>
      <c r="D5233" t="s">
        <v>11296</v>
      </c>
      <c r="E5233" s="5">
        <v>46293</v>
      </c>
      <c r="F5233" t="s">
        <v>204</v>
      </c>
      <c r="G5233" t="s">
        <v>220</v>
      </c>
      <c r="H5233">
        <v>299</v>
      </c>
      <c r="I5233">
        <v>0</v>
      </c>
      <c r="J5233">
        <v>0</v>
      </c>
      <c r="K5233">
        <v>299</v>
      </c>
      <c r="L5233" s="5">
        <v>46295</v>
      </c>
      <c r="M5233" t="s">
        <v>11038</v>
      </c>
      <c r="N5233" t="s">
        <v>207</v>
      </c>
      <c r="O5233" t="s">
        <v>11296</v>
      </c>
      <c r="P5233" t="s">
        <v>208</v>
      </c>
      <c r="Q5233" t="s">
        <v>209</v>
      </c>
    </row>
    <row r="5234" spans="1:17" x14ac:dyDescent="0.3">
      <c r="A5234" t="s">
        <v>11297</v>
      </c>
      <c r="C5234" t="s">
        <v>11298</v>
      </c>
      <c r="D5234" t="s">
        <v>11298</v>
      </c>
      <c r="E5234" s="5">
        <v>46293</v>
      </c>
      <c r="F5234" t="s">
        <v>204</v>
      </c>
      <c r="G5234" t="s">
        <v>205</v>
      </c>
      <c r="H5234">
        <v>8498</v>
      </c>
      <c r="I5234">
        <v>144.47</v>
      </c>
      <c r="J5234">
        <v>26</v>
      </c>
      <c r="K5234">
        <v>8327.5300000000007</v>
      </c>
      <c r="L5234" s="5">
        <v>46295</v>
      </c>
      <c r="M5234" t="s">
        <v>11038</v>
      </c>
      <c r="N5234" t="s">
        <v>207</v>
      </c>
      <c r="O5234" t="s">
        <v>11298</v>
      </c>
      <c r="P5234" t="s">
        <v>208</v>
      </c>
      <c r="Q5234" t="s">
        <v>209</v>
      </c>
    </row>
    <row r="5235" spans="1:17" x14ac:dyDescent="0.3">
      <c r="A5235" t="s">
        <v>11299</v>
      </c>
      <c r="C5235" t="s">
        <v>11300</v>
      </c>
      <c r="D5235" t="s">
        <v>11300</v>
      </c>
      <c r="E5235" s="5">
        <v>46293</v>
      </c>
      <c r="F5235" t="s">
        <v>204</v>
      </c>
      <c r="G5235" t="s">
        <v>205</v>
      </c>
      <c r="H5235">
        <v>349</v>
      </c>
      <c r="I5235">
        <v>6.63</v>
      </c>
      <c r="J5235">
        <v>1.19</v>
      </c>
      <c r="K5235">
        <v>341.18</v>
      </c>
      <c r="L5235" s="5">
        <v>46295</v>
      </c>
      <c r="M5235" t="s">
        <v>11038</v>
      </c>
      <c r="N5235" t="s">
        <v>207</v>
      </c>
      <c r="O5235" t="s">
        <v>11300</v>
      </c>
      <c r="P5235" t="s">
        <v>208</v>
      </c>
      <c r="Q5235" t="s">
        <v>209</v>
      </c>
    </row>
    <row r="5236" spans="1:17" x14ac:dyDescent="0.3">
      <c r="A5236" t="s">
        <v>11301</v>
      </c>
      <c r="C5236" t="s">
        <v>11302</v>
      </c>
      <c r="D5236" t="s">
        <v>11302</v>
      </c>
      <c r="E5236" s="5">
        <v>46293</v>
      </c>
      <c r="F5236" t="s">
        <v>204</v>
      </c>
      <c r="G5236" t="s">
        <v>220</v>
      </c>
      <c r="H5236">
        <v>8298</v>
      </c>
      <c r="I5236">
        <v>24.89</v>
      </c>
      <c r="J5236">
        <v>4.4800000000000004</v>
      </c>
      <c r="K5236">
        <v>8268.6299999999992</v>
      </c>
      <c r="L5236" s="5">
        <v>46295</v>
      </c>
      <c r="M5236" t="s">
        <v>11038</v>
      </c>
      <c r="N5236" t="s">
        <v>207</v>
      </c>
      <c r="O5236" t="s">
        <v>11302</v>
      </c>
      <c r="P5236" t="s">
        <v>208</v>
      </c>
      <c r="Q5236" t="s">
        <v>209</v>
      </c>
    </row>
    <row r="5237" spans="1:17" x14ac:dyDescent="0.3">
      <c r="A5237" t="s">
        <v>11303</v>
      </c>
      <c r="C5237" t="s">
        <v>11304</v>
      </c>
      <c r="D5237" t="s">
        <v>11305</v>
      </c>
      <c r="E5237" s="5">
        <v>46293</v>
      </c>
      <c r="F5237" t="s">
        <v>204</v>
      </c>
      <c r="G5237" t="s">
        <v>220</v>
      </c>
      <c r="H5237">
        <v>2999</v>
      </c>
      <c r="I5237">
        <v>9</v>
      </c>
      <c r="J5237">
        <v>1.62</v>
      </c>
      <c r="K5237">
        <v>2988.38</v>
      </c>
      <c r="L5237" s="5">
        <v>46295</v>
      </c>
      <c r="M5237" t="s">
        <v>11038</v>
      </c>
      <c r="N5237" t="s">
        <v>207</v>
      </c>
      <c r="O5237" t="s">
        <v>11305</v>
      </c>
      <c r="P5237" t="s">
        <v>208</v>
      </c>
      <c r="Q5237" t="s">
        <v>209</v>
      </c>
    </row>
    <row r="5238" spans="1:17" x14ac:dyDescent="0.3">
      <c r="A5238" t="s">
        <v>11306</v>
      </c>
      <c r="C5238" t="s">
        <v>11307</v>
      </c>
      <c r="D5238" t="s">
        <v>11308</v>
      </c>
      <c r="E5238" s="5">
        <v>46293</v>
      </c>
      <c r="F5238" t="s">
        <v>204</v>
      </c>
      <c r="G5238" t="s">
        <v>213</v>
      </c>
      <c r="H5238">
        <v>7998</v>
      </c>
      <c r="I5238">
        <v>127.97</v>
      </c>
      <c r="J5238">
        <v>23.03</v>
      </c>
      <c r="K5238">
        <v>7847</v>
      </c>
      <c r="L5238" s="5">
        <v>46295</v>
      </c>
      <c r="M5238" t="s">
        <v>11038</v>
      </c>
      <c r="N5238" t="s">
        <v>207</v>
      </c>
      <c r="O5238" t="s">
        <v>11308</v>
      </c>
      <c r="P5238" t="s">
        <v>208</v>
      </c>
      <c r="Q5238" t="s">
        <v>209</v>
      </c>
    </row>
    <row r="5239" spans="1:17" x14ac:dyDescent="0.3">
      <c r="A5239" t="s">
        <v>11309</v>
      </c>
      <c r="C5239" t="s">
        <v>11310</v>
      </c>
      <c r="D5239" t="s">
        <v>11310</v>
      </c>
      <c r="E5239" s="5">
        <v>46293</v>
      </c>
      <c r="F5239" t="s">
        <v>204</v>
      </c>
      <c r="G5239" t="s">
        <v>205</v>
      </c>
      <c r="H5239">
        <v>9147</v>
      </c>
      <c r="I5239">
        <v>155.5</v>
      </c>
      <c r="J5239">
        <v>27.99</v>
      </c>
      <c r="K5239">
        <v>8963.51</v>
      </c>
      <c r="L5239" s="5">
        <v>46295</v>
      </c>
      <c r="M5239" t="s">
        <v>11038</v>
      </c>
      <c r="N5239" t="s">
        <v>207</v>
      </c>
      <c r="O5239" t="s">
        <v>11310</v>
      </c>
      <c r="P5239" t="s">
        <v>208</v>
      </c>
      <c r="Q5239" t="s">
        <v>209</v>
      </c>
    </row>
    <row r="5240" spans="1:17" x14ac:dyDescent="0.3">
      <c r="A5240" t="s">
        <v>11311</v>
      </c>
      <c r="C5240" t="s">
        <v>11312</v>
      </c>
      <c r="D5240" t="s">
        <v>11312</v>
      </c>
      <c r="E5240" s="5">
        <v>46293</v>
      </c>
      <c r="F5240" t="s">
        <v>204</v>
      </c>
      <c r="G5240" t="s">
        <v>220</v>
      </c>
      <c r="H5240">
        <v>1499</v>
      </c>
      <c r="I5240">
        <v>0</v>
      </c>
      <c r="J5240">
        <v>0</v>
      </c>
      <c r="K5240">
        <v>1499</v>
      </c>
      <c r="L5240" s="5">
        <v>46295</v>
      </c>
      <c r="M5240" t="s">
        <v>11038</v>
      </c>
      <c r="N5240" t="s">
        <v>207</v>
      </c>
      <c r="O5240" t="s">
        <v>11312</v>
      </c>
      <c r="P5240" t="s">
        <v>208</v>
      </c>
      <c r="Q5240" t="s">
        <v>209</v>
      </c>
    </row>
    <row r="5241" spans="1:17" x14ac:dyDescent="0.3">
      <c r="A5241" t="s">
        <v>11313</v>
      </c>
      <c r="C5241" t="s">
        <v>11314</v>
      </c>
      <c r="D5241" t="s">
        <v>11314</v>
      </c>
      <c r="E5241" s="5">
        <v>46293</v>
      </c>
      <c r="F5241" t="s">
        <v>204</v>
      </c>
      <c r="G5241" t="s">
        <v>205</v>
      </c>
      <c r="H5241">
        <v>798</v>
      </c>
      <c r="I5241">
        <v>15.16</v>
      </c>
      <c r="J5241">
        <v>2.73</v>
      </c>
      <c r="K5241">
        <v>780.11</v>
      </c>
      <c r="L5241" s="5">
        <v>46295</v>
      </c>
      <c r="M5241" t="s">
        <v>11038</v>
      </c>
      <c r="N5241" t="s">
        <v>207</v>
      </c>
      <c r="O5241" t="s">
        <v>11314</v>
      </c>
      <c r="P5241" t="s">
        <v>208</v>
      </c>
      <c r="Q5241" t="s">
        <v>209</v>
      </c>
    </row>
    <row r="5242" spans="1:17" x14ac:dyDescent="0.3">
      <c r="A5242" t="s">
        <v>11315</v>
      </c>
      <c r="C5242" t="s">
        <v>11316</v>
      </c>
      <c r="D5242" t="s">
        <v>11317</v>
      </c>
      <c r="E5242" s="5">
        <v>46293</v>
      </c>
      <c r="F5242" t="s">
        <v>204</v>
      </c>
      <c r="G5242" t="s">
        <v>213</v>
      </c>
      <c r="H5242">
        <v>1799</v>
      </c>
      <c r="I5242">
        <v>32.380000000000003</v>
      </c>
      <c r="J5242">
        <v>5.83</v>
      </c>
      <c r="K5242">
        <v>1760.79</v>
      </c>
      <c r="L5242" s="5">
        <v>46295</v>
      </c>
      <c r="M5242" t="s">
        <v>11038</v>
      </c>
      <c r="N5242" t="s">
        <v>207</v>
      </c>
      <c r="O5242" t="s">
        <v>11317</v>
      </c>
      <c r="P5242" t="s">
        <v>208</v>
      </c>
      <c r="Q5242" t="s">
        <v>209</v>
      </c>
    </row>
    <row r="5243" spans="1:17" x14ac:dyDescent="0.3">
      <c r="A5243" t="s">
        <v>11318</v>
      </c>
      <c r="C5243" t="s">
        <v>11319</v>
      </c>
      <c r="D5243" t="s">
        <v>11319</v>
      </c>
      <c r="E5243" s="5">
        <v>46293</v>
      </c>
      <c r="F5243" t="s">
        <v>204</v>
      </c>
      <c r="G5243" t="s">
        <v>205</v>
      </c>
      <c r="H5243">
        <v>4397</v>
      </c>
      <c r="I5243">
        <v>74.75</v>
      </c>
      <c r="J5243">
        <v>13.46</v>
      </c>
      <c r="K5243">
        <v>4308.79</v>
      </c>
      <c r="L5243" s="5">
        <v>46295</v>
      </c>
      <c r="M5243" t="s">
        <v>11038</v>
      </c>
      <c r="N5243" t="s">
        <v>207</v>
      </c>
      <c r="O5243" t="s">
        <v>11319</v>
      </c>
      <c r="P5243" t="s">
        <v>208</v>
      </c>
      <c r="Q5243" t="s">
        <v>209</v>
      </c>
    </row>
    <row r="5244" spans="1:17" x14ac:dyDescent="0.3">
      <c r="A5244" t="s">
        <v>11320</v>
      </c>
      <c r="C5244" t="s">
        <v>11321</v>
      </c>
      <c r="D5244" t="s">
        <v>11321</v>
      </c>
      <c r="E5244" s="5">
        <v>46293</v>
      </c>
      <c r="F5244" t="s">
        <v>204</v>
      </c>
      <c r="G5244" t="s">
        <v>220</v>
      </c>
      <c r="H5244">
        <v>4999</v>
      </c>
      <c r="I5244">
        <v>15</v>
      </c>
      <c r="J5244">
        <v>2.7</v>
      </c>
      <c r="K5244">
        <v>4981.3</v>
      </c>
      <c r="L5244" s="5">
        <v>46295</v>
      </c>
      <c r="M5244" t="s">
        <v>11038</v>
      </c>
      <c r="N5244" t="s">
        <v>207</v>
      </c>
      <c r="O5244" t="s">
        <v>11321</v>
      </c>
      <c r="P5244" t="s">
        <v>208</v>
      </c>
      <c r="Q5244" t="s">
        <v>209</v>
      </c>
    </row>
    <row r="5245" spans="1:17" x14ac:dyDescent="0.3">
      <c r="A5245" t="s">
        <v>11322</v>
      </c>
      <c r="C5245" t="s">
        <v>11323</v>
      </c>
      <c r="D5245" t="s">
        <v>11323</v>
      </c>
      <c r="E5245" s="5">
        <v>46293</v>
      </c>
      <c r="F5245" t="s">
        <v>204</v>
      </c>
      <c r="G5245" t="s">
        <v>213</v>
      </c>
      <c r="H5245">
        <v>3998</v>
      </c>
      <c r="I5245">
        <v>63.97</v>
      </c>
      <c r="J5245">
        <v>11.51</v>
      </c>
      <c r="K5245">
        <v>3922.52</v>
      </c>
      <c r="L5245" s="5">
        <v>46295</v>
      </c>
      <c r="M5245" t="s">
        <v>11038</v>
      </c>
      <c r="N5245" t="s">
        <v>207</v>
      </c>
      <c r="O5245" t="s">
        <v>11323</v>
      </c>
      <c r="P5245" t="s">
        <v>208</v>
      </c>
      <c r="Q5245" t="s">
        <v>209</v>
      </c>
    </row>
    <row r="5246" spans="1:17" x14ac:dyDescent="0.3">
      <c r="A5246" t="s">
        <v>11324</v>
      </c>
      <c r="C5246" t="s">
        <v>11325</v>
      </c>
      <c r="D5246" t="s">
        <v>11326</v>
      </c>
      <c r="E5246" s="5">
        <v>46293</v>
      </c>
      <c r="F5246" t="s">
        <v>204</v>
      </c>
      <c r="G5246" t="s">
        <v>220</v>
      </c>
      <c r="H5246">
        <v>2298</v>
      </c>
      <c r="I5246">
        <v>6.89</v>
      </c>
      <c r="J5246">
        <v>1.24</v>
      </c>
      <c r="K5246">
        <v>2289.87</v>
      </c>
      <c r="L5246" s="5">
        <v>46295</v>
      </c>
      <c r="M5246" t="s">
        <v>11038</v>
      </c>
      <c r="N5246" t="s">
        <v>207</v>
      </c>
      <c r="O5246" t="s">
        <v>11326</v>
      </c>
      <c r="P5246" t="s">
        <v>208</v>
      </c>
      <c r="Q5246" t="s">
        <v>209</v>
      </c>
    </row>
    <row r="5247" spans="1:17" x14ac:dyDescent="0.3">
      <c r="A5247" t="s">
        <v>11327</v>
      </c>
      <c r="C5247" t="s">
        <v>11328</v>
      </c>
      <c r="D5247" t="s">
        <v>11328</v>
      </c>
      <c r="E5247" s="5">
        <v>46293</v>
      </c>
      <c r="F5247" t="s">
        <v>204</v>
      </c>
      <c r="G5247" t="s">
        <v>220</v>
      </c>
      <c r="H5247">
        <v>349</v>
      </c>
      <c r="I5247">
        <v>0</v>
      </c>
      <c r="J5247">
        <v>0</v>
      </c>
      <c r="K5247">
        <v>349</v>
      </c>
      <c r="L5247" s="5">
        <v>46295</v>
      </c>
      <c r="M5247" t="s">
        <v>11038</v>
      </c>
      <c r="N5247" t="s">
        <v>207</v>
      </c>
      <c r="O5247" t="s">
        <v>11328</v>
      </c>
      <c r="P5247" t="s">
        <v>208</v>
      </c>
      <c r="Q5247" t="s">
        <v>209</v>
      </c>
    </row>
    <row r="5248" spans="1:17" x14ac:dyDescent="0.3">
      <c r="A5248" t="s">
        <v>11329</v>
      </c>
      <c r="C5248" t="s">
        <v>11330</v>
      </c>
      <c r="D5248" t="s">
        <v>11330</v>
      </c>
      <c r="E5248" s="5">
        <v>46293</v>
      </c>
      <c r="F5248" t="s">
        <v>204</v>
      </c>
      <c r="G5248" t="s">
        <v>220</v>
      </c>
      <c r="H5248">
        <v>2798</v>
      </c>
      <c r="I5248">
        <v>8.39</v>
      </c>
      <c r="J5248">
        <v>1.51</v>
      </c>
      <c r="K5248">
        <v>2788.1</v>
      </c>
      <c r="L5248" s="5">
        <v>46295</v>
      </c>
      <c r="M5248" t="s">
        <v>11038</v>
      </c>
      <c r="N5248" t="s">
        <v>207</v>
      </c>
      <c r="O5248" t="s">
        <v>11330</v>
      </c>
      <c r="P5248" t="s">
        <v>208</v>
      </c>
      <c r="Q5248" t="s">
        <v>209</v>
      </c>
    </row>
    <row r="5249" spans="1:17" x14ac:dyDescent="0.3">
      <c r="A5249" t="s">
        <v>11331</v>
      </c>
      <c r="C5249" t="s">
        <v>11332</v>
      </c>
      <c r="D5249" t="s">
        <v>11332</v>
      </c>
      <c r="E5249" s="5">
        <v>46293</v>
      </c>
      <c r="F5249" t="s">
        <v>204</v>
      </c>
      <c r="G5249" t="s">
        <v>220</v>
      </c>
      <c r="H5249">
        <v>2999</v>
      </c>
      <c r="I5249">
        <v>9</v>
      </c>
      <c r="J5249">
        <v>1.62</v>
      </c>
      <c r="K5249">
        <v>2988.38</v>
      </c>
      <c r="L5249" s="5">
        <v>46295</v>
      </c>
      <c r="M5249" t="s">
        <v>11038</v>
      </c>
      <c r="N5249" t="s">
        <v>207</v>
      </c>
      <c r="O5249" t="s">
        <v>11332</v>
      </c>
      <c r="P5249" t="s">
        <v>208</v>
      </c>
      <c r="Q5249" t="s">
        <v>209</v>
      </c>
    </row>
    <row r="5250" spans="1:17" x14ac:dyDescent="0.3">
      <c r="A5250" t="s">
        <v>11333</v>
      </c>
      <c r="C5250" t="s">
        <v>11334</v>
      </c>
      <c r="D5250" t="s">
        <v>11334</v>
      </c>
      <c r="E5250" s="5">
        <v>46293</v>
      </c>
      <c r="F5250" t="s">
        <v>204</v>
      </c>
      <c r="G5250" t="s">
        <v>220</v>
      </c>
      <c r="H5250">
        <v>3499</v>
      </c>
      <c r="I5250">
        <v>10.5</v>
      </c>
      <c r="J5250">
        <v>1.89</v>
      </c>
      <c r="K5250">
        <v>3486.61</v>
      </c>
      <c r="L5250" s="5">
        <v>46295</v>
      </c>
      <c r="M5250" t="s">
        <v>11038</v>
      </c>
      <c r="N5250" t="s">
        <v>207</v>
      </c>
      <c r="O5250" t="s">
        <v>11334</v>
      </c>
      <c r="P5250" t="s">
        <v>208</v>
      </c>
      <c r="Q5250" t="s">
        <v>209</v>
      </c>
    </row>
    <row r="5251" spans="1:17" x14ac:dyDescent="0.3">
      <c r="A5251" t="s">
        <v>11335</v>
      </c>
      <c r="C5251" t="s">
        <v>11336</v>
      </c>
      <c r="D5251" t="s">
        <v>11336</v>
      </c>
      <c r="E5251" s="5">
        <v>46293</v>
      </c>
      <c r="F5251" t="s">
        <v>204</v>
      </c>
      <c r="G5251" t="s">
        <v>213</v>
      </c>
      <c r="H5251">
        <v>3848</v>
      </c>
      <c r="I5251">
        <v>61.57</v>
      </c>
      <c r="J5251">
        <v>11.08</v>
      </c>
      <c r="K5251">
        <v>3775.35</v>
      </c>
      <c r="L5251" s="5">
        <v>46295</v>
      </c>
      <c r="M5251" t="s">
        <v>11038</v>
      </c>
      <c r="N5251" t="s">
        <v>207</v>
      </c>
      <c r="O5251" t="s">
        <v>11336</v>
      </c>
      <c r="P5251" t="s">
        <v>208</v>
      </c>
      <c r="Q5251" t="s">
        <v>209</v>
      </c>
    </row>
    <row r="5252" spans="1:17" x14ac:dyDescent="0.3">
      <c r="A5252" t="s">
        <v>11337</v>
      </c>
      <c r="C5252" t="s">
        <v>11338</v>
      </c>
      <c r="D5252" t="s">
        <v>11338</v>
      </c>
      <c r="E5252" s="5">
        <v>46293</v>
      </c>
      <c r="F5252" t="s">
        <v>204</v>
      </c>
      <c r="G5252" t="s">
        <v>220</v>
      </c>
      <c r="H5252">
        <v>1499</v>
      </c>
      <c r="I5252">
        <v>0</v>
      </c>
      <c r="J5252">
        <v>0</v>
      </c>
      <c r="K5252">
        <v>1499</v>
      </c>
      <c r="L5252" s="5">
        <v>46295</v>
      </c>
      <c r="M5252" t="s">
        <v>11038</v>
      </c>
      <c r="N5252" t="s">
        <v>207</v>
      </c>
      <c r="O5252" t="s">
        <v>11338</v>
      </c>
      <c r="P5252" t="s">
        <v>208</v>
      </c>
      <c r="Q5252" t="s">
        <v>209</v>
      </c>
    </row>
    <row r="5253" spans="1:17" x14ac:dyDescent="0.3">
      <c r="A5253" t="s">
        <v>11339</v>
      </c>
      <c r="C5253" t="s">
        <v>11340</v>
      </c>
      <c r="D5253" t="s">
        <v>11340</v>
      </c>
      <c r="E5253" s="5">
        <v>46293</v>
      </c>
      <c r="F5253" t="s">
        <v>204</v>
      </c>
      <c r="G5253" t="s">
        <v>220</v>
      </c>
      <c r="H5253">
        <v>1799</v>
      </c>
      <c r="I5253">
        <v>0</v>
      </c>
      <c r="J5253">
        <v>0</v>
      </c>
      <c r="K5253">
        <v>1799</v>
      </c>
      <c r="L5253" s="5">
        <v>46295</v>
      </c>
      <c r="M5253" t="s">
        <v>11038</v>
      </c>
      <c r="N5253" t="s">
        <v>207</v>
      </c>
      <c r="O5253" t="s">
        <v>11340</v>
      </c>
      <c r="P5253" t="s">
        <v>208</v>
      </c>
      <c r="Q5253" t="s">
        <v>209</v>
      </c>
    </row>
    <row r="5254" spans="1:17" x14ac:dyDescent="0.3">
      <c r="A5254" t="s">
        <v>11341</v>
      </c>
      <c r="C5254" t="s">
        <v>11342</v>
      </c>
      <c r="D5254" t="s">
        <v>11342</v>
      </c>
      <c r="E5254" s="5">
        <v>46293</v>
      </c>
      <c r="F5254" t="s">
        <v>204</v>
      </c>
      <c r="G5254" t="s">
        <v>220</v>
      </c>
      <c r="H5254">
        <v>1799</v>
      </c>
      <c r="I5254">
        <v>0</v>
      </c>
      <c r="J5254">
        <v>0</v>
      </c>
      <c r="K5254">
        <v>1799</v>
      </c>
      <c r="L5254" s="5">
        <v>46295</v>
      </c>
      <c r="M5254" t="s">
        <v>11038</v>
      </c>
      <c r="N5254" t="s">
        <v>207</v>
      </c>
      <c r="O5254" t="s">
        <v>11342</v>
      </c>
      <c r="P5254" t="s">
        <v>208</v>
      </c>
      <c r="Q5254" t="s">
        <v>209</v>
      </c>
    </row>
    <row r="5255" spans="1:17" x14ac:dyDescent="0.3">
      <c r="A5255" t="s">
        <v>11343</v>
      </c>
      <c r="C5255" t="s">
        <v>11344</v>
      </c>
      <c r="D5255" t="s">
        <v>11344</v>
      </c>
      <c r="E5255" s="5">
        <v>46293</v>
      </c>
      <c r="F5255" t="s">
        <v>204</v>
      </c>
      <c r="G5255" t="s">
        <v>220</v>
      </c>
      <c r="H5255">
        <v>499</v>
      </c>
      <c r="I5255">
        <v>0</v>
      </c>
      <c r="J5255">
        <v>0</v>
      </c>
      <c r="K5255">
        <v>499</v>
      </c>
      <c r="L5255" s="5">
        <v>46295</v>
      </c>
      <c r="M5255" t="s">
        <v>11038</v>
      </c>
      <c r="N5255" t="s">
        <v>207</v>
      </c>
      <c r="O5255" t="s">
        <v>11344</v>
      </c>
      <c r="P5255" t="s">
        <v>208</v>
      </c>
      <c r="Q5255" t="s">
        <v>209</v>
      </c>
    </row>
    <row r="5256" spans="1:17" x14ac:dyDescent="0.3">
      <c r="A5256" t="s">
        <v>11345</v>
      </c>
      <c r="C5256" t="s">
        <v>11346</v>
      </c>
      <c r="D5256" t="s">
        <v>11346</v>
      </c>
      <c r="E5256" s="5">
        <v>46293</v>
      </c>
      <c r="F5256" t="s">
        <v>204</v>
      </c>
      <c r="G5256" t="s">
        <v>220</v>
      </c>
      <c r="H5256">
        <v>3498</v>
      </c>
      <c r="I5256">
        <v>10.49</v>
      </c>
      <c r="J5256">
        <v>1.89</v>
      </c>
      <c r="K5256">
        <v>3485.62</v>
      </c>
      <c r="L5256" s="5">
        <v>46295</v>
      </c>
      <c r="M5256" t="s">
        <v>11038</v>
      </c>
      <c r="N5256" t="s">
        <v>207</v>
      </c>
      <c r="O5256" t="s">
        <v>11346</v>
      </c>
      <c r="P5256" t="s">
        <v>208</v>
      </c>
      <c r="Q5256" t="s">
        <v>209</v>
      </c>
    </row>
    <row r="5257" spans="1:17" x14ac:dyDescent="0.3">
      <c r="A5257" t="s">
        <v>11347</v>
      </c>
      <c r="C5257" t="s">
        <v>11348</v>
      </c>
      <c r="D5257" t="s">
        <v>11348</v>
      </c>
      <c r="E5257" s="5">
        <v>46293</v>
      </c>
      <c r="F5257" t="s">
        <v>204</v>
      </c>
      <c r="G5257" t="s">
        <v>220</v>
      </c>
      <c r="H5257">
        <v>3298</v>
      </c>
      <c r="I5257">
        <v>9.89</v>
      </c>
      <c r="J5257">
        <v>1.78</v>
      </c>
      <c r="K5257">
        <v>3286.33</v>
      </c>
      <c r="L5257" s="5">
        <v>46295</v>
      </c>
      <c r="M5257" t="s">
        <v>11038</v>
      </c>
      <c r="N5257" t="s">
        <v>207</v>
      </c>
      <c r="O5257" t="s">
        <v>11348</v>
      </c>
      <c r="P5257" t="s">
        <v>208</v>
      </c>
      <c r="Q5257" t="s">
        <v>209</v>
      </c>
    </row>
    <row r="5258" spans="1:17" x14ac:dyDescent="0.3">
      <c r="A5258" t="s">
        <v>11349</v>
      </c>
      <c r="C5258" t="s">
        <v>11350</v>
      </c>
      <c r="D5258" t="s">
        <v>11350</v>
      </c>
      <c r="E5258" s="5">
        <v>46293</v>
      </c>
      <c r="F5258" t="s">
        <v>204</v>
      </c>
      <c r="G5258" t="s">
        <v>220</v>
      </c>
      <c r="H5258">
        <v>4298</v>
      </c>
      <c r="I5258">
        <v>12.89</v>
      </c>
      <c r="J5258">
        <v>2.3199999999999998</v>
      </c>
      <c r="K5258">
        <v>4282.79</v>
      </c>
      <c r="L5258" s="5">
        <v>46295</v>
      </c>
      <c r="M5258" t="s">
        <v>11038</v>
      </c>
      <c r="N5258" t="s">
        <v>207</v>
      </c>
      <c r="O5258" t="s">
        <v>11350</v>
      </c>
      <c r="P5258" t="s">
        <v>208</v>
      </c>
      <c r="Q5258" t="s">
        <v>209</v>
      </c>
    </row>
    <row r="5259" spans="1:17" x14ac:dyDescent="0.3">
      <c r="A5259" t="s">
        <v>11351</v>
      </c>
      <c r="C5259" t="s">
        <v>11352</v>
      </c>
      <c r="D5259" t="s">
        <v>11352</v>
      </c>
      <c r="E5259" s="5">
        <v>46293</v>
      </c>
      <c r="F5259" t="s">
        <v>204</v>
      </c>
      <c r="G5259" t="s">
        <v>220</v>
      </c>
      <c r="H5259">
        <v>2098</v>
      </c>
      <c r="I5259">
        <v>6.29</v>
      </c>
      <c r="J5259">
        <v>1.1299999999999999</v>
      </c>
      <c r="K5259">
        <v>2090.58</v>
      </c>
      <c r="L5259" s="5">
        <v>46295</v>
      </c>
      <c r="M5259" t="s">
        <v>11038</v>
      </c>
      <c r="N5259" t="s">
        <v>207</v>
      </c>
      <c r="O5259" t="s">
        <v>11352</v>
      </c>
      <c r="P5259" t="s">
        <v>208</v>
      </c>
      <c r="Q5259" t="s">
        <v>209</v>
      </c>
    </row>
    <row r="5260" spans="1:17" x14ac:dyDescent="0.3">
      <c r="A5260" t="s">
        <v>11353</v>
      </c>
      <c r="C5260" t="s">
        <v>11354</v>
      </c>
      <c r="D5260" t="s">
        <v>11354</v>
      </c>
      <c r="E5260" s="5">
        <v>46293</v>
      </c>
      <c r="F5260" t="s">
        <v>204</v>
      </c>
      <c r="G5260" t="s">
        <v>255</v>
      </c>
      <c r="H5260">
        <v>10498</v>
      </c>
      <c r="I5260">
        <v>94.48</v>
      </c>
      <c r="J5260">
        <v>17.010000000000002</v>
      </c>
      <c r="K5260">
        <v>10386.51</v>
      </c>
      <c r="L5260" s="5">
        <v>46295</v>
      </c>
      <c r="M5260" t="s">
        <v>11038</v>
      </c>
      <c r="N5260" t="s">
        <v>207</v>
      </c>
      <c r="O5260" t="s">
        <v>11354</v>
      </c>
      <c r="P5260" t="s">
        <v>208</v>
      </c>
      <c r="Q5260" t="s">
        <v>209</v>
      </c>
    </row>
    <row r="5261" spans="1:17" x14ac:dyDescent="0.3">
      <c r="A5261" t="s">
        <v>11355</v>
      </c>
      <c r="C5261" t="s">
        <v>11356</v>
      </c>
      <c r="D5261" t="s">
        <v>11356</v>
      </c>
      <c r="E5261" s="5">
        <v>46293</v>
      </c>
      <c r="F5261" t="s">
        <v>204</v>
      </c>
      <c r="G5261" t="s">
        <v>220</v>
      </c>
      <c r="H5261">
        <v>2798</v>
      </c>
      <c r="I5261">
        <v>8.39</v>
      </c>
      <c r="J5261">
        <v>1.51</v>
      </c>
      <c r="K5261">
        <v>2788.1</v>
      </c>
      <c r="L5261" s="5">
        <v>46295</v>
      </c>
      <c r="M5261" t="s">
        <v>11038</v>
      </c>
      <c r="N5261" t="s">
        <v>207</v>
      </c>
      <c r="O5261" t="s">
        <v>11356</v>
      </c>
      <c r="P5261" t="s">
        <v>208</v>
      </c>
      <c r="Q5261" t="s">
        <v>209</v>
      </c>
    </row>
    <row r="5262" spans="1:17" x14ac:dyDescent="0.3">
      <c r="A5262" t="s">
        <v>11357</v>
      </c>
      <c r="C5262" t="s">
        <v>11358</v>
      </c>
      <c r="D5262" t="s">
        <v>11358</v>
      </c>
      <c r="E5262" s="5">
        <v>46293</v>
      </c>
      <c r="F5262" t="s">
        <v>204</v>
      </c>
      <c r="G5262" t="s">
        <v>213</v>
      </c>
      <c r="H5262">
        <v>1799</v>
      </c>
      <c r="I5262">
        <v>32.380000000000003</v>
      </c>
      <c r="J5262">
        <v>5.83</v>
      </c>
      <c r="K5262">
        <v>1760.79</v>
      </c>
      <c r="L5262" s="5">
        <v>46295</v>
      </c>
      <c r="M5262" t="s">
        <v>11038</v>
      </c>
      <c r="N5262" t="s">
        <v>207</v>
      </c>
      <c r="O5262" t="s">
        <v>11358</v>
      </c>
      <c r="P5262" t="s">
        <v>208</v>
      </c>
      <c r="Q5262" t="s">
        <v>209</v>
      </c>
    </row>
    <row r="5263" spans="1:17" x14ac:dyDescent="0.3">
      <c r="A5263" t="s">
        <v>11359</v>
      </c>
      <c r="C5263" t="s">
        <v>11360</v>
      </c>
      <c r="D5263" t="s">
        <v>11360</v>
      </c>
      <c r="E5263" s="5">
        <v>46293</v>
      </c>
      <c r="F5263" t="s">
        <v>204</v>
      </c>
      <c r="G5263" t="s">
        <v>220</v>
      </c>
      <c r="H5263">
        <v>1799</v>
      </c>
      <c r="I5263">
        <v>0</v>
      </c>
      <c r="J5263">
        <v>0</v>
      </c>
      <c r="K5263">
        <v>1799</v>
      </c>
      <c r="L5263" s="5">
        <v>46295</v>
      </c>
      <c r="M5263" t="s">
        <v>11038</v>
      </c>
      <c r="N5263" t="s">
        <v>207</v>
      </c>
      <c r="O5263" t="s">
        <v>11360</v>
      </c>
      <c r="P5263" t="s">
        <v>208</v>
      </c>
      <c r="Q5263" t="s">
        <v>209</v>
      </c>
    </row>
    <row r="5264" spans="1:17" x14ac:dyDescent="0.3">
      <c r="A5264" t="s">
        <v>11361</v>
      </c>
      <c r="C5264" t="s">
        <v>11362</v>
      </c>
      <c r="D5264" t="s">
        <v>11363</v>
      </c>
      <c r="E5264" s="5">
        <v>46293</v>
      </c>
      <c r="F5264" t="s">
        <v>204</v>
      </c>
      <c r="G5264" t="s">
        <v>220</v>
      </c>
      <c r="H5264">
        <v>9298</v>
      </c>
      <c r="I5264">
        <v>27.89</v>
      </c>
      <c r="J5264">
        <v>5.0199999999999996</v>
      </c>
      <c r="K5264">
        <v>9265.09</v>
      </c>
      <c r="L5264" s="5">
        <v>46295</v>
      </c>
      <c r="M5264" t="s">
        <v>11038</v>
      </c>
      <c r="N5264" t="s">
        <v>207</v>
      </c>
      <c r="O5264" t="s">
        <v>11363</v>
      </c>
      <c r="P5264" t="s">
        <v>208</v>
      </c>
      <c r="Q5264" t="s">
        <v>209</v>
      </c>
    </row>
    <row r="5265" spans="1:17" x14ac:dyDescent="0.3">
      <c r="A5265" t="s">
        <v>11364</v>
      </c>
      <c r="C5265" t="s">
        <v>11365</v>
      </c>
      <c r="D5265" t="s">
        <v>11365</v>
      </c>
      <c r="E5265" s="5">
        <v>46293</v>
      </c>
      <c r="F5265" t="s">
        <v>204</v>
      </c>
      <c r="G5265" t="s">
        <v>220</v>
      </c>
      <c r="H5265">
        <v>4498</v>
      </c>
      <c r="I5265">
        <v>13.49</v>
      </c>
      <c r="J5265">
        <v>2.4300000000000002</v>
      </c>
      <c r="K5265">
        <v>4482.08</v>
      </c>
      <c r="L5265" s="5">
        <v>46295</v>
      </c>
      <c r="M5265" t="s">
        <v>11038</v>
      </c>
      <c r="N5265" t="s">
        <v>207</v>
      </c>
      <c r="O5265" t="s">
        <v>11365</v>
      </c>
      <c r="P5265" t="s">
        <v>208</v>
      </c>
      <c r="Q5265" t="s">
        <v>209</v>
      </c>
    </row>
    <row r="5266" spans="1:17" x14ac:dyDescent="0.3">
      <c r="A5266" t="s">
        <v>11366</v>
      </c>
      <c r="C5266" t="s">
        <v>11367</v>
      </c>
      <c r="D5266" t="s">
        <v>11367</v>
      </c>
      <c r="E5266" s="5">
        <v>46293</v>
      </c>
      <c r="F5266" t="s">
        <v>204</v>
      </c>
      <c r="G5266" t="s">
        <v>220</v>
      </c>
      <c r="H5266">
        <v>3499</v>
      </c>
      <c r="I5266">
        <v>10.5</v>
      </c>
      <c r="J5266">
        <v>1.89</v>
      </c>
      <c r="K5266">
        <v>3486.61</v>
      </c>
      <c r="L5266" s="5">
        <v>46295</v>
      </c>
      <c r="M5266" t="s">
        <v>11038</v>
      </c>
      <c r="N5266" t="s">
        <v>207</v>
      </c>
      <c r="O5266" t="s">
        <v>11367</v>
      </c>
      <c r="P5266" t="s">
        <v>208</v>
      </c>
      <c r="Q5266" t="s">
        <v>209</v>
      </c>
    </row>
    <row r="5267" spans="1:17" x14ac:dyDescent="0.3">
      <c r="A5267" t="s">
        <v>11368</v>
      </c>
      <c r="C5267" t="s">
        <v>11369</v>
      </c>
      <c r="D5267" t="s">
        <v>11369</v>
      </c>
      <c r="E5267" s="5">
        <v>46293</v>
      </c>
      <c r="F5267" t="s">
        <v>204</v>
      </c>
      <c r="G5267" t="s">
        <v>213</v>
      </c>
      <c r="H5267">
        <v>2499</v>
      </c>
      <c r="I5267">
        <v>39.979999999999997</v>
      </c>
      <c r="J5267">
        <v>7.2</v>
      </c>
      <c r="K5267">
        <v>2451.8200000000002</v>
      </c>
      <c r="L5267" s="5">
        <v>46295</v>
      </c>
      <c r="M5267" t="s">
        <v>11038</v>
      </c>
      <c r="N5267" t="s">
        <v>207</v>
      </c>
      <c r="O5267" t="s">
        <v>11369</v>
      </c>
      <c r="P5267" t="s">
        <v>208</v>
      </c>
      <c r="Q5267" t="s">
        <v>209</v>
      </c>
    </row>
    <row r="5268" spans="1:17" x14ac:dyDescent="0.3">
      <c r="A5268" t="s">
        <v>11370</v>
      </c>
      <c r="C5268" t="s">
        <v>11371</v>
      </c>
      <c r="D5268" t="s">
        <v>11371</v>
      </c>
      <c r="E5268" s="5">
        <v>46293</v>
      </c>
      <c r="F5268" t="s">
        <v>204</v>
      </c>
      <c r="G5268" t="s">
        <v>213</v>
      </c>
      <c r="H5268">
        <v>2098</v>
      </c>
      <c r="I5268">
        <v>33.57</v>
      </c>
      <c r="J5268">
        <v>6.04</v>
      </c>
      <c r="K5268">
        <v>2058.39</v>
      </c>
      <c r="L5268" s="5">
        <v>46295</v>
      </c>
      <c r="M5268" t="s">
        <v>11038</v>
      </c>
      <c r="N5268" t="s">
        <v>207</v>
      </c>
      <c r="O5268" t="s">
        <v>11371</v>
      </c>
      <c r="P5268" t="s">
        <v>208</v>
      </c>
      <c r="Q5268" t="s">
        <v>209</v>
      </c>
    </row>
    <row r="5269" spans="1:17" x14ac:dyDescent="0.3">
      <c r="A5269" t="s">
        <v>11372</v>
      </c>
      <c r="C5269" t="s">
        <v>11373</v>
      </c>
      <c r="D5269" t="s">
        <v>11373</v>
      </c>
      <c r="E5269" s="5">
        <v>46293</v>
      </c>
      <c r="F5269" t="s">
        <v>204</v>
      </c>
      <c r="G5269" t="s">
        <v>213</v>
      </c>
      <c r="H5269">
        <v>10997</v>
      </c>
      <c r="I5269">
        <v>175.95</v>
      </c>
      <c r="J5269">
        <v>31.67</v>
      </c>
      <c r="K5269">
        <v>10789.38</v>
      </c>
      <c r="L5269" s="5">
        <v>46295</v>
      </c>
      <c r="M5269" t="s">
        <v>11038</v>
      </c>
      <c r="N5269" t="s">
        <v>207</v>
      </c>
      <c r="O5269" t="s">
        <v>11373</v>
      </c>
      <c r="P5269" t="s">
        <v>208</v>
      </c>
      <c r="Q5269" t="s">
        <v>209</v>
      </c>
    </row>
    <row r="5270" spans="1:17" x14ac:dyDescent="0.3">
      <c r="A5270" t="s">
        <v>11374</v>
      </c>
      <c r="C5270" t="s">
        <v>11375</v>
      </c>
      <c r="D5270" t="s">
        <v>11375</v>
      </c>
      <c r="E5270" s="5">
        <v>46293</v>
      </c>
      <c r="F5270" t="s">
        <v>204</v>
      </c>
      <c r="G5270" t="s">
        <v>220</v>
      </c>
      <c r="H5270">
        <v>1998</v>
      </c>
      <c r="I5270">
        <v>0</v>
      </c>
      <c r="J5270">
        <v>0</v>
      </c>
      <c r="K5270">
        <v>1998</v>
      </c>
      <c r="L5270" s="5">
        <v>46295</v>
      </c>
      <c r="M5270" t="s">
        <v>11038</v>
      </c>
      <c r="N5270" t="s">
        <v>207</v>
      </c>
      <c r="O5270" t="s">
        <v>11375</v>
      </c>
      <c r="P5270" t="s">
        <v>208</v>
      </c>
      <c r="Q5270" t="s">
        <v>209</v>
      </c>
    </row>
    <row r="5271" spans="1:17" x14ac:dyDescent="0.3">
      <c r="A5271" t="s">
        <v>11376</v>
      </c>
      <c r="C5271" t="s">
        <v>11377</v>
      </c>
      <c r="D5271" t="s">
        <v>11378</v>
      </c>
      <c r="E5271" s="5">
        <v>46293</v>
      </c>
      <c r="F5271" t="s">
        <v>204</v>
      </c>
      <c r="G5271" t="s">
        <v>205</v>
      </c>
      <c r="H5271">
        <v>7999</v>
      </c>
      <c r="I5271">
        <v>135.97999999999999</v>
      </c>
      <c r="J5271">
        <v>24.48</v>
      </c>
      <c r="K5271">
        <v>7838.54</v>
      </c>
      <c r="L5271" s="5">
        <v>46295</v>
      </c>
      <c r="M5271" t="s">
        <v>11038</v>
      </c>
      <c r="N5271" t="s">
        <v>207</v>
      </c>
      <c r="O5271" t="s">
        <v>11378</v>
      </c>
      <c r="P5271" t="s">
        <v>208</v>
      </c>
      <c r="Q5271" t="s">
        <v>209</v>
      </c>
    </row>
    <row r="5272" spans="1:17" x14ac:dyDescent="0.3">
      <c r="A5272" t="s">
        <v>11379</v>
      </c>
      <c r="C5272" t="s">
        <v>11380</v>
      </c>
      <c r="D5272" t="s">
        <v>11380</v>
      </c>
      <c r="E5272" s="5">
        <v>46293</v>
      </c>
      <c r="F5272" t="s">
        <v>204</v>
      </c>
      <c r="G5272" t="s">
        <v>213</v>
      </c>
      <c r="H5272">
        <v>4498</v>
      </c>
      <c r="I5272">
        <v>71.97</v>
      </c>
      <c r="J5272">
        <v>12.95</v>
      </c>
      <c r="K5272">
        <v>4413.08</v>
      </c>
      <c r="L5272" s="5">
        <v>46295</v>
      </c>
      <c r="M5272" t="s">
        <v>11038</v>
      </c>
      <c r="N5272" t="s">
        <v>207</v>
      </c>
      <c r="O5272" t="s">
        <v>11380</v>
      </c>
      <c r="P5272" t="s">
        <v>208</v>
      </c>
      <c r="Q5272" t="s">
        <v>209</v>
      </c>
    </row>
    <row r="5273" spans="1:17" x14ac:dyDescent="0.3">
      <c r="A5273" t="s">
        <v>11381</v>
      </c>
      <c r="C5273" t="s">
        <v>11382</v>
      </c>
      <c r="D5273" t="s">
        <v>11382</v>
      </c>
      <c r="E5273" s="5">
        <v>46293</v>
      </c>
      <c r="F5273" t="s">
        <v>204</v>
      </c>
      <c r="G5273" t="s">
        <v>213</v>
      </c>
      <c r="H5273">
        <v>1799</v>
      </c>
      <c r="I5273">
        <v>32.380000000000003</v>
      </c>
      <c r="J5273">
        <v>5.83</v>
      </c>
      <c r="K5273">
        <v>1760.79</v>
      </c>
      <c r="L5273" s="5">
        <v>46295</v>
      </c>
      <c r="M5273" t="s">
        <v>11038</v>
      </c>
      <c r="N5273" t="s">
        <v>207</v>
      </c>
      <c r="O5273" t="s">
        <v>11382</v>
      </c>
      <c r="P5273" t="s">
        <v>208</v>
      </c>
      <c r="Q5273" t="s">
        <v>209</v>
      </c>
    </row>
    <row r="5274" spans="1:17" x14ac:dyDescent="0.3">
      <c r="A5274" t="s">
        <v>11383</v>
      </c>
      <c r="C5274" t="s">
        <v>11384</v>
      </c>
      <c r="D5274" t="s">
        <v>11385</v>
      </c>
      <c r="E5274" s="5">
        <v>46293</v>
      </c>
      <c r="F5274" t="s">
        <v>204</v>
      </c>
      <c r="G5274" t="s">
        <v>255</v>
      </c>
      <c r="H5274">
        <v>3499</v>
      </c>
      <c r="I5274">
        <v>41.99</v>
      </c>
      <c r="J5274">
        <v>7.56</v>
      </c>
      <c r="K5274">
        <v>3449.45</v>
      </c>
      <c r="L5274" s="5">
        <v>46295</v>
      </c>
      <c r="M5274" t="s">
        <v>11038</v>
      </c>
      <c r="N5274" t="s">
        <v>207</v>
      </c>
      <c r="O5274" t="s">
        <v>11385</v>
      </c>
      <c r="P5274" t="s">
        <v>208</v>
      </c>
      <c r="Q5274" t="s">
        <v>209</v>
      </c>
    </row>
    <row r="5275" spans="1:17" x14ac:dyDescent="0.3">
      <c r="A5275" t="s">
        <v>11386</v>
      </c>
      <c r="C5275" t="s">
        <v>11387</v>
      </c>
      <c r="D5275" t="s">
        <v>11387</v>
      </c>
      <c r="E5275" s="5">
        <v>46293</v>
      </c>
      <c r="F5275" t="s">
        <v>204</v>
      </c>
      <c r="G5275" t="s">
        <v>205</v>
      </c>
      <c r="H5275">
        <v>8498</v>
      </c>
      <c r="I5275">
        <v>144.47</v>
      </c>
      <c r="J5275">
        <v>26</v>
      </c>
      <c r="K5275">
        <v>8327.5300000000007</v>
      </c>
      <c r="L5275" s="5">
        <v>46295</v>
      </c>
      <c r="M5275" t="s">
        <v>11038</v>
      </c>
      <c r="N5275" t="s">
        <v>207</v>
      </c>
      <c r="O5275" t="s">
        <v>11387</v>
      </c>
      <c r="P5275" t="s">
        <v>208</v>
      </c>
      <c r="Q5275" t="s">
        <v>209</v>
      </c>
    </row>
    <row r="5276" spans="1:17" x14ac:dyDescent="0.3">
      <c r="A5276" t="s">
        <v>11388</v>
      </c>
      <c r="C5276" t="s">
        <v>11389</v>
      </c>
      <c r="D5276" t="s">
        <v>11389</v>
      </c>
      <c r="E5276" s="5">
        <v>46293</v>
      </c>
      <c r="F5276" t="s">
        <v>204</v>
      </c>
      <c r="G5276" t="s">
        <v>220</v>
      </c>
      <c r="H5276">
        <v>8798</v>
      </c>
      <c r="I5276">
        <v>26.39</v>
      </c>
      <c r="J5276">
        <v>4.75</v>
      </c>
      <c r="K5276">
        <v>8766.86</v>
      </c>
      <c r="L5276" s="5">
        <v>46295</v>
      </c>
      <c r="M5276" t="s">
        <v>11038</v>
      </c>
      <c r="N5276" t="s">
        <v>207</v>
      </c>
      <c r="O5276" t="s">
        <v>11389</v>
      </c>
      <c r="P5276" t="s">
        <v>208</v>
      </c>
      <c r="Q5276" t="s">
        <v>209</v>
      </c>
    </row>
    <row r="5277" spans="1:17" x14ac:dyDescent="0.3">
      <c r="A5277" t="s">
        <v>11390</v>
      </c>
      <c r="C5277" t="s">
        <v>11391</v>
      </c>
      <c r="D5277" t="s">
        <v>11391</v>
      </c>
      <c r="E5277" s="5">
        <v>46293</v>
      </c>
      <c r="F5277" t="s">
        <v>204</v>
      </c>
      <c r="G5277" t="s">
        <v>255</v>
      </c>
      <c r="H5277">
        <v>3798</v>
      </c>
      <c r="I5277">
        <v>45.58</v>
      </c>
      <c r="J5277">
        <v>8.1999999999999993</v>
      </c>
      <c r="K5277">
        <v>3744.22</v>
      </c>
      <c r="L5277" s="5">
        <v>46295</v>
      </c>
      <c r="M5277" t="s">
        <v>11038</v>
      </c>
      <c r="N5277" t="s">
        <v>207</v>
      </c>
      <c r="O5277" t="s">
        <v>11391</v>
      </c>
      <c r="P5277" t="s">
        <v>208</v>
      </c>
      <c r="Q5277" t="s">
        <v>209</v>
      </c>
    </row>
    <row r="5278" spans="1:17" x14ac:dyDescent="0.3">
      <c r="A5278" t="s">
        <v>11392</v>
      </c>
      <c r="C5278" t="s">
        <v>11393</v>
      </c>
      <c r="D5278" t="s">
        <v>11393</v>
      </c>
      <c r="E5278" s="5">
        <v>46293</v>
      </c>
      <c r="F5278" t="s">
        <v>204</v>
      </c>
      <c r="G5278" t="s">
        <v>220</v>
      </c>
      <c r="H5278">
        <v>2499</v>
      </c>
      <c r="I5278">
        <v>7.5</v>
      </c>
      <c r="J5278">
        <v>1.35</v>
      </c>
      <c r="K5278">
        <v>2490.15</v>
      </c>
      <c r="L5278" s="5">
        <v>46295</v>
      </c>
      <c r="M5278" t="s">
        <v>11038</v>
      </c>
      <c r="N5278" t="s">
        <v>207</v>
      </c>
      <c r="O5278" t="s">
        <v>11393</v>
      </c>
      <c r="P5278" t="s">
        <v>208</v>
      </c>
      <c r="Q5278" t="s">
        <v>209</v>
      </c>
    </row>
    <row r="5279" spans="1:17" x14ac:dyDescent="0.3">
      <c r="A5279" t="s">
        <v>11394</v>
      </c>
      <c r="C5279" t="s">
        <v>11395</v>
      </c>
      <c r="D5279" t="s">
        <v>11396</v>
      </c>
      <c r="E5279" s="5">
        <v>46293</v>
      </c>
      <c r="F5279" t="s">
        <v>204</v>
      </c>
      <c r="G5279" t="s">
        <v>220</v>
      </c>
      <c r="H5279">
        <v>1647</v>
      </c>
      <c r="I5279">
        <v>0</v>
      </c>
      <c r="J5279">
        <v>0</v>
      </c>
      <c r="K5279">
        <v>1647</v>
      </c>
      <c r="L5279" s="5">
        <v>46295</v>
      </c>
      <c r="M5279" t="s">
        <v>11038</v>
      </c>
      <c r="N5279" t="s">
        <v>207</v>
      </c>
      <c r="O5279" t="s">
        <v>11396</v>
      </c>
      <c r="P5279" t="s">
        <v>208</v>
      </c>
      <c r="Q5279" t="s">
        <v>209</v>
      </c>
    </row>
    <row r="5280" spans="1:17" x14ac:dyDescent="0.3">
      <c r="A5280" t="s">
        <v>11397</v>
      </c>
      <c r="C5280" t="s">
        <v>11398</v>
      </c>
      <c r="D5280" t="s">
        <v>11398</v>
      </c>
      <c r="E5280" s="5">
        <v>46293</v>
      </c>
      <c r="F5280" t="s">
        <v>204</v>
      </c>
      <c r="G5280" t="s">
        <v>220</v>
      </c>
      <c r="H5280">
        <v>5598</v>
      </c>
      <c r="I5280">
        <v>16.79</v>
      </c>
      <c r="J5280">
        <v>3.02</v>
      </c>
      <c r="K5280">
        <v>5578.19</v>
      </c>
      <c r="L5280" s="5">
        <v>46295</v>
      </c>
      <c r="M5280" t="s">
        <v>11038</v>
      </c>
      <c r="N5280" t="s">
        <v>207</v>
      </c>
      <c r="O5280" t="s">
        <v>11398</v>
      </c>
      <c r="P5280" t="s">
        <v>208</v>
      </c>
      <c r="Q5280" t="s">
        <v>209</v>
      </c>
    </row>
    <row r="5281" spans="1:17" x14ac:dyDescent="0.3">
      <c r="A5281" t="s">
        <v>11399</v>
      </c>
      <c r="C5281" t="s">
        <v>11400</v>
      </c>
      <c r="D5281" t="s">
        <v>11400</v>
      </c>
      <c r="E5281" s="5">
        <v>46293</v>
      </c>
      <c r="F5281" t="s">
        <v>204</v>
      </c>
      <c r="G5281" t="s">
        <v>213</v>
      </c>
      <c r="H5281">
        <v>4999</v>
      </c>
      <c r="I5281">
        <v>79.98</v>
      </c>
      <c r="J5281">
        <v>14.4</v>
      </c>
      <c r="K5281">
        <v>4904.62</v>
      </c>
      <c r="L5281" s="5">
        <v>46295</v>
      </c>
      <c r="M5281" t="s">
        <v>11038</v>
      </c>
      <c r="N5281" t="s">
        <v>207</v>
      </c>
      <c r="O5281" t="s">
        <v>11400</v>
      </c>
      <c r="P5281" t="s">
        <v>208</v>
      </c>
      <c r="Q5281" t="s">
        <v>209</v>
      </c>
    </row>
    <row r="5282" spans="1:17" x14ac:dyDescent="0.3">
      <c r="A5282" t="s">
        <v>11401</v>
      </c>
      <c r="C5282" t="s">
        <v>11402</v>
      </c>
      <c r="D5282" t="s">
        <v>11402</v>
      </c>
      <c r="E5282" s="5">
        <v>46293</v>
      </c>
      <c r="F5282" t="s">
        <v>204</v>
      </c>
      <c r="G5282" t="s">
        <v>220</v>
      </c>
      <c r="H5282">
        <v>1799</v>
      </c>
      <c r="I5282">
        <v>0</v>
      </c>
      <c r="J5282">
        <v>0</v>
      </c>
      <c r="K5282">
        <v>1799</v>
      </c>
      <c r="L5282" s="5">
        <v>46295</v>
      </c>
      <c r="M5282" t="s">
        <v>11038</v>
      </c>
      <c r="N5282" t="s">
        <v>207</v>
      </c>
      <c r="O5282" t="s">
        <v>11402</v>
      </c>
      <c r="P5282" t="s">
        <v>208</v>
      </c>
      <c r="Q5282" t="s">
        <v>209</v>
      </c>
    </row>
    <row r="5283" spans="1:17" x14ac:dyDescent="0.3">
      <c r="A5283" t="s">
        <v>11403</v>
      </c>
      <c r="C5283" t="s">
        <v>11404</v>
      </c>
      <c r="D5283" t="s">
        <v>11405</v>
      </c>
      <c r="E5283" s="5">
        <v>46293</v>
      </c>
      <c r="F5283" t="s">
        <v>204</v>
      </c>
      <c r="G5283" t="s">
        <v>255</v>
      </c>
      <c r="H5283">
        <v>1799</v>
      </c>
      <c r="I5283">
        <v>26.99</v>
      </c>
      <c r="J5283">
        <v>4.8600000000000003</v>
      </c>
      <c r="K5283">
        <v>1767.15</v>
      </c>
      <c r="L5283" s="5">
        <v>46295</v>
      </c>
      <c r="M5283" t="s">
        <v>11038</v>
      </c>
      <c r="N5283" t="s">
        <v>207</v>
      </c>
      <c r="O5283" t="s">
        <v>11405</v>
      </c>
      <c r="P5283" t="s">
        <v>208</v>
      </c>
      <c r="Q5283" t="s">
        <v>209</v>
      </c>
    </row>
    <row r="5284" spans="1:17" x14ac:dyDescent="0.3">
      <c r="A5284" t="s">
        <v>11406</v>
      </c>
      <c r="C5284" t="s">
        <v>11407</v>
      </c>
      <c r="D5284" t="s">
        <v>11407</v>
      </c>
      <c r="E5284" s="5">
        <v>46293</v>
      </c>
      <c r="F5284" t="s">
        <v>204</v>
      </c>
      <c r="G5284" t="s">
        <v>220</v>
      </c>
      <c r="H5284">
        <v>799</v>
      </c>
      <c r="I5284">
        <v>0</v>
      </c>
      <c r="J5284">
        <v>0</v>
      </c>
      <c r="K5284">
        <v>799</v>
      </c>
      <c r="L5284" s="5">
        <v>46295</v>
      </c>
      <c r="M5284" t="s">
        <v>11038</v>
      </c>
      <c r="N5284" t="s">
        <v>207</v>
      </c>
      <c r="O5284" t="s">
        <v>11407</v>
      </c>
      <c r="P5284" t="s">
        <v>208</v>
      </c>
      <c r="Q5284" t="s">
        <v>209</v>
      </c>
    </row>
    <row r="5285" spans="1:17" x14ac:dyDescent="0.3">
      <c r="A5285" t="s">
        <v>11408</v>
      </c>
      <c r="C5285" t="s">
        <v>11409</v>
      </c>
      <c r="D5285" t="s">
        <v>11409</v>
      </c>
      <c r="E5285" s="5">
        <v>46293</v>
      </c>
      <c r="F5285" t="s">
        <v>204</v>
      </c>
      <c r="G5285" t="s">
        <v>213</v>
      </c>
      <c r="H5285">
        <v>1499</v>
      </c>
      <c r="I5285">
        <v>26.98</v>
      </c>
      <c r="J5285">
        <v>4.8600000000000003</v>
      </c>
      <c r="K5285">
        <v>1467.16</v>
      </c>
      <c r="L5285" s="5">
        <v>46295</v>
      </c>
      <c r="M5285" t="s">
        <v>11038</v>
      </c>
      <c r="N5285" t="s">
        <v>207</v>
      </c>
      <c r="O5285" t="s">
        <v>11409</v>
      </c>
      <c r="P5285" t="s">
        <v>208</v>
      </c>
      <c r="Q5285" t="s">
        <v>209</v>
      </c>
    </row>
    <row r="5286" spans="1:17" x14ac:dyDescent="0.3">
      <c r="A5286" t="s">
        <v>11410</v>
      </c>
      <c r="C5286" t="s">
        <v>11411</v>
      </c>
      <c r="D5286" t="s">
        <v>11412</v>
      </c>
      <c r="E5286" s="5">
        <v>46293</v>
      </c>
      <c r="F5286" t="s">
        <v>204</v>
      </c>
      <c r="G5286" t="s">
        <v>213</v>
      </c>
      <c r="H5286">
        <v>349</v>
      </c>
      <c r="I5286">
        <v>6.28</v>
      </c>
      <c r="J5286">
        <v>1.1299999999999999</v>
      </c>
      <c r="K5286">
        <v>341.59</v>
      </c>
      <c r="L5286" s="5">
        <v>46295</v>
      </c>
      <c r="M5286" t="s">
        <v>11038</v>
      </c>
      <c r="N5286" t="s">
        <v>207</v>
      </c>
      <c r="O5286" t="s">
        <v>11412</v>
      </c>
      <c r="P5286" t="s">
        <v>208</v>
      </c>
      <c r="Q5286" t="s">
        <v>209</v>
      </c>
    </row>
    <row r="5287" spans="1:17" x14ac:dyDescent="0.3">
      <c r="A5287" t="s">
        <v>11413</v>
      </c>
      <c r="C5287" t="s">
        <v>11414</v>
      </c>
      <c r="D5287" t="s">
        <v>11414</v>
      </c>
      <c r="E5287" s="5">
        <v>46293</v>
      </c>
      <c r="F5287" t="s">
        <v>204</v>
      </c>
      <c r="G5287" t="s">
        <v>213</v>
      </c>
      <c r="H5287">
        <v>1197</v>
      </c>
      <c r="I5287">
        <v>21.55</v>
      </c>
      <c r="J5287">
        <v>3.88</v>
      </c>
      <c r="K5287">
        <v>1171.57</v>
      </c>
      <c r="L5287" s="5">
        <v>46295</v>
      </c>
      <c r="M5287" t="s">
        <v>11038</v>
      </c>
      <c r="N5287" t="s">
        <v>207</v>
      </c>
      <c r="O5287" t="s">
        <v>11414</v>
      </c>
      <c r="P5287" t="s">
        <v>208</v>
      </c>
      <c r="Q5287" t="s">
        <v>209</v>
      </c>
    </row>
    <row r="5288" spans="1:17" x14ac:dyDescent="0.3">
      <c r="A5288" t="s">
        <v>11415</v>
      </c>
      <c r="C5288" t="s">
        <v>11416</v>
      </c>
      <c r="D5288" t="s">
        <v>11416</v>
      </c>
      <c r="E5288" s="5">
        <v>46293</v>
      </c>
      <c r="F5288" t="s">
        <v>204</v>
      </c>
      <c r="G5288" t="s">
        <v>205</v>
      </c>
      <c r="H5288">
        <v>3499</v>
      </c>
      <c r="I5288">
        <v>59.48</v>
      </c>
      <c r="J5288">
        <v>10.71</v>
      </c>
      <c r="K5288">
        <v>3428.81</v>
      </c>
      <c r="L5288" s="5">
        <v>46295</v>
      </c>
      <c r="M5288" t="s">
        <v>11038</v>
      </c>
      <c r="N5288" t="s">
        <v>207</v>
      </c>
      <c r="O5288" t="s">
        <v>11416</v>
      </c>
      <c r="P5288" t="s">
        <v>208</v>
      </c>
      <c r="Q5288" t="s">
        <v>209</v>
      </c>
    </row>
    <row r="5289" spans="1:17" x14ac:dyDescent="0.3">
      <c r="A5289" t="s">
        <v>11417</v>
      </c>
      <c r="C5289" t="s">
        <v>11418</v>
      </c>
      <c r="D5289" t="s">
        <v>11418</v>
      </c>
      <c r="E5289" s="5">
        <v>46293</v>
      </c>
      <c r="F5289" t="s">
        <v>204</v>
      </c>
      <c r="G5289" t="s">
        <v>220</v>
      </c>
      <c r="H5289">
        <v>6498</v>
      </c>
      <c r="I5289">
        <v>19.489999999999998</v>
      </c>
      <c r="J5289">
        <v>3.51</v>
      </c>
      <c r="K5289">
        <v>6475</v>
      </c>
      <c r="L5289" s="5">
        <v>46295</v>
      </c>
      <c r="M5289" t="s">
        <v>11038</v>
      </c>
      <c r="N5289" t="s">
        <v>207</v>
      </c>
      <c r="O5289" t="s">
        <v>11418</v>
      </c>
      <c r="P5289" t="s">
        <v>208</v>
      </c>
      <c r="Q5289" t="s">
        <v>209</v>
      </c>
    </row>
    <row r="5290" spans="1:17" x14ac:dyDescent="0.3">
      <c r="A5290" t="s">
        <v>11419</v>
      </c>
      <c r="C5290" t="s">
        <v>11420</v>
      </c>
      <c r="D5290" t="s">
        <v>11420</v>
      </c>
      <c r="E5290" s="5">
        <v>46293</v>
      </c>
      <c r="F5290" t="s">
        <v>204</v>
      </c>
      <c r="G5290" t="s">
        <v>213</v>
      </c>
      <c r="H5290">
        <v>3348</v>
      </c>
      <c r="I5290">
        <v>53.57</v>
      </c>
      <c r="J5290">
        <v>9.64</v>
      </c>
      <c r="K5290">
        <v>3284.79</v>
      </c>
      <c r="L5290" s="5">
        <v>46295</v>
      </c>
      <c r="M5290" t="s">
        <v>11038</v>
      </c>
      <c r="N5290" t="s">
        <v>207</v>
      </c>
      <c r="O5290" t="s">
        <v>11420</v>
      </c>
      <c r="P5290" t="s">
        <v>208</v>
      </c>
      <c r="Q5290" t="s">
        <v>209</v>
      </c>
    </row>
    <row r="5291" spans="1:17" x14ac:dyDescent="0.3">
      <c r="A5291" t="s">
        <v>11421</v>
      </c>
      <c r="C5291" t="s">
        <v>11422</v>
      </c>
      <c r="D5291" t="s">
        <v>11422</v>
      </c>
      <c r="E5291" s="5">
        <v>46293</v>
      </c>
      <c r="F5291" t="s">
        <v>204</v>
      </c>
      <c r="G5291" t="s">
        <v>213</v>
      </c>
      <c r="H5291">
        <v>4999</v>
      </c>
      <c r="I5291">
        <v>79.98</v>
      </c>
      <c r="J5291">
        <v>14.4</v>
      </c>
      <c r="K5291">
        <v>4904.62</v>
      </c>
      <c r="L5291" s="5">
        <v>46295</v>
      </c>
      <c r="M5291" t="s">
        <v>11038</v>
      </c>
      <c r="N5291" t="s">
        <v>207</v>
      </c>
      <c r="O5291" t="s">
        <v>11422</v>
      </c>
      <c r="P5291" t="s">
        <v>208</v>
      </c>
      <c r="Q5291" t="s">
        <v>209</v>
      </c>
    </row>
    <row r="5292" spans="1:17" x14ac:dyDescent="0.3">
      <c r="A5292" t="s">
        <v>11423</v>
      </c>
      <c r="C5292" t="s">
        <v>11424</v>
      </c>
      <c r="D5292" t="s">
        <v>11424</v>
      </c>
      <c r="E5292" s="5">
        <v>46293</v>
      </c>
      <c r="F5292" t="s">
        <v>204</v>
      </c>
      <c r="G5292" t="s">
        <v>213</v>
      </c>
      <c r="H5292">
        <v>2999</v>
      </c>
      <c r="I5292">
        <v>47.98</v>
      </c>
      <c r="J5292">
        <v>8.64</v>
      </c>
      <c r="K5292">
        <v>2942.38</v>
      </c>
      <c r="L5292" s="5">
        <v>46295</v>
      </c>
      <c r="M5292" t="s">
        <v>11038</v>
      </c>
      <c r="N5292" t="s">
        <v>207</v>
      </c>
      <c r="O5292" t="s">
        <v>11424</v>
      </c>
      <c r="P5292" t="s">
        <v>208</v>
      </c>
      <c r="Q5292" t="s">
        <v>209</v>
      </c>
    </row>
    <row r="5293" spans="1:17" x14ac:dyDescent="0.3">
      <c r="A5293" t="s">
        <v>11425</v>
      </c>
      <c r="C5293" t="s">
        <v>11426</v>
      </c>
      <c r="D5293" t="s">
        <v>11426</v>
      </c>
      <c r="E5293" s="5">
        <v>46293</v>
      </c>
      <c r="F5293" t="s">
        <v>204</v>
      </c>
      <c r="G5293" t="s">
        <v>220</v>
      </c>
      <c r="H5293">
        <v>5998</v>
      </c>
      <c r="I5293">
        <v>17.989999999999998</v>
      </c>
      <c r="J5293">
        <v>3.24</v>
      </c>
      <c r="K5293">
        <v>5976.77</v>
      </c>
      <c r="L5293" s="5">
        <v>46295</v>
      </c>
      <c r="M5293" t="s">
        <v>11038</v>
      </c>
      <c r="N5293" t="s">
        <v>207</v>
      </c>
      <c r="O5293" t="s">
        <v>11426</v>
      </c>
      <c r="P5293" t="s">
        <v>208</v>
      </c>
      <c r="Q5293" t="s">
        <v>209</v>
      </c>
    </row>
    <row r="5294" spans="1:17" x14ac:dyDescent="0.3">
      <c r="A5294" t="s">
        <v>11427</v>
      </c>
      <c r="C5294" t="s">
        <v>11428</v>
      </c>
      <c r="D5294" t="s">
        <v>11428</v>
      </c>
      <c r="E5294" s="5">
        <v>46293</v>
      </c>
      <c r="F5294" t="s">
        <v>204</v>
      </c>
      <c r="G5294" t="s">
        <v>220</v>
      </c>
      <c r="H5294">
        <v>7999</v>
      </c>
      <c r="I5294">
        <v>24</v>
      </c>
      <c r="J5294">
        <v>4.32</v>
      </c>
      <c r="K5294">
        <v>7970.68</v>
      </c>
      <c r="L5294" s="5">
        <v>46295</v>
      </c>
      <c r="M5294" t="s">
        <v>11038</v>
      </c>
      <c r="N5294" t="s">
        <v>207</v>
      </c>
      <c r="O5294" t="s">
        <v>11428</v>
      </c>
      <c r="P5294" t="s">
        <v>208</v>
      </c>
      <c r="Q5294" t="s">
        <v>209</v>
      </c>
    </row>
    <row r="5295" spans="1:17" x14ac:dyDescent="0.3">
      <c r="A5295" t="s">
        <v>11429</v>
      </c>
      <c r="C5295" t="s">
        <v>11430</v>
      </c>
      <c r="D5295" t="s">
        <v>11430</v>
      </c>
      <c r="E5295" s="5">
        <v>46293</v>
      </c>
      <c r="F5295" t="s">
        <v>204</v>
      </c>
      <c r="G5295" t="s">
        <v>255</v>
      </c>
      <c r="H5295">
        <v>4999</v>
      </c>
      <c r="I5295">
        <v>59.99</v>
      </c>
      <c r="J5295">
        <v>10.8</v>
      </c>
      <c r="K5295">
        <v>4928.21</v>
      </c>
      <c r="L5295" s="5">
        <v>46295</v>
      </c>
      <c r="M5295" t="s">
        <v>11038</v>
      </c>
      <c r="N5295" t="s">
        <v>207</v>
      </c>
      <c r="O5295" t="s">
        <v>11430</v>
      </c>
      <c r="P5295" t="s">
        <v>208</v>
      </c>
      <c r="Q5295" t="s">
        <v>209</v>
      </c>
    </row>
    <row r="5296" spans="1:17" x14ac:dyDescent="0.3">
      <c r="A5296" t="s">
        <v>11431</v>
      </c>
      <c r="C5296" t="s">
        <v>11432</v>
      </c>
      <c r="D5296" t="s">
        <v>11433</v>
      </c>
      <c r="E5296" s="5">
        <v>46293</v>
      </c>
      <c r="F5296" t="s">
        <v>204</v>
      </c>
      <c r="G5296" t="s">
        <v>220</v>
      </c>
      <c r="H5296">
        <v>2999</v>
      </c>
      <c r="I5296">
        <v>9</v>
      </c>
      <c r="J5296">
        <v>1.62</v>
      </c>
      <c r="K5296">
        <v>2988.38</v>
      </c>
      <c r="L5296" s="5">
        <v>46295</v>
      </c>
      <c r="M5296" t="s">
        <v>11038</v>
      </c>
      <c r="N5296" t="s">
        <v>207</v>
      </c>
      <c r="O5296" t="s">
        <v>11433</v>
      </c>
      <c r="P5296" t="s">
        <v>208</v>
      </c>
      <c r="Q5296" t="s">
        <v>209</v>
      </c>
    </row>
    <row r="5297" spans="1:17" x14ac:dyDescent="0.3">
      <c r="A5297" t="s">
        <v>11434</v>
      </c>
      <c r="C5297" t="s">
        <v>11435</v>
      </c>
      <c r="D5297" t="s">
        <v>11435</v>
      </c>
      <c r="E5297" s="5">
        <v>46293</v>
      </c>
      <c r="F5297" t="s">
        <v>204</v>
      </c>
      <c r="G5297" t="s">
        <v>220</v>
      </c>
      <c r="H5297">
        <v>349</v>
      </c>
      <c r="I5297">
        <v>0</v>
      </c>
      <c r="J5297">
        <v>0</v>
      </c>
      <c r="K5297">
        <v>349</v>
      </c>
      <c r="L5297" s="5">
        <v>46295</v>
      </c>
      <c r="M5297" t="s">
        <v>11038</v>
      </c>
      <c r="N5297" t="s">
        <v>207</v>
      </c>
      <c r="O5297" t="s">
        <v>11435</v>
      </c>
      <c r="P5297" t="s">
        <v>208</v>
      </c>
      <c r="Q5297" t="s">
        <v>209</v>
      </c>
    </row>
    <row r="5298" spans="1:17" x14ac:dyDescent="0.3">
      <c r="A5298" t="s">
        <v>11436</v>
      </c>
      <c r="C5298" t="s">
        <v>11437</v>
      </c>
      <c r="D5298" t="s">
        <v>11438</v>
      </c>
      <c r="E5298" s="5">
        <v>46293</v>
      </c>
      <c r="F5298" t="s">
        <v>204</v>
      </c>
      <c r="G5298" t="s">
        <v>213</v>
      </c>
      <c r="H5298">
        <v>599</v>
      </c>
      <c r="I5298">
        <v>10.78</v>
      </c>
      <c r="J5298">
        <v>1.94</v>
      </c>
      <c r="K5298">
        <v>586.28</v>
      </c>
      <c r="L5298" s="5">
        <v>46295</v>
      </c>
      <c r="M5298" t="s">
        <v>11038</v>
      </c>
      <c r="N5298" t="s">
        <v>207</v>
      </c>
      <c r="O5298" t="s">
        <v>11438</v>
      </c>
      <c r="P5298" t="s">
        <v>208</v>
      </c>
      <c r="Q5298" t="s">
        <v>209</v>
      </c>
    </row>
    <row r="5299" spans="1:17" x14ac:dyDescent="0.3">
      <c r="A5299" t="s">
        <v>11439</v>
      </c>
      <c r="C5299" t="s">
        <v>11440</v>
      </c>
      <c r="D5299" t="s">
        <v>11440</v>
      </c>
      <c r="E5299" s="5">
        <v>46293</v>
      </c>
      <c r="F5299" t="s">
        <v>204</v>
      </c>
      <c r="G5299" t="s">
        <v>220</v>
      </c>
      <c r="H5299">
        <v>8798</v>
      </c>
      <c r="I5299">
        <v>26.39</v>
      </c>
      <c r="J5299">
        <v>4.75</v>
      </c>
      <c r="K5299">
        <v>8766.86</v>
      </c>
      <c r="L5299" s="5">
        <v>46295</v>
      </c>
      <c r="M5299" t="s">
        <v>11038</v>
      </c>
      <c r="N5299" t="s">
        <v>207</v>
      </c>
      <c r="O5299" t="s">
        <v>11440</v>
      </c>
      <c r="P5299" t="s">
        <v>208</v>
      </c>
      <c r="Q5299" t="s">
        <v>209</v>
      </c>
    </row>
    <row r="5300" spans="1:17" x14ac:dyDescent="0.3">
      <c r="A5300" t="s">
        <v>11441</v>
      </c>
      <c r="C5300" t="s">
        <v>11442</v>
      </c>
      <c r="D5300" t="s">
        <v>11442</v>
      </c>
      <c r="E5300" s="5">
        <v>46293</v>
      </c>
      <c r="F5300" t="s">
        <v>204</v>
      </c>
      <c r="G5300" t="s">
        <v>255</v>
      </c>
      <c r="H5300">
        <v>799</v>
      </c>
      <c r="I5300">
        <v>11.99</v>
      </c>
      <c r="J5300">
        <v>2.16</v>
      </c>
      <c r="K5300">
        <v>784.85</v>
      </c>
      <c r="L5300" s="5">
        <v>46295</v>
      </c>
      <c r="M5300" t="s">
        <v>11038</v>
      </c>
      <c r="N5300" t="s">
        <v>207</v>
      </c>
      <c r="O5300" t="s">
        <v>11442</v>
      </c>
      <c r="P5300" t="s">
        <v>208</v>
      </c>
      <c r="Q5300" t="s">
        <v>488</v>
      </c>
    </row>
    <row r="5301" spans="1:17" x14ac:dyDescent="0.3">
      <c r="A5301" t="s">
        <v>11443</v>
      </c>
      <c r="B5301" t="s">
        <v>9099</v>
      </c>
      <c r="E5301" s="5">
        <v>46293</v>
      </c>
      <c r="F5301" t="s">
        <v>921</v>
      </c>
      <c r="G5301" t="s">
        <v>220</v>
      </c>
      <c r="H5301">
        <v>1799</v>
      </c>
      <c r="I5301">
        <v>0</v>
      </c>
      <c r="J5301">
        <v>0</v>
      </c>
      <c r="K5301">
        <v>-1799</v>
      </c>
      <c r="L5301" s="5">
        <v>46295</v>
      </c>
      <c r="M5301" t="s">
        <v>11038</v>
      </c>
      <c r="N5301" t="s">
        <v>207</v>
      </c>
      <c r="O5301" t="s">
        <v>9100</v>
      </c>
      <c r="P5301" t="s">
        <v>208</v>
      </c>
    </row>
    <row r="5302" spans="1:17" x14ac:dyDescent="0.3">
      <c r="A5302" t="s">
        <v>11444</v>
      </c>
      <c r="B5302" t="s">
        <v>8725</v>
      </c>
      <c r="E5302" s="5">
        <v>46293</v>
      </c>
      <c r="F5302" t="s">
        <v>921</v>
      </c>
      <c r="G5302" t="s">
        <v>220</v>
      </c>
      <c r="H5302">
        <v>2298</v>
      </c>
      <c r="I5302">
        <v>0</v>
      </c>
      <c r="J5302">
        <v>0</v>
      </c>
      <c r="K5302">
        <v>-2298</v>
      </c>
      <c r="L5302" s="5">
        <v>46295</v>
      </c>
      <c r="M5302" t="s">
        <v>11038</v>
      </c>
      <c r="N5302" t="s">
        <v>207</v>
      </c>
      <c r="O5302" t="s">
        <v>8726</v>
      </c>
      <c r="P5302" t="s">
        <v>208</v>
      </c>
    </row>
    <row r="5303" spans="1:17" x14ac:dyDescent="0.3">
      <c r="A5303" t="s">
        <v>11445</v>
      </c>
      <c r="B5303" t="s">
        <v>9509</v>
      </c>
      <c r="E5303" s="5">
        <v>46293</v>
      </c>
      <c r="F5303" t="s">
        <v>921</v>
      </c>
      <c r="G5303" t="s">
        <v>220</v>
      </c>
      <c r="H5303">
        <v>3499</v>
      </c>
      <c r="I5303">
        <v>0</v>
      </c>
      <c r="J5303">
        <v>0</v>
      </c>
      <c r="K5303">
        <v>-3499</v>
      </c>
      <c r="L5303" s="5">
        <v>46295</v>
      </c>
      <c r="M5303" t="s">
        <v>11038</v>
      </c>
      <c r="N5303" t="s">
        <v>207</v>
      </c>
      <c r="O5303" t="s">
        <v>9510</v>
      </c>
      <c r="P5303" t="s">
        <v>208</v>
      </c>
    </row>
    <row r="5304" spans="1:17" x14ac:dyDescent="0.3">
      <c r="A5304" t="s">
        <v>11446</v>
      </c>
      <c r="B5304" t="s">
        <v>9319</v>
      </c>
      <c r="E5304" s="5">
        <v>46293</v>
      </c>
      <c r="F5304" t="s">
        <v>921</v>
      </c>
      <c r="G5304" t="s">
        <v>220</v>
      </c>
      <c r="H5304">
        <v>8298</v>
      </c>
      <c r="I5304">
        <v>0</v>
      </c>
      <c r="J5304">
        <v>0</v>
      </c>
      <c r="K5304">
        <v>-8298</v>
      </c>
      <c r="L5304" s="5">
        <v>46295</v>
      </c>
      <c r="M5304" t="s">
        <v>11038</v>
      </c>
      <c r="N5304" t="s">
        <v>207</v>
      </c>
      <c r="O5304" t="s">
        <v>9320</v>
      </c>
      <c r="P5304" t="s">
        <v>208</v>
      </c>
    </row>
    <row r="5305" spans="1:17" x14ac:dyDescent="0.3">
      <c r="A5305" t="s">
        <v>11447</v>
      </c>
      <c r="B5305" t="s">
        <v>10882</v>
      </c>
      <c r="E5305" s="5">
        <v>46293</v>
      </c>
      <c r="F5305" t="s">
        <v>921</v>
      </c>
      <c r="G5305" t="s">
        <v>255</v>
      </c>
      <c r="H5305">
        <v>3348</v>
      </c>
      <c r="I5305">
        <v>0</v>
      </c>
      <c r="J5305">
        <v>0</v>
      </c>
      <c r="K5305">
        <v>-3348</v>
      </c>
      <c r="L5305" s="5">
        <v>46295</v>
      </c>
      <c r="M5305" t="s">
        <v>11038</v>
      </c>
      <c r="N5305" t="s">
        <v>207</v>
      </c>
      <c r="O5305" t="s">
        <v>10883</v>
      </c>
      <c r="P5305" t="s">
        <v>208</v>
      </c>
    </row>
    <row r="5306" spans="1:17" x14ac:dyDescent="0.3">
      <c r="A5306" t="s">
        <v>11448</v>
      </c>
      <c r="B5306" t="s">
        <v>8974</v>
      </c>
      <c r="E5306" s="5">
        <v>46293</v>
      </c>
      <c r="F5306" t="s">
        <v>921</v>
      </c>
      <c r="G5306" t="s">
        <v>220</v>
      </c>
      <c r="H5306">
        <v>999</v>
      </c>
      <c r="I5306">
        <v>0</v>
      </c>
      <c r="J5306">
        <v>0</v>
      </c>
      <c r="K5306">
        <v>-999</v>
      </c>
      <c r="L5306" s="5">
        <v>46295</v>
      </c>
      <c r="M5306" t="s">
        <v>11038</v>
      </c>
      <c r="N5306" t="s">
        <v>207</v>
      </c>
      <c r="O5306" t="s">
        <v>8976</v>
      </c>
      <c r="P5306" t="s">
        <v>208</v>
      </c>
    </row>
    <row r="5307" spans="1:17" x14ac:dyDescent="0.3">
      <c r="A5307" t="s">
        <v>11449</v>
      </c>
      <c r="B5307" t="s">
        <v>9900</v>
      </c>
      <c r="E5307" s="5">
        <v>46293</v>
      </c>
      <c r="F5307" t="s">
        <v>921</v>
      </c>
      <c r="G5307" t="s">
        <v>220</v>
      </c>
      <c r="H5307">
        <v>1499</v>
      </c>
      <c r="I5307">
        <v>0</v>
      </c>
      <c r="J5307">
        <v>0</v>
      </c>
      <c r="K5307">
        <v>-1499</v>
      </c>
      <c r="L5307" s="5">
        <v>46295</v>
      </c>
      <c r="M5307" t="s">
        <v>11038</v>
      </c>
      <c r="N5307" t="s">
        <v>207</v>
      </c>
      <c r="O5307" t="s">
        <v>9901</v>
      </c>
      <c r="P5307" t="s">
        <v>208</v>
      </c>
    </row>
    <row r="5308" spans="1:17" x14ac:dyDescent="0.3">
      <c r="A5308" t="s">
        <v>11450</v>
      </c>
      <c r="C5308" t="s">
        <v>11451</v>
      </c>
      <c r="D5308" t="s">
        <v>11452</v>
      </c>
      <c r="E5308" s="5">
        <v>46294</v>
      </c>
      <c r="F5308" t="s">
        <v>204</v>
      </c>
      <c r="G5308" t="s">
        <v>220</v>
      </c>
      <c r="H5308">
        <v>2499</v>
      </c>
      <c r="I5308">
        <v>7.5</v>
      </c>
      <c r="J5308">
        <v>1.35</v>
      </c>
      <c r="K5308">
        <v>2490.15</v>
      </c>
      <c r="L5308" s="5">
        <v>46296</v>
      </c>
      <c r="M5308" t="s">
        <v>11453</v>
      </c>
      <c r="N5308" t="s">
        <v>207</v>
      </c>
      <c r="O5308" t="s">
        <v>11452</v>
      </c>
      <c r="P5308" t="s">
        <v>11454</v>
      </c>
      <c r="Q5308" t="s">
        <v>209</v>
      </c>
    </row>
    <row r="5309" spans="1:17" x14ac:dyDescent="0.3">
      <c r="A5309" t="s">
        <v>11455</v>
      </c>
      <c r="C5309" t="s">
        <v>11456</v>
      </c>
      <c r="D5309" t="s">
        <v>11456</v>
      </c>
      <c r="E5309" s="5">
        <v>46294</v>
      </c>
      <c r="F5309" t="s">
        <v>204</v>
      </c>
      <c r="G5309" t="s">
        <v>213</v>
      </c>
      <c r="H5309">
        <v>3798</v>
      </c>
      <c r="I5309">
        <v>60.77</v>
      </c>
      <c r="J5309">
        <v>10.94</v>
      </c>
      <c r="K5309">
        <v>3726.29</v>
      </c>
      <c r="L5309" s="5">
        <v>46296</v>
      </c>
      <c r="M5309" t="s">
        <v>11453</v>
      </c>
      <c r="N5309" t="s">
        <v>207</v>
      </c>
      <c r="O5309" t="s">
        <v>11456</v>
      </c>
      <c r="P5309" t="s">
        <v>11454</v>
      </c>
      <c r="Q5309" t="s">
        <v>209</v>
      </c>
    </row>
    <row r="5310" spans="1:17" x14ac:dyDescent="0.3">
      <c r="A5310" t="s">
        <v>11457</v>
      </c>
      <c r="C5310" t="s">
        <v>11458</v>
      </c>
      <c r="D5310" t="s">
        <v>11458</v>
      </c>
      <c r="E5310" s="5">
        <v>46294</v>
      </c>
      <c r="F5310" t="s">
        <v>204</v>
      </c>
      <c r="G5310" t="s">
        <v>220</v>
      </c>
      <c r="H5310">
        <v>999</v>
      </c>
      <c r="I5310">
        <v>0</v>
      </c>
      <c r="J5310">
        <v>0</v>
      </c>
      <c r="K5310">
        <v>999</v>
      </c>
      <c r="L5310" s="5">
        <v>46296</v>
      </c>
      <c r="M5310" t="s">
        <v>11453</v>
      </c>
      <c r="N5310" t="s">
        <v>207</v>
      </c>
      <c r="O5310" t="s">
        <v>11458</v>
      </c>
      <c r="P5310" t="s">
        <v>11454</v>
      </c>
      <c r="Q5310" t="s">
        <v>209</v>
      </c>
    </row>
    <row r="5311" spans="1:17" x14ac:dyDescent="0.3">
      <c r="A5311" t="s">
        <v>11459</v>
      </c>
      <c r="C5311" t="s">
        <v>11460</v>
      </c>
      <c r="D5311" t="s">
        <v>11460</v>
      </c>
      <c r="E5311" s="5">
        <v>46294</v>
      </c>
      <c r="F5311" t="s">
        <v>204</v>
      </c>
      <c r="G5311" t="s">
        <v>220</v>
      </c>
      <c r="H5311">
        <v>1897</v>
      </c>
      <c r="I5311">
        <v>0</v>
      </c>
      <c r="J5311">
        <v>0</v>
      </c>
      <c r="K5311">
        <v>1897</v>
      </c>
      <c r="L5311" s="5">
        <v>46296</v>
      </c>
      <c r="M5311" t="s">
        <v>11453</v>
      </c>
      <c r="N5311" t="s">
        <v>207</v>
      </c>
      <c r="O5311" t="s">
        <v>11460</v>
      </c>
      <c r="P5311" t="s">
        <v>11454</v>
      </c>
      <c r="Q5311" t="s">
        <v>209</v>
      </c>
    </row>
    <row r="5312" spans="1:17" x14ac:dyDescent="0.3">
      <c r="A5312" t="s">
        <v>11461</v>
      </c>
      <c r="C5312" t="s">
        <v>11462</v>
      </c>
      <c r="D5312" t="s">
        <v>11462</v>
      </c>
      <c r="E5312" s="5">
        <v>46294</v>
      </c>
      <c r="F5312" t="s">
        <v>204</v>
      </c>
      <c r="G5312" t="s">
        <v>220</v>
      </c>
      <c r="H5312">
        <v>3499</v>
      </c>
      <c r="I5312">
        <v>10.5</v>
      </c>
      <c r="J5312">
        <v>1.89</v>
      </c>
      <c r="K5312">
        <v>3486.61</v>
      </c>
      <c r="L5312" s="5">
        <v>46296</v>
      </c>
      <c r="M5312" t="s">
        <v>11453</v>
      </c>
      <c r="N5312" t="s">
        <v>207</v>
      </c>
      <c r="O5312" t="s">
        <v>11462</v>
      </c>
      <c r="P5312" t="s">
        <v>11454</v>
      </c>
      <c r="Q5312" t="s">
        <v>209</v>
      </c>
    </row>
    <row r="5313" spans="1:17" x14ac:dyDescent="0.3">
      <c r="A5313" t="s">
        <v>11463</v>
      </c>
      <c r="C5313" t="s">
        <v>11464</v>
      </c>
      <c r="D5313" t="s">
        <v>11464</v>
      </c>
      <c r="E5313" s="5">
        <v>46294</v>
      </c>
      <c r="F5313" t="s">
        <v>204</v>
      </c>
      <c r="G5313" t="s">
        <v>220</v>
      </c>
      <c r="H5313">
        <v>7999</v>
      </c>
      <c r="I5313">
        <v>24</v>
      </c>
      <c r="J5313">
        <v>4.32</v>
      </c>
      <c r="K5313">
        <v>7970.68</v>
      </c>
      <c r="L5313" s="5">
        <v>46296</v>
      </c>
      <c r="M5313" t="s">
        <v>11453</v>
      </c>
      <c r="N5313" t="s">
        <v>207</v>
      </c>
      <c r="O5313" t="s">
        <v>11464</v>
      </c>
      <c r="P5313" t="s">
        <v>11454</v>
      </c>
      <c r="Q5313" t="s">
        <v>209</v>
      </c>
    </row>
    <row r="5314" spans="1:17" x14ac:dyDescent="0.3">
      <c r="A5314" t="s">
        <v>11465</v>
      </c>
      <c r="C5314" t="s">
        <v>11466</v>
      </c>
      <c r="D5314" t="s">
        <v>11466</v>
      </c>
      <c r="E5314" s="5">
        <v>46294</v>
      </c>
      <c r="F5314" t="s">
        <v>204</v>
      </c>
      <c r="G5314" t="s">
        <v>213</v>
      </c>
      <c r="H5314">
        <v>7999</v>
      </c>
      <c r="I5314">
        <v>127.98</v>
      </c>
      <c r="J5314">
        <v>23.04</v>
      </c>
      <c r="K5314">
        <v>7847.98</v>
      </c>
      <c r="L5314" s="5">
        <v>46296</v>
      </c>
      <c r="M5314" t="s">
        <v>11453</v>
      </c>
      <c r="N5314" t="s">
        <v>207</v>
      </c>
      <c r="O5314" t="s">
        <v>11466</v>
      </c>
      <c r="P5314" t="s">
        <v>11454</v>
      </c>
      <c r="Q5314" t="s">
        <v>209</v>
      </c>
    </row>
    <row r="5315" spans="1:17" x14ac:dyDescent="0.3">
      <c r="A5315" t="s">
        <v>11467</v>
      </c>
      <c r="C5315" t="s">
        <v>11468</v>
      </c>
      <c r="D5315" t="s">
        <v>11468</v>
      </c>
      <c r="E5315" s="5">
        <v>46294</v>
      </c>
      <c r="F5315" t="s">
        <v>204</v>
      </c>
      <c r="G5315" t="s">
        <v>255</v>
      </c>
      <c r="H5315">
        <v>5297</v>
      </c>
      <c r="I5315">
        <v>63.56</v>
      </c>
      <c r="J5315">
        <v>11.44</v>
      </c>
      <c r="K5315">
        <v>5222</v>
      </c>
      <c r="L5315" s="5">
        <v>46296</v>
      </c>
      <c r="M5315" t="s">
        <v>11453</v>
      </c>
      <c r="N5315" t="s">
        <v>207</v>
      </c>
      <c r="O5315" t="s">
        <v>11468</v>
      </c>
      <c r="P5315" t="s">
        <v>11454</v>
      </c>
      <c r="Q5315" t="s">
        <v>209</v>
      </c>
    </row>
    <row r="5316" spans="1:17" x14ac:dyDescent="0.3">
      <c r="A5316" t="s">
        <v>11469</v>
      </c>
      <c r="C5316" t="s">
        <v>11470</v>
      </c>
      <c r="D5316" t="s">
        <v>11470</v>
      </c>
      <c r="E5316" s="5">
        <v>46294</v>
      </c>
      <c r="F5316" t="s">
        <v>204</v>
      </c>
      <c r="G5316" t="s">
        <v>220</v>
      </c>
      <c r="H5316">
        <v>3499</v>
      </c>
      <c r="I5316">
        <v>10.5</v>
      </c>
      <c r="J5316">
        <v>1.89</v>
      </c>
      <c r="K5316">
        <v>3486.61</v>
      </c>
      <c r="L5316" s="5">
        <v>46296</v>
      </c>
      <c r="M5316" t="s">
        <v>11453</v>
      </c>
      <c r="N5316" t="s">
        <v>207</v>
      </c>
      <c r="O5316" t="s">
        <v>11470</v>
      </c>
      <c r="P5316" t="s">
        <v>11454</v>
      </c>
      <c r="Q5316" t="s">
        <v>209</v>
      </c>
    </row>
    <row r="5317" spans="1:17" x14ac:dyDescent="0.3">
      <c r="A5317" t="s">
        <v>11471</v>
      </c>
      <c r="C5317" t="s">
        <v>11472</v>
      </c>
      <c r="D5317" t="s">
        <v>11472</v>
      </c>
      <c r="E5317" s="5">
        <v>46294</v>
      </c>
      <c r="F5317" t="s">
        <v>204</v>
      </c>
      <c r="G5317" t="s">
        <v>220</v>
      </c>
      <c r="H5317">
        <v>3098</v>
      </c>
      <c r="I5317">
        <v>9.2899999999999991</v>
      </c>
      <c r="J5317">
        <v>1.67</v>
      </c>
      <c r="K5317">
        <v>3087.04</v>
      </c>
      <c r="L5317" s="5">
        <v>46296</v>
      </c>
      <c r="M5317" t="s">
        <v>11453</v>
      </c>
      <c r="N5317" t="s">
        <v>207</v>
      </c>
      <c r="O5317" t="s">
        <v>11472</v>
      </c>
      <c r="P5317" t="s">
        <v>11454</v>
      </c>
      <c r="Q5317" t="s">
        <v>209</v>
      </c>
    </row>
    <row r="5318" spans="1:17" x14ac:dyDescent="0.3">
      <c r="A5318" t="s">
        <v>11473</v>
      </c>
      <c r="C5318" t="s">
        <v>11474</v>
      </c>
      <c r="D5318" t="s">
        <v>11474</v>
      </c>
      <c r="E5318" s="5">
        <v>46294</v>
      </c>
      <c r="F5318" t="s">
        <v>204</v>
      </c>
      <c r="G5318" t="s">
        <v>220</v>
      </c>
      <c r="H5318">
        <v>1499</v>
      </c>
      <c r="I5318">
        <v>0</v>
      </c>
      <c r="J5318">
        <v>0</v>
      </c>
      <c r="K5318">
        <v>1499</v>
      </c>
      <c r="L5318" s="5">
        <v>46296</v>
      </c>
      <c r="M5318" t="s">
        <v>11453</v>
      </c>
      <c r="N5318" t="s">
        <v>207</v>
      </c>
      <c r="O5318" t="s">
        <v>11474</v>
      </c>
      <c r="P5318" t="s">
        <v>11454</v>
      </c>
      <c r="Q5318" t="s">
        <v>209</v>
      </c>
    </row>
    <row r="5319" spans="1:17" x14ac:dyDescent="0.3">
      <c r="A5319" t="s">
        <v>11475</v>
      </c>
      <c r="C5319" t="s">
        <v>11476</v>
      </c>
      <c r="D5319" t="s">
        <v>11476</v>
      </c>
      <c r="E5319" s="5">
        <v>46294</v>
      </c>
      <c r="F5319" t="s">
        <v>204</v>
      </c>
      <c r="G5319" t="s">
        <v>220</v>
      </c>
      <c r="H5319">
        <v>1499</v>
      </c>
      <c r="I5319">
        <v>0</v>
      </c>
      <c r="J5319">
        <v>0</v>
      </c>
      <c r="K5319">
        <v>1499</v>
      </c>
      <c r="L5319" s="5">
        <v>46296</v>
      </c>
      <c r="M5319" t="s">
        <v>11453</v>
      </c>
      <c r="N5319" t="s">
        <v>207</v>
      </c>
      <c r="O5319" t="s">
        <v>11476</v>
      </c>
      <c r="P5319" t="s">
        <v>11454</v>
      </c>
      <c r="Q5319" t="s">
        <v>209</v>
      </c>
    </row>
    <row r="5320" spans="1:17" x14ac:dyDescent="0.3">
      <c r="A5320" t="s">
        <v>11477</v>
      </c>
      <c r="C5320" t="s">
        <v>11478</v>
      </c>
      <c r="D5320" t="s">
        <v>11478</v>
      </c>
      <c r="E5320" s="5">
        <v>46294</v>
      </c>
      <c r="F5320" t="s">
        <v>204</v>
      </c>
      <c r="G5320" t="s">
        <v>213</v>
      </c>
      <c r="H5320">
        <v>999</v>
      </c>
      <c r="I5320">
        <v>17.98</v>
      </c>
      <c r="J5320">
        <v>3.24</v>
      </c>
      <c r="K5320">
        <v>977.78</v>
      </c>
      <c r="L5320" s="5">
        <v>46296</v>
      </c>
      <c r="M5320" t="s">
        <v>11453</v>
      </c>
      <c r="N5320" t="s">
        <v>207</v>
      </c>
      <c r="O5320" t="s">
        <v>11478</v>
      </c>
      <c r="P5320" t="s">
        <v>11454</v>
      </c>
      <c r="Q5320" t="s">
        <v>209</v>
      </c>
    </row>
    <row r="5321" spans="1:17" x14ac:dyDescent="0.3">
      <c r="A5321" t="s">
        <v>11479</v>
      </c>
      <c r="C5321" t="s">
        <v>11480</v>
      </c>
      <c r="D5321" t="s">
        <v>11480</v>
      </c>
      <c r="E5321" s="5">
        <v>46294</v>
      </c>
      <c r="F5321" t="s">
        <v>204</v>
      </c>
      <c r="G5321" t="s">
        <v>213</v>
      </c>
      <c r="H5321">
        <v>7498</v>
      </c>
      <c r="I5321">
        <v>119.97</v>
      </c>
      <c r="J5321">
        <v>21.59</v>
      </c>
      <c r="K5321">
        <v>7356.44</v>
      </c>
      <c r="L5321" s="5">
        <v>46296</v>
      </c>
      <c r="M5321" t="s">
        <v>11453</v>
      </c>
      <c r="N5321" t="s">
        <v>207</v>
      </c>
      <c r="O5321" t="s">
        <v>11480</v>
      </c>
      <c r="P5321" t="s">
        <v>11454</v>
      </c>
      <c r="Q5321" t="s">
        <v>209</v>
      </c>
    </row>
    <row r="5322" spans="1:17" x14ac:dyDescent="0.3">
      <c r="A5322" t="s">
        <v>11481</v>
      </c>
      <c r="C5322" t="s">
        <v>11482</v>
      </c>
      <c r="D5322" t="s">
        <v>11483</v>
      </c>
      <c r="E5322" s="5">
        <v>46294</v>
      </c>
      <c r="F5322" t="s">
        <v>204</v>
      </c>
      <c r="G5322" t="s">
        <v>220</v>
      </c>
      <c r="H5322">
        <v>4298</v>
      </c>
      <c r="I5322">
        <v>12.89</v>
      </c>
      <c r="J5322">
        <v>2.3199999999999998</v>
      </c>
      <c r="K5322">
        <v>4282.79</v>
      </c>
      <c r="L5322" s="5">
        <v>46296</v>
      </c>
      <c r="M5322" t="s">
        <v>11453</v>
      </c>
      <c r="N5322" t="s">
        <v>207</v>
      </c>
      <c r="O5322" t="s">
        <v>11483</v>
      </c>
      <c r="P5322" t="s">
        <v>11454</v>
      </c>
      <c r="Q5322" t="s">
        <v>209</v>
      </c>
    </row>
    <row r="5323" spans="1:17" x14ac:dyDescent="0.3">
      <c r="A5323" t="s">
        <v>11484</v>
      </c>
      <c r="C5323" t="s">
        <v>11485</v>
      </c>
      <c r="D5323" t="s">
        <v>11485</v>
      </c>
      <c r="E5323" s="5">
        <v>46294</v>
      </c>
      <c r="F5323" t="s">
        <v>204</v>
      </c>
      <c r="G5323" t="s">
        <v>213</v>
      </c>
      <c r="H5323">
        <v>2297</v>
      </c>
      <c r="I5323">
        <v>36.75</v>
      </c>
      <c r="J5323">
        <v>6.62</v>
      </c>
      <c r="K5323">
        <v>2253.63</v>
      </c>
      <c r="L5323" s="5">
        <v>46296</v>
      </c>
      <c r="M5323" t="s">
        <v>11453</v>
      </c>
      <c r="N5323" t="s">
        <v>207</v>
      </c>
      <c r="O5323" t="s">
        <v>11485</v>
      </c>
      <c r="P5323" t="s">
        <v>11454</v>
      </c>
      <c r="Q5323" t="s">
        <v>209</v>
      </c>
    </row>
    <row r="5324" spans="1:17" x14ac:dyDescent="0.3">
      <c r="A5324" t="s">
        <v>11486</v>
      </c>
      <c r="C5324" t="s">
        <v>11487</v>
      </c>
      <c r="D5324" t="s">
        <v>11487</v>
      </c>
      <c r="E5324" s="5">
        <v>46294</v>
      </c>
      <c r="F5324" t="s">
        <v>204</v>
      </c>
      <c r="G5324" t="s">
        <v>255</v>
      </c>
      <c r="H5324">
        <v>3897</v>
      </c>
      <c r="I5324">
        <v>46.76</v>
      </c>
      <c r="J5324">
        <v>8.42</v>
      </c>
      <c r="K5324">
        <v>3841.82</v>
      </c>
      <c r="L5324" s="5">
        <v>46296</v>
      </c>
      <c r="M5324" t="s">
        <v>11453</v>
      </c>
      <c r="N5324" t="s">
        <v>207</v>
      </c>
      <c r="O5324" t="s">
        <v>11487</v>
      </c>
      <c r="P5324" t="s">
        <v>11454</v>
      </c>
      <c r="Q5324" t="s">
        <v>209</v>
      </c>
    </row>
    <row r="5325" spans="1:17" x14ac:dyDescent="0.3">
      <c r="A5325" t="s">
        <v>11488</v>
      </c>
      <c r="C5325" t="s">
        <v>11489</v>
      </c>
      <c r="D5325" t="s">
        <v>11489</v>
      </c>
      <c r="E5325" s="5">
        <v>46294</v>
      </c>
      <c r="F5325" t="s">
        <v>204</v>
      </c>
      <c r="G5325" t="s">
        <v>213</v>
      </c>
      <c r="H5325">
        <v>7597</v>
      </c>
      <c r="I5325">
        <v>121.55</v>
      </c>
      <c r="J5325">
        <v>21.88</v>
      </c>
      <c r="K5325">
        <v>7453.57</v>
      </c>
      <c r="L5325" s="5">
        <v>46296</v>
      </c>
      <c r="M5325" t="s">
        <v>11453</v>
      </c>
      <c r="N5325" t="s">
        <v>207</v>
      </c>
      <c r="O5325" t="s">
        <v>11489</v>
      </c>
      <c r="P5325" t="s">
        <v>11454</v>
      </c>
      <c r="Q5325" t="s">
        <v>209</v>
      </c>
    </row>
    <row r="5326" spans="1:17" x14ac:dyDescent="0.3">
      <c r="A5326" t="s">
        <v>11490</v>
      </c>
      <c r="C5326" t="s">
        <v>11491</v>
      </c>
      <c r="D5326" t="s">
        <v>11491</v>
      </c>
      <c r="E5326" s="5">
        <v>46294</v>
      </c>
      <c r="F5326" t="s">
        <v>204</v>
      </c>
      <c r="G5326" t="s">
        <v>255</v>
      </c>
      <c r="H5326">
        <v>9647</v>
      </c>
      <c r="I5326">
        <v>115.76</v>
      </c>
      <c r="J5326">
        <v>20.84</v>
      </c>
      <c r="K5326">
        <v>9510.4</v>
      </c>
      <c r="L5326" s="5">
        <v>46296</v>
      </c>
      <c r="M5326" t="s">
        <v>11453</v>
      </c>
      <c r="N5326" t="s">
        <v>207</v>
      </c>
      <c r="O5326" t="s">
        <v>11491</v>
      </c>
      <c r="P5326" t="s">
        <v>11454</v>
      </c>
      <c r="Q5326" t="s">
        <v>209</v>
      </c>
    </row>
    <row r="5327" spans="1:17" x14ac:dyDescent="0.3">
      <c r="A5327" t="s">
        <v>11492</v>
      </c>
      <c r="C5327" t="s">
        <v>11493</v>
      </c>
      <c r="D5327" t="s">
        <v>11494</v>
      </c>
      <c r="E5327" s="5">
        <v>46294</v>
      </c>
      <c r="F5327" t="s">
        <v>204</v>
      </c>
      <c r="G5327" t="s">
        <v>220</v>
      </c>
      <c r="H5327">
        <v>11498</v>
      </c>
      <c r="I5327">
        <v>34.49</v>
      </c>
      <c r="J5327">
        <v>6.21</v>
      </c>
      <c r="K5327">
        <v>11457.3</v>
      </c>
      <c r="L5327" s="5">
        <v>46296</v>
      </c>
      <c r="M5327" t="s">
        <v>11453</v>
      </c>
      <c r="N5327" t="s">
        <v>207</v>
      </c>
      <c r="O5327" t="s">
        <v>11494</v>
      </c>
      <c r="P5327" t="s">
        <v>11454</v>
      </c>
      <c r="Q5327" t="s">
        <v>209</v>
      </c>
    </row>
    <row r="5328" spans="1:17" x14ac:dyDescent="0.3">
      <c r="A5328" t="s">
        <v>11495</v>
      </c>
      <c r="C5328" t="s">
        <v>11496</v>
      </c>
      <c r="D5328" t="s">
        <v>11497</v>
      </c>
      <c r="E5328" s="5">
        <v>46294</v>
      </c>
      <c r="F5328" t="s">
        <v>204</v>
      </c>
      <c r="G5328" t="s">
        <v>213</v>
      </c>
      <c r="H5328">
        <v>1499</v>
      </c>
      <c r="I5328">
        <v>26.98</v>
      </c>
      <c r="J5328">
        <v>4.8600000000000003</v>
      </c>
      <c r="K5328">
        <v>1467.16</v>
      </c>
      <c r="L5328" s="5">
        <v>46296</v>
      </c>
      <c r="M5328" t="s">
        <v>11453</v>
      </c>
      <c r="N5328" t="s">
        <v>207</v>
      </c>
      <c r="O5328" t="s">
        <v>11497</v>
      </c>
      <c r="P5328" t="s">
        <v>11454</v>
      </c>
      <c r="Q5328" t="s">
        <v>209</v>
      </c>
    </row>
    <row r="5329" spans="1:17" x14ac:dyDescent="0.3">
      <c r="A5329" t="s">
        <v>11498</v>
      </c>
      <c r="C5329" t="s">
        <v>11499</v>
      </c>
      <c r="D5329" t="s">
        <v>11499</v>
      </c>
      <c r="E5329" s="5">
        <v>46294</v>
      </c>
      <c r="F5329" t="s">
        <v>204</v>
      </c>
      <c r="G5329" t="s">
        <v>220</v>
      </c>
      <c r="H5329">
        <v>499</v>
      </c>
      <c r="I5329">
        <v>0</v>
      </c>
      <c r="J5329">
        <v>0</v>
      </c>
      <c r="K5329">
        <v>499</v>
      </c>
      <c r="L5329" s="5">
        <v>46296</v>
      </c>
      <c r="M5329" t="s">
        <v>11453</v>
      </c>
      <c r="N5329" t="s">
        <v>207</v>
      </c>
      <c r="O5329" t="s">
        <v>11499</v>
      </c>
      <c r="P5329" t="s">
        <v>11454</v>
      </c>
      <c r="Q5329" t="s">
        <v>209</v>
      </c>
    </row>
    <row r="5330" spans="1:17" x14ac:dyDescent="0.3">
      <c r="A5330" t="s">
        <v>11500</v>
      </c>
      <c r="C5330" t="s">
        <v>11501</v>
      </c>
      <c r="D5330" t="s">
        <v>11502</v>
      </c>
      <c r="E5330" s="5">
        <v>46294</v>
      </c>
      <c r="F5330" t="s">
        <v>204</v>
      </c>
      <c r="G5330" t="s">
        <v>213</v>
      </c>
      <c r="H5330">
        <v>9298</v>
      </c>
      <c r="I5330">
        <v>148.77000000000001</v>
      </c>
      <c r="J5330">
        <v>26.78</v>
      </c>
      <c r="K5330">
        <v>9122.4500000000007</v>
      </c>
      <c r="L5330" s="5">
        <v>46296</v>
      </c>
      <c r="M5330" t="s">
        <v>11453</v>
      </c>
      <c r="N5330" t="s">
        <v>207</v>
      </c>
      <c r="O5330" t="s">
        <v>11502</v>
      </c>
      <c r="P5330" t="s">
        <v>11454</v>
      </c>
      <c r="Q5330" t="s">
        <v>209</v>
      </c>
    </row>
    <row r="5331" spans="1:17" x14ac:dyDescent="0.3">
      <c r="A5331" t="s">
        <v>11503</v>
      </c>
      <c r="C5331" t="s">
        <v>11504</v>
      </c>
      <c r="D5331" t="s">
        <v>11504</v>
      </c>
      <c r="E5331" s="5">
        <v>46294</v>
      </c>
      <c r="F5331" t="s">
        <v>204</v>
      </c>
      <c r="G5331" t="s">
        <v>220</v>
      </c>
      <c r="H5331">
        <v>2148</v>
      </c>
      <c r="I5331">
        <v>6.44</v>
      </c>
      <c r="J5331">
        <v>1.1599999999999999</v>
      </c>
      <c r="K5331">
        <v>2140.4</v>
      </c>
      <c r="L5331" s="5">
        <v>46296</v>
      </c>
      <c r="M5331" t="s">
        <v>11453</v>
      </c>
      <c r="N5331" t="s">
        <v>207</v>
      </c>
      <c r="O5331" t="s">
        <v>11504</v>
      </c>
      <c r="P5331" t="s">
        <v>11454</v>
      </c>
      <c r="Q5331" t="s">
        <v>209</v>
      </c>
    </row>
    <row r="5332" spans="1:17" x14ac:dyDescent="0.3">
      <c r="A5332" t="s">
        <v>11505</v>
      </c>
      <c r="C5332" t="s">
        <v>11506</v>
      </c>
      <c r="D5332" t="s">
        <v>11506</v>
      </c>
      <c r="E5332" s="5">
        <v>46294</v>
      </c>
      <c r="F5332" t="s">
        <v>204</v>
      </c>
      <c r="G5332" t="s">
        <v>205</v>
      </c>
      <c r="H5332">
        <v>799</v>
      </c>
      <c r="I5332">
        <v>15.18</v>
      </c>
      <c r="J5332">
        <v>2.73</v>
      </c>
      <c r="K5332">
        <v>781.09</v>
      </c>
      <c r="L5332" s="5">
        <v>46296</v>
      </c>
      <c r="M5332" t="s">
        <v>11453</v>
      </c>
      <c r="N5332" t="s">
        <v>207</v>
      </c>
      <c r="O5332" t="s">
        <v>11506</v>
      </c>
      <c r="P5332" t="s">
        <v>11454</v>
      </c>
      <c r="Q5332" t="s">
        <v>209</v>
      </c>
    </row>
    <row r="5333" spans="1:17" x14ac:dyDescent="0.3">
      <c r="A5333" t="s">
        <v>11507</v>
      </c>
      <c r="C5333" t="s">
        <v>11508</v>
      </c>
      <c r="D5333" t="s">
        <v>11508</v>
      </c>
      <c r="E5333" s="5">
        <v>46294</v>
      </c>
      <c r="F5333" t="s">
        <v>204</v>
      </c>
      <c r="G5333" t="s">
        <v>220</v>
      </c>
      <c r="H5333">
        <v>4999</v>
      </c>
      <c r="I5333">
        <v>15</v>
      </c>
      <c r="J5333">
        <v>2.7</v>
      </c>
      <c r="K5333">
        <v>4981.3</v>
      </c>
      <c r="L5333" s="5">
        <v>46296</v>
      </c>
      <c r="M5333" t="s">
        <v>11453</v>
      </c>
      <c r="N5333" t="s">
        <v>207</v>
      </c>
      <c r="O5333" t="s">
        <v>11508</v>
      </c>
      <c r="P5333" t="s">
        <v>11454</v>
      </c>
      <c r="Q5333" t="s">
        <v>209</v>
      </c>
    </row>
    <row r="5334" spans="1:17" x14ac:dyDescent="0.3">
      <c r="A5334" t="s">
        <v>11509</v>
      </c>
      <c r="C5334" t="s">
        <v>11510</v>
      </c>
      <c r="D5334" t="s">
        <v>11510</v>
      </c>
      <c r="E5334" s="5">
        <v>46294</v>
      </c>
      <c r="F5334" t="s">
        <v>204</v>
      </c>
      <c r="G5334" t="s">
        <v>213</v>
      </c>
      <c r="H5334">
        <v>349</v>
      </c>
      <c r="I5334">
        <v>6.28</v>
      </c>
      <c r="J5334">
        <v>1.1299999999999999</v>
      </c>
      <c r="K5334">
        <v>341.59</v>
      </c>
      <c r="L5334" s="5">
        <v>46296</v>
      </c>
      <c r="M5334" t="s">
        <v>11453</v>
      </c>
      <c r="N5334" t="s">
        <v>207</v>
      </c>
      <c r="O5334" t="s">
        <v>11510</v>
      </c>
      <c r="P5334" t="s">
        <v>11454</v>
      </c>
      <c r="Q5334" t="s">
        <v>209</v>
      </c>
    </row>
    <row r="5335" spans="1:17" x14ac:dyDescent="0.3">
      <c r="A5335" t="s">
        <v>11511</v>
      </c>
      <c r="C5335" t="s">
        <v>11512</v>
      </c>
      <c r="D5335" t="s">
        <v>11512</v>
      </c>
      <c r="E5335" s="5">
        <v>46294</v>
      </c>
      <c r="F5335" t="s">
        <v>204</v>
      </c>
      <c r="G5335" t="s">
        <v>213</v>
      </c>
      <c r="H5335">
        <v>948</v>
      </c>
      <c r="I5335">
        <v>17.059999999999999</v>
      </c>
      <c r="J5335">
        <v>3.07</v>
      </c>
      <c r="K5335">
        <v>927.87</v>
      </c>
      <c r="L5335" s="5">
        <v>46296</v>
      </c>
      <c r="M5335" t="s">
        <v>11453</v>
      </c>
      <c r="N5335" t="s">
        <v>207</v>
      </c>
      <c r="O5335" t="s">
        <v>11512</v>
      </c>
      <c r="P5335" t="s">
        <v>11454</v>
      </c>
      <c r="Q5335" t="s">
        <v>209</v>
      </c>
    </row>
    <row r="5336" spans="1:17" x14ac:dyDescent="0.3">
      <c r="A5336" t="s">
        <v>11513</v>
      </c>
      <c r="C5336" t="s">
        <v>11514</v>
      </c>
      <c r="D5336" t="s">
        <v>11514</v>
      </c>
      <c r="E5336" s="5">
        <v>46294</v>
      </c>
      <c r="F5336" t="s">
        <v>204</v>
      </c>
      <c r="G5336" t="s">
        <v>220</v>
      </c>
      <c r="H5336">
        <v>7999</v>
      </c>
      <c r="I5336">
        <v>24</v>
      </c>
      <c r="J5336">
        <v>4.32</v>
      </c>
      <c r="K5336">
        <v>7970.68</v>
      </c>
      <c r="L5336" s="5">
        <v>46296</v>
      </c>
      <c r="M5336" t="s">
        <v>11453</v>
      </c>
      <c r="N5336" t="s">
        <v>207</v>
      </c>
      <c r="O5336" t="s">
        <v>11514</v>
      </c>
      <c r="P5336" t="s">
        <v>11454</v>
      </c>
      <c r="Q5336" t="s">
        <v>209</v>
      </c>
    </row>
    <row r="5337" spans="1:17" x14ac:dyDescent="0.3">
      <c r="A5337" t="s">
        <v>11515</v>
      </c>
      <c r="C5337" t="s">
        <v>11516</v>
      </c>
      <c r="D5337" t="s">
        <v>11517</v>
      </c>
      <c r="E5337" s="5">
        <v>46294</v>
      </c>
      <c r="F5337" t="s">
        <v>204</v>
      </c>
      <c r="G5337" t="s">
        <v>213</v>
      </c>
      <c r="H5337">
        <v>1299</v>
      </c>
      <c r="I5337">
        <v>23.38</v>
      </c>
      <c r="J5337">
        <v>4.21</v>
      </c>
      <c r="K5337">
        <v>1271.4100000000001</v>
      </c>
      <c r="L5337" s="5">
        <v>46296</v>
      </c>
      <c r="M5337" t="s">
        <v>11453</v>
      </c>
      <c r="N5337" t="s">
        <v>207</v>
      </c>
      <c r="O5337" t="s">
        <v>11517</v>
      </c>
      <c r="P5337" t="s">
        <v>11454</v>
      </c>
      <c r="Q5337" t="s">
        <v>209</v>
      </c>
    </row>
    <row r="5338" spans="1:17" x14ac:dyDescent="0.3">
      <c r="A5338" t="s">
        <v>11518</v>
      </c>
      <c r="C5338" t="s">
        <v>11519</v>
      </c>
      <c r="D5338" t="s">
        <v>11519</v>
      </c>
      <c r="E5338" s="5">
        <v>46294</v>
      </c>
      <c r="F5338" t="s">
        <v>204</v>
      </c>
      <c r="G5338" t="s">
        <v>213</v>
      </c>
      <c r="H5338">
        <v>9498</v>
      </c>
      <c r="I5338">
        <v>151.97</v>
      </c>
      <c r="J5338">
        <v>27.35</v>
      </c>
      <c r="K5338">
        <v>9318.68</v>
      </c>
      <c r="L5338" s="5">
        <v>46296</v>
      </c>
      <c r="M5338" t="s">
        <v>11453</v>
      </c>
      <c r="N5338" t="s">
        <v>207</v>
      </c>
      <c r="O5338" t="s">
        <v>11519</v>
      </c>
      <c r="P5338" t="s">
        <v>11454</v>
      </c>
      <c r="Q5338" t="s">
        <v>209</v>
      </c>
    </row>
    <row r="5339" spans="1:17" x14ac:dyDescent="0.3">
      <c r="A5339" t="s">
        <v>11520</v>
      </c>
      <c r="C5339" t="s">
        <v>11521</v>
      </c>
      <c r="D5339" t="s">
        <v>11521</v>
      </c>
      <c r="E5339" s="5">
        <v>46294</v>
      </c>
      <c r="F5339" t="s">
        <v>204</v>
      </c>
      <c r="G5339" t="s">
        <v>220</v>
      </c>
      <c r="H5339">
        <v>2998</v>
      </c>
      <c r="I5339">
        <v>8.99</v>
      </c>
      <c r="J5339">
        <v>1.62</v>
      </c>
      <c r="K5339">
        <v>2987.39</v>
      </c>
      <c r="L5339" s="5">
        <v>46296</v>
      </c>
      <c r="M5339" t="s">
        <v>11453</v>
      </c>
      <c r="N5339" t="s">
        <v>207</v>
      </c>
      <c r="O5339" t="s">
        <v>11521</v>
      </c>
      <c r="P5339" t="s">
        <v>11454</v>
      </c>
      <c r="Q5339" t="s">
        <v>209</v>
      </c>
    </row>
    <row r="5340" spans="1:17" x14ac:dyDescent="0.3">
      <c r="A5340" t="s">
        <v>11522</v>
      </c>
      <c r="C5340" t="s">
        <v>11523</v>
      </c>
      <c r="D5340" t="s">
        <v>11523</v>
      </c>
      <c r="E5340" s="5">
        <v>46294</v>
      </c>
      <c r="F5340" t="s">
        <v>204</v>
      </c>
      <c r="G5340" t="s">
        <v>220</v>
      </c>
      <c r="H5340">
        <v>698</v>
      </c>
      <c r="I5340">
        <v>0</v>
      </c>
      <c r="J5340">
        <v>0</v>
      </c>
      <c r="K5340">
        <v>698</v>
      </c>
      <c r="L5340" s="5">
        <v>46296</v>
      </c>
      <c r="M5340" t="s">
        <v>11453</v>
      </c>
      <c r="N5340" t="s">
        <v>207</v>
      </c>
      <c r="O5340" t="s">
        <v>11523</v>
      </c>
      <c r="P5340" t="s">
        <v>11454</v>
      </c>
      <c r="Q5340" t="s">
        <v>209</v>
      </c>
    </row>
    <row r="5341" spans="1:17" x14ac:dyDescent="0.3">
      <c r="A5341" t="s">
        <v>11524</v>
      </c>
      <c r="C5341" t="s">
        <v>11525</v>
      </c>
      <c r="D5341" t="s">
        <v>11525</v>
      </c>
      <c r="E5341" s="5">
        <v>46294</v>
      </c>
      <c r="F5341" t="s">
        <v>204</v>
      </c>
      <c r="G5341" t="s">
        <v>213</v>
      </c>
      <c r="H5341">
        <v>3297</v>
      </c>
      <c r="I5341">
        <v>52.75</v>
      </c>
      <c r="J5341">
        <v>9.5</v>
      </c>
      <c r="K5341">
        <v>3234.75</v>
      </c>
      <c r="L5341" s="5">
        <v>46296</v>
      </c>
      <c r="M5341" t="s">
        <v>11453</v>
      </c>
      <c r="N5341" t="s">
        <v>207</v>
      </c>
      <c r="O5341" t="s">
        <v>11525</v>
      </c>
      <c r="P5341" t="s">
        <v>11454</v>
      </c>
      <c r="Q5341" t="s">
        <v>209</v>
      </c>
    </row>
    <row r="5342" spans="1:17" x14ac:dyDescent="0.3">
      <c r="A5342" t="s">
        <v>11526</v>
      </c>
      <c r="C5342" t="s">
        <v>11527</v>
      </c>
      <c r="D5342" t="s">
        <v>11527</v>
      </c>
      <c r="E5342" s="5">
        <v>46294</v>
      </c>
      <c r="F5342" t="s">
        <v>204</v>
      </c>
      <c r="G5342" t="s">
        <v>220</v>
      </c>
      <c r="H5342">
        <v>1799</v>
      </c>
      <c r="I5342">
        <v>0</v>
      </c>
      <c r="J5342">
        <v>0</v>
      </c>
      <c r="K5342">
        <v>1799</v>
      </c>
      <c r="L5342" s="5">
        <v>46296</v>
      </c>
      <c r="M5342" t="s">
        <v>11453</v>
      </c>
      <c r="N5342" t="s">
        <v>207</v>
      </c>
      <c r="O5342" t="s">
        <v>11527</v>
      </c>
      <c r="P5342" t="s">
        <v>11454</v>
      </c>
      <c r="Q5342" t="s">
        <v>209</v>
      </c>
    </row>
    <row r="5343" spans="1:17" x14ac:dyDescent="0.3">
      <c r="A5343" t="s">
        <v>11528</v>
      </c>
      <c r="C5343" t="s">
        <v>11529</v>
      </c>
      <c r="D5343" t="s">
        <v>11529</v>
      </c>
      <c r="E5343" s="5">
        <v>46294</v>
      </c>
      <c r="F5343" t="s">
        <v>204</v>
      </c>
      <c r="G5343" t="s">
        <v>220</v>
      </c>
      <c r="H5343">
        <v>349</v>
      </c>
      <c r="I5343">
        <v>0</v>
      </c>
      <c r="J5343">
        <v>0</v>
      </c>
      <c r="K5343">
        <v>349</v>
      </c>
      <c r="L5343" s="5">
        <v>46296</v>
      </c>
      <c r="M5343" t="s">
        <v>11453</v>
      </c>
      <c r="N5343" t="s">
        <v>207</v>
      </c>
      <c r="O5343" t="s">
        <v>11529</v>
      </c>
      <c r="P5343" t="s">
        <v>11454</v>
      </c>
      <c r="Q5343" t="s">
        <v>209</v>
      </c>
    </row>
    <row r="5344" spans="1:17" x14ac:dyDescent="0.3">
      <c r="A5344" t="s">
        <v>11530</v>
      </c>
      <c r="C5344" t="s">
        <v>11531</v>
      </c>
      <c r="D5344" t="s">
        <v>11531</v>
      </c>
      <c r="E5344" s="5">
        <v>46294</v>
      </c>
      <c r="F5344" t="s">
        <v>204</v>
      </c>
      <c r="G5344" t="s">
        <v>205</v>
      </c>
      <c r="H5344">
        <v>2298</v>
      </c>
      <c r="I5344">
        <v>39.07</v>
      </c>
      <c r="J5344">
        <v>7.03</v>
      </c>
      <c r="K5344">
        <v>2251.9</v>
      </c>
      <c r="L5344" s="5">
        <v>46296</v>
      </c>
      <c r="M5344" t="s">
        <v>11453</v>
      </c>
      <c r="N5344" t="s">
        <v>207</v>
      </c>
      <c r="O5344" t="s">
        <v>11531</v>
      </c>
      <c r="P5344" t="s">
        <v>11454</v>
      </c>
      <c r="Q5344" t="s">
        <v>209</v>
      </c>
    </row>
    <row r="5345" spans="1:17" x14ac:dyDescent="0.3">
      <c r="A5345" t="s">
        <v>11532</v>
      </c>
      <c r="C5345" t="s">
        <v>11533</v>
      </c>
      <c r="D5345" t="s">
        <v>11533</v>
      </c>
      <c r="E5345" s="5">
        <v>46294</v>
      </c>
      <c r="F5345" t="s">
        <v>204</v>
      </c>
      <c r="G5345" t="s">
        <v>220</v>
      </c>
      <c r="H5345">
        <v>799</v>
      </c>
      <c r="I5345">
        <v>0</v>
      </c>
      <c r="J5345">
        <v>0</v>
      </c>
      <c r="K5345">
        <v>799</v>
      </c>
      <c r="L5345" s="5">
        <v>46296</v>
      </c>
      <c r="M5345" t="s">
        <v>11453</v>
      </c>
      <c r="N5345" t="s">
        <v>207</v>
      </c>
      <c r="O5345" t="s">
        <v>11533</v>
      </c>
      <c r="P5345" t="s">
        <v>11454</v>
      </c>
      <c r="Q5345" t="s">
        <v>209</v>
      </c>
    </row>
    <row r="5346" spans="1:17" x14ac:dyDescent="0.3">
      <c r="A5346" t="s">
        <v>11534</v>
      </c>
      <c r="C5346" t="s">
        <v>11535</v>
      </c>
      <c r="D5346" t="s">
        <v>11535</v>
      </c>
      <c r="E5346" s="5">
        <v>46294</v>
      </c>
      <c r="F5346" t="s">
        <v>204</v>
      </c>
      <c r="G5346" t="s">
        <v>205</v>
      </c>
      <c r="H5346">
        <v>299</v>
      </c>
      <c r="I5346">
        <v>5.68</v>
      </c>
      <c r="J5346">
        <v>1.02</v>
      </c>
      <c r="K5346">
        <v>292.3</v>
      </c>
      <c r="L5346" s="5">
        <v>46296</v>
      </c>
      <c r="M5346" t="s">
        <v>11453</v>
      </c>
      <c r="N5346" t="s">
        <v>207</v>
      </c>
      <c r="O5346" t="s">
        <v>11535</v>
      </c>
      <c r="P5346" t="s">
        <v>11454</v>
      </c>
      <c r="Q5346" t="s">
        <v>209</v>
      </c>
    </row>
    <row r="5347" spans="1:17" x14ac:dyDescent="0.3">
      <c r="A5347" t="s">
        <v>11536</v>
      </c>
      <c r="C5347" t="s">
        <v>11537</v>
      </c>
      <c r="D5347" t="s">
        <v>11537</v>
      </c>
      <c r="E5347" s="5">
        <v>46294</v>
      </c>
      <c r="F5347" t="s">
        <v>204</v>
      </c>
      <c r="G5347" t="s">
        <v>220</v>
      </c>
      <c r="H5347">
        <v>9798</v>
      </c>
      <c r="I5347">
        <v>29.39</v>
      </c>
      <c r="J5347">
        <v>5.29</v>
      </c>
      <c r="K5347">
        <v>9763.32</v>
      </c>
      <c r="L5347" s="5">
        <v>46296</v>
      </c>
      <c r="M5347" t="s">
        <v>11453</v>
      </c>
      <c r="N5347" t="s">
        <v>207</v>
      </c>
      <c r="O5347" t="s">
        <v>11537</v>
      </c>
      <c r="P5347" t="s">
        <v>11454</v>
      </c>
      <c r="Q5347" t="s">
        <v>209</v>
      </c>
    </row>
    <row r="5348" spans="1:17" x14ac:dyDescent="0.3">
      <c r="A5348" t="s">
        <v>11538</v>
      </c>
      <c r="C5348" t="s">
        <v>11539</v>
      </c>
      <c r="D5348" t="s">
        <v>11539</v>
      </c>
      <c r="E5348" s="5">
        <v>46294</v>
      </c>
      <c r="F5348" t="s">
        <v>204</v>
      </c>
      <c r="G5348" t="s">
        <v>213</v>
      </c>
      <c r="H5348">
        <v>3298</v>
      </c>
      <c r="I5348">
        <v>52.77</v>
      </c>
      <c r="J5348">
        <v>9.5</v>
      </c>
      <c r="K5348">
        <v>3235.73</v>
      </c>
      <c r="L5348" s="5">
        <v>46296</v>
      </c>
      <c r="M5348" t="s">
        <v>11453</v>
      </c>
      <c r="N5348" t="s">
        <v>207</v>
      </c>
      <c r="O5348" t="s">
        <v>11539</v>
      </c>
      <c r="P5348" t="s">
        <v>11454</v>
      </c>
      <c r="Q5348" t="s">
        <v>209</v>
      </c>
    </row>
    <row r="5349" spans="1:17" x14ac:dyDescent="0.3">
      <c r="A5349" t="s">
        <v>11540</v>
      </c>
      <c r="C5349" t="s">
        <v>11541</v>
      </c>
      <c r="D5349" t="s">
        <v>11541</v>
      </c>
      <c r="E5349" s="5">
        <v>46294</v>
      </c>
      <c r="F5349" t="s">
        <v>204</v>
      </c>
      <c r="G5349" t="s">
        <v>213</v>
      </c>
      <c r="H5349">
        <v>3298</v>
      </c>
      <c r="I5349">
        <v>52.77</v>
      </c>
      <c r="J5349">
        <v>9.5</v>
      </c>
      <c r="K5349">
        <v>3235.73</v>
      </c>
      <c r="L5349" s="5">
        <v>46296</v>
      </c>
      <c r="M5349" t="s">
        <v>11453</v>
      </c>
      <c r="N5349" t="s">
        <v>207</v>
      </c>
      <c r="O5349" t="s">
        <v>11541</v>
      </c>
      <c r="P5349" t="s">
        <v>11454</v>
      </c>
      <c r="Q5349" t="s">
        <v>209</v>
      </c>
    </row>
    <row r="5350" spans="1:17" x14ac:dyDescent="0.3">
      <c r="A5350" t="s">
        <v>11542</v>
      </c>
      <c r="C5350" t="s">
        <v>11543</v>
      </c>
      <c r="D5350" t="s">
        <v>11543</v>
      </c>
      <c r="E5350" s="5">
        <v>46294</v>
      </c>
      <c r="F5350" t="s">
        <v>204</v>
      </c>
      <c r="G5350" t="s">
        <v>255</v>
      </c>
      <c r="H5350">
        <v>4847</v>
      </c>
      <c r="I5350">
        <v>58.16</v>
      </c>
      <c r="J5350">
        <v>10.47</v>
      </c>
      <c r="K5350">
        <v>4778.37</v>
      </c>
      <c r="L5350" s="5">
        <v>46296</v>
      </c>
      <c r="M5350" t="s">
        <v>11453</v>
      </c>
      <c r="N5350" t="s">
        <v>207</v>
      </c>
      <c r="O5350" t="s">
        <v>11543</v>
      </c>
      <c r="P5350" t="s">
        <v>11454</v>
      </c>
      <c r="Q5350" t="s">
        <v>209</v>
      </c>
    </row>
    <row r="5351" spans="1:17" x14ac:dyDescent="0.3">
      <c r="A5351" t="s">
        <v>11544</v>
      </c>
      <c r="C5351" t="s">
        <v>11545</v>
      </c>
      <c r="D5351" t="s">
        <v>11545</v>
      </c>
      <c r="E5351" s="5">
        <v>46294</v>
      </c>
      <c r="F5351" t="s">
        <v>204</v>
      </c>
      <c r="G5351" t="s">
        <v>205</v>
      </c>
      <c r="H5351">
        <v>2848</v>
      </c>
      <c r="I5351">
        <v>48.42</v>
      </c>
      <c r="J5351">
        <v>8.7200000000000006</v>
      </c>
      <c r="K5351">
        <v>2790.86</v>
      </c>
      <c r="L5351" s="5">
        <v>46296</v>
      </c>
      <c r="M5351" t="s">
        <v>11453</v>
      </c>
      <c r="N5351" t="s">
        <v>207</v>
      </c>
      <c r="O5351" t="s">
        <v>11545</v>
      </c>
      <c r="P5351" t="s">
        <v>11454</v>
      </c>
      <c r="Q5351" t="s">
        <v>209</v>
      </c>
    </row>
    <row r="5352" spans="1:17" x14ac:dyDescent="0.3">
      <c r="A5352" t="s">
        <v>11546</v>
      </c>
      <c r="C5352" t="s">
        <v>11547</v>
      </c>
      <c r="D5352" t="s">
        <v>11548</v>
      </c>
      <c r="E5352" s="5">
        <v>46294</v>
      </c>
      <c r="F5352" t="s">
        <v>204</v>
      </c>
      <c r="G5352" t="s">
        <v>220</v>
      </c>
      <c r="H5352">
        <v>5498</v>
      </c>
      <c r="I5352">
        <v>16.489999999999998</v>
      </c>
      <c r="J5352">
        <v>2.97</v>
      </c>
      <c r="K5352">
        <v>5478.54</v>
      </c>
      <c r="L5352" s="5">
        <v>46296</v>
      </c>
      <c r="M5352" t="s">
        <v>11453</v>
      </c>
      <c r="N5352" t="s">
        <v>207</v>
      </c>
      <c r="O5352" t="s">
        <v>11548</v>
      </c>
      <c r="P5352" t="s">
        <v>11454</v>
      </c>
      <c r="Q5352" t="s">
        <v>209</v>
      </c>
    </row>
    <row r="5353" spans="1:17" x14ac:dyDescent="0.3">
      <c r="A5353" t="s">
        <v>11549</v>
      </c>
      <c r="C5353" t="s">
        <v>11550</v>
      </c>
      <c r="D5353" t="s">
        <v>11550</v>
      </c>
      <c r="E5353" s="5">
        <v>46294</v>
      </c>
      <c r="F5353" t="s">
        <v>204</v>
      </c>
      <c r="G5353" t="s">
        <v>205</v>
      </c>
      <c r="H5353">
        <v>3848</v>
      </c>
      <c r="I5353">
        <v>92.35</v>
      </c>
      <c r="J5353">
        <v>16.62</v>
      </c>
      <c r="K5353">
        <v>3739.03</v>
      </c>
      <c r="L5353" s="5">
        <v>46296</v>
      </c>
      <c r="M5353" t="s">
        <v>11453</v>
      </c>
      <c r="N5353" t="s">
        <v>207</v>
      </c>
      <c r="O5353" t="s">
        <v>11550</v>
      </c>
      <c r="P5353" t="s">
        <v>11454</v>
      </c>
      <c r="Q5353" t="s">
        <v>209</v>
      </c>
    </row>
    <row r="5354" spans="1:17" x14ac:dyDescent="0.3">
      <c r="A5354" t="s">
        <v>11551</v>
      </c>
      <c r="C5354" t="s">
        <v>11552</v>
      </c>
      <c r="D5354" t="s">
        <v>11552</v>
      </c>
      <c r="E5354" s="5">
        <v>46294</v>
      </c>
      <c r="F5354" t="s">
        <v>204</v>
      </c>
      <c r="G5354" t="s">
        <v>213</v>
      </c>
      <c r="H5354">
        <v>4999</v>
      </c>
      <c r="I5354">
        <v>79.98</v>
      </c>
      <c r="J5354">
        <v>14.4</v>
      </c>
      <c r="K5354">
        <v>4904.62</v>
      </c>
      <c r="L5354" s="5">
        <v>46296</v>
      </c>
      <c r="M5354" t="s">
        <v>11453</v>
      </c>
      <c r="N5354" t="s">
        <v>207</v>
      </c>
      <c r="O5354" t="s">
        <v>11552</v>
      </c>
      <c r="P5354" t="s">
        <v>11454</v>
      </c>
      <c r="Q5354" t="s">
        <v>209</v>
      </c>
    </row>
    <row r="5355" spans="1:17" x14ac:dyDescent="0.3">
      <c r="A5355" t="s">
        <v>11553</v>
      </c>
      <c r="C5355" t="s">
        <v>11554</v>
      </c>
      <c r="D5355" t="s">
        <v>11554</v>
      </c>
      <c r="E5355" s="5">
        <v>46294</v>
      </c>
      <c r="F5355" t="s">
        <v>204</v>
      </c>
      <c r="G5355" t="s">
        <v>220</v>
      </c>
      <c r="H5355">
        <v>5598</v>
      </c>
      <c r="I5355">
        <v>16.79</v>
      </c>
      <c r="J5355">
        <v>3.02</v>
      </c>
      <c r="K5355">
        <v>5578.19</v>
      </c>
      <c r="L5355" s="5">
        <v>46296</v>
      </c>
      <c r="M5355" t="s">
        <v>11453</v>
      </c>
      <c r="N5355" t="s">
        <v>207</v>
      </c>
      <c r="O5355" t="s">
        <v>11554</v>
      </c>
      <c r="P5355" t="s">
        <v>11454</v>
      </c>
      <c r="Q5355" t="s">
        <v>209</v>
      </c>
    </row>
    <row r="5356" spans="1:17" x14ac:dyDescent="0.3">
      <c r="A5356" t="s">
        <v>11555</v>
      </c>
      <c r="C5356" t="s">
        <v>11556</v>
      </c>
      <c r="D5356" t="s">
        <v>11556</v>
      </c>
      <c r="E5356" s="5">
        <v>46294</v>
      </c>
      <c r="F5356" t="s">
        <v>204</v>
      </c>
      <c r="G5356" t="s">
        <v>213</v>
      </c>
      <c r="H5356">
        <v>499</v>
      </c>
      <c r="I5356">
        <v>8.98</v>
      </c>
      <c r="J5356">
        <v>1.62</v>
      </c>
      <c r="K5356">
        <v>488.4</v>
      </c>
      <c r="L5356" s="5">
        <v>46296</v>
      </c>
      <c r="M5356" t="s">
        <v>11453</v>
      </c>
      <c r="N5356" t="s">
        <v>207</v>
      </c>
      <c r="O5356" t="s">
        <v>11556</v>
      </c>
      <c r="P5356" t="s">
        <v>11454</v>
      </c>
      <c r="Q5356" t="s">
        <v>209</v>
      </c>
    </row>
    <row r="5357" spans="1:17" x14ac:dyDescent="0.3">
      <c r="A5357" t="s">
        <v>11557</v>
      </c>
      <c r="C5357" t="s">
        <v>11558</v>
      </c>
      <c r="D5357" t="s">
        <v>11558</v>
      </c>
      <c r="E5357" s="5">
        <v>46294</v>
      </c>
      <c r="F5357" t="s">
        <v>204</v>
      </c>
      <c r="G5357" t="s">
        <v>205</v>
      </c>
      <c r="H5357">
        <v>9297</v>
      </c>
      <c r="I5357">
        <v>158.05000000000001</v>
      </c>
      <c r="J5357">
        <v>28.45</v>
      </c>
      <c r="K5357">
        <v>9110.5</v>
      </c>
      <c r="L5357" s="5">
        <v>46296</v>
      </c>
      <c r="M5357" t="s">
        <v>11453</v>
      </c>
      <c r="N5357" t="s">
        <v>207</v>
      </c>
      <c r="O5357" t="s">
        <v>11558</v>
      </c>
      <c r="P5357" t="s">
        <v>11454</v>
      </c>
      <c r="Q5357" t="s">
        <v>209</v>
      </c>
    </row>
    <row r="5358" spans="1:17" x14ac:dyDescent="0.3">
      <c r="A5358" t="s">
        <v>11559</v>
      </c>
      <c r="C5358" t="s">
        <v>11560</v>
      </c>
      <c r="D5358" t="s">
        <v>11560</v>
      </c>
      <c r="E5358" s="5">
        <v>46294</v>
      </c>
      <c r="F5358" t="s">
        <v>204</v>
      </c>
      <c r="G5358" t="s">
        <v>213</v>
      </c>
      <c r="H5358">
        <v>799</v>
      </c>
      <c r="I5358">
        <v>14.38</v>
      </c>
      <c r="J5358">
        <v>2.59</v>
      </c>
      <c r="K5358">
        <v>782.03</v>
      </c>
      <c r="L5358" s="5">
        <v>46296</v>
      </c>
      <c r="M5358" t="s">
        <v>11453</v>
      </c>
      <c r="N5358" t="s">
        <v>207</v>
      </c>
      <c r="O5358" t="s">
        <v>11560</v>
      </c>
      <c r="P5358" t="s">
        <v>11454</v>
      </c>
      <c r="Q5358" t="s">
        <v>209</v>
      </c>
    </row>
    <row r="5359" spans="1:17" x14ac:dyDescent="0.3">
      <c r="A5359" t="s">
        <v>11561</v>
      </c>
      <c r="C5359" t="s">
        <v>11562</v>
      </c>
      <c r="D5359" t="s">
        <v>11562</v>
      </c>
      <c r="E5359" s="5">
        <v>46294</v>
      </c>
      <c r="F5359" t="s">
        <v>204</v>
      </c>
      <c r="G5359" t="s">
        <v>220</v>
      </c>
      <c r="H5359">
        <v>5998</v>
      </c>
      <c r="I5359">
        <v>17.989999999999998</v>
      </c>
      <c r="J5359">
        <v>3.24</v>
      </c>
      <c r="K5359">
        <v>5976.77</v>
      </c>
      <c r="L5359" s="5">
        <v>46296</v>
      </c>
      <c r="M5359" t="s">
        <v>11453</v>
      </c>
      <c r="N5359" t="s">
        <v>207</v>
      </c>
      <c r="O5359" t="s">
        <v>11562</v>
      </c>
      <c r="P5359" t="s">
        <v>11454</v>
      </c>
      <c r="Q5359" t="s">
        <v>209</v>
      </c>
    </row>
    <row r="5360" spans="1:17" x14ac:dyDescent="0.3">
      <c r="A5360" t="s">
        <v>11563</v>
      </c>
      <c r="C5360" t="s">
        <v>11564</v>
      </c>
      <c r="D5360" t="s">
        <v>11564</v>
      </c>
      <c r="E5360" s="5">
        <v>46294</v>
      </c>
      <c r="F5360" t="s">
        <v>204</v>
      </c>
      <c r="G5360" t="s">
        <v>255</v>
      </c>
      <c r="H5360">
        <v>1499</v>
      </c>
      <c r="I5360">
        <v>22.49</v>
      </c>
      <c r="J5360">
        <v>4.05</v>
      </c>
      <c r="K5360">
        <v>1472.46</v>
      </c>
      <c r="L5360" s="5">
        <v>46296</v>
      </c>
      <c r="M5360" t="s">
        <v>11453</v>
      </c>
      <c r="N5360" t="s">
        <v>207</v>
      </c>
      <c r="O5360" t="s">
        <v>11564</v>
      </c>
      <c r="P5360" t="s">
        <v>11454</v>
      </c>
      <c r="Q5360" t="s">
        <v>209</v>
      </c>
    </row>
    <row r="5361" spans="1:17" x14ac:dyDescent="0.3">
      <c r="A5361" t="s">
        <v>11565</v>
      </c>
      <c r="C5361" t="s">
        <v>11566</v>
      </c>
      <c r="D5361" t="s">
        <v>11566</v>
      </c>
      <c r="E5361" s="5">
        <v>46294</v>
      </c>
      <c r="F5361" t="s">
        <v>204</v>
      </c>
      <c r="G5361" t="s">
        <v>213</v>
      </c>
      <c r="H5361">
        <v>2298</v>
      </c>
      <c r="I5361">
        <v>36.770000000000003</v>
      </c>
      <c r="J5361">
        <v>6.62</v>
      </c>
      <c r="K5361">
        <v>2254.61</v>
      </c>
      <c r="L5361" s="5">
        <v>46296</v>
      </c>
      <c r="M5361" t="s">
        <v>11453</v>
      </c>
      <c r="N5361" t="s">
        <v>207</v>
      </c>
      <c r="O5361" t="s">
        <v>11566</v>
      </c>
      <c r="P5361" t="s">
        <v>11454</v>
      </c>
      <c r="Q5361" t="s">
        <v>209</v>
      </c>
    </row>
    <row r="5362" spans="1:17" x14ac:dyDescent="0.3">
      <c r="A5362" t="s">
        <v>11567</v>
      </c>
      <c r="C5362" t="s">
        <v>11568</v>
      </c>
      <c r="D5362" t="s">
        <v>11568</v>
      </c>
      <c r="E5362" s="5">
        <v>46294</v>
      </c>
      <c r="F5362" t="s">
        <v>204</v>
      </c>
      <c r="G5362" t="s">
        <v>220</v>
      </c>
      <c r="H5362">
        <v>299</v>
      </c>
      <c r="I5362">
        <v>0</v>
      </c>
      <c r="J5362">
        <v>0</v>
      </c>
      <c r="K5362">
        <v>299</v>
      </c>
      <c r="L5362" s="5">
        <v>46296</v>
      </c>
      <c r="M5362" t="s">
        <v>11453</v>
      </c>
      <c r="N5362" t="s">
        <v>207</v>
      </c>
      <c r="O5362" t="s">
        <v>11568</v>
      </c>
      <c r="P5362" t="s">
        <v>11454</v>
      </c>
      <c r="Q5362" t="s">
        <v>209</v>
      </c>
    </row>
    <row r="5363" spans="1:17" x14ac:dyDescent="0.3">
      <c r="A5363" t="s">
        <v>11569</v>
      </c>
      <c r="C5363" t="s">
        <v>11570</v>
      </c>
      <c r="D5363" t="s">
        <v>11571</v>
      </c>
      <c r="E5363" s="5">
        <v>46294</v>
      </c>
      <c r="F5363" t="s">
        <v>204</v>
      </c>
      <c r="G5363" t="s">
        <v>213</v>
      </c>
      <c r="H5363">
        <v>999</v>
      </c>
      <c r="I5363">
        <v>17.98</v>
      </c>
      <c r="J5363">
        <v>3.24</v>
      </c>
      <c r="K5363">
        <v>977.78</v>
      </c>
      <c r="L5363" s="5">
        <v>46296</v>
      </c>
      <c r="M5363" t="s">
        <v>11453</v>
      </c>
      <c r="N5363" t="s">
        <v>207</v>
      </c>
      <c r="O5363" t="s">
        <v>11571</v>
      </c>
      <c r="P5363" t="s">
        <v>11454</v>
      </c>
      <c r="Q5363" t="s">
        <v>209</v>
      </c>
    </row>
    <row r="5364" spans="1:17" x14ac:dyDescent="0.3">
      <c r="A5364" t="s">
        <v>11572</v>
      </c>
      <c r="C5364" t="s">
        <v>11573</v>
      </c>
      <c r="D5364" t="s">
        <v>11573</v>
      </c>
      <c r="E5364" s="5">
        <v>46294</v>
      </c>
      <c r="F5364" t="s">
        <v>204</v>
      </c>
      <c r="G5364" t="s">
        <v>213</v>
      </c>
      <c r="H5364">
        <v>5998</v>
      </c>
      <c r="I5364">
        <v>95.97</v>
      </c>
      <c r="J5364">
        <v>17.27</v>
      </c>
      <c r="K5364">
        <v>5884.76</v>
      </c>
      <c r="L5364" s="5">
        <v>46296</v>
      </c>
      <c r="M5364" t="s">
        <v>11453</v>
      </c>
      <c r="N5364" t="s">
        <v>207</v>
      </c>
      <c r="O5364" t="s">
        <v>11573</v>
      </c>
      <c r="P5364" t="s">
        <v>11454</v>
      </c>
      <c r="Q5364" t="s">
        <v>209</v>
      </c>
    </row>
    <row r="5365" spans="1:17" x14ac:dyDescent="0.3">
      <c r="A5365" t="s">
        <v>11574</v>
      </c>
      <c r="C5365" t="s">
        <v>11575</v>
      </c>
      <c r="D5365" t="s">
        <v>11575</v>
      </c>
      <c r="E5365" s="5">
        <v>46294</v>
      </c>
      <c r="F5365" t="s">
        <v>204</v>
      </c>
      <c r="G5365" t="s">
        <v>220</v>
      </c>
      <c r="H5365">
        <v>1998</v>
      </c>
      <c r="I5365">
        <v>0</v>
      </c>
      <c r="J5365">
        <v>0</v>
      </c>
      <c r="K5365">
        <v>1998</v>
      </c>
      <c r="L5365" s="5">
        <v>46296</v>
      </c>
      <c r="M5365" t="s">
        <v>11453</v>
      </c>
      <c r="N5365" t="s">
        <v>207</v>
      </c>
      <c r="O5365" t="s">
        <v>11575</v>
      </c>
      <c r="P5365" t="s">
        <v>11454</v>
      </c>
      <c r="Q5365" t="s">
        <v>209</v>
      </c>
    </row>
    <row r="5366" spans="1:17" x14ac:dyDescent="0.3">
      <c r="A5366" t="s">
        <v>11576</v>
      </c>
      <c r="C5366" t="s">
        <v>11577</v>
      </c>
      <c r="D5366" t="s">
        <v>11577</v>
      </c>
      <c r="E5366" s="5">
        <v>46294</v>
      </c>
      <c r="F5366" t="s">
        <v>204</v>
      </c>
      <c r="G5366" t="s">
        <v>220</v>
      </c>
      <c r="H5366">
        <v>499</v>
      </c>
      <c r="I5366">
        <v>0</v>
      </c>
      <c r="J5366">
        <v>0</v>
      </c>
      <c r="K5366">
        <v>499</v>
      </c>
      <c r="L5366" s="5">
        <v>46296</v>
      </c>
      <c r="M5366" t="s">
        <v>11453</v>
      </c>
      <c r="N5366" t="s">
        <v>207</v>
      </c>
      <c r="O5366" t="s">
        <v>11577</v>
      </c>
      <c r="P5366" t="s">
        <v>11454</v>
      </c>
      <c r="Q5366" t="s">
        <v>209</v>
      </c>
    </row>
    <row r="5367" spans="1:17" x14ac:dyDescent="0.3">
      <c r="A5367" t="s">
        <v>11578</v>
      </c>
      <c r="C5367" t="s">
        <v>11579</v>
      </c>
      <c r="D5367" t="s">
        <v>11579</v>
      </c>
      <c r="E5367" s="5">
        <v>46294</v>
      </c>
      <c r="F5367" t="s">
        <v>204</v>
      </c>
      <c r="G5367" t="s">
        <v>213</v>
      </c>
      <c r="H5367">
        <v>4897</v>
      </c>
      <c r="I5367">
        <v>78.349999999999994</v>
      </c>
      <c r="J5367">
        <v>14.1</v>
      </c>
      <c r="K5367">
        <v>4804.55</v>
      </c>
      <c r="L5367" s="5">
        <v>46296</v>
      </c>
      <c r="M5367" t="s">
        <v>11453</v>
      </c>
      <c r="N5367" t="s">
        <v>207</v>
      </c>
      <c r="O5367" t="s">
        <v>11579</v>
      </c>
      <c r="P5367" t="s">
        <v>11454</v>
      </c>
      <c r="Q5367" t="s">
        <v>209</v>
      </c>
    </row>
    <row r="5368" spans="1:17" x14ac:dyDescent="0.3">
      <c r="A5368" t="s">
        <v>11580</v>
      </c>
      <c r="C5368" t="s">
        <v>11581</v>
      </c>
      <c r="D5368" t="s">
        <v>11582</v>
      </c>
      <c r="E5368" s="5">
        <v>46294</v>
      </c>
      <c r="F5368" t="s">
        <v>204</v>
      </c>
      <c r="G5368" t="s">
        <v>220</v>
      </c>
      <c r="H5368">
        <v>948</v>
      </c>
      <c r="I5368">
        <v>0</v>
      </c>
      <c r="J5368">
        <v>0</v>
      </c>
      <c r="K5368">
        <v>948</v>
      </c>
      <c r="L5368" s="5">
        <v>46296</v>
      </c>
      <c r="M5368" t="s">
        <v>11453</v>
      </c>
      <c r="N5368" t="s">
        <v>207</v>
      </c>
      <c r="O5368" t="s">
        <v>11582</v>
      </c>
      <c r="P5368" t="s">
        <v>11454</v>
      </c>
      <c r="Q5368" t="s">
        <v>209</v>
      </c>
    </row>
    <row r="5369" spans="1:17" x14ac:dyDescent="0.3">
      <c r="A5369" t="s">
        <v>11583</v>
      </c>
      <c r="C5369" t="s">
        <v>11584</v>
      </c>
      <c r="D5369" t="s">
        <v>11584</v>
      </c>
      <c r="E5369" s="5">
        <v>46294</v>
      </c>
      <c r="F5369" t="s">
        <v>204</v>
      </c>
      <c r="G5369" t="s">
        <v>205</v>
      </c>
      <c r="H5369">
        <v>4298</v>
      </c>
      <c r="I5369">
        <v>73.069999999999993</v>
      </c>
      <c r="J5369">
        <v>13.15</v>
      </c>
      <c r="K5369">
        <v>4211.78</v>
      </c>
      <c r="L5369" s="5">
        <v>46296</v>
      </c>
      <c r="M5369" t="s">
        <v>11453</v>
      </c>
      <c r="N5369" t="s">
        <v>207</v>
      </c>
      <c r="O5369" t="s">
        <v>11584</v>
      </c>
      <c r="P5369" t="s">
        <v>11454</v>
      </c>
      <c r="Q5369" t="s">
        <v>209</v>
      </c>
    </row>
    <row r="5370" spans="1:17" x14ac:dyDescent="0.3">
      <c r="A5370" t="s">
        <v>11585</v>
      </c>
      <c r="C5370" t="s">
        <v>11586</v>
      </c>
      <c r="D5370" t="s">
        <v>11586</v>
      </c>
      <c r="E5370" s="5">
        <v>46294</v>
      </c>
      <c r="F5370" t="s">
        <v>204</v>
      </c>
      <c r="G5370" t="s">
        <v>220</v>
      </c>
      <c r="H5370">
        <v>1499</v>
      </c>
      <c r="I5370">
        <v>0</v>
      </c>
      <c r="J5370">
        <v>0</v>
      </c>
      <c r="K5370">
        <v>1499</v>
      </c>
      <c r="L5370" s="5">
        <v>46296</v>
      </c>
      <c r="M5370" t="s">
        <v>11453</v>
      </c>
      <c r="N5370" t="s">
        <v>207</v>
      </c>
      <c r="O5370" t="s">
        <v>11586</v>
      </c>
      <c r="P5370" t="s">
        <v>11454</v>
      </c>
      <c r="Q5370" t="s">
        <v>209</v>
      </c>
    </row>
    <row r="5371" spans="1:17" x14ac:dyDescent="0.3">
      <c r="A5371" t="s">
        <v>11587</v>
      </c>
      <c r="C5371" t="s">
        <v>11588</v>
      </c>
      <c r="D5371" t="s">
        <v>11588</v>
      </c>
      <c r="E5371" s="5">
        <v>46294</v>
      </c>
      <c r="F5371" t="s">
        <v>204</v>
      </c>
      <c r="G5371" t="s">
        <v>220</v>
      </c>
      <c r="H5371">
        <v>599</v>
      </c>
      <c r="I5371">
        <v>0</v>
      </c>
      <c r="J5371">
        <v>0</v>
      </c>
      <c r="K5371">
        <v>599</v>
      </c>
      <c r="L5371" s="5">
        <v>46296</v>
      </c>
      <c r="M5371" t="s">
        <v>11453</v>
      </c>
      <c r="N5371" t="s">
        <v>207</v>
      </c>
      <c r="O5371" t="s">
        <v>11588</v>
      </c>
      <c r="P5371" t="s">
        <v>11454</v>
      </c>
      <c r="Q5371" t="s">
        <v>209</v>
      </c>
    </row>
    <row r="5372" spans="1:17" x14ac:dyDescent="0.3">
      <c r="A5372" t="s">
        <v>11589</v>
      </c>
      <c r="C5372" t="s">
        <v>11590</v>
      </c>
      <c r="D5372" t="s">
        <v>11590</v>
      </c>
      <c r="E5372" s="5">
        <v>46294</v>
      </c>
      <c r="F5372" t="s">
        <v>204</v>
      </c>
      <c r="G5372" t="s">
        <v>213</v>
      </c>
      <c r="H5372">
        <v>599</v>
      </c>
      <c r="I5372">
        <v>10.78</v>
      </c>
      <c r="J5372">
        <v>1.94</v>
      </c>
      <c r="K5372">
        <v>586.28</v>
      </c>
      <c r="L5372" s="5">
        <v>46296</v>
      </c>
      <c r="M5372" t="s">
        <v>11453</v>
      </c>
      <c r="N5372" t="s">
        <v>207</v>
      </c>
      <c r="O5372" t="s">
        <v>11590</v>
      </c>
      <c r="P5372" t="s">
        <v>11454</v>
      </c>
      <c r="Q5372" t="s">
        <v>209</v>
      </c>
    </row>
    <row r="5373" spans="1:17" x14ac:dyDescent="0.3">
      <c r="A5373" t="s">
        <v>11591</v>
      </c>
      <c r="C5373" t="s">
        <v>11592</v>
      </c>
      <c r="D5373" t="s">
        <v>11592</v>
      </c>
      <c r="E5373" s="5">
        <v>46294</v>
      </c>
      <c r="F5373" t="s">
        <v>204</v>
      </c>
      <c r="G5373" t="s">
        <v>255</v>
      </c>
      <c r="H5373">
        <v>999</v>
      </c>
      <c r="I5373">
        <v>14.99</v>
      </c>
      <c r="J5373">
        <v>2.7</v>
      </c>
      <c r="K5373">
        <v>981.31</v>
      </c>
      <c r="L5373" s="5">
        <v>46296</v>
      </c>
      <c r="M5373" t="s">
        <v>11453</v>
      </c>
      <c r="N5373" t="s">
        <v>207</v>
      </c>
      <c r="O5373" t="s">
        <v>11592</v>
      </c>
      <c r="P5373" t="s">
        <v>11454</v>
      </c>
      <c r="Q5373" t="s">
        <v>209</v>
      </c>
    </row>
    <row r="5374" spans="1:17" x14ac:dyDescent="0.3">
      <c r="A5374" t="s">
        <v>11593</v>
      </c>
      <c r="C5374" t="s">
        <v>11594</v>
      </c>
      <c r="D5374" t="s">
        <v>11594</v>
      </c>
      <c r="E5374" s="5">
        <v>46294</v>
      </c>
      <c r="F5374" t="s">
        <v>204</v>
      </c>
      <c r="G5374" t="s">
        <v>220</v>
      </c>
      <c r="H5374">
        <v>299</v>
      </c>
      <c r="I5374">
        <v>0</v>
      </c>
      <c r="J5374">
        <v>0</v>
      </c>
      <c r="K5374">
        <v>299</v>
      </c>
      <c r="L5374" s="5">
        <v>46296</v>
      </c>
      <c r="M5374" t="s">
        <v>11453</v>
      </c>
      <c r="N5374" t="s">
        <v>207</v>
      </c>
      <c r="O5374" t="s">
        <v>11594</v>
      </c>
      <c r="P5374" t="s">
        <v>11454</v>
      </c>
      <c r="Q5374" t="s">
        <v>209</v>
      </c>
    </row>
    <row r="5375" spans="1:17" x14ac:dyDescent="0.3">
      <c r="A5375" t="s">
        <v>11595</v>
      </c>
      <c r="C5375" t="s">
        <v>11596</v>
      </c>
      <c r="D5375" t="s">
        <v>11596</v>
      </c>
      <c r="E5375" s="5">
        <v>46294</v>
      </c>
      <c r="F5375" t="s">
        <v>204</v>
      </c>
      <c r="G5375" t="s">
        <v>220</v>
      </c>
      <c r="H5375">
        <v>799</v>
      </c>
      <c r="I5375">
        <v>0</v>
      </c>
      <c r="J5375">
        <v>0</v>
      </c>
      <c r="K5375">
        <v>799</v>
      </c>
      <c r="L5375" s="5">
        <v>46296</v>
      </c>
      <c r="M5375" t="s">
        <v>11453</v>
      </c>
      <c r="N5375" t="s">
        <v>207</v>
      </c>
      <c r="O5375" t="s">
        <v>11596</v>
      </c>
      <c r="P5375" t="s">
        <v>11454</v>
      </c>
      <c r="Q5375" t="s">
        <v>209</v>
      </c>
    </row>
    <row r="5376" spans="1:17" x14ac:dyDescent="0.3">
      <c r="A5376" t="s">
        <v>11597</v>
      </c>
      <c r="C5376" t="s">
        <v>11598</v>
      </c>
      <c r="D5376" t="s">
        <v>11598</v>
      </c>
      <c r="E5376" s="5">
        <v>46294</v>
      </c>
      <c r="F5376" t="s">
        <v>204</v>
      </c>
      <c r="G5376" t="s">
        <v>220</v>
      </c>
      <c r="H5376">
        <v>7797</v>
      </c>
      <c r="I5376">
        <v>23.39</v>
      </c>
      <c r="J5376">
        <v>4.21</v>
      </c>
      <c r="K5376">
        <v>7769.4</v>
      </c>
      <c r="L5376" s="5">
        <v>46296</v>
      </c>
      <c r="M5376" t="s">
        <v>11453</v>
      </c>
      <c r="N5376" t="s">
        <v>207</v>
      </c>
      <c r="O5376" t="s">
        <v>11598</v>
      </c>
      <c r="P5376" t="s">
        <v>11454</v>
      </c>
      <c r="Q5376" t="s">
        <v>209</v>
      </c>
    </row>
    <row r="5377" spans="1:17" x14ac:dyDescent="0.3">
      <c r="A5377" t="s">
        <v>11599</v>
      </c>
      <c r="C5377" t="s">
        <v>11600</v>
      </c>
      <c r="D5377" t="s">
        <v>11600</v>
      </c>
      <c r="E5377" s="5">
        <v>46294</v>
      </c>
      <c r="F5377" t="s">
        <v>204</v>
      </c>
      <c r="G5377" t="s">
        <v>220</v>
      </c>
      <c r="H5377">
        <v>6498</v>
      </c>
      <c r="I5377">
        <v>19.489999999999998</v>
      </c>
      <c r="J5377">
        <v>3.51</v>
      </c>
      <c r="K5377">
        <v>6475</v>
      </c>
      <c r="L5377" s="5">
        <v>46296</v>
      </c>
      <c r="M5377" t="s">
        <v>11453</v>
      </c>
      <c r="N5377" t="s">
        <v>207</v>
      </c>
      <c r="O5377" t="s">
        <v>11600</v>
      </c>
      <c r="P5377" t="s">
        <v>11454</v>
      </c>
      <c r="Q5377" t="s">
        <v>209</v>
      </c>
    </row>
    <row r="5378" spans="1:17" x14ac:dyDescent="0.3">
      <c r="A5378" t="s">
        <v>11601</v>
      </c>
      <c r="C5378" t="s">
        <v>11602</v>
      </c>
      <c r="D5378" t="s">
        <v>11603</v>
      </c>
      <c r="E5378" s="5">
        <v>46294</v>
      </c>
      <c r="F5378" t="s">
        <v>204</v>
      </c>
      <c r="G5378" t="s">
        <v>220</v>
      </c>
      <c r="H5378">
        <v>3798</v>
      </c>
      <c r="I5378">
        <v>11.39</v>
      </c>
      <c r="J5378">
        <v>2.0499999999999998</v>
      </c>
      <c r="K5378">
        <v>3784.56</v>
      </c>
      <c r="L5378" s="5">
        <v>46296</v>
      </c>
      <c r="M5378" t="s">
        <v>11453</v>
      </c>
      <c r="N5378" t="s">
        <v>207</v>
      </c>
      <c r="O5378" t="s">
        <v>11603</v>
      </c>
      <c r="P5378" t="s">
        <v>11454</v>
      </c>
      <c r="Q5378" t="s">
        <v>209</v>
      </c>
    </row>
    <row r="5379" spans="1:17" x14ac:dyDescent="0.3">
      <c r="A5379" t="s">
        <v>11604</v>
      </c>
      <c r="C5379" t="s">
        <v>11605</v>
      </c>
      <c r="D5379" t="s">
        <v>11605</v>
      </c>
      <c r="E5379" s="5">
        <v>46294</v>
      </c>
      <c r="F5379" t="s">
        <v>204</v>
      </c>
      <c r="G5379" t="s">
        <v>213</v>
      </c>
      <c r="H5379">
        <v>9498</v>
      </c>
      <c r="I5379">
        <v>151.97</v>
      </c>
      <c r="J5379">
        <v>27.35</v>
      </c>
      <c r="K5379">
        <v>9318.68</v>
      </c>
      <c r="L5379" s="5">
        <v>46296</v>
      </c>
      <c r="M5379" t="s">
        <v>11453</v>
      </c>
      <c r="N5379" t="s">
        <v>207</v>
      </c>
      <c r="O5379" t="s">
        <v>11605</v>
      </c>
      <c r="P5379" t="s">
        <v>11454</v>
      </c>
      <c r="Q5379" t="s">
        <v>209</v>
      </c>
    </row>
    <row r="5380" spans="1:17" x14ac:dyDescent="0.3">
      <c r="A5380" t="s">
        <v>11606</v>
      </c>
      <c r="C5380" t="s">
        <v>11607</v>
      </c>
      <c r="D5380" t="s">
        <v>11607</v>
      </c>
      <c r="E5380" s="5">
        <v>46294</v>
      </c>
      <c r="F5380" t="s">
        <v>204</v>
      </c>
      <c r="G5380" t="s">
        <v>205</v>
      </c>
      <c r="H5380">
        <v>8797</v>
      </c>
      <c r="I5380">
        <v>149.55000000000001</v>
      </c>
      <c r="J5380">
        <v>26.92</v>
      </c>
      <c r="K5380">
        <v>8620.5300000000007</v>
      </c>
      <c r="L5380" s="5">
        <v>46296</v>
      </c>
      <c r="M5380" t="s">
        <v>11453</v>
      </c>
      <c r="N5380" t="s">
        <v>207</v>
      </c>
      <c r="O5380" t="s">
        <v>11607</v>
      </c>
      <c r="P5380" t="s">
        <v>11454</v>
      </c>
      <c r="Q5380" t="s">
        <v>209</v>
      </c>
    </row>
    <row r="5381" spans="1:17" x14ac:dyDescent="0.3">
      <c r="A5381" t="s">
        <v>11608</v>
      </c>
      <c r="C5381" t="s">
        <v>11609</v>
      </c>
      <c r="D5381" t="s">
        <v>11609</v>
      </c>
      <c r="E5381" s="5">
        <v>46294</v>
      </c>
      <c r="F5381" t="s">
        <v>204</v>
      </c>
      <c r="G5381" t="s">
        <v>220</v>
      </c>
      <c r="H5381">
        <v>1798</v>
      </c>
      <c r="I5381">
        <v>0</v>
      </c>
      <c r="J5381">
        <v>0</v>
      </c>
      <c r="K5381">
        <v>1798</v>
      </c>
      <c r="L5381" s="5">
        <v>46296</v>
      </c>
      <c r="M5381" t="s">
        <v>11453</v>
      </c>
      <c r="N5381" t="s">
        <v>207</v>
      </c>
      <c r="O5381" t="s">
        <v>11609</v>
      </c>
      <c r="P5381" t="s">
        <v>11454</v>
      </c>
      <c r="Q5381" t="s">
        <v>209</v>
      </c>
    </row>
    <row r="5382" spans="1:17" x14ac:dyDescent="0.3">
      <c r="A5382" t="s">
        <v>11610</v>
      </c>
      <c r="C5382" t="s">
        <v>11611</v>
      </c>
      <c r="D5382" t="s">
        <v>11611</v>
      </c>
      <c r="E5382" s="5">
        <v>46294</v>
      </c>
      <c r="F5382" t="s">
        <v>204</v>
      </c>
      <c r="G5382" t="s">
        <v>220</v>
      </c>
      <c r="H5382">
        <v>499</v>
      </c>
      <c r="I5382">
        <v>0</v>
      </c>
      <c r="J5382">
        <v>0</v>
      </c>
      <c r="K5382">
        <v>499</v>
      </c>
      <c r="L5382" s="5">
        <v>46296</v>
      </c>
      <c r="M5382" t="s">
        <v>11453</v>
      </c>
      <c r="N5382" t="s">
        <v>207</v>
      </c>
      <c r="O5382" t="s">
        <v>11611</v>
      </c>
      <c r="P5382" t="s">
        <v>11454</v>
      </c>
      <c r="Q5382" t="s">
        <v>209</v>
      </c>
    </row>
    <row r="5383" spans="1:17" x14ac:dyDescent="0.3">
      <c r="A5383" t="s">
        <v>11612</v>
      </c>
      <c r="C5383" t="s">
        <v>11613</v>
      </c>
      <c r="D5383" t="s">
        <v>11613</v>
      </c>
      <c r="E5383" s="5">
        <v>46294</v>
      </c>
      <c r="F5383" t="s">
        <v>204</v>
      </c>
      <c r="G5383" t="s">
        <v>220</v>
      </c>
      <c r="H5383">
        <v>349</v>
      </c>
      <c r="I5383">
        <v>0</v>
      </c>
      <c r="J5383">
        <v>0</v>
      </c>
      <c r="K5383">
        <v>349</v>
      </c>
      <c r="L5383" s="5">
        <v>46296</v>
      </c>
      <c r="M5383" t="s">
        <v>11453</v>
      </c>
      <c r="N5383" t="s">
        <v>207</v>
      </c>
      <c r="O5383" t="s">
        <v>11613</v>
      </c>
      <c r="P5383" t="s">
        <v>11454</v>
      </c>
      <c r="Q5383" t="s">
        <v>209</v>
      </c>
    </row>
    <row r="5384" spans="1:17" x14ac:dyDescent="0.3">
      <c r="A5384" t="s">
        <v>11614</v>
      </c>
      <c r="C5384" t="s">
        <v>11615</v>
      </c>
      <c r="D5384" t="s">
        <v>11615</v>
      </c>
      <c r="E5384" s="5">
        <v>46294</v>
      </c>
      <c r="F5384" t="s">
        <v>204</v>
      </c>
      <c r="G5384" t="s">
        <v>220</v>
      </c>
      <c r="H5384">
        <v>1298</v>
      </c>
      <c r="I5384">
        <v>0</v>
      </c>
      <c r="J5384">
        <v>0</v>
      </c>
      <c r="K5384">
        <v>1298</v>
      </c>
      <c r="L5384" s="5">
        <v>46296</v>
      </c>
      <c r="M5384" t="s">
        <v>11453</v>
      </c>
      <c r="N5384" t="s">
        <v>207</v>
      </c>
      <c r="O5384" t="s">
        <v>11615</v>
      </c>
      <c r="P5384" t="s">
        <v>11454</v>
      </c>
      <c r="Q5384" t="s">
        <v>209</v>
      </c>
    </row>
    <row r="5385" spans="1:17" x14ac:dyDescent="0.3">
      <c r="A5385" t="s">
        <v>11616</v>
      </c>
      <c r="C5385" t="s">
        <v>11617</v>
      </c>
      <c r="D5385" t="s">
        <v>11618</v>
      </c>
      <c r="E5385" s="5">
        <v>46294</v>
      </c>
      <c r="F5385" t="s">
        <v>204</v>
      </c>
      <c r="G5385" t="s">
        <v>220</v>
      </c>
      <c r="H5385">
        <v>2298</v>
      </c>
      <c r="I5385">
        <v>6.89</v>
      </c>
      <c r="J5385">
        <v>1.24</v>
      </c>
      <c r="K5385">
        <v>2289.87</v>
      </c>
      <c r="L5385" s="5">
        <v>46296</v>
      </c>
      <c r="M5385" t="s">
        <v>11453</v>
      </c>
      <c r="N5385" t="s">
        <v>207</v>
      </c>
      <c r="O5385" t="s">
        <v>11618</v>
      </c>
      <c r="P5385" t="s">
        <v>11454</v>
      </c>
      <c r="Q5385" t="s">
        <v>209</v>
      </c>
    </row>
    <row r="5386" spans="1:17" x14ac:dyDescent="0.3">
      <c r="A5386" t="s">
        <v>11619</v>
      </c>
      <c r="C5386" t="s">
        <v>11620</v>
      </c>
      <c r="D5386" t="s">
        <v>11620</v>
      </c>
      <c r="E5386" s="5">
        <v>46294</v>
      </c>
      <c r="F5386" t="s">
        <v>204</v>
      </c>
      <c r="G5386" t="s">
        <v>220</v>
      </c>
      <c r="H5386">
        <v>7999</v>
      </c>
      <c r="I5386">
        <v>24</v>
      </c>
      <c r="J5386">
        <v>4.32</v>
      </c>
      <c r="K5386">
        <v>7970.68</v>
      </c>
      <c r="L5386" s="5">
        <v>46296</v>
      </c>
      <c r="M5386" t="s">
        <v>11453</v>
      </c>
      <c r="N5386" t="s">
        <v>207</v>
      </c>
      <c r="O5386" t="s">
        <v>11620</v>
      </c>
      <c r="P5386" t="s">
        <v>11454</v>
      </c>
      <c r="Q5386" t="s">
        <v>209</v>
      </c>
    </row>
    <row r="5387" spans="1:17" x14ac:dyDescent="0.3">
      <c r="A5387" t="s">
        <v>11621</v>
      </c>
      <c r="C5387" t="s">
        <v>11622</v>
      </c>
      <c r="D5387" t="s">
        <v>11622</v>
      </c>
      <c r="E5387" s="5">
        <v>46294</v>
      </c>
      <c r="F5387" t="s">
        <v>204</v>
      </c>
      <c r="G5387" t="s">
        <v>220</v>
      </c>
      <c r="H5387">
        <v>2798</v>
      </c>
      <c r="I5387">
        <v>8.39</v>
      </c>
      <c r="J5387">
        <v>1.51</v>
      </c>
      <c r="K5387">
        <v>2788.1</v>
      </c>
      <c r="L5387" s="5">
        <v>46296</v>
      </c>
      <c r="M5387" t="s">
        <v>11453</v>
      </c>
      <c r="N5387" t="s">
        <v>207</v>
      </c>
      <c r="O5387" t="s">
        <v>11622</v>
      </c>
      <c r="P5387" t="s">
        <v>11454</v>
      </c>
      <c r="Q5387" t="s">
        <v>209</v>
      </c>
    </row>
    <row r="5388" spans="1:17" x14ac:dyDescent="0.3">
      <c r="A5388" t="s">
        <v>11623</v>
      </c>
      <c r="C5388" t="s">
        <v>11624</v>
      </c>
      <c r="D5388" t="s">
        <v>11624</v>
      </c>
      <c r="E5388" s="5">
        <v>46294</v>
      </c>
      <c r="F5388" t="s">
        <v>204</v>
      </c>
      <c r="G5388" t="s">
        <v>255</v>
      </c>
      <c r="H5388">
        <v>12297</v>
      </c>
      <c r="I5388">
        <v>110.67</v>
      </c>
      <c r="J5388">
        <v>19.920000000000002</v>
      </c>
      <c r="K5388">
        <v>12166.41</v>
      </c>
      <c r="L5388" s="5">
        <v>46296</v>
      </c>
      <c r="M5388" t="s">
        <v>11453</v>
      </c>
      <c r="N5388" t="s">
        <v>207</v>
      </c>
      <c r="O5388" t="s">
        <v>11624</v>
      </c>
      <c r="P5388" t="s">
        <v>11454</v>
      </c>
      <c r="Q5388" t="s">
        <v>209</v>
      </c>
    </row>
    <row r="5389" spans="1:17" x14ac:dyDescent="0.3">
      <c r="A5389" t="s">
        <v>11625</v>
      </c>
      <c r="C5389" t="s">
        <v>11626</v>
      </c>
      <c r="D5389" t="s">
        <v>11626</v>
      </c>
      <c r="E5389" s="5">
        <v>46294</v>
      </c>
      <c r="F5389" t="s">
        <v>204</v>
      </c>
      <c r="G5389" t="s">
        <v>220</v>
      </c>
      <c r="H5389">
        <v>1499</v>
      </c>
      <c r="I5389">
        <v>0</v>
      </c>
      <c r="J5389">
        <v>0</v>
      </c>
      <c r="K5389">
        <v>1499</v>
      </c>
      <c r="L5389" s="5">
        <v>46296</v>
      </c>
      <c r="M5389" t="s">
        <v>11453</v>
      </c>
      <c r="N5389" t="s">
        <v>207</v>
      </c>
      <c r="O5389" t="s">
        <v>11626</v>
      </c>
      <c r="P5389" t="s">
        <v>11454</v>
      </c>
      <c r="Q5389" t="s">
        <v>209</v>
      </c>
    </row>
    <row r="5390" spans="1:17" x14ac:dyDescent="0.3">
      <c r="A5390" t="s">
        <v>11627</v>
      </c>
      <c r="C5390" t="s">
        <v>11628</v>
      </c>
      <c r="D5390" t="s">
        <v>11628</v>
      </c>
      <c r="E5390" s="5">
        <v>46294</v>
      </c>
      <c r="F5390" t="s">
        <v>204</v>
      </c>
      <c r="G5390" t="s">
        <v>220</v>
      </c>
      <c r="H5390">
        <v>10847</v>
      </c>
      <c r="I5390">
        <v>32.54</v>
      </c>
      <c r="J5390">
        <v>5.86</v>
      </c>
      <c r="K5390">
        <v>10808.6</v>
      </c>
      <c r="L5390" s="5">
        <v>46296</v>
      </c>
      <c r="M5390" t="s">
        <v>11453</v>
      </c>
      <c r="N5390" t="s">
        <v>207</v>
      </c>
      <c r="O5390" t="s">
        <v>11628</v>
      </c>
      <c r="P5390" t="s">
        <v>11454</v>
      </c>
      <c r="Q5390" t="s">
        <v>209</v>
      </c>
    </row>
    <row r="5391" spans="1:17" x14ac:dyDescent="0.3">
      <c r="A5391" t="s">
        <v>11629</v>
      </c>
      <c r="C5391" t="s">
        <v>11630</v>
      </c>
      <c r="D5391" t="s">
        <v>11631</v>
      </c>
      <c r="E5391" s="5">
        <v>46294</v>
      </c>
      <c r="F5391" t="s">
        <v>204</v>
      </c>
      <c r="G5391" t="s">
        <v>205</v>
      </c>
      <c r="H5391">
        <v>7497</v>
      </c>
      <c r="I5391">
        <v>127.45</v>
      </c>
      <c r="J5391">
        <v>22.94</v>
      </c>
      <c r="K5391">
        <v>7346.61</v>
      </c>
      <c r="L5391" s="5">
        <v>46296</v>
      </c>
      <c r="M5391" t="s">
        <v>11453</v>
      </c>
      <c r="N5391" t="s">
        <v>207</v>
      </c>
      <c r="O5391" t="s">
        <v>11631</v>
      </c>
      <c r="P5391" t="s">
        <v>11454</v>
      </c>
      <c r="Q5391" t="s">
        <v>209</v>
      </c>
    </row>
    <row r="5392" spans="1:17" x14ac:dyDescent="0.3">
      <c r="A5392" t="s">
        <v>11632</v>
      </c>
      <c r="C5392" t="s">
        <v>11633</v>
      </c>
      <c r="D5392" t="s">
        <v>11634</v>
      </c>
      <c r="E5392" s="5">
        <v>46294</v>
      </c>
      <c r="F5392" t="s">
        <v>204</v>
      </c>
      <c r="G5392" t="s">
        <v>220</v>
      </c>
      <c r="H5392">
        <v>6498</v>
      </c>
      <c r="I5392">
        <v>19.489999999999998</v>
      </c>
      <c r="J5392">
        <v>3.51</v>
      </c>
      <c r="K5392">
        <v>6475</v>
      </c>
      <c r="L5392" s="5">
        <v>46296</v>
      </c>
      <c r="M5392" t="s">
        <v>11453</v>
      </c>
      <c r="N5392" t="s">
        <v>207</v>
      </c>
      <c r="O5392" t="s">
        <v>11634</v>
      </c>
      <c r="P5392" t="s">
        <v>11454</v>
      </c>
      <c r="Q5392" t="s">
        <v>209</v>
      </c>
    </row>
    <row r="5393" spans="1:17" x14ac:dyDescent="0.3">
      <c r="A5393" t="s">
        <v>11635</v>
      </c>
      <c r="C5393" t="s">
        <v>11636</v>
      </c>
      <c r="D5393" t="s">
        <v>11636</v>
      </c>
      <c r="E5393" s="5">
        <v>46294</v>
      </c>
      <c r="F5393" t="s">
        <v>204</v>
      </c>
      <c r="G5393" t="s">
        <v>213</v>
      </c>
      <c r="H5393">
        <v>3499</v>
      </c>
      <c r="I5393">
        <v>55.98</v>
      </c>
      <c r="J5393">
        <v>10.08</v>
      </c>
      <c r="K5393">
        <v>3432.94</v>
      </c>
      <c r="L5393" s="5">
        <v>46296</v>
      </c>
      <c r="M5393" t="s">
        <v>11453</v>
      </c>
      <c r="N5393" t="s">
        <v>207</v>
      </c>
      <c r="O5393" t="s">
        <v>11636</v>
      </c>
      <c r="P5393" t="s">
        <v>11454</v>
      </c>
      <c r="Q5393" t="s">
        <v>209</v>
      </c>
    </row>
    <row r="5394" spans="1:17" x14ac:dyDescent="0.3">
      <c r="A5394" t="s">
        <v>11637</v>
      </c>
      <c r="C5394" t="s">
        <v>11638</v>
      </c>
      <c r="D5394" t="s">
        <v>11638</v>
      </c>
      <c r="E5394" s="5">
        <v>46294</v>
      </c>
      <c r="F5394" t="s">
        <v>204</v>
      </c>
      <c r="G5394" t="s">
        <v>213</v>
      </c>
      <c r="H5394">
        <v>7498</v>
      </c>
      <c r="I5394">
        <v>119.97</v>
      </c>
      <c r="J5394">
        <v>21.59</v>
      </c>
      <c r="K5394">
        <v>7356.44</v>
      </c>
      <c r="L5394" s="5">
        <v>46296</v>
      </c>
      <c r="M5394" t="s">
        <v>11453</v>
      </c>
      <c r="N5394" t="s">
        <v>207</v>
      </c>
      <c r="O5394" t="s">
        <v>11638</v>
      </c>
      <c r="P5394" t="s">
        <v>11454</v>
      </c>
      <c r="Q5394" t="s">
        <v>209</v>
      </c>
    </row>
    <row r="5395" spans="1:17" x14ac:dyDescent="0.3">
      <c r="A5395" t="s">
        <v>11639</v>
      </c>
      <c r="C5395" t="s">
        <v>11640</v>
      </c>
      <c r="D5395" t="s">
        <v>11640</v>
      </c>
      <c r="E5395" s="5">
        <v>46294</v>
      </c>
      <c r="F5395" t="s">
        <v>204</v>
      </c>
      <c r="G5395" t="s">
        <v>205</v>
      </c>
      <c r="H5395">
        <v>3297</v>
      </c>
      <c r="I5395">
        <v>56.05</v>
      </c>
      <c r="J5395">
        <v>10.09</v>
      </c>
      <c r="K5395">
        <v>3230.86</v>
      </c>
      <c r="L5395" s="5">
        <v>46296</v>
      </c>
      <c r="M5395" t="s">
        <v>11453</v>
      </c>
      <c r="N5395" t="s">
        <v>207</v>
      </c>
      <c r="O5395" t="s">
        <v>11640</v>
      </c>
      <c r="P5395" t="s">
        <v>11454</v>
      </c>
      <c r="Q5395" t="s">
        <v>209</v>
      </c>
    </row>
    <row r="5396" spans="1:17" x14ac:dyDescent="0.3">
      <c r="A5396" t="s">
        <v>11641</v>
      </c>
      <c r="C5396" t="s">
        <v>11642</v>
      </c>
      <c r="D5396" t="s">
        <v>11642</v>
      </c>
      <c r="E5396" s="5">
        <v>46294</v>
      </c>
      <c r="F5396" t="s">
        <v>204</v>
      </c>
      <c r="G5396" t="s">
        <v>213</v>
      </c>
      <c r="H5396">
        <v>4999</v>
      </c>
      <c r="I5396">
        <v>79.98</v>
      </c>
      <c r="J5396">
        <v>14.4</v>
      </c>
      <c r="K5396">
        <v>4904.62</v>
      </c>
      <c r="L5396" s="5">
        <v>46296</v>
      </c>
      <c r="M5396" t="s">
        <v>11453</v>
      </c>
      <c r="N5396" t="s">
        <v>207</v>
      </c>
      <c r="O5396" t="s">
        <v>11642</v>
      </c>
      <c r="P5396" t="s">
        <v>11454</v>
      </c>
      <c r="Q5396" t="s">
        <v>209</v>
      </c>
    </row>
    <row r="5397" spans="1:17" x14ac:dyDescent="0.3">
      <c r="A5397" t="s">
        <v>11643</v>
      </c>
      <c r="C5397" t="s">
        <v>11644</v>
      </c>
      <c r="D5397" t="s">
        <v>11644</v>
      </c>
      <c r="E5397" s="5">
        <v>46294</v>
      </c>
      <c r="F5397" t="s">
        <v>204</v>
      </c>
      <c r="G5397" t="s">
        <v>205</v>
      </c>
      <c r="H5397">
        <v>3497</v>
      </c>
      <c r="I5397">
        <v>59.45</v>
      </c>
      <c r="J5397">
        <v>10.7</v>
      </c>
      <c r="K5397">
        <v>3426.85</v>
      </c>
      <c r="L5397" s="5">
        <v>46296</v>
      </c>
      <c r="M5397" t="s">
        <v>11453</v>
      </c>
      <c r="N5397" t="s">
        <v>207</v>
      </c>
      <c r="O5397" t="s">
        <v>11644</v>
      </c>
      <c r="P5397" t="s">
        <v>11454</v>
      </c>
      <c r="Q5397" t="s">
        <v>209</v>
      </c>
    </row>
    <row r="5398" spans="1:17" x14ac:dyDescent="0.3">
      <c r="A5398" t="s">
        <v>11645</v>
      </c>
      <c r="C5398" t="s">
        <v>11646</v>
      </c>
      <c r="D5398" t="s">
        <v>11646</v>
      </c>
      <c r="E5398" s="5">
        <v>46294</v>
      </c>
      <c r="F5398" t="s">
        <v>204</v>
      </c>
      <c r="G5398" t="s">
        <v>220</v>
      </c>
      <c r="H5398">
        <v>4999</v>
      </c>
      <c r="I5398">
        <v>15</v>
      </c>
      <c r="J5398">
        <v>2.7</v>
      </c>
      <c r="K5398">
        <v>4981.3</v>
      </c>
      <c r="L5398" s="5">
        <v>46296</v>
      </c>
      <c r="M5398" t="s">
        <v>11453</v>
      </c>
      <c r="N5398" t="s">
        <v>207</v>
      </c>
      <c r="O5398" t="s">
        <v>11646</v>
      </c>
      <c r="P5398" t="s">
        <v>11454</v>
      </c>
      <c r="Q5398" t="s">
        <v>209</v>
      </c>
    </row>
    <row r="5399" spans="1:17" x14ac:dyDescent="0.3">
      <c r="A5399" t="s">
        <v>11647</v>
      </c>
      <c r="C5399" t="s">
        <v>11648</v>
      </c>
      <c r="D5399" t="s">
        <v>11648</v>
      </c>
      <c r="E5399" s="5">
        <v>46294</v>
      </c>
      <c r="F5399" t="s">
        <v>204</v>
      </c>
      <c r="G5399" t="s">
        <v>220</v>
      </c>
      <c r="H5399">
        <v>1299</v>
      </c>
      <c r="I5399">
        <v>0</v>
      </c>
      <c r="J5399">
        <v>0</v>
      </c>
      <c r="K5399">
        <v>1299</v>
      </c>
      <c r="L5399" s="5">
        <v>46296</v>
      </c>
      <c r="M5399" t="s">
        <v>11453</v>
      </c>
      <c r="N5399" t="s">
        <v>207</v>
      </c>
      <c r="O5399" t="s">
        <v>11648</v>
      </c>
      <c r="P5399" t="s">
        <v>11454</v>
      </c>
      <c r="Q5399" t="s">
        <v>209</v>
      </c>
    </row>
    <row r="5400" spans="1:17" x14ac:dyDescent="0.3">
      <c r="A5400" t="s">
        <v>11649</v>
      </c>
      <c r="C5400" t="s">
        <v>11650</v>
      </c>
      <c r="D5400" t="s">
        <v>11650</v>
      </c>
      <c r="E5400" s="5">
        <v>46294</v>
      </c>
      <c r="F5400" t="s">
        <v>204</v>
      </c>
      <c r="G5400" t="s">
        <v>220</v>
      </c>
      <c r="H5400">
        <v>3298</v>
      </c>
      <c r="I5400">
        <v>9.89</v>
      </c>
      <c r="J5400">
        <v>1.78</v>
      </c>
      <c r="K5400">
        <v>3286.33</v>
      </c>
      <c r="L5400" s="5">
        <v>46296</v>
      </c>
      <c r="M5400" t="s">
        <v>11453</v>
      </c>
      <c r="N5400" t="s">
        <v>207</v>
      </c>
      <c r="O5400" t="s">
        <v>11650</v>
      </c>
      <c r="P5400" t="s">
        <v>11454</v>
      </c>
      <c r="Q5400" t="s">
        <v>209</v>
      </c>
    </row>
    <row r="5401" spans="1:17" x14ac:dyDescent="0.3">
      <c r="A5401" t="s">
        <v>11651</v>
      </c>
      <c r="C5401" t="s">
        <v>11652</v>
      </c>
      <c r="D5401" t="s">
        <v>11652</v>
      </c>
      <c r="E5401" s="5">
        <v>46294</v>
      </c>
      <c r="F5401" t="s">
        <v>204</v>
      </c>
      <c r="G5401" t="s">
        <v>220</v>
      </c>
      <c r="H5401">
        <v>499</v>
      </c>
      <c r="I5401">
        <v>1.5</v>
      </c>
      <c r="J5401">
        <v>0.27</v>
      </c>
      <c r="K5401">
        <v>497.23</v>
      </c>
      <c r="L5401" s="5">
        <v>46296</v>
      </c>
      <c r="M5401" t="s">
        <v>11453</v>
      </c>
      <c r="N5401" t="s">
        <v>207</v>
      </c>
      <c r="O5401" t="s">
        <v>11652</v>
      </c>
      <c r="P5401" t="s">
        <v>11454</v>
      </c>
      <c r="Q5401" t="s">
        <v>209</v>
      </c>
    </row>
    <row r="5402" spans="1:17" x14ac:dyDescent="0.3">
      <c r="A5402" t="s">
        <v>11653</v>
      </c>
      <c r="C5402" t="s">
        <v>11654</v>
      </c>
      <c r="D5402" t="s">
        <v>11654</v>
      </c>
      <c r="E5402" s="5">
        <v>46294</v>
      </c>
      <c r="F5402" t="s">
        <v>204</v>
      </c>
      <c r="G5402" t="s">
        <v>220</v>
      </c>
      <c r="H5402">
        <v>11297</v>
      </c>
      <c r="I5402">
        <v>33.89</v>
      </c>
      <c r="J5402">
        <v>6.1</v>
      </c>
      <c r="K5402">
        <v>11257.01</v>
      </c>
      <c r="L5402" s="5">
        <v>46296</v>
      </c>
      <c r="M5402" t="s">
        <v>11453</v>
      </c>
      <c r="N5402" t="s">
        <v>207</v>
      </c>
      <c r="O5402" t="s">
        <v>11654</v>
      </c>
      <c r="P5402" t="s">
        <v>11454</v>
      </c>
      <c r="Q5402" t="s">
        <v>209</v>
      </c>
    </row>
    <row r="5403" spans="1:17" x14ac:dyDescent="0.3">
      <c r="A5403" t="s">
        <v>11655</v>
      </c>
      <c r="C5403" t="s">
        <v>11656</v>
      </c>
      <c r="D5403" t="s">
        <v>11656</v>
      </c>
      <c r="E5403" s="5">
        <v>46294</v>
      </c>
      <c r="F5403" t="s">
        <v>204</v>
      </c>
      <c r="G5403" t="s">
        <v>213</v>
      </c>
      <c r="H5403">
        <v>2798</v>
      </c>
      <c r="I5403">
        <v>44.77</v>
      </c>
      <c r="J5403">
        <v>8.06</v>
      </c>
      <c r="K5403">
        <v>2745.17</v>
      </c>
      <c r="L5403" s="5">
        <v>46296</v>
      </c>
      <c r="M5403" t="s">
        <v>11453</v>
      </c>
      <c r="N5403" t="s">
        <v>207</v>
      </c>
      <c r="O5403" t="s">
        <v>11656</v>
      </c>
      <c r="P5403" t="s">
        <v>11454</v>
      </c>
      <c r="Q5403" t="s">
        <v>209</v>
      </c>
    </row>
    <row r="5404" spans="1:17" x14ac:dyDescent="0.3">
      <c r="A5404" t="s">
        <v>11657</v>
      </c>
      <c r="C5404" t="s">
        <v>11658</v>
      </c>
      <c r="D5404" t="s">
        <v>11658</v>
      </c>
      <c r="E5404" s="5">
        <v>46294</v>
      </c>
      <c r="F5404" t="s">
        <v>204</v>
      </c>
      <c r="G5404" t="s">
        <v>220</v>
      </c>
      <c r="H5404">
        <v>4897</v>
      </c>
      <c r="I5404">
        <v>14.69</v>
      </c>
      <c r="J5404">
        <v>2.64</v>
      </c>
      <c r="K5404">
        <v>4879.67</v>
      </c>
      <c r="L5404" s="5">
        <v>46296</v>
      </c>
      <c r="M5404" t="s">
        <v>11453</v>
      </c>
      <c r="N5404" t="s">
        <v>207</v>
      </c>
      <c r="O5404" t="s">
        <v>11658</v>
      </c>
      <c r="P5404" t="s">
        <v>11454</v>
      </c>
      <c r="Q5404" t="s">
        <v>209</v>
      </c>
    </row>
    <row r="5405" spans="1:17" x14ac:dyDescent="0.3">
      <c r="A5405" t="s">
        <v>11659</v>
      </c>
      <c r="C5405" t="s">
        <v>11660</v>
      </c>
      <c r="D5405" t="s">
        <v>11660</v>
      </c>
      <c r="E5405" s="5">
        <v>46294</v>
      </c>
      <c r="F5405" t="s">
        <v>204</v>
      </c>
      <c r="G5405" t="s">
        <v>205</v>
      </c>
      <c r="H5405">
        <v>1299</v>
      </c>
      <c r="I5405">
        <v>24.68</v>
      </c>
      <c r="J5405">
        <v>4.4400000000000004</v>
      </c>
      <c r="K5405">
        <v>1269.8800000000001</v>
      </c>
      <c r="L5405" s="5">
        <v>46296</v>
      </c>
      <c r="M5405" t="s">
        <v>11453</v>
      </c>
      <c r="N5405" t="s">
        <v>207</v>
      </c>
      <c r="O5405" t="s">
        <v>11660</v>
      </c>
      <c r="P5405" t="s">
        <v>11454</v>
      </c>
      <c r="Q5405" t="s">
        <v>209</v>
      </c>
    </row>
    <row r="5406" spans="1:17" x14ac:dyDescent="0.3">
      <c r="A5406" t="s">
        <v>11661</v>
      </c>
      <c r="C5406" t="s">
        <v>11662</v>
      </c>
      <c r="D5406" t="s">
        <v>11662</v>
      </c>
      <c r="E5406" s="5">
        <v>46294</v>
      </c>
      <c r="F5406" t="s">
        <v>204</v>
      </c>
      <c r="G5406" t="s">
        <v>213</v>
      </c>
      <c r="H5406">
        <v>9397</v>
      </c>
      <c r="I5406">
        <v>150.35</v>
      </c>
      <c r="J5406">
        <v>27.06</v>
      </c>
      <c r="K5406">
        <v>9219.59</v>
      </c>
      <c r="L5406" s="5">
        <v>46296</v>
      </c>
      <c r="M5406" t="s">
        <v>11453</v>
      </c>
      <c r="N5406" t="s">
        <v>207</v>
      </c>
      <c r="O5406" t="s">
        <v>11662</v>
      </c>
      <c r="P5406" t="s">
        <v>11454</v>
      </c>
      <c r="Q5406" t="s">
        <v>209</v>
      </c>
    </row>
    <row r="5407" spans="1:17" x14ac:dyDescent="0.3">
      <c r="A5407" t="s">
        <v>11663</v>
      </c>
      <c r="C5407" t="s">
        <v>11664</v>
      </c>
      <c r="D5407" t="s">
        <v>11664</v>
      </c>
      <c r="E5407" s="5">
        <v>46294</v>
      </c>
      <c r="F5407" t="s">
        <v>204</v>
      </c>
      <c r="G5407" t="s">
        <v>220</v>
      </c>
      <c r="H5407">
        <v>2499</v>
      </c>
      <c r="I5407">
        <v>7.5</v>
      </c>
      <c r="J5407">
        <v>1.35</v>
      </c>
      <c r="K5407">
        <v>2490.15</v>
      </c>
      <c r="L5407" s="5">
        <v>46296</v>
      </c>
      <c r="M5407" t="s">
        <v>11453</v>
      </c>
      <c r="N5407" t="s">
        <v>207</v>
      </c>
      <c r="O5407" t="s">
        <v>11664</v>
      </c>
      <c r="P5407" t="s">
        <v>11454</v>
      </c>
      <c r="Q5407" t="s">
        <v>209</v>
      </c>
    </row>
    <row r="5408" spans="1:17" x14ac:dyDescent="0.3">
      <c r="A5408" t="s">
        <v>11665</v>
      </c>
      <c r="C5408" t="s">
        <v>11666</v>
      </c>
      <c r="D5408" t="s">
        <v>11666</v>
      </c>
      <c r="E5408" s="5">
        <v>46294</v>
      </c>
      <c r="F5408" t="s">
        <v>204</v>
      </c>
      <c r="G5408" t="s">
        <v>213</v>
      </c>
      <c r="H5408">
        <v>6297</v>
      </c>
      <c r="I5408">
        <v>100.75</v>
      </c>
      <c r="J5408">
        <v>18.14</v>
      </c>
      <c r="K5408">
        <v>6178.11</v>
      </c>
      <c r="L5408" s="5">
        <v>46296</v>
      </c>
      <c r="M5408" t="s">
        <v>11453</v>
      </c>
      <c r="N5408" t="s">
        <v>207</v>
      </c>
      <c r="O5408" t="s">
        <v>11666</v>
      </c>
      <c r="P5408" t="s">
        <v>11454</v>
      </c>
      <c r="Q5408" t="s">
        <v>209</v>
      </c>
    </row>
    <row r="5409" spans="1:17" x14ac:dyDescent="0.3">
      <c r="A5409" t="s">
        <v>11667</v>
      </c>
      <c r="C5409" t="s">
        <v>11668</v>
      </c>
      <c r="D5409" t="s">
        <v>11668</v>
      </c>
      <c r="E5409" s="5">
        <v>46294</v>
      </c>
      <c r="F5409" t="s">
        <v>204</v>
      </c>
      <c r="G5409" t="s">
        <v>205</v>
      </c>
      <c r="H5409">
        <v>7998</v>
      </c>
      <c r="I5409">
        <v>135.97</v>
      </c>
      <c r="J5409">
        <v>24.47</v>
      </c>
      <c r="K5409">
        <v>7837.56</v>
      </c>
      <c r="L5409" s="5">
        <v>46296</v>
      </c>
      <c r="M5409" t="s">
        <v>11453</v>
      </c>
      <c r="N5409" t="s">
        <v>207</v>
      </c>
      <c r="O5409" t="s">
        <v>11668</v>
      </c>
      <c r="P5409" t="s">
        <v>11454</v>
      </c>
      <c r="Q5409" t="s">
        <v>209</v>
      </c>
    </row>
    <row r="5410" spans="1:17" x14ac:dyDescent="0.3">
      <c r="A5410" t="s">
        <v>11669</v>
      </c>
      <c r="C5410" t="s">
        <v>11670</v>
      </c>
      <c r="D5410" t="s">
        <v>11671</v>
      </c>
      <c r="E5410" s="5">
        <v>46294</v>
      </c>
      <c r="F5410" t="s">
        <v>204</v>
      </c>
      <c r="G5410" t="s">
        <v>220</v>
      </c>
      <c r="H5410">
        <v>1848</v>
      </c>
      <c r="I5410">
        <v>0</v>
      </c>
      <c r="J5410">
        <v>0</v>
      </c>
      <c r="K5410">
        <v>1848</v>
      </c>
      <c r="L5410" s="5">
        <v>46296</v>
      </c>
      <c r="M5410" t="s">
        <v>11453</v>
      </c>
      <c r="N5410" t="s">
        <v>207</v>
      </c>
      <c r="O5410" t="s">
        <v>11671</v>
      </c>
      <c r="P5410" t="s">
        <v>11454</v>
      </c>
      <c r="Q5410" t="s">
        <v>209</v>
      </c>
    </row>
    <row r="5411" spans="1:17" x14ac:dyDescent="0.3">
      <c r="A5411" t="s">
        <v>11672</v>
      </c>
      <c r="C5411" t="s">
        <v>11673</v>
      </c>
      <c r="D5411" t="s">
        <v>11673</v>
      </c>
      <c r="E5411" s="5">
        <v>46294</v>
      </c>
      <c r="F5411" t="s">
        <v>204</v>
      </c>
      <c r="G5411" t="s">
        <v>220</v>
      </c>
      <c r="H5411">
        <v>3998</v>
      </c>
      <c r="I5411">
        <v>11.99</v>
      </c>
      <c r="J5411">
        <v>2.16</v>
      </c>
      <c r="K5411">
        <v>3983.85</v>
      </c>
      <c r="L5411" s="5">
        <v>46296</v>
      </c>
      <c r="M5411" t="s">
        <v>11453</v>
      </c>
      <c r="N5411" t="s">
        <v>207</v>
      </c>
      <c r="O5411" t="s">
        <v>11673</v>
      </c>
      <c r="P5411" t="s">
        <v>11454</v>
      </c>
      <c r="Q5411" t="s">
        <v>209</v>
      </c>
    </row>
    <row r="5412" spans="1:17" x14ac:dyDescent="0.3">
      <c r="A5412" t="s">
        <v>11674</v>
      </c>
      <c r="C5412" t="s">
        <v>11675</v>
      </c>
      <c r="D5412" t="s">
        <v>11675</v>
      </c>
      <c r="E5412" s="5">
        <v>46294</v>
      </c>
      <c r="F5412" t="s">
        <v>204</v>
      </c>
      <c r="G5412" t="s">
        <v>213</v>
      </c>
      <c r="H5412">
        <v>299</v>
      </c>
      <c r="I5412">
        <v>5.38</v>
      </c>
      <c r="J5412">
        <v>0.97</v>
      </c>
      <c r="K5412">
        <v>292.64999999999998</v>
      </c>
      <c r="L5412" s="5">
        <v>46296</v>
      </c>
      <c r="M5412" t="s">
        <v>11453</v>
      </c>
      <c r="N5412" t="s">
        <v>207</v>
      </c>
      <c r="O5412" t="s">
        <v>11675</v>
      </c>
      <c r="P5412" t="s">
        <v>11454</v>
      </c>
      <c r="Q5412" t="s">
        <v>209</v>
      </c>
    </row>
    <row r="5413" spans="1:17" x14ac:dyDescent="0.3">
      <c r="A5413" t="s">
        <v>11676</v>
      </c>
      <c r="C5413" t="s">
        <v>11677</v>
      </c>
      <c r="D5413" t="s">
        <v>11678</v>
      </c>
      <c r="E5413" s="5">
        <v>46294</v>
      </c>
      <c r="F5413" t="s">
        <v>204</v>
      </c>
      <c r="G5413" t="s">
        <v>220</v>
      </c>
      <c r="H5413">
        <v>299</v>
      </c>
      <c r="I5413">
        <v>0</v>
      </c>
      <c r="J5413">
        <v>0</v>
      </c>
      <c r="K5413">
        <v>299</v>
      </c>
      <c r="L5413" s="5">
        <v>46296</v>
      </c>
      <c r="M5413" t="s">
        <v>11453</v>
      </c>
      <c r="N5413" t="s">
        <v>207</v>
      </c>
      <c r="O5413" t="s">
        <v>11678</v>
      </c>
      <c r="P5413" t="s">
        <v>11454</v>
      </c>
      <c r="Q5413" t="s">
        <v>209</v>
      </c>
    </row>
    <row r="5414" spans="1:17" x14ac:dyDescent="0.3">
      <c r="A5414" t="s">
        <v>11679</v>
      </c>
      <c r="C5414" t="s">
        <v>11680</v>
      </c>
      <c r="D5414" t="s">
        <v>11680</v>
      </c>
      <c r="E5414" s="5">
        <v>46294</v>
      </c>
      <c r="F5414" t="s">
        <v>204</v>
      </c>
      <c r="G5414" t="s">
        <v>205</v>
      </c>
      <c r="H5414">
        <v>2499</v>
      </c>
      <c r="I5414">
        <v>42.48</v>
      </c>
      <c r="J5414">
        <v>7.65</v>
      </c>
      <c r="K5414">
        <v>2448.87</v>
      </c>
      <c r="L5414" s="5">
        <v>46296</v>
      </c>
      <c r="M5414" t="s">
        <v>11453</v>
      </c>
      <c r="N5414" t="s">
        <v>207</v>
      </c>
      <c r="O5414" t="s">
        <v>11680</v>
      </c>
      <c r="P5414" t="s">
        <v>11454</v>
      </c>
      <c r="Q5414" t="s">
        <v>209</v>
      </c>
    </row>
    <row r="5415" spans="1:17" x14ac:dyDescent="0.3">
      <c r="A5415" t="s">
        <v>11681</v>
      </c>
      <c r="C5415" t="s">
        <v>11682</v>
      </c>
      <c r="D5415" t="s">
        <v>11682</v>
      </c>
      <c r="E5415" s="5">
        <v>46294</v>
      </c>
      <c r="F5415" t="s">
        <v>204</v>
      </c>
      <c r="G5415" t="s">
        <v>220</v>
      </c>
      <c r="H5415">
        <v>4999</v>
      </c>
      <c r="I5415">
        <v>15</v>
      </c>
      <c r="J5415">
        <v>2.7</v>
      </c>
      <c r="K5415">
        <v>4981.3</v>
      </c>
      <c r="L5415" s="5">
        <v>46296</v>
      </c>
      <c r="M5415" t="s">
        <v>11453</v>
      </c>
      <c r="N5415" t="s">
        <v>207</v>
      </c>
      <c r="O5415" t="s">
        <v>11682</v>
      </c>
      <c r="P5415" t="s">
        <v>11454</v>
      </c>
      <c r="Q5415" t="s">
        <v>209</v>
      </c>
    </row>
    <row r="5416" spans="1:17" x14ac:dyDescent="0.3">
      <c r="A5416" t="s">
        <v>11683</v>
      </c>
      <c r="C5416" t="s">
        <v>11684</v>
      </c>
      <c r="D5416" t="s">
        <v>11684</v>
      </c>
      <c r="E5416" s="5">
        <v>46294</v>
      </c>
      <c r="F5416" t="s">
        <v>204</v>
      </c>
      <c r="G5416" t="s">
        <v>220</v>
      </c>
      <c r="H5416">
        <v>4298</v>
      </c>
      <c r="I5416">
        <v>12.89</v>
      </c>
      <c r="J5416">
        <v>2.3199999999999998</v>
      </c>
      <c r="K5416">
        <v>4282.79</v>
      </c>
      <c r="L5416" s="5">
        <v>46296</v>
      </c>
      <c r="M5416" t="s">
        <v>11453</v>
      </c>
      <c r="N5416" t="s">
        <v>207</v>
      </c>
      <c r="O5416" t="s">
        <v>11684</v>
      </c>
      <c r="P5416" t="s">
        <v>11454</v>
      </c>
      <c r="Q5416" t="s">
        <v>209</v>
      </c>
    </row>
    <row r="5417" spans="1:17" x14ac:dyDescent="0.3">
      <c r="A5417" t="s">
        <v>11685</v>
      </c>
      <c r="C5417" t="s">
        <v>11686</v>
      </c>
      <c r="D5417" t="s">
        <v>11686</v>
      </c>
      <c r="E5417" s="5">
        <v>46294</v>
      </c>
      <c r="F5417" t="s">
        <v>204</v>
      </c>
      <c r="G5417" t="s">
        <v>220</v>
      </c>
      <c r="H5417">
        <v>998</v>
      </c>
      <c r="I5417">
        <v>0</v>
      </c>
      <c r="J5417">
        <v>0</v>
      </c>
      <c r="K5417">
        <v>998</v>
      </c>
      <c r="L5417" s="5">
        <v>46296</v>
      </c>
      <c r="M5417" t="s">
        <v>11453</v>
      </c>
      <c r="N5417" t="s">
        <v>207</v>
      </c>
      <c r="O5417" t="s">
        <v>11686</v>
      </c>
      <c r="P5417" t="s">
        <v>11454</v>
      </c>
      <c r="Q5417" t="s">
        <v>209</v>
      </c>
    </row>
    <row r="5418" spans="1:17" x14ac:dyDescent="0.3">
      <c r="A5418" t="s">
        <v>11687</v>
      </c>
      <c r="C5418" t="s">
        <v>11688</v>
      </c>
      <c r="D5418" t="s">
        <v>11688</v>
      </c>
      <c r="E5418" s="5">
        <v>46294</v>
      </c>
      <c r="F5418" t="s">
        <v>204</v>
      </c>
      <c r="G5418" t="s">
        <v>220</v>
      </c>
      <c r="H5418">
        <v>599</v>
      </c>
      <c r="I5418">
        <v>0</v>
      </c>
      <c r="J5418">
        <v>0</v>
      </c>
      <c r="K5418">
        <v>599</v>
      </c>
      <c r="L5418" s="5">
        <v>46296</v>
      </c>
      <c r="M5418" t="s">
        <v>11453</v>
      </c>
      <c r="N5418" t="s">
        <v>207</v>
      </c>
      <c r="O5418" t="s">
        <v>11688</v>
      </c>
      <c r="P5418" t="s">
        <v>11454</v>
      </c>
      <c r="Q5418" t="s">
        <v>209</v>
      </c>
    </row>
    <row r="5419" spans="1:17" x14ac:dyDescent="0.3">
      <c r="A5419" t="s">
        <v>11689</v>
      </c>
      <c r="C5419" t="s">
        <v>11690</v>
      </c>
      <c r="D5419" t="s">
        <v>11691</v>
      </c>
      <c r="E5419" s="5">
        <v>46294</v>
      </c>
      <c r="F5419" t="s">
        <v>204</v>
      </c>
      <c r="G5419" t="s">
        <v>205</v>
      </c>
      <c r="H5419">
        <v>8797</v>
      </c>
      <c r="I5419">
        <v>149.55000000000001</v>
      </c>
      <c r="J5419">
        <v>26.92</v>
      </c>
      <c r="K5419">
        <v>8620.5300000000007</v>
      </c>
      <c r="L5419" s="5">
        <v>46296</v>
      </c>
      <c r="M5419" t="s">
        <v>11453</v>
      </c>
      <c r="N5419" t="s">
        <v>207</v>
      </c>
      <c r="O5419" t="s">
        <v>11691</v>
      </c>
      <c r="P5419" t="s">
        <v>11454</v>
      </c>
      <c r="Q5419" t="s">
        <v>209</v>
      </c>
    </row>
    <row r="5420" spans="1:17" x14ac:dyDescent="0.3">
      <c r="A5420" t="s">
        <v>11692</v>
      </c>
      <c r="C5420" t="s">
        <v>11693</v>
      </c>
      <c r="D5420" t="s">
        <v>11693</v>
      </c>
      <c r="E5420" s="5">
        <v>46294</v>
      </c>
      <c r="F5420" t="s">
        <v>204</v>
      </c>
      <c r="G5420" t="s">
        <v>220</v>
      </c>
      <c r="H5420">
        <v>999</v>
      </c>
      <c r="I5420">
        <v>0</v>
      </c>
      <c r="J5420">
        <v>0</v>
      </c>
      <c r="K5420">
        <v>999</v>
      </c>
      <c r="L5420" s="5">
        <v>46296</v>
      </c>
      <c r="M5420" t="s">
        <v>11453</v>
      </c>
      <c r="N5420" t="s">
        <v>207</v>
      </c>
      <c r="O5420" t="s">
        <v>11693</v>
      </c>
      <c r="P5420" t="s">
        <v>11454</v>
      </c>
      <c r="Q5420" t="s">
        <v>209</v>
      </c>
    </row>
    <row r="5421" spans="1:17" x14ac:dyDescent="0.3">
      <c r="A5421" t="s">
        <v>11694</v>
      </c>
      <c r="C5421" t="s">
        <v>11695</v>
      </c>
      <c r="D5421" t="s">
        <v>11696</v>
      </c>
      <c r="E5421" s="5">
        <v>46294</v>
      </c>
      <c r="F5421" t="s">
        <v>204</v>
      </c>
      <c r="G5421" t="s">
        <v>220</v>
      </c>
      <c r="H5421">
        <v>1299</v>
      </c>
      <c r="I5421">
        <v>0</v>
      </c>
      <c r="J5421">
        <v>0</v>
      </c>
      <c r="K5421">
        <v>1299</v>
      </c>
      <c r="L5421" s="5">
        <v>46296</v>
      </c>
      <c r="M5421" t="s">
        <v>11453</v>
      </c>
      <c r="N5421" t="s">
        <v>207</v>
      </c>
      <c r="O5421" t="s">
        <v>11696</v>
      </c>
      <c r="P5421" t="s">
        <v>11454</v>
      </c>
      <c r="Q5421" t="s">
        <v>209</v>
      </c>
    </row>
    <row r="5422" spans="1:17" x14ac:dyDescent="0.3">
      <c r="A5422" t="s">
        <v>11697</v>
      </c>
      <c r="C5422" t="s">
        <v>11698</v>
      </c>
      <c r="D5422" t="s">
        <v>11698</v>
      </c>
      <c r="E5422" s="5">
        <v>46294</v>
      </c>
      <c r="F5422" t="s">
        <v>204</v>
      </c>
      <c r="G5422" t="s">
        <v>220</v>
      </c>
      <c r="H5422">
        <v>799</v>
      </c>
      <c r="I5422">
        <v>2.4</v>
      </c>
      <c r="J5422">
        <v>0.43</v>
      </c>
      <c r="K5422">
        <v>796.17</v>
      </c>
      <c r="L5422" s="5">
        <v>46296</v>
      </c>
      <c r="M5422" t="s">
        <v>11453</v>
      </c>
      <c r="N5422" t="s">
        <v>207</v>
      </c>
      <c r="O5422" t="s">
        <v>11698</v>
      </c>
      <c r="P5422" t="s">
        <v>11454</v>
      </c>
      <c r="Q5422" t="s">
        <v>209</v>
      </c>
    </row>
    <row r="5423" spans="1:17" x14ac:dyDescent="0.3">
      <c r="A5423" t="s">
        <v>11699</v>
      </c>
      <c r="C5423" t="s">
        <v>11700</v>
      </c>
      <c r="D5423" t="s">
        <v>11701</v>
      </c>
      <c r="E5423" s="5">
        <v>46294</v>
      </c>
      <c r="F5423" t="s">
        <v>204</v>
      </c>
      <c r="G5423" t="s">
        <v>205</v>
      </c>
      <c r="H5423">
        <v>3147</v>
      </c>
      <c r="I5423">
        <v>53.5</v>
      </c>
      <c r="J5423">
        <v>9.6300000000000008</v>
      </c>
      <c r="K5423">
        <v>3083.87</v>
      </c>
      <c r="L5423" s="5">
        <v>46296</v>
      </c>
      <c r="M5423" t="s">
        <v>11453</v>
      </c>
      <c r="N5423" t="s">
        <v>207</v>
      </c>
      <c r="O5423" t="s">
        <v>11701</v>
      </c>
      <c r="P5423" t="s">
        <v>11454</v>
      </c>
      <c r="Q5423" t="s">
        <v>209</v>
      </c>
    </row>
    <row r="5424" spans="1:17" x14ac:dyDescent="0.3">
      <c r="A5424" t="s">
        <v>11702</v>
      </c>
      <c r="C5424" t="s">
        <v>11703</v>
      </c>
      <c r="D5424" t="s">
        <v>11703</v>
      </c>
      <c r="E5424" s="5">
        <v>46294</v>
      </c>
      <c r="F5424" t="s">
        <v>204</v>
      </c>
      <c r="G5424" t="s">
        <v>220</v>
      </c>
      <c r="H5424">
        <v>8598</v>
      </c>
      <c r="I5424">
        <v>25.79</v>
      </c>
      <c r="J5424">
        <v>4.6399999999999997</v>
      </c>
      <c r="K5424">
        <v>8567.57</v>
      </c>
      <c r="L5424" s="5">
        <v>46296</v>
      </c>
      <c r="M5424" t="s">
        <v>11453</v>
      </c>
      <c r="N5424" t="s">
        <v>207</v>
      </c>
      <c r="O5424" t="s">
        <v>11703</v>
      </c>
      <c r="P5424" t="s">
        <v>11454</v>
      </c>
      <c r="Q5424" t="s">
        <v>209</v>
      </c>
    </row>
    <row r="5425" spans="1:17" x14ac:dyDescent="0.3">
      <c r="A5425" t="s">
        <v>11704</v>
      </c>
      <c r="C5425" t="s">
        <v>11705</v>
      </c>
      <c r="D5425" t="s">
        <v>11706</v>
      </c>
      <c r="E5425" s="5">
        <v>46294</v>
      </c>
      <c r="F5425" t="s">
        <v>204</v>
      </c>
      <c r="G5425" t="s">
        <v>213</v>
      </c>
      <c r="H5425">
        <v>799</v>
      </c>
      <c r="I5425">
        <v>14.38</v>
      </c>
      <c r="J5425">
        <v>2.59</v>
      </c>
      <c r="K5425">
        <v>782.03</v>
      </c>
      <c r="L5425" s="5">
        <v>46296</v>
      </c>
      <c r="M5425" t="s">
        <v>11453</v>
      </c>
      <c r="N5425" t="s">
        <v>207</v>
      </c>
      <c r="O5425" t="s">
        <v>11706</v>
      </c>
      <c r="P5425" t="s">
        <v>11454</v>
      </c>
      <c r="Q5425" t="s">
        <v>209</v>
      </c>
    </row>
    <row r="5426" spans="1:17" x14ac:dyDescent="0.3">
      <c r="A5426" t="s">
        <v>11707</v>
      </c>
      <c r="C5426" t="s">
        <v>11708</v>
      </c>
      <c r="D5426" t="s">
        <v>11708</v>
      </c>
      <c r="E5426" s="5">
        <v>46294</v>
      </c>
      <c r="F5426" t="s">
        <v>204</v>
      </c>
      <c r="G5426" t="s">
        <v>220</v>
      </c>
      <c r="H5426">
        <v>12797</v>
      </c>
      <c r="I5426">
        <v>38.39</v>
      </c>
      <c r="J5426">
        <v>6.91</v>
      </c>
      <c r="K5426">
        <v>12751.7</v>
      </c>
      <c r="L5426" s="5">
        <v>46296</v>
      </c>
      <c r="M5426" t="s">
        <v>11453</v>
      </c>
      <c r="N5426" t="s">
        <v>207</v>
      </c>
      <c r="O5426" t="s">
        <v>11708</v>
      </c>
      <c r="P5426" t="s">
        <v>11454</v>
      </c>
      <c r="Q5426" t="s">
        <v>209</v>
      </c>
    </row>
    <row r="5427" spans="1:17" x14ac:dyDescent="0.3">
      <c r="A5427" t="s">
        <v>11709</v>
      </c>
      <c r="C5427" t="s">
        <v>11710</v>
      </c>
      <c r="D5427" t="s">
        <v>11710</v>
      </c>
      <c r="E5427" s="5">
        <v>46294</v>
      </c>
      <c r="F5427" t="s">
        <v>204</v>
      </c>
      <c r="G5427" t="s">
        <v>213</v>
      </c>
      <c r="H5427">
        <v>3147</v>
      </c>
      <c r="I5427">
        <v>50.35</v>
      </c>
      <c r="J5427">
        <v>9.06</v>
      </c>
      <c r="K5427">
        <v>3087.59</v>
      </c>
      <c r="L5427" s="5">
        <v>46296</v>
      </c>
      <c r="M5427" t="s">
        <v>11453</v>
      </c>
      <c r="N5427" t="s">
        <v>207</v>
      </c>
      <c r="O5427" t="s">
        <v>11710</v>
      </c>
      <c r="P5427" t="s">
        <v>11454</v>
      </c>
      <c r="Q5427" t="s">
        <v>209</v>
      </c>
    </row>
    <row r="5428" spans="1:17" x14ac:dyDescent="0.3">
      <c r="A5428" t="s">
        <v>11711</v>
      </c>
      <c r="C5428" t="s">
        <v>11712</v>
      </c>
      <c r="D5428" t="s">
        <v>11712</v>
      </c>
      <c r="E5428" s="5">
        <v>46294</v>
      </c>
      <c r="F5428" t="s">
        <v>204</v>
      </c>
      <c r="G5428" t="s">
        <v>220</v>
      </c>
      <c r="H5428">
        <v>349</v>
      </c>
      <c r="I5428">
        <v>0</v>
      </c>
      <c r="J5428">
        <v>0</v>
      </c>
      <c r="K5428">
        <v>349</v>
      </c>
      <c r="L5428" s="5">
        <v>46296</v>
      </c>
      <c r="M5428" t="s">
        <v>11453</v>
      </c>
      <c r="N5428" t="s">
        <v>207</v>
      </c>
      <c r="O5428" t="s">
        <v>11712</v>
      </c>
      <c r="P5428" t="s">
        <v>11454</v>
      </c>
      <c r="Q5428" t="s">
        <v>209</v>
      </c>
    </row>
    <row r="5429" spans="1:17" x14ac:dyDescent="0.3">
      <c r="A5429" t="s">
        <v>11713</v>
      </c>
      <c r="C5429" t="s">
        <v>11714</v>
      </c>
      <c r="D5429" t="s">
        <v>11714</v>
      </c>
      <c r="E5429" s="5">
        <v>46294</v>
      </c>
      <c r="F5429" t="s">
        <v>204</v>
      </c>
      <c r="G5429" t="s">
        <v>213</v>
      </c>
      <c r="H5429">
        <v>3998</v>
      </c>
      <c r="I5429">
        <v>63.97</v>
      </c>
      <c r="J5429">
        <v>11.51</v>
      </c>
      <c r="K5429">
        <v>3922.52</v>
      </c>
      <c r="L5429" s="5">
        <v>46296</v>
      </c>
      <c r="M5429" t="s">
        <v>11453</v>
      </c>
      <c r="N5429" t="s">
        <v>207</v>
      </c>
      <c r="O5429" t="s">
        <v>11714</v>
      </c>
      <c r="P5429" t="s">
        <v>11454</v>
      </c>
      <c r="Q5429" t="s">
        <v>209</v>
      </c>
    </row>
    <row r="5430" spans="1:17" x14ac:dyDescent="0.3">
      <c r="A5430" t="s">
        <v>11715</v>
      </c>
      <c r="C5430" t="s">
        <v>11716</v>
      </c>
      <c r="D5430" t="s">
        <v>11716</v>
      </c>
      <c r="E5430" s="5">
        <v>46294</v>
      </c>
      <c r="F5430" t="s">
        <v>204</v>
      </c>
      <c r="G5430" t="s">
        <v>220</v>
      </c>
      <c r="H5430">
        <v>599</v>
      </c>
      <c r="I5430">
        <v>0</v>
      </c>
      <c r="J5430">
        <v>0</v>
      </c>
      <c r="K5430">
        <v>599</v>
      </c>
      <c r="L5430" s="5">
        <v>46296</v>
      </c>
      <c r="M5430" t="s">
        <v>11453</v>
      </c>
      <c r="N5430" t="s">
        <v>207</v>
      </c>
      <c r="O5430" t="s">
        <v>11716</v>
      </c>
      <c r="P5430" t="s">
        <v>11454</v>
      </c>
      <c r="Q5430" t="s">
        <v>209</v>
      </c>
    </row>
    <row r="5431" spans="1:17" x14ac:dyDescent="0.3">
      <c r="A5431" t="s">
        <v>11717</v>
      </c>
      <c r="C5431" t="s">
        <v>11718</v>
      </c>
      <c r="D5431" t="s">
        <v>11718</v>
      </c>
      <c r="E5431" s="5">
        <v>46294</v>
      </c>
      <c r="F5431" t="s">
        <v>204</v>
      </c>
      <c r="G5431" t="s">
        <v>205</v>
      </c>
      <c r="H5431">
        <v>799</v>
      </c>
      <c r="I5431">
        <v>15.18</v>
      </c>
      <c r="J5431">
        <v>2.73</v>
      </c>
      <c r="K5431">
        <v>781.09</v>
      </c>
      <c r="L5431" s="5">
        <v>46296</v>
      </c>
      <c r="M5431" t="s">
        <v>11453</v>
      </c>
      <c r="N5431" t="s">
        <v>207</v>
      </c>
      <c r="O5431" t="s">
        <v>11718</v>
      </c>
      <c r="P5431" t="s">
        <v>11454</v>
      </c>
      <c r="Q5431" t="s">
        <v>209</v>
      </c>
    </row>
    <row r="5432" spans="1:17" x14ac:dyDescent="0.3">
      <c r="A5432" t="s">
        <v>11719</v>
      </c>
      <c r="C5432" t="s">
        <v>11720</v>
      </c>
      <c r="D5432" t="s">
        <v>11720</v>
      </c>
      <c r="E5432" s="5">
        <v>46294</v>
      </c>
      <c r="F5432" t="s">
        <v>204</v>
      </c>
      <c r="G5432" t="s">
        <v>213</v>
      </c>
      <c r="H5432">
        <v>1299</v>
      </c>
      <c r="I5432">
        <v>23.38</v>
      </c>
      <c r="J5432">
        <v>4.21</v>
      </c>
      <c r="K5432">
        <v>1271.4100000000001</v>
      </c>
      <c r="L5432" s="5">
        <v>46296</v>
      </c>
      <c r="M5432" t="s">
        <v>11453</v>
      </c>
      <c r="N5432" t="s">
        <v>207</v>
      </c>
      <c r="O5432" t="s">
        <v>11720</v>
      </c>
      <c r="P5432" t="s">
        <v>11454</v>
      </c>
      <c r="Q5432" t="s">
        <v>209</v>
      </c>
    </row>
    <row r="5433" spans="1:17" x14ac:dyDescent="0.3">
      <c r="A5433" t="s">
        <v>11721</v>
      </c>
      <c r="C5433" t="s">
        <v>11722</v>
      </c>
      <c r="D5433" t="s">
        <v>11722</v>
      </c>
      <c r="E5433" s="5">
        <v>46294</v>
      </c>
      <c r="F5433" t="s">
        <v>204</v>
      </c>
      <c r="G5433" t="s">
        <v>255</v>
      </c>
      <c r="H5433">
        <v>499</v>
      </c>
      <c r="I5433">
        <v>7.49</v>
      </c>
      <c r="J5433">
        <v>1.35</v>
      </c>
      <c r="K5433">
        <v>490.16</v>
      </c>
      <c r="L5433" s="5">
        <v>46296</v>
      </c>
      <c r="M5433" t="s">
        <v>11453</v>
      </c>
      <c r="N5433" t="s">
        <v>207</v>
      </c>
      <c r="O5433" t="s">
        <v>11722</v>
      </c>
      <c r="P5433" t="s">
        <v>11454</v>
      </c>
      <c r="Q5433" t="s">
        <v>209</v>
      </c>
    </row>
    <row r="5434" spans="1:17" x14ac:dyDescent="0.3">
      <c r="A5434" t="s">
        <v>11723</v>
      </c>
      <c r="C5434" t="s">
        <v>11724</v>
      </c>
      <c r="D5434" t="s">
        <v>11724</v>
      </c>
      <c r="E5434" s="5">
        <v>46294</v>
      </c>
      <c r="F5434" t="s">
        <v>204</v>
      </c>
      <c r="G5434" t="s">
        <v>220</v>
      </c>
      <c r="H5434">
        <v>14497</v>
      </c>
      <c r="I5434">
        <v>43.49</v>
      </c>
      <c r="J5434">
        <v>7.83</v>
      </c>
      <c r="K5434">
        <v>14445.68</v>
      </c>
      <c r="L5434" s="5">
        <v>46296</v>
      </c>
      <c r="M5434" t="s">
        <v>11453</v>
      </c>
      <c r="N5434" t="s">
        <v>207</v>
      </c>
      <c r="O5434" t="s">
        <v>11724</v>
      </c>
      <c r="P5434" t="s">
        <v>11454</v>
      </c>
      <c r="Q5434" t="s">
        <v>209</v>
      </c>
    </row>
    <row r="5435" spans="1:17" x14ac:dyDescent="0.3">
      <c r="A5435" t="s">
        <v>11725</v>
      </c>
      <c r="C5435" t="s">
        <v>11726</v>
      </c>
      <c r="D5435" t="s">
        <v>11726</v>
      </c>
      <c r="E5435" s="5">
        <v>46294</v>
      </c>
      <c r="F5435" t="s">
        <v>204</v>
      </c>
      <c r="G5435" t="s">
        <v>205</v>
      </c>
      <c r="H5435">
        <v>2998</v>
      </c>
      <c r="I5435">
        <v>50.97</v>
      </c>
      <c r="J5435">
        <v>9.17</v>
      </c>
      <c r="K5435">
        <v>2937.86</v>
      </c>
      <c r="L5435" s="5">
        <v>46296</v>
      </c>
      <c r="M5435" t="s">
        <v>11453</v>
      </c>
      <c r="N5435" t="s">
        <v>207</v>
      </c>
      <c r="O5435" t="s">
        <v>11726</v>
      </c>
      <c r="P5435" t="s">
        <v>11454</v>
      </c>
      <c r="Q5435" t="s">
        <v>209</v>
      </c>
    </row>
    <row r="5436" spans="1:17" x14ac:dyDescent="0.3">
      <c r="A5436" t="s">
        <v>11727</v>
      </c>
      <c r="C5436" t="s">
        <v>11728</v>
      </c>
      <c r="D5436" t="s">
        <v>11728</v>
      </c>
      <c r="E5436" s="5">
        <v>46294</v>
      </c>
      <c r="F5436" t="s">
        <v>204</v>
      </c>
      <c r="G5436" t="s">
        <v>213</v>
      </c>
      <c r="H5436">
        <v>1298</v>
      </c>
      <c r="I5436">
        <v>23.36</v>
      </c>
      <c r="J5436">
        <v>4.2</v>
      </c>
      <c r="K5436">
        <v>1270.44</v>
      </c>
      <c r="L5436" s="5">
        <v>46296</v>
      </c>
      <c r="M5436" t="s">
        <v>11453</v>
      </c>
      <c r="N5436" t="s">
        <v>207</v>
      </c>
      <c r="O5436" t="s">
        <v>11728</v>
      </c>
      <c r="P5436" t="s">
        <v>11454</v>
      </c>
      <c r="Q5436" t="s">
        <v>209</v>
      </c>
    </row>
    <row r="5437" spans="1:17" x14ac:dyDescent="0.3">
      <c r="A5437" t="s">
        <v>11729</v>
      </c>
      <c r="C5437" t="s">
        <v>11730</v>
      </c>
      <c r="D5437" t="s">
        <v>11730</v>
      </c>
      <c r="E5437" s="5">
        <v>46294</v>
      </c>
      <c r="F5437" t="s">
        <v>204</v>
      </c>
      <c r="G5437" t="s">
        <v>255</v>
      </c>
      <c r="H5437">
        <v>7297</v>
      </c>
      <c r="I5437">
        <v>87.56</v>
      </c>
      <c r="J5437">
        <v>15.76</v>
      </c>
      <c r="K5437">
        <v>7193.68</v>
      </c>
      <c r="L5437" s="5">
        <v>46296</v>
      </c>
      <c r="M5437" t="s">
        <v>11453</v>
      </c>
      <c r="N5437" t="s">
        <v>207</v>
      </c>
      <c r="O5437" t="s">
        <v>11730</v>
      </c>
      <c r="P5437" t="s">
        <v>11454</v>
      </c>
      <c r="Q5437" t="s">
        <v>209</v>
      </c>
    </row>
    <row r="5438" spans="1:17" x14ac:dyDescent="0.3">
      <c r="A5438" t="s">
        <v>11731</v>
      </c>
      <c r="C5438" t="s">
        <v>11732</v>
      </c>
      <c r="D5438" t="s">
        <v>11732</v>
      </c>
      <c r="E5438" s="5">
        <v>46294</v>
      </c>
      <c r="F5438" t="s">
        <v>204</v>
      </c>
      <c r="G5438" t="s">
        <v>220</v>
      </c>
      <c r="H5438">
        <v>6498</v>
      </c>
      <c r="I5438">
        <v>19.489999999999998</v>
      </c>
      <c r="J5438">
        <v>3.51</v>
      </c>
      <c r="K5438">
        <v>6475</v>
      </c>
      <c r="L5438" s="5">
        <v>46296</v>
      </c>
      <c r="M5438" t="s">
        <v>11453</v>
      </c>
      <c r="N5438" t="s">
        <v>207</v>
      </c>
      <c r="O5438" t="s">
        <v>11732</v>
      </c>
      <c r="P5438" t="s">
        <v>11454</v>
      </c>
      <c r="Q5438" t="s">
        <v>209</v>
      </c>
    </row>
    <row r="5439" spans="1:17" x14ac:dyDescent="0.3">
      <c r="A5439" t="s">
        <v>11733</v>
      </c>
      <c r="C5439" t="s">
        <v>11734</v>
      </c>
      <c r="D5439" t="s">
        <v>11734</v>
      </c>
      <c r="E5439" s="5">
        <v>46294</v>
      </c>
      <c r="F5439" t="s">
        <v>204</v>
      </c>
      <c r="G5439" t="s">
        <v>220</v>
      </c>
      <c r="H5439">
        <v>499</v>
      </c>
      <c r="I5439">
        <v>0</v>
      </c>
      <c r="J5439">
        <v>0</v>
      </c>
      <c r="K5439">
        <v>499</v>
      </c>
      <c r="L5439" s="5">
        <v>46296</v>
      </c>
      <c r="M5439" t="s">
        <v>11453</v>
      </c>
      <c r="N5439" t="s">
        <v>207</v>
      </c>
      <c r="O5439" t="s">
        <v>11734</v>
      </c>
      <c r="P5439" t="s">
        <v>11454</v>
      </c>
      <c r="Q5439" t="s">
        <v>209</v>
      </c>
    </row>
    <row r="5440" spans="1:17" x14ac:dyDescent="0.3">
      <c r="A5440" t="s">
        <v>11735</v>
      </c>
      <c r="C5440" t="s">
        <v>11736</v>
      </c>
      <c r="D5440" t="s">
        <v>11736</v>
      </c>
      <c r="E5440" s="5">
        <v>46294</v>
      </c>
      <c r="F5440" t="s">
        <v>204</v>
      </c>
      <c r="G5440" t="s">
        <v>213</v>
      </c>
      <c r="H5440">
        <v>1798</v>
      </c>
      <c r="I5440">
        <v>32.36</v>
      </c>
      <c r="J5440">
        <v>5.82</v>
      </c>
      <c r="K5440">
        <v>1759.82</v>
      </c>
      <c r="L5440" s="5">
        <v>46296</v>
      </c>
      <c r="M5440" t="s">
        <v>11453</v>
      </c>
      <c r="N5440" t="s">
        <v>207</v>
      </c>
      <c r="O5440" t="s">
        <v>11736</v>
      </c>
      <c r="P5440" t="s">
        <v>11454</v>
      </c>
      <c r="Q5440" t="s">
        <v>209</v>
      </c>
    </row>
    <row r="5441" spans="1:17" x14ac:dyDescent="0.3">
      <c r="A5441" t="s">
        <v>11737</v>
      </c>
      <c r="C5441" t="s">
        <v>11738</v>
      </c>
      <c r="D5441" t="s">
        <v>11738</v>
      </c>
      <c r="E5441" s="5">
        <v>46294</v>
      </c>
      <c r="F5441" t="s">
        <v>204</v>
      </c>
      <c r="G5441" t="s">
        <v>205</v>
      </c>
      <c r="H5441">
        <v>848</v>
      </c>
      <c r="I5441">
        <v>16.11</v>
      </c>
      <c r="J5441">
        <v>2.9</v>
      </c>
      <c r="K5441">
        <v>828.99</v>
      </c>
      <c r="L5441" s="5">
        <v>46296</v>
      </c>
      <c r="M5441" t="s">
        <v>11453</v>
      </c>
      <c r="N5441" t="s">
        <v>207</v>
      </c>
      <c r="O5441" t="s">
        <v>11738</v>
      </c>
      <c r="P5441" t="s">
        <v>11454</v>
      </c>
      <c r="Q5441" t="s">
        <v>209</v>
      </c>
    </row>
    <row r="5442" spans="1:17" x14ac:dyDescent="0.3">
      <c r="A5442" t="s">
        <v>11739</v>
      </c>
      <c r="C5442" t="s">
        <v>11740</v>
      </c>
      <c r="D5442" t="s">
        <v>11741</v>
      </c>
      <c r="E5442" s="5">
        <v>46294</v>
      </c>
      <c r="F5442" t="s">
        <v>204</v>
      </c>
      <c r="G5442" t="s">
        <v>220</v>
      </c>
      <c r="H5442">
        <v>3298</v>
      </c>
      <c r="I5442">
        <v>9.89</v>
      </c>
      <c r="J5442">
        <v>1.78</v>
      </c>
      <c r="K5442">
        <v>3286.33</v>
      </c>
      <c r="L5442" s="5">
        <v>46296</v>
      </c>
      <c r="M5442" t="s">
        <v>11453</v>
      </c>
      <c r="N5442" t="s">
        <v>207</v>
      </c>
      <c r="O5442" t="s">
        <v>11741</v>
      </c>
      <c r="P5442" t="s">
        <v>11454</v>
      </c>
      <c r="Q5442" t="s">
        <v>209</v>
      </c>
    </row>
    <row r="5443" spans="1:17" x14ac:dyDescent="0.3">
      <c r="A5443" t="s">
        <v>11742</v>
      </c>
      <c r="C5443" t="s">
        <v>11743</v>
      </c>
      <c r="D5443" t="s">
        <v>11743</v>
      </c>
      <c r="E5443" s="5">
        <v>46294</v>
      </c>
      <c r="F5443" t="s">
        <v>204</v>
      </c>
      <c r="G5443" t="s">
        <v>220</v>
      </c>
      <c r="H5443">
        <v>7999</v>
      </c>
      <c r="I5443">
        <v>24</v>
      </c>
      <c r="J5443">
        <v>4.32</v>
      </c>
      <c r="K5443">
        <v>7970.68</v>
      </c>
      <c r="L5443" s="5">
        <v>46296</v>
      </c>
      <c r="M5443" t="s">
        <v>11453</v>
      </c>
      <c r="N5443" t="s">
        <v>207</v>
      </c>
      <c r="O5443" t="s">
        <v>11743</v>
      </c>
      <c r="P5443" t="s">
        <v>11454</v>
      </c>
      <c r="Q5443" t="s">
        <v>209</v>
      </c>
    </row>
    <row r="5444" spans="1:17" x14ac:dyDescent="0.3">
      <c r="A5444" t="s">
        <v>11744</v>
      </c>
      <c r="C5444" t="s">
        <v>11745</v>
      </c>
      <c r="D5444" t="s">
        <v>11745</v>
      </c>
      <c r="E5444" s="5">
        <v>46294</v>
      </c>
      <c r="F5444" t="s">
        <v>204</v>
      </c>
      <c r="G5444" t="s">
        <v>220</v>
      </c>
      <c r="H5444">
        <v>6297</v>
      </c>
      <c r="I5444">
        <v>18.89</v>
      </c>
      <c r="J5444">
        <v>3.4</v>
      </c>
      <c r="K5444">
        <v>6274.71</v>
      </c>
      <c r="L5444" s="5">
        <v>46296</v>
      </c>
      <c r="M5444" t="s">
        <v>11453</v>
      </c>
      <c r="N5444" t="s">
        <v>207</v>
      </c>
      <c r="O5444" t="s">
        <v>11745</v>
      </c>
      <c r="P5444" t="s">
        <v>11454</v>
      </c>
      <c r="Q5444" t="s">
        <v>209</v>
      </c>
    </row>
    <row r="5445" spans="1:17" x14ac:dyDescent="0.3">
      <c r="A5445" t="s">
        <v>11746</v>
      </c>
      <c r="C5445" t="s">
        <v>11747</v>
      </c>
      <c r="D5445" t="s">
        <v>11747</v>
      </c>
      <c r="E5445" s="5">
        <v>46294</v>
      </c>
      <c r="F5445" t="s">
        <v>204</v>
      </c>
      <c r="G5445" t="s">
        <v>220</v>
      </c>
      <c r="H5445">
        <v>2499</v>
      </c>
      <c r="I5445">
        <v>7.5</v>
      </c>
      <c r="J5445">
        <v>1.35</v>
      </c>
      <c r="K5445">
        <v>2490.15</v>
      </c>
      <c r="L5445" s="5">
        <v>46296</v>
      </c>
      <c r="M5445" t="s">
        <v>11453</v>
      </c>
      <c r="N5445" t="s">
        <v>207</v>
      </c>
      <c r="O5445" t="s">
        <v>11747</v>
      </c>
      <c r="P5445" t="s">
        <v>11454</v>
      </c>
      <c r="Q5445" t="s">
        <v>209</v>
      </c>
    </row>
    <row r="5446" spans="1:17" x14ac:dyDescent="0.3">
      <c r="A5446" t="s">
        <v>11748</v>
      </c>
      <c r="C5446" t="s">
        <v>11749</v>
      </c>
      <c r="D5446" t="s">
        <v>11749</v>
      </c>
      <c r="E5446" s="5">
        <v>46294</v>
      </c>
      <c r="F5446" t="s">
        <v>204</v>
      </c>
      <c r="G5446" t="s">
        <v>220</v>
      </c>
      <c r="H5446">
        <v>9797</v>
      </c>
      <c r="I5446">
        <v>29.39</v>
      </c>
      <c r="J5446">
        <v>5.29</v>
      </c>
      <c r="K5446">
        <v>9762.32</v>
      </c>
      <c r="L5446" s="5">
        <v>46296</v>
      </c>
      <c r="M5446" t="s">
        <v>11453</v>
      </c>
      <c r="N5446" t="s">
        <v>207</v>
      </c>
      <c r="O5446" t="s">
        <v>11749</v>
      </c>
      <c r="P5446" t="s">
        <v>11454</v>
      </c>
      <c r="Q5446" t="s">
        <v>209</v>
      </c>
    </row>
    <row r="5447" spans="1:17" x14ac:dyDescent="0.3">
      <c r="A5447" t="s">
        <v>11750</v>
      </c>
      <c r="C5447" t="s">
        <v>11751</v>
      </c>
      <c r="D5447" t="s">
        <v>11751</v>
      </c>
      <c r="E5447" s="5">
        <v>46294</v>
      </c>
      <c r="F5447" t="s">
        <v>204</v>
      </c>
      <c r="G5447" t="s">
        <v>220</v>
      </c>
      <c r="H5447">
        <v>7999</v>
      </c>
      <c r="I5447">
        <v>24</v>
      </c>
      <c r="J5447">
        <v>4.32</v>
      </c>
      <c r="K5447">
        <v>7970.68</v>
      </c>
      <c r="L5447" s="5">
        <v>46296</v>
      </c>
      <c r="M5447" t="s">
        <v>11453</v>
      </c>
      <c r="N5447" t="s">
        <v>207</v>
      </c>
      <c r="O5447" t="s">
        <v>11751</v>
      </c>
      <c r="P5447" t="s">
        <v>11454</v>
      </c>
      <c r="Q5447" t="s">
        <v>209</v>
      </c>
    </row>
    <row r="5448" spans="1:17" x14ac:dyDescent="0.3">
      <c r="A5448" t="s">
        <v>11752</v>
      </c>
      <c r="C5448" t="s">
        <v>11753</v>
      </c>
      <c r="D5448" t="s">
        <v>11753</v>
      </c>
      <c r="E5448" s="5">
        <v>46294</v>
      </c>
      <c r="F5448" t="s">
        <v>204</v>
      </c>
      <c r="G5448" t="s">
        <v>220</v>
      </c>
      <c r="H5448">
        <v>1798</v>
      </c>
      <c r="I5448">
        <v>0</v>
      </c>
      <c r="J5448">
        <v>0</v>
      </c>
      <c r="K5448">
        <v>1798</v>
      </c>
      <c r="L5448" s="5">
        <v>46296</v>
      </c>
      <c r="M5448" t="s">
        <v>11453</v>
      </c>
      <c r="N5448" t="s">
        <v>207</v>
      </c>
      <c r="O5448" t="s">
        <v>11753</v>
      </c>
      <c r="P5448" t="s">
        <v>11454</v>
      </c>
      <c r="Q5448" t="s">
        <v>209</v>
      </c>
    </row>
    <row r="5449" spans="1:17" x14ac:dyDescent="0.3">
      <c r="A5449" t="s">
        <v>11754</v>
      </c>
      <c r="C5449" t="s">
        <v>11755</v>
      </c>
      <c r="D5449" t="s">
        <v>11755</v>
      </c>
      <c r="E5449" s="5">
        <v>46294</v>
      </c>
      <c r="F5449" t="s">
        <v>204</v>
      </c>
      <c r="G5449" t="s">
        <v>220</v>
      </c>
      <c r="H5449">
        <v>2998</v>
      </c>
      <c r="I5449">
        <v>8.99</v>
      </c>
      <c r="J5449">
        <v>1.62</v>
      </c>
      <c r="K5449">
        <v>2987.39</v>
      </c>
      <c r="L5449" s="5">
        <v>46296</v>
      </c>
      <c r="M5449" t="s">
        <v>11453</v>
      </c>
      <c r="N5449" t="s">
        <v>207</v>
      </c>
      <c r="O5449" t="s">
        <v>11755</v>
      </c>
      <c r="P5449" t="s">
        <v>11454</v>
      </c>
      <c r="Q5449" t="s">
        <v>209</v>
      </c>
    </row>
    <row r="5450" spans="1:17" x14ac:dyDescent="0.3">
      <c r="A5450" t="s">
        <v>11756</v>
      </c>
      <c r="C5450" t="s">
        <v>11757</v>
      </c>
      <c r="D5450" t="s">
        <v>11757</v>
      </c>
      <c r="E5450" s="5">
        <v>46294</v>
      </c>
      <c r="F5450" t="s">
        <v>204</v>
      </c>
      <c r="G5450" t="s">
        <v>205</v>
      </c>
      <c r="H5450">
        <v>2499</v>
      </c>
      <c r="I5450">
        <v>42.48</v>
      </c>
      <c r="J5450">
        <v>7.65</v>
      </c>
      <c r="K5450">
        <v>2448.87</v>
      </c>
      <c r="L5450" s="5">
        <v>46296</v>
      </c>
      <c r="M5450" t="s">
        <v>11453</v>
      </c>
      <c r="N5450" t="s">
        <v>207</v>
      </c>
      <c r="O5450" t="s">
        <v>11757</v>
      </c>
      <c r="P5450" t="s">
        <v>11454</v>
      </c>
      <c r="Q5450" t="s">
        <v>209</v>
      </c>
    </row>
    <row r="5451" spans="1:17" x14ac:dyDescent="0.3">
      <c r="A5451" t="s">
        <v>11758</v>
      </c>
      <c r="C5451" t="s">
        <v>11759</v>
      </c>
      <c r="D5451" t="s">
        <v>11759</v>
      </c>
      <c r="E5451" s="5">
        <v>46294</v>
      </c>
      <c r="F5451" t="s">
        <v>204</v>
      </c>
      <c r="G5451" t="s">
        <v>220</v>
      </c>
      <c r="H5451">
        <v>2897</v>
      </c>
      <c r="I5451">
        <v>8.69</v>
      </c>
      <c r="J5451">
        <v>1.56</v>
      </c>
      <c r="K5451">
        <v>2886.75</v>
      </c>
      <c r="L5451" s="5">
        <v>46296</v>
      </c>
      <c r="M5451" t="s">
        <v>11453</v>
      </c>
      <c r="N5451" t="s">
        <v>207</v>
      </c>
      <c r="O5451" t="s">
        <v>11759</v>
      </c>
      <c r="P5451" t="s">
        <v>11454</v>
      </c>
      <c r="Q5451" t="s">
        <v>209</v>
      </c>
    </row>
    <row r="5452" spans="1:17" x14ac:dyDescent="0.3">
      <c r="A5452" t="s">
        <v>11760</v>
      </c>
      <c r="C5452" t="s">
        <v>11761</v>
      </c>
      <c r="D5452" t="s">
        <v>11761</v>
      </c>
      <c r="E5452" s="5">
        <v>46294</v>
      </c>
      <c r="F5452" t="s">
        <v>204</v>
      </c>
      <c r="G5452" t="s">
        <v>220</v>
      </c>
      <c r="H5452">
        <v>4798</v>
      </c>
      <c r="I5452">
        <v>14.39</v>
      </c>
      <c r="J5452">
        <v>2.59</v>
      </c>
      <c r="K5452">
        <v>4781.0200000000004</v>
      </c>
      <c r="L5452" s="5">
        <v>46296</v>
      </c>
      <c r="M5452" t="s">
        <v>11453</v>
      </c>
      <c r="N5452" t="s">
        <v>207</v>
      </c>
      <c r="O5452" t="s">
        <v>11761</v>
      </c>
      <c r="P5452" t="s">
        <v>11454</v>
      </c>
      <c r="Q5452" t="s">
        <v>209</v>
      </c>
    </row>
    <row r="5453" spans="1:17" x14ac:dyDescent="0.3">
      <c r="A5453" t="s">
        <v>11762</v>
      </c>
      <c r="C5453" t="s">
        <v>11763</v>
      </c>
      <c r="D5453" t="s">
        <v>11763</v>
      </c>
      <c r="E5453" s="5">
        <v>46294</v>
      </c>
      <c r="F5453" t="s">
        <v>204</v>
      </c>
      <c r="G5453" t="s">
        <v>220</v>
      </c>
      <c r="H5453">
        <v>3798</v>
      </c>
      <c r="I5453">
        <v>11.39</v>
      </c>
      <c r="J5453">
        <v>2.0499999999999998</v>
      </c>
      <c r="K5453">
        <v>3784.56</v>
      </c>
      <c r="L5453" s="5">
        <v>46296</v>
      </c>
      <c r="M5453" t="s">
        <v>11453</v>
      </c>
      <c r="N5453" t="s">
        <v>207</v>
      </c>
      <c r="O5453" t="s">
        <v>11763</v>
      </c>
      <c r="P5453" t="s">
        <v>11454</v>
      </c>
      <c r="Q5453" t="s">
        <v>209</v>
      </c>
    </row>
    <row r="5454" spans="1:17" x14ac:dyDescent="0.3">
      <c r="A5454" t="s">
        <v>11764</v>
      </c>
      <c r="C5454" t="s">
        <v>11765</v>
      </c>
      <c r="D5454" t="s">
        <v>11765</v>
      </c>
      <c r="E5454" s="5">
        <v>46294</v>
      </c>
      <c r="F5454" t="s">
        <v>204</v>
      </c>
      <c r="G5454" t="s">
        <v>213</v>
      </c>
      <c r="H5454">
        <v>299</v>
      </c>
      <c r="I5454">
        <v>5.38</v>
      </c>
      <c r="J5454">
        <v>0.97</v>
      </c>
      <c r="K5454">
        <v>292.64999999999998</v>
      </c>
      <c r="L5454" s="5">
        <v>46296</v>
      </c>
      <c r="M5454" t="s">
        <v>11453</v>
      </c>
      <c r="N5454" t="s">
        <v>207</v>
      </c>
      <c r="O5454" t="s">
        <v>11765</v>
      </c>
      <c r="P5454" t="s">
        <v>11454</v>
      </c>
      <c r="Q5454" t="s">
        <v>209</v>
      </c>
    </row>
    <row r="5455" spans="1:17" x14ac:dyDescent="0.3">
      <c r="A5455" t="s">
        <v>11766</v>
      </c>
      <c r="C5455" t="s">
        <v>11767</v>
      </c>
      <c r="D5455" t="s">
        <v>11767</v>
      </c>
      <c r="E5455" s="5">
        <v>46294</v>
      </c>
      <c r="F5455" t="s">
        <v>204</v>
      </c>
      <c r="G5455" t="s">
        <v>220</v>
      </c>
      <c r="H5455">
        <v>6298</v>
      </c>
      <c r="I5455">
        <v>18.89</v>
      </c>
      <c r="J5455">
        <v>3.4</v>
      </c>
      <c r="K5455">
        <v>6275.71</v>
      </c>
      <c r="L5455" s="5">
        <v>46296</v>
      </c>
      <c r="M5455" t="s">
        <v>11453</v>
      </c>
      <c r="N5455" t="s">
        <v>207</v>
      </c>
      <c r="O5455" t="s">
        <v>11767</v>
      </c>
      <c r="P5455" t="s">
        <v>11454</v>
      </c>
      <c r="Q5455" t="s">
        <v>209</v>
      </c>
    </row>
    <row r="5456" spans="1:17" x14ac:dyDescent="0.3">
      <c r="A5456" t="s">
        <v>11768</v>
      </c>
      <c r="C5456" t="s">
        <v>11769</v>
      </c>
      <c r="D5456" t="s">
        <v>11769</v>
      </c>
      <c r="E5456" s="5">
        <v>46294</v>
      </c>
      <c r="F5456" t="s">
        <v>204</v>
      </c>
      <c r="G5456" t="s">
        <v>205</v>
      </c>
      <c r="H5456">
        <v>3499</v>
      </c>
      <c r="I5456">
        <v>59.48</v>
      </c>
      <c r="J5456">
        <v>10.71</v>
      </c>
      <c r="K5456">
        <v>3428.81</v>
      </c>
      <c r="L5456" s="5">
        <v>46296</v>
      </c>
      <c r="M5456" t="s">
        <v>11453</v>
      </c>
      <c r="N5456" t="s">
        <v>207</v>
      </c>
      <c r="O5456" t="s">
        <v>11769</v>
      </c>
      <c r="P5456" t="s">
        <v>11454</v>
      </c>
      <c r="Q5456" t="s">
        <v>209</v>
      </c>
    </row>
    <row r="5457" spans="1:17" x14ac:dyDescent="0.3">
      <c r="A5457" t="s">
        <v>11770</v>
      </c>
      <c r="C5457" t="s">
        <v>11771</v>
      </c>
      <c r="D5457" t="s">
        <v>11771</v>
      </c>
      <c r="E5457" s="5">
        <v>46294</v>
      </c>
      <c r="F5457" t="s">
        <v>204</v>
      </c>
      <c r="G5457" t="s">
        <v>213</v>
      </c>
      <c r="H5457">
        <v>2597</v>
      </c>
      <c r="I5457">
        <v>41.55</v>
      </c>
      <c r="J5457">
        <v>7.48</v>
      </c>
      <c r="K5457">
        <v>2547.9699999999998</v>
      </c>
      <c r="L5457" s="5">
        <v>46296</v>
      </c>
      <c r="M5457" t="s">
        <v>11453</v>
      </c>
      <c r="N5457" t="s">
        <v>207</v>
      </c>
      <c r="O5457" t="s">
        <v>11771</v>
      </c>
      <c r="P5457" t="s">
        <v>11454</v>
      </c>
      <c r="Q5457" t="s">
        <v>209</v>
      </c>
    </row>
    <row r="5458" spans="1:17" x14ac:dyDescent="0.3">
      <c r="A5458" t="s">
        <v>11772</v>
      </c>
      <c r="C5458" t="s">
        <v>11773</v>
      </c>
      <c r="D5458" t="s">
        <v>11773</v>
      </c>
      <c r="E5458" s="5">
        <v>46294</v>
      </c>
      <c r="F5458" t="s">
        <v>204</v>
      </c>
      <c r="G5458" t="s">
        <v>220</v>
      </c>
      <c r="H5458">
        <v>599</v>
      </c>
      <c r="I5458">
        <v>0</v>
      </c>
      <c r="J5458">
        <v>0</v>
      </c>
      <c r="K5458">
        <v>599</v>
      </c>
      <c r="L5458" s="5">
        <v>46296</v>
      </c>
      <c r="M5458" t="s">
        <v>11453</v>
      </c>
      <c r="N5458" t="s">
        <v>207</v>
      </c>
      <c r="O5458" t="s">
        <v>11773</v>
      </c>
      <c r="P5458" t="s">
        <v>11454</v>
      </c>
      <c r="Q5458" t="s">
        <v>209</v>
      </c>
    </row>
    <row r="5459" spans="1:17" x14ac:dyDescent="0.3">
      <c r="A5459" t="s">
        <v>11774</v>
      </c>
      <c r="C5459" t="s">
        <v>11775</v>
      </c>
      <c r="D5459" t="s">
        <v>11775</v>
      </c>
      <c r="E5459" s="5">
        <v>46294</v>
      </c>
      <c r="F5459" t="s">
        <v>204</v>
      </c>
      <c r="G5459" t="s">
        <v>213</v>
      </c>
      <c r="H5459">
        <v>1398</v>
      </c>
      <c r="I5459">
        <v>25.16</v>
      </c>
      <c r="J5459">
        <v>4.53</v>
      </c>
      <c r="K5459">
        <v>1368.31</v>
      </c>
      <c r="L5459" s="5">
        <v>46296</v>
      </c>
      <c r="M5459" t="s">
        <v>11453</v>
      </c>
      <c r="N5459" t="s">
        <v>207</v>
      </c>
      <c r="O5459" t="s">
        <v>11775</v>
      </c>
      <c r="P5459" t="s">
        <v>11454</v>
      </c>
      <c r="Q5459" t="s">
        <v>209</v>
      </c>
    </row>
    <row r="5460" spans="1:17" x14ac:dyDescent="0.3">
      <c r="A5460" t="s">
        <v>11776</v>
      </c>
      <c r="C5460" t="s">
        <v>11777</v>
      </c>
      <c r="D5460" t="s">
        <v>11778</v>
      </c>
      <c r="E5460" s="5">
        <v>46294</v>
      </c>
      <c r="F5460" t="s">
        <v>204</v>
      </c>
      <c r="G5460" t="s">
        <v>220</v>
      </c>
      <c r="H5460">
        <v>2697</v>
      </c>
      <c r="I5460">
        <v>8.09</v>
      </c>
      <c r="J5460">
        <v>1.46</v>
      </c>
      <c r="K5460">
        <v>2687.45</v>
      </c>
      <c r="L5460" s="5">
        <v>46296</v>
      </c>
      <c r="M5460" t="s">
        <v>11453</v>
      </c>
      <c r="N5460" t="s">
        <v>207</v>
      </c>
      <c r="O5460" t="s">
        <v>11778</v>
      </c>
      <c r="P5460" t="s">
        <v>11454</v>
      </c>
      <c r="Q5460" t="s">
        <v>209</v>
      </c>
    </row>
    <row r="5461" spans="1:17" x14ac:dyDescent="0.3">
      <c r="A5461" t="s">
        <v>11779</v>
      </c>
      <c r="C5461" t="s">
        <v>11780</v>
      </c>
      <c r="D5461" t="s">
        <v>11781</v>
      </c>
      <c r="E5461" s="5">
        <v>46294</v>
      </c>
      <c r="F5461" t="s">
        <v>204</v>
      </c>
      <c r="G5461" t="s">
        <v>220</v>
      </c>
      <c r="H5461">
        <v>5597</v>
      </c>
      <c r="I5461">
        <v>16.79</v>
      </c>
      <c r="J5461">
        <v>3.02</v>
      </c>
      <c r="K5461">
        <v>5577.19</v>
      </c>
      <c r="L5461" s="5">
        <v>46296</v>
      </c>
      <c r="M5461" t="s">
        <v>11453</v>
      </c>
      <c r="N5461" t="s">
        <v>207</v>
      </c>
      <c r="O5461" t="s">
        <v>11781</v>
      </c>
      <c r="P5461" t="s">
        <v>11454</v>
      </c>
      <c r="Q5461" t="s">
        <v>209</v>
      </c>
    </row>
    <row r="5462" spans="1:17" x14ac:dyDescent="0.3">
      <c r="A5462" t="s">
        <v>11782</v>
      </c>
      <c r="C5462" t="s">
        <v>11783</v>
      </c>
      <c r="D5462" t="s">
        <v>11783</v>
      </c>
      <c r="E5462" s="5">
        <v>46294</v>
      </c>
      <c r="F5462" t="s">
        <v>204</v>
      </c>
      <c r="G5462" t="s">
        <v>213</v>
      </c>
      <c r="H5462">
        <v>4798</v>
      </c>
      <c r="I5462">
        <v>76.77</v>
      </c>
      <c r="J5462">
        <v>13.82</v>
      </c>
      <c r="K5462">
        <v>4707.41</v>
      </c>
      <c r="L5462" s="5">
        <v>46296</v>
      </c>
      <c r="M5462" t="s">
        <v>11453</v>
      </c>
      <c r="N5462" t="s">
        <v>207</v>
      </c>
      <c r="O5462" t="s">
        <v>11783</v>
      </c>
      <c r="P5462" t="s">
        <v>11454</v>
      </c>
      <c r="Q5462" t="s">
        <v>209</v>
      </c>
    </row>
    <row r="5463" spans="1:17" x14ac:dyDescent="0.3">
      <c r="A5463" t="s">
        <v>11784</v>
      </c>
      <c r="C5463" t="s">
        <v>11785</v>
      </c>
      <c r="D5463" t="s">
        <v>11785</v>
      </c>
      <c r="E5463" s="5">
        <v>46294</v>
      </c>
      <c r="F5463" t="s">
        <v>204</v>
      </c>
      <c r="G5463" t="s">
        <v>213</v>
      </c>
      <c r="H5463">
        <v>7498</v>
      </c>
      <c r="I5463">
        <v>119.97</v>
      </c>
      <c r="J5463">
        <v>21.59</v>
      </c>
      <c r="K5463">
        <v>7356.44</v>
      </c>
      <c r="L5463" s="5">
        <v>46296</v>
      </c>
      <c r="M5463" t="s">
        <v>11453</v>
      </c>
      <c r="N5463" t="s">
        <v>207</v>
      </c>
      <c r="O5463" t="s">
        <v>11785</v>
      </c>
      <c r="P5463" t="s">
        <v>11454</v>
      </c>
      <c r="Q5463" t="s">
        <v>209</v>
      </c>
    </row>
    <row r="5464" spans="1:17" x14ac:dyDescent="0.3">
      <c r="A5464" t="s">
        <v>11786</v>
      </c>
      <c r="C5464" t="s">
        <v>11787</v>
      </c>
      <c r="D5464" t="s">
        <v>11788</v>
      </c>
      <c r="E5464" s="5">
        <v>46294</v>
      </c>
      <c r="F5464" t="s">
        <v>204</v>
      </c>
      <c r="G5464" t="s">
        <v>220</v>
      </c>
      <c r="H5464">
        <v>1998</v>
      </c>
      <c r="I5464">
        <v>0</v>
      </c>
      <c r="J5464">
        <v>0</v>
      </c>
      <c r="K5464">
        <v>1998</v>
      </c>
      <c r="L5464" s="5">
        <v>46296</v>
      </c>
      <c r="M5464" t="s">
        <v>11453</v>
      </c>
      <c r="N5464" t="s">
        <v>207</v>
      </c>
      <c r="O5464" t="s">
        <v>11788</v>
      </c>
      <c r="P5464" t="s">
        <v>11454</v>
      </c>
      <c r="Q5464" t="s">
        <v>209</v>
      </c>
    </row>
    <row r="5465" spans="1:17" x14ac:dyDescent="0.3">
      <c r="A5465" t="s">
        <v>11789</v>
      </c>
      <c r="C5465" t="s">
        <v>11790</v>
      </c>
      <c r="D5465" t="s">
        <v>11790</v>
      </c>
      <c r="E5465" s="5">
        <v>46294</v>
      </c>
      <c r="F5465" t="s">
        <v>204</v>
      </c>
      <c r="G5465" t="s">
        <v>220</v>
      </c>
      <c r="H5465">
        <v>2499</v>
      </c>
      <c r="I5465">
        <v>7.5</v>
      </c>
      <c r="J5465">
        <v>1.35</v>
      </c>
      <c r="K5465">
        <v>2490.15</v>
      </c>
      <c r="L5465" s="5">
        <v>46296</v>
      </c>
      <c r="M5465" t="s">
        <v>11453</v>
      </c>
      <c r="N5465" t="s">
        <v>207</v>
      </c>
      <c r="O5465" t="s">
        <v>11790</v>
      </c>
      <c r="P5465" t="s">
        <v>11454</v>
      </c>
      <c r="Q5465" t="s">
        <v>209</v>
      </c>
    </row>
    <row r="5466" spans="1:17" x14ac:dyDescent="0.3">
      <c r="A5466" t="s">
        <v>11791</v>
      </c>
      <c r="C5466" t="s">
        <v>11792</v>
      </c>
      <c r="D5466" t="s">
        <v>11793</v>
      </c>
      <c r="E5466" s="5">
        <v>46294</v>
      </c>
      <c r="F5466" t="s">
        <v>204</v>
      </c>
      <c r="G5466" t="s">
        <v>220</v>
      </c>
      <c r="H5466">
        <v>1447</v>
      </c>
      <c r="I5466">
        <v>0</v>
      </c>
      <c r="J5466">
        <v>0</v>
      </c>
      <c r="K5466">
        <v>1447</v>
      </c>
      <c r="L5466" s="5">
        <v>46296</v>
      </c>
      <c r="M5466" t="s">
        <v>11453</v>
      </c>
      <c r="N5466" t="s">
        <v>207</v>
      </c>
      <c r="O5466" t="s">
        <v>11793</v>
      </c>
      <c r="P5466" t="s">
        <v>11454</v>
      </c>
      <c r="Q5466" t="s">
        <v>209</v>
      </c>
    </row>
    <row r="5467" spans="1:17" x14ac:dyDescent="0.3">
      <c r="A5467" t="s">
        <v>11794</v>
      </c>
      <c r="C5467" t="s">
        <v>11795</v>
      </c>
      <c r="D5467" t="s">
        <v>11795</v>
      </c>
      <c r="E5467" s="5">
        <v>46294</v>
      </c>
      <c r="F5467" t="s">
        <v>204</v>
      </c>
      <c r="G5467" t="s">
        <v>220</v>
      </c>
      <c r="H5467">
        <v>2999</v>
      </c>
      <c r="I5467">
        <v>9</v>
      </c>
      <c r="J5467">
        <v>1.62</v>
      </c>
      <c r="K5467">
        <v>2988.38</v>
      </c>
      <c r="L5467" s="5">
        <v>46296</v>
      </c>
      <c r="M5467" t="s">
        <v>11453</v>
      </c>
      <c r="N5467" t="s">
        <v>207</v>
      </c>
      <c r="O5467" t="s">
        <v>11795</v>
      </c>
      <c r="P5467" t="s">
        <v>11454</v>
      </c>
      <c r="Q5467" t="s">
        <v>209</v>
      </c>
    </row>
    <row r="5468" spans="1:17" x14ac:dyDescent="0.3">
      <c r="A5468" t="s">
        <v>11796</v>
      </c>
      <c r="C5468" t="s">
        <v>11797</v>
      </c>
      <c r="D5468" t="s">
        <v>11797</v>
      </c>
      <c r="E5468" s="5">
        <v>46294</v>
      </c>
      <c r="F5468" t="s">
        <v>204</v>
      </c>
      <c r="G5468" t="s">
        <v>220</v>
      </c>
      <c r="H5468">
        <v>4999</v>
      </c>
      <c r="I5468">
        <v>15</v>
      </c>
      <c r="J5468">
        <v>2.7</v>
      </c>
      <c r="K5468">
        <v>4981.3</v>
      </c>
      <c r="L5468" s="5">
        <v>46296</v>
      </c>
      <c r="M5468" t="s">
        <v>11453</v>
      </c>
      <c r="N5468" t="s">
        <v>207</v>
      </c>
      <c r="O5468" t="s">
        <v>11797</v>
      </c>
      <c r="P5468" t="s">
        <v>11454</v>
      </c>
      <c r="Q5468" t="s">
        <v>209</v>
      </c>
    </row>
    <row r="5469" spans="1:17" x14ac:dyDescent="0.3">
      <c r="A5469" t="s">
        <v>11798</v>
      </c>
      <c r="C5469" t="s">
        <v>11799</v>
      </c>
      <c r="D5469" t="s">
        <v>11799</v>
      </c>
      <c r="E5469" s="5">
        <v>46294</v>
      </c>
      <c r="F5469" t="s">
        <v>204</v>
      </c>
      <c r="G5469" t="s">
        <v>255</v>
      </c>
      <c r="H5469">
        <v>3298</v>
      </c>
      <c r="I5469">
        <v>39.58</v>
      </c>
      <c r="J5469">
        <v>7.12</v>
      </c>
      <c r="K5469">
        <v>3251.3</v>
      </c>
      <c r="L5469" s="5">
        <v>46296</v>
      </c>
      <c r="M5469" t="s">
        <v>11453</v>
      </c>
      <c r="N5469" t="s">
        <v>207</v>
      </c>
      <c r="O5469" t="s">
        <v>11799</v>
      </c>
      <c r="P5469" t="s">
        <v>11454</v>
      </c>
      <c r="Q5469" t="s">
        <v>209</v>
      </c>
    </row>
    <row r="5470" spans="1:17" x14ac:dyDescent="0.3">
      <c r="A5470" t="s">
        <v>11800</v>
      </c>
      <c r="C5470" t="s">
        <v>11801</v>
      </c>
      <c r="D5470" t="s">
        <v>11802</v>
      </c>
      <c r="E5470" s="5">
        <v>46294</v>
      </c>
      <c r="F5470" t="s">
        <v>204</v>
      </c>
      <c r="G5470" t="s">
        <v>205</v>
      </c>
      <c r="H5470">
        <v>13597</v>
      </c>
      <c r="I5470">
        <v>231.15</v>
      </c>
      <c r="J5470">
        <v>41.61</v>
      </c>
      <c r="K5470">
        <v>13324.24</v>
      </c>
      <c r="L5470" s="5">
        <v>46296</v>
      </c>
      <c r="M5470" t="s">
        <v>11453</v>
      </c>
      <c r="N5470" t="s">
        <v>207</v>
      </c>
      <c r="O5470" t="s">
        <v>11802</v>
      </c>
      <c r="P5470" t="s">
        <v>11454</v>
      </c>
      <c r="Q5470" t="s">
        <v>209</v>
      </c>
    </row>
    <row r="5471" spans="1:17" x14ac:dyDescent="0.3">
      <c r="A5471" t="s">
        <v>11803</v>
      </c>
      <c r="C5471" t="s">
        <v>11804</v>
      </c>
      <c r="D5471" t="s">
        <v>11804</v>
      </c>
      <c r="E5471" s="5">
        <v>46294</v>
      </c>
      <c r="F5471" t="s">
        <v>204</v>
      </c>
      <c r="G5471" t="s">
        <v>220</v>
      </c>
      <c r="H5471">
        <v>349</v>
      </c>
      <c r="I5471">
        <v>0</v>
      </c>
      <c r="J5471">
        <v>0</v>
      </c>
      <c r="K5471">
        <v>349</v>
      </c>
      <c r="L5471" s="5">
        <v>46296</v>
      </c>
      <c r="M5471" t="s">
        <v>11453</v>
      </c>
      <c r="N5471" t="s">
        <v>207</v>
      </c>
      <c r="O5471" t="s">
        <v>11804</v>
      </c>
      <c r="P5471" t="s">
        <v>11454</v>
      </c>
      <c r="Q5471" t="s">
        <v>209</v>
      </c>
    </row>
    <row r="5472" spans="1:17" x14ac:dyDescent="0.3">
      <c r="A5472" t="s">
        <v>11805</v>
      </c>
      <c r="C5472" t="s">
        <v>11806</v>
      </c>
      <c r="D5472" t="s">
        <v>11806</v>
      </c>
      <c r="E5472" s="5">
        <v>46294</v>
      </c>
      <c r="F5472" t="s">
        <v>204</v>
      </c>
      <c r="G5472" t="s">
        <v>213</v>
      </c>
      <c r="H5472">
        <v>1299</v>
      </c>
      <c r="I5472">
        <v>23.38</v>
      </c>
      <c r="J5472">
        <v>4.21</v>
      </c>
      <c r="K5472">
        <v>1271.4100000000001</v>
      </c>
      <c r="L5472" s="5">
        <v>46296</v>
      </c>
      <c r="M5472" t="s">
        <v>11453</v>
      </c>
      <c r="N5472" t="s">
        <v>207</v>
      </c>
      <c r="O5472" t="s">
        <v>11806</v>
      </c>
      <c r="P5472" t="s">
        <v>11454</v>
      </c>
      <c r="Q5472" t="s">
        <v>209</v>
      </c>
    </row>
    <row r="5473" spans="1:17" x14ac:dyDescent="0.3">
      <c r="A5473" t="s">
        <v>11807</v>
      </c>
      <c r="C5473" t="s">
        <v>11808</v>
      </c>
      <c r="D5473" t="s">
        <v>11808</v>
      </c>
      <c r="E5473" s="5">
        <v>46294</v>
      </c>
      <c r="F5473" t="s">
        <v>204</v>
      </c>
      <c r="G5473" t="s">
        <v>220</v>
      </c>
      <c r="H5473">
        <v>2499</v>
      </c>
      <c r="I5473">
        <v>7.5</v>
      </c>
      <c r="J5473">
        <v>1.35</v>
      </c>
      <c r="K5473">
        <v>2490.15</v>
      </c>
      <c r="L5473" s="5">
        <v>46296</v>
      </c>
      <c r="M5473" t="s">
        <v>11453</v>
      </c>
      <c r="N5473" t="s">
        <v>207</v>
      </c>
      <c r="O5473" t="s">
        <v>11808</v>
      </c>
      <c r="P5473" t="s">
        <v>11454</v>
      </c>
      <c r="Q5473" t="s">
        <v>209</v>
      </c>
    </row>
    <row r="5474" spans="1:17" x14ac:dyDescent="0.3">
      <c r="A5474" t="s">
        <v>11809</v>
      </c>
      <c r="C5474" t="s">
        <v>11810</v>
      </c>
      <c r="D5474" t="s">
        <v>11810</v>
      </c>
      <c r="E5474" s="5">
        <v>46294</v>
      </c>
      <c r="F5474" t="s">
        <v>204</v>
      </c>
      <c r="G5474" t="s">
        <v>205</v>
      </c>
      <c r="H5474">
        <v>1499</v>
      </c>
      <c r="I5474">
        <v>28.48</v>
      </c>
      <c r="J5474">
        <v>5.13</v>
      </c>
      <c r="K5474">
        <v>1465.39</v>
      </c>
      <c r="L5474" s="5">
        <v>46296</v>
      </c>
      <c r="M5474" t="s">
        <v>11453</v>
      </c>
      <c r="N5474" t="s">
        <v>207</v>
      </c>
      <c r="O5474" t="s">
        <v>11810</v>
      </c>
      <c r="P5474" t="s">
        <v>11454</v>
      </c>
      <c r="Q5474" t="s">
        <v>209</v>
      </c>
    </row>
    <row r="5475" spans="1:17" x14ac:dyDescent="0.3">
      <c r="A5475" t="s">
        <v>11811</v>
      </c>
      <c r="C5475" t="s">
        <v>11812</v>
      </c>
      <c r="D5475" t="s">
        <v>11812</v>
      </c>
      <c r="E5475" s="5">
        <v>46294</v>
      </c>
      <c r="F5475" t="s">
        <v>204</v>
      </c>
      <c r="G5475" t="s">
        <v>220</v>
      </c>
      <c r="H5475">
        <v>4097</v>
      </c>
      <c r="I5475">
        <v>12.29</v>
      </c>
      <c r="J5475">
        <v>2.21</v>
      </c>
      <c r="K5475">
        <v>4082.5</v>
      </c>
      <c r="L5475" s="5">
        <v>46296</v>
      </c>
      <c r="M5475" t="s">
        <v>11453</v>
      </c>
      <c r="N5475" t="s">
        <v>207</v>
      </c>
      <c r="O5475" t="s">
        <v>11812</v>
      </c>
      <c r="P5475" t="s">
        <v>11454</v>
      </c>
      <c r="Q5475" t="s">
        <v>209</v>
      </c>
    </row>
    <row r="5476" spans="1:17" x14ac:dyDescent="0.3">
      <c r="A5476" t="s">
        <v>11813</v>
      </c>
      <c r="C5476" t="s">
        <v>11814</v>
      </c>
      <c r="D5476" t="s">
        <v>11815</v>
      </c>
      <c r="E5476" s="5">
        <v>46294</v>
      </c>
      <c r="F5476" t="s">
        <v>204</v>
      </c>
      <c r="G5476" t="s">
        <v>220</v>
      </c>
      <c r="H5476">
        <v>11797</v>
      </c>
      <c r="I5476">
        <v>35.39</v>
      </c>
      <c r="J5476">
        <v>6.37</v>
      </c>
      <c r="K5476">
        <v>11755.24</v>
      </c>
      <c r="L5476" s="5">
        <v>46296</v>
      </c>
      <c r="M5476" t="s">
        <v>11453</v>
      </c>
      <c r="N5476" t="s">
        <v>207</v>
      </c>
      <c r="O5476" t="s">
        <v>11815</v>
      </c>
      <c r="P5476" t="s">
        <v>11454</v>
      </c>
      <c r="Q5476" t="s">
        <v>209</v>
      </c>
    </row>
    <row r="5477" spans="1:17" x14ac:dyDescent="0.3">
      <c r="A5477" t="s">
        <v>11816</v>
      </c>
      <c r="C5477" t="s">
        <v>11817</v>
      </c>
      <c r="D5477" t="s">
        <v>11817</v>
      </c>
      <c r="E5477" s="5">
        <v>46294</v>
      </c>
      <c r="F5477" t="s">
        <v>204</v>
      </c>
      <c r="G5477" t="s">
        <v>205</v>
      </c>
      <c r="H5477">
        <v>499</v>
      </c>
      <c r="I5477">
        <v>9.48</v>
      </c>
      <c r="J5477">
        <v>1.71</v>
      </c>
      <c r="K5477">
        <v>487.81</v>
      </c>
      <c r="L5477" s="5">
        <v>46296</v>
      </c>
      <c r="M5477" t="s">
        <v>11453</v>
      </c>
      <c r="N5477" t="s">
        <v>207</v>
      </c>
      <c r="O5477" t="s">
        <v>11817</v>
      </c>
      <c r="P5477" t="s">
        <v>11454</v>
      </c>
      <c r="Q5477" t="s">
        <v>209</v>
      </c>
    </row>
    <row r="5478" spans="1:17" x14ac:dyDescent="0.3">
      <c r="A5478" t="s">
        <v>11818</v>
      </c>
      <c r="C5478" t="s">
        <v>11819</v>
      </c>
      <c r="D5478" t="s">
        <v>11819</v>
      </c>
      <c r="E5478" s="5">
        <v>46294</v>
      </c>
      <c r="F5478" t="s">
        <v>204</v>
      </c>
      <c r="G5478" t="s">
        <v>205</v>
      </c>
      <c r="H5478">
        <v>7297</v>
      </c>
      <c r="I5478">
        <v>124.05</v>
      </c>
      <c r="J5478">
        <v>22.33</v>
      </c>
      <c r="K5478">
        <v>7150.62</v>
      </c>
      <c r="L5478" s="5">
        <v>46296</v>
      </c>
      <c r="M5478" t="s">
        <v>11453</v>
      </c>
      <c r="N5478" t="s">
        <v>207</v>
      </c>
      <c r="O5478" t="s">
        <v>11819</v>
      </c>
      <c r="P5478" t="s">
        <v>11454</v>
      </c>
      <c r="Q5478" t="s">
        <v>209</v>
      </c>
    </row>
    <row r="5479" spans="1:17" x14ac:dyDescent="0.3">
      <c r="A5479" t="s">
        <v>11820</v>
      </c>
      <c r="C5479" t="s">
        <v>11821</v>
      </c>
      <c r="D5479" t="s">
        <v>11821</v>
      </c>
      <c r="E5479" s="5">
        <v>46294</v>
      </c>
      <c r="F5479" t="s">
        <v>204</v>
      </c>
      <c r="G5479" t="s">
        <v>255</v>
      </c>
      <c r="H5479">
        <v>11498</v>
      </c>
      <c r="I5479">
        <v>103.48</v>
      </c>
      <c r="J5479">
        <v>18.63</v>
      </c>
      <c r="K5479">
        <v>11375.89</v>
      </c>
      <c r="L5479" s="5">
        <v>46296</v>
      </c>
      <c r="M5479" t="s">
        <v>11453</v>
      </c>
      <c r="N5479" t="s">
        <v>207</v>
      </c>
      <c r="O5479" t="s">
        <v>11821</v>
      </c>
      <c r="P5479" t="s">
        <v>11454</v>
      </c>
      <c r="Q5479" t="s">
        <v>209</v>
      </c>
    </row>
    <row r="5480" spans="1:17" x14ac:dyDescent="0.3">
      <c r="A5480" t="s">
        <v>11822</v>
      </c>
      <c r="C5480" t="s">
        <v>11823</v>
      </c>
      <c r="D5480" t="s">
        <v>11823</v>
      </c>
      <c r="E5480" s="5">
        <v>46294</v>
      </c>
      <c r="F5480" t="s">
        <v>204</v>
      </c>
      <c r="G5480" t="s">
        <v>220</v>
      </c>
      <c r="H5480">
        <v>2798</v>
      </c>
      <c r="I5480">
        <v>8.39</v>
      </c>
      <c r="J5480">
        <v>1.51</v>
      </c>
      <c r="K5480">
        <v>2788.1</v>
      </c>
      <c r="L5480" s="5">
        <v>46296</v>
      </c>
      <c r="M5480" t="s">
        <v>11453</v>
      </c>
      <c r="N5480" t="s">
        <v>207</v>
      </c>
      <c r="O5480" t="s">
        <v>11823</v>
      </c>
      <c r="P5480" t="s">
        <v>11454</v>
      </c>
      <c r="Q5480" t="s">
        <v>209</v>
      </c>
    </row>
    <row r="5481" spans="1:17" x14ac:dyDescent="0.3">
      <c r="A5481" t="s">
        <v>11824</v>
      </c>
      <c r="C5481" t="s">
        <v>11825</v>
      </c>
      <c r="D5481" t="s">
        <v>11826</v>
      </c>
      <c r="E5481" s="5">
        <v>46294</v>
      </c>
      <c r="F5481" t="s">
        <v>204</v>
      </c>
      <c r="G5481" t="s">
        <v>220</v>
      </c>
      <c r="H5481">
        <v>3097</v>
      </c>
      <c r="I5481">
        <v>9.2899999999999991</v>
      </c>
      <c r="J5481">
        <v>1.67</v>
      </c>
      <c r="K5481">
        <v>3086.04</v>
      </c>
      <c r="L5481" s="5">
        <v>46296</v>
      </c>
      <c r="M5481" t="s">
        <v>11453</v>
      </c>
      <c r="N5481" t="s">
        <v>207</v>
      </c>
      <c r="O5481" t="s">
        <v>11826</v>
      </c>
      <c r="P5481" t="s">
        <v>11454</v>
      </c>
      <c r="Q5481" t="s">
        <v>209</v>
      </c>
    </row>
    <row r="5482" spans="1:17" x14ac:dyDescent="0.3">
      <c r="A5482" t="s">
        <v>11827</v>
      </c>
      <c r="C5482" t="s">
        <v>11828</v>
      </c>
      <c r="D5482" t="s">
        <v>11828</v>
      </c>
      <c r="E5482" s="5">
        <v>46294</v>
      </c>
      <c r="F5482" t="s">
        <v>204</v>
      </c>
      <c r="G5482" t="s">
        <v>220</v>
      </c>
      <c r="H5482">
        <v>2598</v>
      </c>
      <c r="I5482">
        <v>7.79</v>
      </c>
      <c r="J5482">
        <v>1.4</v>
      </c>
      <c r="K5482">
        <v>2588.81</v>
      </c>
      <c r="L5482" s="5">
        <v>46296</v>
      </c>
      <c r="M5482" t="s">
        <v>11453</v>
      </c>
      <c r="N5482" t="s">
        <v>207</v>
      </c>
      <c r="O5482" t="s">
        <v>11828</v>
      </c>
      <c r="P5482" t="s">
        <v>11454</v>
      </c>
      <c r="Q5482" t="s">
        <v>209</v>
      </c>
    </row>
    <row r="5483" spans="1:17" x14ac:dyDescent="0.3">
      <c r="A5483" t="s">
        <v>11829</v>
      </c>
      <c r="C5483" t="s">
        <v>11830</v>
      </c>
      <c r="D5483" t="s">
        <v>11830</v>
      </c>
      <c r="E5483" s="5">
        <v>46294</v>
      </c>
      <c r="F5483" t="s">
        <v>204</v>
      </c>
      <c r="G5483" t="s">
        <v>220</v>
      </c>
      <c r="H5483">
        <v>349</v>
      </c>
      <c r="I5483">
        <v>0</v>
      </c>
      <c r="J5483">
        <v>0</v>
      </c>
      <c r="K5483">
        <v>349</v>
      </c>
      <c r="L5483" s="5">
        <v>46296</v>
      </c>
      <c r="M5483" t="s">
        <v>11453</v>
      </c>
      <c r="N5483" t="s">
        <v>207</v>
      </c>
      <c r="O5483" t="s">
        <v>11830</v>
      </c>
      <c r="P5483" t="s">
        <v>11454</v>
      </c>
      <c r="Q5483" t="s">
        <v>209</v>
      </c>
    </row>
    <row r="5484" spans="1:17" x14ac:dyDescent="0.3">
      <c r="A5484" t="s">
        <v>11831</v>
      </c>
      <c r="C5484" t="s">
        <v>11832</v>
      </c>
      <c r="D5484" t="s">
        <v>11832</v>
      </c>
      <c r="E5484" s="5">
        <v>46294</v>
      </c>
      <c r="F5484" t="s">
        <v>204</v>
      </c>
      <c r="G5484" t="s">
        <v>213</v>
      </c>
      <c r="H5484">
        <v>4098</v>
      </c>
      <c r="I5484">
        <v>65.569999999999993</v>
      </c>
      <c r="J5484">
        <v>11.8</v>
      </c>
      <c r="K5484">
        <v>4020.63</v>
      </c>
      <c r="L5484" s="5">
        <v>46296</v>
      </c>
      <c r="M5484" t="s">
        <v>11453</v>
      </c>
      <c r="N5484" t="s">
        <v>207</v>
      </c>
      <c r="O5484" t="s">
        <v>11832</v>
      </c>
      <c r="P5484" t="s">
        <v>11454</v>
      </c>
      <c r="Q5484" t="s">
        <v>209</v>
      </c>
    </row>
    <row r="5485" spans="1:17" x14ac:dyDescent="0.3">
      <c r="A5485" t="s">
        <v>11833</v>
      </c>
      <c r="C5485" t="s">
        <v>11834</v>
      </c>
      <c r="D5485" t="s">
        <v>11834</v>
      </c>
      <c r="E5485" s="5">
        <v>46294</v>
      </c>
      <c r="F5485" t="s">
        <v>204</v>
      </c>
      <c r="G5485" t="s">
        <v>213</v>
      </c>
      <c r="H5485">
        <v>3499</v>
      </c>
      <c r="I5485">
        <v>55.98</v>
      </c>
      <c r="J5485">
        <v>10.08</v>
      </c>
      <c r="K5485">
        <v>3432.94</v>
      </c>
      <c r="L5485" s="5">
        <v>46296</v>
      </c>
      <c r="M5485" t="s">
        <v>11453</v>
      </c>
      <c r="N5485" t="s">
        <v>207</v>
      </c>
      <c r="O5485" t="s">
        <v>11834</v>
      </c>
      <c r="P5485" t="s">
        <v>11454</v>
      </c>
      <c r="Q5485" t="s">
        <v>209</v>
      </c>
    </row>
    <row r="5486" spans="1:17" x14ac:dyDescent="0.3">
      <c r="A5486" t="s">
        <v>11835</v>
      </c>
      <c r="C5486" t="s">
        <v>11836</v>
      </c>
      <c r="D5486" t="s">
        <v>11836</v>
      </c>
      <c r="E5486" s="5">
        <v>46294</v>
      </c>
      <c r="F5486" t="s">
        <v>204</v>
      </c>
      <c r="G5486" t="s">
        <v>220</v>
      </c>
      <c r="H5486">
        <v>599</v>
      </c>
      <c r="I5486">
        <v>0</v>
      </c>
      <c r="J5486">
        <v>0</v>
      </c>
      <c r="K5486">
        <v>599</v>
      </c>
      <c r="L5486" s="5">
        <v>46296</v>
      </c>
      <c r="M5486" t="s">
        <v>11453</v>
      </c>
      <c r="N5486" t="s">
        <v>207</v>
      </c>
      <c r="O5486" t="s">
        <v>11836</v>
      </c>
      <c r="P5486" t="s">
        <v>11454</v>
      </c>
      <c r="Q5486" t="s">
        <v>209</v>
      </c>
    </row>
    <row r="5487" spans="1:17" x14ac:dyDescent="0.3">
      <c r="A5487" t="s">
        <v>11837</v>
      </c>
      <c r="B5487" t="s">
        <v>10462</v>
      </c>
      <c r="E5487" s="5">
        <v>46294</v>
      </c>
      <c r="F5487" t="s">
        <v>921</v>
      </c>
      <c r="G5487" t="s">
        <v>205</v>
      </c>
      <c r="H5487">
        <v>1799</v>
      </c>
      <c r="I5487">
        <v>0</v>
      </c>
      <c r="J5487">
        <v>0</v>
      </c>
      <c r="K5487">
        <v>-1799</v>
      </c>
      <c r="L5487" s="5">
        <v>46296</v>
      </c>
      <c r="M5487" t="s">
        <v>11453</v>
      </c>
      <c r="N5487" t="s">
        <v>207</v>
      </c>
      <c r="O5487" t="s">
        <v>10463</v>
      </c>
      <c r="P5487" t="s">
        <v>11454</v>
      </c>
    </row>
    <row r="5488" spans="1:17" x14ac:dyDescent="0.3">
      <c r="A5488" t="s">
        <v>11838</v>
      </c>
      <c r="B5488" t="s">
        <v>9051</v>
      </c>
      <c r="E5488" s="5">
        <v>46294</v>
      </c>
      <c r="F5488" t="s">
        <v>921</v>
      </c>
      <c r="G5488" t="s">
        <v>213</v>
      </c>
      <c r="H5488">
        <v>1299</v>
      </c>
      <c r="I5488">
        <v>0</v>
      </c>
      <c r="J5488">
        <v>0</v>
      </c>
      <c r="K5488">
        <v>-1299</v>
      </c>
      <c r="L5488" s="5">
        <v>46296</v>
      </c>
      <c r="M5488" t="s">
        <v>11453</v>
      </c>
      <c r="N5488" t="s">
        <v>207</v>
      </c>
      <c r="O5488" t="s">
        <v>9052</v>
      </c>
      <c r="P5488" t="s">
        <v>11454</v>
      </c>
    </row>
    <row r="5489" spans="1:17" x14ac:dyDescent="0.3">
      <c r="A5489" t="s">
        <v>11839</v>
      </c>
      <c r="B5489" t="s">
        <v>10096</v>
      </c>
      <c r="E5489" s="5">
        <v>46294</v>
      </c>
      <c r="F5489" t="s">
        <v>921</v>
      </c>
      <c r="G5489" t="s">
        <v>213</v>
      </c>
      <c r="H5489">
        <v>349</v>
      </c>
      <c r="I5489">
        <v>0</v>
      </c>
      <c r="J5489">
        <v>0</v>
      </c>
      <c r="K5489">
        <v>-349</v>
      </c>
      <c r="L5489" s="5">
        <v>46296</v>
      </c>
      <c r="M5489" t="s">
        <v>11453</v>
      </c>
      <c r="N5489" t="s">
        <v>207</v>
      </c>
      <c r="O5489" t="s">
        <v>10097</v>
      </c>
      <c r="P5489" t="s">
        <v>11454</v>
      </c>
    </row>
    <row r="5490" spans="1:17" x14ac:dyDescent="0.3">
      <c r="A5490" t="s">
        <v>11840</v>
      </c>
      <c r="B5490" t="s">
        <v>9655</v>
      </c>
      <c r="E5490" s="5">
        <v>46294</v>
      </c>
      <c r="F5490" t="s">
        <v>921</v>
      </c>
      <c r="G5490" t="s">
        <v>220</v>
      </c>
      <c r="H5490">
        <v>3298</v>
      </c>
      <c r="I5490">
        <v>0</v>
      </c>
      <c r="J5490">
        <v>0</v>
      </c>
      <c r="K5490">
        <v>-3298</v>
      </c>
      <c r="L5490" s="5">
        <v>46296</v>
      </c>
      <c r="M5490" t="s">
        <v>11453</v>
      </c>
      <c r="N5490" t="s">
        <v>207</v>
      </c>
      <c r="O5490" t="s">
        <v>9656</v>
      </c>
      <c r="P5490" t="s">
        <v>11454</v>
      </c>
    </row>
    <row r="5491" spans="1:17" x14ac:dyDescent="0.3">
      <c r="A5491" t="s">
        <v>11841</v>
      </c>
      <c r="B5491" t="s">
        <v>9872</v>
      </c>
      <c r="E5491" s="5">
        <v>46294</v>
      </c>
      <c r="F5491" t="s">
        <v>921</v>
      </c>
      <c r="G5491" t="s">
        <v>220</v>
      </c>
      <c r="H5491">
        <v>1299</v>
      </c>
      <c r="I5491">
        <v>0</v>
      </c>
      <c r="J5491">
        <v>0</v>
      </c>
      <c r="K5491">
        <v>-1299</v>
      </c>
      <c r="L5491" s="5">
        <v>46296</v>
      </c>
      <c r="M5491" t="s">
        <v>11453</v>
      </c>
      <c r="N5491" t="s">
        <v>207</v>
      </c>
      <c r="O5491" t="s">
        <v>9873</v>
      </c>
      <c r="P5491" t="s">
        <v>11454</v>
      </c>
    </row>
    <row r="5492" spans="1:17" x14ac:dyDescent="0.3">
      <c r="A5492" t="s">
        <v>11842</v>
      </c>
      <c r="B5492" t="s">
        <v>10317</v>
      </c>
      <c r="E5492" s="5">
        <v>46294</v>
      </c>
      <c r="F5492" t="s">
        <v>921</v>
      </c>
      <c r="G5492" t="s">
        <v>255</v>
      </c>
      <c r="H5492">
        <v>5497</v>
      </c>
      <c r="I5492">
        <v>0</v>
      </c>
      <c r="J5492">
        <v>0</v>
      </c>
      <c r="K5492">
        <v>-5497</v>
      </c>
      <c r="L5492" s="5">
        <v>46296</v>
      </c>
      <c r="M5492" t="s">
        <v>11453</v>
      </c>
      <c r="N5492" t="s">
        <v>207</v>
      </c>
      <c r="O5492" t="s">
        <v>10318</v>
      </c>
      <c r="P5492" t="s">
        <v>11454</v>
      </c>
    </row>
    <row r="5493" spans="1:17" x14ac:dyDescent="0.3">
      <c r="A5493" t="s">
        <v>11843</v>
      </c>
      <c r="B5493" t="s">
        <v>11047</v>
      </c>
      <c r="E5493" s="5">
        <v>46294</v>
      </c>
      <c r="F5493" t="s">
        <v>921</v>
      </c>
      <c r="G5493" t="s">
        <v>255</v>
      </c>
      <c r="H5493">
        <v>7797</v>
      </c>
      <c r="I5493">
        <v>0</v>
      </c>
      <c r="J5493">
        <v>0</v>
      </c>
      <c r="K5493">
        <v>-7797</v>
      </c>
      <c r="L5493" s="5">
        <v>46296</v>
      </c>
      <c r="M5493" t="s">
        <v>11453</v>
      </c>
      <c r="N5493" t="s">
        <v>207</v>
      </c>
      <c r="O5493" t="s">
        <v>11048</v>
      </c>
      <c r="P5493" t="s">
        <v>11454</v>
      </c>
    </row>
    <row r="5494" spans="1:17" x14ac:dyDescent="0.3">
      <c r="A5494" t="s">
        <v>11844</v>
      </c>
      <c r="B5494" t="s">
        <v>9771</v>
      </c>
      <c r="E5494" s="5">
        <v>46294</v>
      </c>
      <c r="F5494" t="s">
        <v>921</v>
      </c>
      <c r="G5494" t="s">
        <v>255</v>
      </c>
      <c r="H5494">
        <v>1799</v>
      </c>
      <c r="I5494">
        <v>0</v>
      </c>
      <c r="J5494">
        <v>0</v>
      </c>
      <c r="K5494">
        <v>-1799</v>
      </c>
      <c r="L5494" s="5">
        <v>46296</v>
      </c>
      <c r="M5494" t="s">
        <v>11453</v>
      </c>
      <c r="N5494" t="s">
        <v>207</v>
      </c>
      <c r="O5494" t="s">
        <v>9772</v>
      </c>
      <c r="P5494" t="s">
        <v>11454</v>
      </c>
    </row>
    <row r="5495" spans="1:17" x14ac:dyDescent="0.3">
      <c r="A5495" t="s">
        <v>11845</v>
      </c>
      <c r="B5495" t="s">
        <v>10547</v>
      </c>
      <c r="E5495" s="5">
        <v>46294</v>
      </c>
      <c r="F5495" t="s">
        <v>921</v>
      </c>
      <c r="G5495" t="s">
        <v>220</v>
      </c>
      <c r="H5495">
        <v>3798</v>
      </c>
      <c r="I5495">
        <v>0</v>
      </c>
      <c r="J5495">
        <v>0</v>
      </c>
      <c r="K5495">
        <v>-3798</v>
      </c>
      <c r="L5495" s="5">
        <v>46296</v>
      </c>
      <c r="M5495" t="s">
        <v>11453</v>
      </c>
      <c r="N5495" t="s">
        <v>207</v>
      </c>
      <c r="O5495" t="s">
        <v>10549</v>
      </c>
      <c r="P5495" t="s">
        <v>11454</v>
      </c>
    </row>
    <row r="5496" spans="1:17" x14ac:dyDescent="0.3">
      <c r="A5496" t="s">
        <v>11846</v>
      </c>
      <c r="B5496" t="s">
        <v>10994</v>
      </c>
      <c r="E5496" s="5">
        <v>46294</v>
      </c>
      <c r="F5496" t="s">
        <v>921</v>
      </c>
      <c r="G5496" t="s">
        <v>205</v>
      </c>
      <c r="H5496">
        <v>799</v>
      </c>
      <c r="I5496">
        <v>0</v>
      </c>
      <c r="J5496">
        <v>0</v>
      </c>
      <c r="K5496">
        <v>-799</v>
      </c>
      <c r="L5496" s="5">
        <v>46296</v>
      </c>
      <c r="M5496" t="s">
        <v>11453</v>
      </c>
      <c r="N5496" t="s">
        <v>207</v>
      </c>
      <c r="O5496" t="s">
        <v>10996</v>
      </c>
      <c r="P5496" t="s">
        <v>11454</v>
      </c>
    </row>
    <row r="5497" spans="1:17" x14ac:dyDescent="0.3">
      <c r="A5497" t="s">
        <v>11847</v>
      </c>
      <c r="B5497" t="s">
        <v>10488</v>
      </c>
      <c r="E5497" s="5">
        <v>46294</v>
      </c>
      <c r="F5497" t="s">
        <v>921</v>
      </c>
      <c r="G5497" t="s">
        <v>220</v>
      </c>
      <c r="H5497">
        <v>848</v>
      </c>
      <c r="I5497">
        <v>0</v>
      </c>
      <c r="J5497">
        <v>0</v>
      </c>
      <c r="K5497">
        <v>-848</v>
      </c>
      <c r="L5497" s="5">
        <v>46296</v>
      </c>
      <c r="M5497" t="s">
        <v>11453</v>
      </c>
      <c r="N5497" t="s">
        <v>207</v>
      </c>
      <c r="O5497" t="s">
        <v>10489</v>
      </c>
      <c r="P5497" t="s">
        <v>11454</v>
      </c>
    </row>
    <row r="5498" spans="1:17" x14ac:dyDescent="0.3">
      <c r="A5498" t="s">
        <v>11848</v>
      </c>
      <c r="B5498" t="s">
        <v>9082</v>
      </c>
      <c r="E5498" s="5">
        <v>46294</v>
      </c>
      <c r="F5498" t="s">
        <v>921</v>
      </c>
      <c r="G5498" t="s">
        <v>220</v>
      </c>
      <c r="H5498">
        <v>1498</v>
      </c>
      <c r="I5498">
        <v>0</v>
      </c>
      <c r="J5498">
        <v>0</v>
      </c>
      <c r="K5498">
        <v>-1498</v>
      </c>
      <c r="L5498" s="5">
        <v>46296</v>
      </c>
      <c r="M5498" t="s">
        <v>11453</v>
      </c>
      <c r="N5498" t="s">
        <v>207</v>
      </c>
      <c r="O5498" t="s">
        <v>9083</v>
      </c>
      <c r="P5498" t="s">
        <v>11454</v>
      </c>
    </row>
    <row r="5499" spans="1:17" x14ac:dyDescent="0.3">
      <c r="A5499" t="s">
        <v>11849</v>
      </c>
      <c r="C5499" t="s">
        <v>11850</v>
      </c>
      <c r="D5499" t="s">
        <v>11851</v>
      </c>
      <c r="E5499" s="5">
        <v>46295</v>
      </c>
      <c r="F5499" t="s">
        <v>204</v>
      </c>
      <c r="G5499" t="s">
        <v>220</v>
      </c>
      <c r="H5499">
        <v>7999</v>
      </c>
      <c r="I5499">
        <v>24</v>
      </c>
      <c r="J5499">
        <v>4.32</v>
      </c>
      <c r="K5499">
        <v>7970.68</v>
      </c>
      <c r="L5499" s="5">
        <v>46297</v>
      </c>
      <c r="M5499" t="s">
        <v>11852</v>
      </c>
      <c r="N5499" t="s">
        <v>207</v>
      </c>
      <c r="O5499" t="s">
        <v>11851</v>
      </c>
      <c r="P5499" t="s">
        <v>11454</v>
      </c>
      <c r="Q5499" t="s">
        <v>209</v>
      </c>
    </row>
    <row r="5500" spans="1:17" x14ac:dyDescent="0.3">
      <c r="A5500" t="s">
        <v>11853</v>
      </c>
      <c r="C5500" t="s">
        <v>11854</v>
      </c>
      <c r="D5500" t="s">
        <v>11854</v>
      </c>
      <c r="E5500" s="5">
        <v>46295</v>
      </c>
      <c r="F5500" t="s">
        <v>204</v>
      </c>
      <c r="G5500" t="s">
        <v>220</v>
      </c>
      <c r="H5500">
        <v>499</v>
      </c>
      <c r="I5500">
        <v>0</v>
      </c>
      <c r="J5500">
        <v>0</v>
      </c>
      <c r="K5500">
        <v>499</v>
      </c>
      <c r="L5500" s="5">
        <v>46297</v>
      </c>
      <c r="M5500" t="s">
        <v>11852</v>
      </c>
      <c r="N5500" t="s">
        <v>207</v>
      </c>
      <c r="O5500" t="s">
        <v>11854</v>
      </c>
      <c r="P5500" t="s">
        <v>11454</v>
      </c>
      <c r="Q5500" t="s">
        <v>209</v>
      </c>
    </row>
    <row r="5501" spans="1:17" x14ac:dyDescent="0.3">
      <c r="A5501" t="s">
        <v>11855</v>
      </c>
      <c r="C5501" t="s">
        <v>11856</v>
      </c>
      <c r="D5501" t="s">
        <v>11857</v>
      </c>
      <c r="E5501" s="5">
        <v>46295</v>
      </c>
      <c r="F5501" t="s">
        <v>204</v>
      </c>
      <c r="G5501" t="s">
        <v>220</v>
      </c>
      <c r="H5501">
        <v>349</v>
      </c>
      <c r="I5501">
        <v>0</v>
      </c>
      <c r="J5501">
        <v>0</v>
      </c>
      <c r="K5501">
        <v>349</v>
      </c>
      <c r="L5501" s="5">
        <v>46297</v>
      </c>
      <c r="M5501" t="s">
        <v>11852</v>
      </c>
      <c r="N5501" t="s">
        <v>207</v>
      </c>
      <c r="O5501" t="s">
        <v>11857</v>
      </c>
      <c r="P5501" t="s">
        <v>11454</v>
      </c>
      <c r="Q5501" t="s">
        <v>209</v>
      </c>
    </row>
    <row r="5502" spans="1:17" x14ac:dyDescent="0.3">
      <c r="A5502" t="s">
        <v>11858</v>
      </c>
      <c r="C5502" t="s">
        <v>11859</v>
      </c>
      <c r="D5502" t="s">
        <v>11859</v>
      </c>
      <c r="E5502" s="5">
        <v>46295</v>
      </c>
      <c r="F5502" t="s">
        <v>204</v>
      </c>
      <c r="G5502" t="s">
        <v>213</v>
      </c>
      <c r="H5502">
        <v>8798</v>
      </c>
      <c r="I5502">
        <v>140.77000000000001</v>
      </c>
      <c r="J5502">
        <v>25.34</v>
      </c>
      <c r="K5502">
        <v>8631.89</v>
      </c>
      <c r="L5502" s="5">
        <v>46297</v>
      </c>
      <c r="M5502" t="s">
        <v>11852</v>
      </c>
      <c r="N5502" t="s">
        <v>207</v>
      </c>
      <c r="O5502" t="s">
        <v>11859</v>
      </c>
      <c r="P5502" t="s">
        <v>11454</v>
      </c>
      <c r="Q5502" t="s">
        <v>209</v>
      </c>
    </row>
    <row r="5503" spans="1:17" x14ac:dyDescent="0.3">
      <c r="A5503" t="s">
        <v>11860</v>
      </c>
      <c r="C5503" t="s">
        <v>11861</v>
      </c>
      <c r="D5503" t="s">
        <v>11861</v>
      </c>
      <c r="E5503" s="5">
        <v>46295</v>
      </c>
      <c r="F5503" t="s">
        <v>204</v>
      </c>
      <c r="G5503" t="s">
        <v>255</v>
      </c>
      <c r="H5503">
        <v>3798</v>
      </c>
      <c r="I5503">
        <v>45.58</v>
      </c>
      <c r="J5503">
        <v>8.1999999999999993</v>
      </c>
      <c r="K5503">
        <v>3744.22</v>
      </c>
      <c r="L5503" s="5">
        <v>46297</v>
      </c>
      <c r="M5503" t="s">
        <v>11852</v>
      </c>
      <c r="N5503" t="s">
        <v>207</v>
      </c>
      <c r="O5503" t="s">
        <v>11861</v>
      </c>
      <c r="P5503" t="s">
        <v>11454</v>
      </c>
      <c r="Q5503" t="s">
        <v>209</v>
      </c>
    </row>
    <row r="5504" spans="1:17" x14ac:dyDescent="0.3">
      <c r="A5504" t="s">
        <v>11862</v>
      </c>
      <c r="C5504" t="s">
        <v>11863</v>
      </c>
      <c r="D5504" t="s">
        <v>11863</v>
      </c>
      <c r="E5504" s="5">
        <v>46295</v>
      </c>
      <c r="F5504" t="s">
        <v>204</v>
      </c>
      <c r="G5504" t="s">
        <v>220</v>
      </c>
      <c r="H5504">
        <v>1098</v>
      </c>
      <c r="I5504">
        <v>0</v>
      </c>
      <c r="J5504">
        <v>0</v>
      </c>
      <c r="K5504">
        <v>1098</v>
      </c>
      <c r="L5504" s="5">
        <v>46297</v>
      </c>
      <c r="M5504" t="s">
        <v>11852</v>
      </c>
      <c r="N5504" t="s">
        <v>207</v>
      </c>
      <c r="O5504" t="s">
        <v>11863</v>
      </c>
      <c r="P5504" t="s">
        <v>11454</v>
      </c>
      <c r="Q5504" t="s">
        <v>209</v>
      </c>
    </row>
    <row r="5505" spans="1:17" x14ac:dyDescent="0.3">
      <c r="A5505" t="s">
        <v>11864</v>
      </c>
      <c r="C5505" t="s">
        <v>11865</v>
      </c>
      <c r="D5505" t="s">
        <v>11866</v>
      </c>
      <c r="E5505" s="5">
        <v>46295</v>
      </c>
      <c r="F5505" t="s">
        <v>204</v>
      </c>
      <c r="G5505" t="s">
        <v>220</v>
      </c>
      <c r="H5505">
        <v>3798</v>
      </c>
      <c r="I5505">
        <v>11.39</v>
      </c>
      <c r="J5505">
        <v>2.0499999999999998</v>
      </c>
      <c r="K5505">
        <v>3784.56</v>
      </c>
      <c r="L5505" s="5">
        <v>46297</v>
      </c>
      <c r="M5505" t="s">
        <v>11852</v>
      </c>
      <c r="N5505" t="s">
        <v>207</v>
      </c>
      <c r="O5505" t="s">
        <v>11866</v>
      </c>
      <c r="P5505" t="s">
        <v>11454</v>
      </c>
      <c r="Q5505" t="s">
        <v>209</v>
      </c>
    </row>
    <row r="5506" spans="1:17" x14ac:dyDescent="0.3">
      <c r="A5506" t="s">
        <v>11867</v>
      </c>
      <c r="C5506" t="s">
        <v>11868</v>
      </c>
      <c r="D5506" t="s">
        <v>11868</v>
      </c>
      <c r="E5506" s="5">
        <v>46295</v>
      </c>
      <c r="F5506" t="s">
        <v>204</v>
      </c>
      <c r="G5506" t="s">
        <v>220</v>
      </c>
      <c r="H5506">
        <v>5097</v>
      </c>
      <c r="I5506">
        <v>15.29</v>
      </c>
      <c r="J5506">
        <v>2.75</v>
      </c>
      <c r="K5506">
        <v>5078.96</v>
      </c>
      <c r="L5506" s="5">
        <v>46297</v>
      </c>
      <c r="M5506" t="s">
        <v>11852</v>
      </c>
      <c r="N5506" t="s">
        <v>207</v>
      </c>
      <c r="O5506" t="s">
        <v>11868</v>
      </c>
      <c r="P5506" t="s">
        <v>11454</v>
      </c>
      <c r="Q5506" t="s">
        <v>209</v>
      </c>
    </row>
    <row r="5507" spans="1:17" x14ac:dyDescent="0.3">
      <c r="A5507" t="s">
        <v>11869</v>
      </c>
      <c r="C5507" t="s">
        <v>11870</v>
      </c>
      <c r="D5507" t="s">
        <v>11870</v>
      </c>
      <c r="E5507" s="5">
        <v>46295</v>
      </c>
      <c r="F5507" t="s">
        <v>204</v>
      </c>
      <c r="G5507" t="s">
        <v>255</v>
      </c>
      <c r="H5507">
        <v>999</v>
      </c>
      <c r="I5507">
        <v>14.99</v>
      </c>
      <c r="J5507">
        <v>2.7</v>
      </c>
      <c r="K5507">
        <v>981.31</v>
      </c>
      <c r="L5507" s="5">
        <v>46297</v>
      </c>
      <c r="M5507" t="s">
        <v>11852</v>
      </c>
      <c r="N5507" t="s">
        <v>207</v>
      </c>
      <c r="O5507" t="s">
        <v>11870</v>
      </c>
      <c r="P5507" t="s">
        <v>11454</v>
      </c>
      <c r="Q5507" t="s">
        <v>209</v>
      </c>
    </row>
    <row r="5508" spans="1:17" x14ac:dyDescent="0.3">
      <c r="A5508" t="s">
        <v>11871</v>
      </c>
      <c r="C5508" t="s">
        <v>11872</v>
      </c>
      <c r="D5508" t="s">
        <v>11872</v>
      </c>
      <c r="E5508" s="5">
        <v>46295</v>
      </c>
      <c r="F5508" t="s">
        <v>204</v>
      </c>
      <c r="G5508" t="s">
        <v>213</v>
      </c>
      <c r="H5508">
        <v>1498</v>
      </c>
      <c r="I5508">
        <v>26.96</v>
      </c>
      <c r="J5508">
        <v>4.8499999999999996</v>
      </c>
      <c r="K5508">
        <v>1466.19</v>
      </c>
      <c r="L5508" s="5">
        <v>46297</v>
      </c>
      <c r="M5508" t="s">
        <v>11852</v>
      </c>
      <c r="N5508" t="s">
        <v>207</v>
      </c>
      <c r="O5508" t="s">
        <v>11872</v>
      </c>
      <c r="P5508" t="s">
        <v>11454</v>
      </c>
      <c r="Q5508" t="s">
        <v>209</v>
      </c>
    </row>
    <row r="5509" spans="1:17" x14ac:dyDescent="0.3">
      <c r="A5509" t="s">
        <v>11873</v>
      </c>
      <c r="C5509" t="s">
        <v>11874</v>
      </c>
      <c r="D5509" t="s">
        <v>11875</v>
      </c>
      <c r="E5509" s="5">
        <v>46295</v>
      </c>
      <c r="F5509" t="s">
        <v>204</v>
      </c>
      <c r="G5509" t="s">
        <v>213</v>
      </c>
      <c r="H5509">
        <v>2798</v>
      </c>
      <c r="I5509">
        <v>44.77</v>
      </c>
      <c r="J5509">
        <v>8.06</v>
      </c>
      <c r="K5509">
        <v>2745.17</v>
      </c>
      <c r="L5509" s="5">
        <v>46297</v>
      </c>
      <c r="M5509" t="s">
        <v>11852</v>
      </c>
      <c r="N5509" t="s">
        <v>207</v>
      </c>
      <c r="O5509" t="s">
        <v>11875</v>
      </c>
      <c r="P5509" t="s">
        <v>11454</v>
      </c>
      <c r="Q5509" t="s">
        <v>209</v>
      </c>
    </row>
    <row r="5510" spans="1:17" x14ac:dyDescent="0.3">
      <c r="A5510" t="s">
        <v>11876</v>
      </c>
      <c r="C5510" t="s">
        <v>11877</v>
      </c>
      <c r="D5510" t="s">
        <v>11877</v>
      </c>
      <c r="E5510" s="5">
        <v>46295</v>
      </c>
      <c r="F5510" t="s">
        <v>204</v>
      </c>
      <c r="G5510" t="s">
        <v>220</v>
      </c>
      <c r="H5510">
        <v>1947</v>
      </c>
      <c r="I5510">
        <v>0</v>
      </c>
      <c r="J5510">
        <v>0</v>
      </c>
      <c r="K5510">
        <v>1947</v>
      </c>
      <c r="L5510" s="5">
        <v>46297</v>
      </c>
      <c r="M5510" t="s">
        <v>11852</v>
      </c>
      <c r="N5510" t="s">
        <v>207</v>
      </c>
      <c r="O5510" t="s">
        <v>11877</v>
      </c>
      <c r="P5510" t="s">
        <v>11454</v>
      </c>
      <c r="Q5510" t="s">
        <v>209</v>
      </c>
    </row>
    <row r="5511" spans="1:17" x14ac:dyDescent="0.3">
      <c r="A5511" t="s">
        <v>11878</v>
      </c>
      <c r="C5511" t="s">
        <v>11877</v>
      </c>
      <c r="D5511" t="s">
        <v>11877</v>
      </c>
      <c r="E5511" s="5">
        <v>46295</v>
      </c>
      <c r="F5511" t="s">
        <v>204</v>
      </c>
      <c r="G5511" t="s">
        <v>220</v>
      </c>
      <c r="H5511">
        <v>1947</v>
      </c>
      <c r="I5511">
        <v>0</v>
      </c>
      <c r="J5511">
        <v>0</v>
      </c>
      <c r="K5511">
        <v>1947</v>
      </c>
      <c r="L5511" s="5">
        <v>46297</v>
      </c>
      <c r="M5511" t="s">
        <v>11852</v>
      </c>
      <c r="N5511" t="s">
        <v>207</v>
      </c>
      <c r="O5511" t="s">
        <v>11877</v>
      </c>
      <c r="P5511" t="s">
        <v>11454</v>
      </c>
      <c r="Q5511" t="s">
        <v>209</v>
      </c>
    </row>
    <row r="5512" spans="1:17" x14ac:dyDescent="0.3">
      <c r="A5512" t="s">
        <v>11879</v>
      </c>
      <c r="C5512" t="s">
        <v>11880</v>
      </c>
      <c r="D5512" t="s">
        <v>11880</v>
      </c>
      <c r="E5512" s="5">
        <v>46295</v>
      </c>
      <c r="F5512" t="s">
        <v>204</v>
      </c>
      <c r="G5512" t="s">
        <v>220</v>
      </c>
      <c r="H5512">
        <v>3798</v>
      </c>
      <c r="I5512">
        <v>11.39</v>
      </c>
      <c r="J5512">
        <v>2.0499999999999998</v>
      </c>
      <c r="K5512">
        <v>3784.56</v>
      </c>
      <c r="L5512" s="5">
        <v>46297</v>
      </c>
      <c r="M5512" t="s">
        <v>11852</v>
      </c>
      <c r="N5512" t="s">
        <v>207</v>
      </c>
      <c r="O5512" t="s">
        <v>11880</v>
      </c>
      <c r="P5512" t="s">
        <v>11454</v>
      </c>
      <c r="Q5512" t="s">
        <v>209</v>
      </c>
    </row>
    <row r="5513" spans="1:17" x14ac:dyDescent="0.3">
      <c r="A5513" t="s">
        <v>11881</v>
      </c>
      <c r="C5513" t="s">
        <v>11882</v>
      </c>
      <c r="D5513" t="s">
        <v>11882</v>
      </c>
      <c r="E5513" s="5">
        <v>46295</v>
      </c>
      <c r="F5513" t="s">
        <v>204</v>
      </c>
      <c r="G5513" t="s">
        <v>213</v>
      </c>
      <c r="H5513">
        <v>4298</v>
      </c>
      <c r="I5513">
        <v>68.77</v>
      </c>
      <c r="J5513">
        <v>12.38</v>
      </c>
      <c r="K5513">
        <v>4216.8500000000004</v>
      </c>
      <c r="L5513" s="5">
        <v>46297</v>
      </c>
      <c r="M5513" t="s">
        <v>11852</v>
      </c>
      <c r="N5513" t="s">
        <v>207</v>
      </c>
      <c r="O5513" t="s">
        <v>11882</v>
      </c>
      <c r="P5513" t="s">
        <v>11454</v>
      </c>
      <c r="Q5513" t="s">
        <v>209</v>
      </c>
    </row>
    <row r="5514" spans="1:17" x14ac:dyDescent="0.3">
      <c r="A5514" t="s">
        <v>11883</v>
      </c>
      <c r="C5514" t="s">
        <v>11884</v>
      </c>
      <c r="D5514" t="s">
        <v>11884</v>
      </c>
      <c r="E5514" s="5">
        <v>46295</v>
      </c>
      <c r="F5514" t="s">
        <v>204</v>
      </c>
      <c r="G5514" t="s">
        <v>220</v>
      </c>
      <c r="H5514">
        <v>2999</v>
      </c>
      <c r="I5514">
        <v>9</v>
      </c>
      <c r="J5514">
        <v>1.62</v>
      </c>
      <c r="K5514">
        <v>2988.38</v>
      </c>
      <c r="L5514" s="5">
        <v>46297</v>
      </c>
      <c r="M5514" t="s">
        <v>11852</v>
      </c>
      <c r="N5514" t="s">
        <v>207</v>
      </c>
      <c r="O5514" t="s">
        <v>11884</v>
      </c>
      <c r="P5514" t="s">
        <v>11454</v>
      </c>
      <c r="Q5514" t="s">
        <v>209</v>
      </c>
    </row>
    <row r="5515" spans="1:17" x14ac:dyDescent="0.3">
      <c r="A5515" t="s">
        <v>11885</v>
      </c>
      <c r="C5515" t="s">
        <v>11886</v>
      </c>
      <c r="D5515" t="s">
        <v>11886</v>
      </c>
      <c r="E5515" s="5">
        <v>46295</v>
      </c>
      <c r="F5515" t="s">
        <v>204</v>
      </c>
      <c r="G5515" t="s">
        <v>213</v>
      </c>
      <c r="H5515">
        <v>9097</v>
      </c>
      <c r="I5515">
        <v>145.55000000000001</v>
      </c>
      <c r="J5515">
        <v>26.2</v>
      </c>
      <c r="K5515">
        <v>8925.25</v>
      </c>
      <c r="L5515" s="5">
        <v>46297</v>
      </c>
      <c r="M5515" t="s">
        <v>11852</v>
      </c>
      <c r="N5515" t="s">
        <v>207</v>
      </c>
      <c r="O5515" t="s">
        <v>11886</v>
      </c>
      <c r="P5515" t="s">
        <v>11454</v>
      </c>
      <c r="Q5515" t="s">
        <v>209</v>
      </c>
    </row>
    <row r="5516" spans="1:17" x14ac:dyDescent="0.3">
      <c r="A5516" t="s">
        <v>11887</v>
      </c>
      <c r="C5516" t="s">
        <v>11888</v>
      </c>
      <c r="D5516" t="s">
        <v>11889</v>
      </c>
      <c r="E5516" s="5">
        <v>46295</v>
      </c>
      <c r="F5516" t="s">
        <v>204</v>
      </c>
      <c r="G5516" t="s">
        <v>220</v>
      </c>
      <c r="H5516">
        <v>1499</v>
      </c>
      <c r="I5516">
        <v>0</v>
      </c>
      <c r="J5516">
        <v>0</v>
      </c>
      <c r="K5516">
        <v>1499</v>
      </c>
      <c r="L5516" s="5">
        <v>46297</v>
      </c>
      <c r="M5516" t="s">
        <v>11852</v>
      </c>
      <c r="N5516" t="s">
        <v>207</v>
      </c>
      <c r="O5516" t="s">
        <v>11889</v>
      </c>
      <c r="P5516" t="s">
        <v>11454</v>
      </c>
      <c r="Q5516" t="s">
        <v>209</v>
      </c>
    </row>
    <row r="5517" spans="1:17" x14ac:dyDescent="0.3">
      <c r="A5517" t="s">
        <v>11890</v>
      </c>
      <c r="C5517" t="s">
        <v>11891</v>
      </c>
      <c r="D5517" t="s">
        <v>11891</v>
      </c>
      <c r="E5517" s="5">
        <v>46295</v>
      </c>
      <c r="F5517" t="s">
        <v>204</v>
      </c>
      <c r="G5517" t="s">
        <v>220</v>
      </c>
      <c r="H5517">
        <v>4498</v>
      </c>
      <c r="I5517">
        <v>13.49</v>
      </c>
      <c r="J5517">
        <v>2.4300000000000002</v>
      </c>
      <c r="K5517">
        <v>4482.08</v>
      </c>
      <c r="L5517" s="5">
        <v>46297</v>
      </c>
      <c r="M5517" t="s">
        <v>11852</v>
      </c>
      <c r="N5517" t="s">
        <v>207</v>
      </c>
      <c r="O5517" t="s">
        <v>11891</v>
      </c>
      <c r="P5517" t="s">
        <v>11454</v>
      </c>
      <c r="Q5517" t="s">
        <v>209</v>
      </c>
    </row>
    <row r="5518" spans="1:17" x14ac:dyDescent="0.3">
      <c r="A5518" t="s">
        <v>11892</v>
      </c>
      <c r="C5518" t="s">
        <v>11893</v>
      </c>
      <c r="D5518" t="s">
        <v>11893</v>
      </c>
      <c r="E5518" s="5">
        <v>46295</v>
      </c>
      <c r="F5518" t="s">
        <v>204</v>
      </c>
      <c r="G5518" t="s">
        <v>213</v>
      </c>
      <c r="H5518">
        <v>349</v>
      </c>
      <c r="I5518">
        <v>6.28</v>
      </c>
      <c r="J5518">
        <v>1.1299999999999999</v>
      </c>
      <c r="K5518">
        <v>341.59</v>
      </c>
      <c r="L5518" s="5">
        <v>46297</v>
      </c>
      <c r="M5518" t="s">
        <v>11852</v>
      </c>
      <c r="N5518" t="s">
        <v>207</v>
      </c>
      <c r="O5518" t="s">
        <v>11893</v>
      </c>
      <c r="P5518" t="s">
        <v>11454</v>
      </c>
      <c r="Q5518" t="s">
        <v>209</v>
      </c>
    </row>
    <row r="5519" spans="1:17" x14ac:dyDescent="0.3">
      <c r="A5519" t="s">
        <v>11894</v>
      </c>
      <c r="C5519" t="s">
        <v>11895</v>
      </c>
      <c r="D5519" t="s">
        <v>11895</v>
      </c>
      <c r="E5519" s="5">
        <v>46295</v>
      </c>
      <c r="F5519" t="s">
        <v>204</v>
      </c>
      <c r="G5519" t="s">
        <v>220</v>
      </c>
      <c r="H5519">
        <v>4999</v>
      </c>
      <c r="I5519">
        <v>15</v>
      </c>
      <c r="J5519">
        <v>2.7</v>
      </c>
      <c r="K5519">
        <v>4981.3</v>
      </c>
      <c r="L5519" s="5">
        <v>46297</v>
      </c>
      <c r="M5519" t="s">
        <v>11852</v>
      </c>
      <c r="N5519" t="s">
        <v>207</v>
      </c>
      <c r="O5519" t="s">
        <v>11895</v>
      </c>
      <c r="P5519" t="s">
        <v>11454</v>
      </c>
      <c r="Q5519" t="s">
        <v>209</v>
      </c>
    </row>
    <row r="5520" spans="1:17" x14ac:dyDescent="0.3">
      <c r="A5520" t="s">
        <v>11896</v>
      </c>
      <c r="C5520" t="s">
        <v>11897</v>
      </c>
      <c r="D5520" t="s">
        <v>11897</v>
      </c>
      <c r="E5520" s="5">
        <v>46295</v>
      </c>
      <c r="F5520" t="s">
        <v>204</v>
      </c>
      <c r="G5520" t="s">
        <v>220</v>
      </c>
      <c r="H5520">
        <v>1498</v>
      </c>
      <c r="I5520">
        <v>0</v>
      </c>
      <c r="J5520">
        <v>0</v>
      </c>
      <c r="K5520">
        <v>1498</v>
      </c>
      <c r="L5520" s="5">
        <v>46297</v>
      </c>
      <c r="M5520" t="s">
        <v>11852</v>
      </c>
      <c r="N5520" t="s">
        <v>207</v>
      </c>
      <c r="O5520" t="s">
        <v>11897</v>
      </c>
      <c r="P5520" t="s">
        <v>11454</v>
      </c>
      <c r="Q5520" t="s">
        <v>209</v>
      </c>
    </row>
    <row r="5521" spans="1:17" x14ac:dyDescent="0.3">
      <c r="A5521" t="s">
        <v>11898</v>
      </c>
      <c r="C5521" t="s">
        <v>11899</v>
      </c>
      <c r="D5521" t="s">
        <v>11899</v>
      </c>
      <c r="E5521" s="5">
        <v>46295</v>
      </c>
      <c r="F5521" t="s">
        <v>204</v>
      </c>
      <c r="G5521" t="s">
        <v>220</v>
      </c>
      <c r="H5521">
        <v>5697</v>
      </c>
      <c r="I5521">
        <v>17.09</v>
      </c>
      <c r="J5521">
        <v>3.08</v>
      </c>
      <c r="K5521">
        <v>5676.83</v>
      </c>
      <c r="L5521" s="5">
        <v>46297</v>
      </c>
      <c r="M5521" t="s">
        <v>11852</v>
      </c>
      <c r="N5521" t="s">
        <v>207</v>
      </c>
      <c r="O5521" t="s">
        <v>11899</v>
      </c>
      <c r="P5521" t="s">
        <v>11454</v>
      </c>
      <c r="Q5521" t="s">
        <v>209</v>
      </c>
    </row>
    <row r="5522" spans="1:17" x14ac:dyDescent="0.3">
      <c r="A5522" t="s">
        <v>11900</v>
      </c>
      <c r="C5522" t="s">
        <v>11901</v>
      </c>
      <c r="D5522" t="s">
        <v>11901</v>
      </c>
      <c r="E5522" s="5">
        <v>46295</v>
      </c>
      <c r="F5522" t="s">
        <v>204</v>
      </c>
      <c r="G5522" t="s">
        <v>213</v>
      </c>
      <c r="H5522">
        <v>3499</v>
      </c>
      <c r="I5522">
        <v>55.98</v>
      </c>
      <c r="J5522">
        <v>10.08</v>
      </c>
      <c r="K5522">
        <v>3432.94</v>
      </c>
      <c r="L5522" s="5">
        <v>46297</v>
      </c>
      <c r="M5522" t="s">
        <v>11852</v>
      </c>
      <c r="N5522" t="s">
        <v>207</v>
      </c>
      <c r="O5522" t="s">
        <v>11901</v>
      </c>
      <c r="P5522" t="s">
        <v>11454</v>
      </c>
      <c r="Q5522" t="s">
        <v>209</v>
      </c>
    </row>
    <row r="5523" spans="1:17" x14ac:dyDescent="0.3">
      <c r="A5523" t="s">
        <v>11902</v>
      </c>
      <c r="C5523" t="s">
        <v>11903</v>
      </c>
      <c r="D5523" t="s">
        <v>11903</v>
      </c>
      <c r="E5523" s="5">
        <v>46295</v>
      </c>
      <c r="F5523" t="s">
        <v>204</v>
      </c>
      <c r="G5523" t="s">
        <v>220</v>
      </c>
      <c r="H5523">
        <v>8998</v>
      </c>
      <c r="I5523">
        <v>26.99</v>
      </c>
      <c r="J5523">
        <v>4.8600000000000003</v>
      </c>
      <c r="K5523">
        <v>8966.15</v>
      </c>
      <c r="L5523" s="5">
        <v>46297</v>
      </c>
      <c r="M5523" t="s">
        <v>11852</v>
      </c>
      <c r="N5523" t="s">
        <v>207</v>
      </c>
      <c r="O5523" t="s">
        <v>11903</v>
      </c>
      <c r="P5523" t="s">
        <v>11454</v>
      </c>
      <c r="Q5523" t="s">
        <v>209</v>
      </c>
    </row>
    <row r="5524" spans="1:17" x14ac:dyDescent="0.3">
      <c r="A5524" t="s">
        <v>11904</v>
      </c>
      <c r="C5524" t="s">
        <v>11905</v>
      </c>
      <c r="D5524" t="s">
        <v>11905</v>
      </c>
      <c r="E5524" s="5">
        <v>46295</v>
      </c>
      <c r="F5524" t="s">
        <v>204</v>
      </c>
      <c r="G5524" t="s">
        <v>205</v>
      </c>
      <c r="H5524">
        <v>5998</v>
      </c>
      <c r="I5524">
        <v>143.94999999999999</v>
      </c>
      <c r="J5524">
        <v>25.91</v>
      </c>
      <c r="K5524">
        <v>5828.14</v>
      </c>
      <c r="L5524" s="5">
        <v>46297</v>
      </c>
      <c r="M5524" t="s">
        <v>11852</v>
      </c>
      <c r="N5524" t="s">
        <v>207</v>
      </c>
      <c r="O5524" t="s">
        <v>11905</v>
      </c>
      <c r="P5524" t="s">
        <v>11454</v>
      </c>
      <c r="Q5524" t="s">
        <v>209</v>
      </c>
    </row>
    <row r="5525" spans="1:17" x14ac:dyDescent="0.3">
      <c r="A5525" t="s">
        <v>11906</v>
      </c>
      <c r="C5525" t="s">
        <v>11907</v>
      </c>
      <c r="D5525" t="s">
        <v>11908</v>
      </c>
      <c r="E5525" s="5">
        <v>46295</v>
      </c>
      <c r="F5525" t="s">
        <v>204</v>
      </c>
      <c r="G5525" t="s">
        <v>220</v>
      </c>
      <c r="H5525">
        <v>2098</v>
      </c>
      <c r="I5525">
        <v>6.29</v>
      </c>
      <c r="J5525">
        <v>1.1299999999999999</v>
      </c>
      <c r="K5525">
        <v>2090.58</v>
      </c>
      <c r="L5525" s="5">
        <v>46297</v>
      </c>
      <c r="M5525" t="s">
        <v>11852</v>
      </c>
      <c r="N5525" t="s">
        <v>207</v>
      </c>
      <c r="O5525" t="s">
        <v>11908</v>
      </c>
      <c r="P5525" t="s">
        <v>11454</v>
      </c>
      <c r="Q5525" t="s">
        <v>209</v>
      </c>
    </row>
    <row r="5526" spans="1:17" x14ac:dyDescent="0.3">
      <c r="A5526" t="s">
        <v>11909</v>
      </c>
      <c r="C5526" t="s">
        <v>11910</v>
      </c>
      <c r="D5526" t="s">
        <v>11910</v>
      </c>
      <c r="E5526" s="5">
        <v>46295</v>
      </c>
      <c r="F5526" t="s">
        <v>204</v>
      </c>
      <c r="G5526" t="s">
        <v>220</v>
      </c>
      <c r="H5526">
        <v>10498</v>
      </c>
      <c r="I5526">
        <v>31.49</v>
      </c>
      <c r="J5526">
        <v>5.67</v>
      </c>
      <c r="K5526">
        <v>10460.84</v>
      </c>
      <c r="L5526" s="5">
        <v>46297</v>
      </c>
      <c r="M5526" t="s">
        <v>11852</v>
      </c>
      <c r="N5526" t="s">
        <v>207</v>
      </c>
      <c r="O5526" t="s">
        <v>11910</v>
      </c>
      <c r="P5526" t="s">
        <v>11454</v>
      </c>
      <c r="Q5526" t="s">
        <v>209</v>
      </c>
    </row>
    <row r="5527" spans="1:17" x14ac:dyDescent="0.3">
      <c r="A5527" t="s">
        <v>11911</v>
      </c>
      <c r="C5527" t="s">
        <v>11912</v>
      </c>
      <c r="D5527" t="s">
        <v>11912</v>
      </c>
      <c r="E5527" s="5">
        <v>46295</v>
      </c>
      <c r="F5527" t="s">
        <v>204</v>
      </c>
      <c r="G5527" t="s">
        <v>213</v>
      </c>
      <c r="H5527">
        <v>9997</v>
      </c>
      <c r="I5527">
        <v>159.94999999999999</v>
      </c>
      <c r="J5527">
        <v>28.79</v>
      </c>
      <c r="K5527">
        <v>9808.26</v>
      </c>
      <c r="L5527" s="5">
        <v>46297</v>
      </c>
      <c r="M5527" t="s">
        <v>11852</v>
      </c>
      <c r="N5527" t="s">
        <v>207</v>
      </c>
      <c r="O5527" t="s">
        <v>11912</v>
      </c>
      <c r="P5527" t="s">
        <v>11454</v>
      </c>
      <c r="Q5527" t="s">
        <v>209</v>
      </c>
    </row>
    <row r="5528" spans="1:17" x14ac:dyDescent="0.3">
      <c r="A5528" t="s">
        <v>11913</v>
      </c>
      <c r="C5528" t="s">
        <v>11914</v>
      </c>
      <c r="D5528" t="s">
        <v>11914</v>
      </c>
      <c r="E5528" s="5">
        <v>46295</v>
      </c>
      <c r="F5528" t="s">
        <v>204</v>
      </c>
      <c r="G5528" t="s">
        <v>220</v>
      </c>
      <c r="H5528">
        <v>999</v>
      </c>
      <c r="I5528">
        <v>0</v>
      </c>
      <c r="J5528">
        <v>0</v>
      </c>
      <c r="K5528">
        <v>999</v>
      </c>
      <c r="L5528" s="5">
        <v>46297</v>
      </c>
      <c r="M5528" t="s">
        <v>11852</v>
      </c>
      <c r="N5528" t="s">
        <v>207</v>
      </c>
      <c r="O5528" t="s">
        <v>11914</v>
      </c>
      <c r="P5528" t="s">
        <v>11454</v>
      </c>
      <c r="Q5528" t="s">
        <v>209</v>
      </c>
    </row>
    <row r="5529" spans="1:17" x14ac:dyDescent="0.3">
      <c r="A5529" t="s">
        <v>11915</v>
      </c>
      <c r="C5529" t="s">
        <v>11916</v>
      </c>
      <c r="D5529" t="s">
        <v>11916</v>
      </c>
      <c r="E5529" s="5">
        <v>46295</v>
      </c>
      <c r="F5529" t="s">
        <v>204</v>
      </c>
      <c r="G5529" t="s">
        <v>220</v>
      </c>
      <c r="H5529">
        <v>499</v>
      </c>
      <c r="I5529">
        <v>0</v>
      </c>
      <c r="J5529">
        <v>0</v>
      </c>
      <c r="K5529">
        <v>499</v>
      </c>
      <c r="L5529" s="5">
        <v>46297</v>
      </c>
      <c r="M5529" t="s">
        <v>11852</v>
      </c>
      <c r="N5529" t="s">
        <v>207</v>
      </c>
      <c r="O5529" t="s">
        <v>11916</v>
      </c>
      <c r="P5529" t="s">
        <v>11454</v>
      </c>
      <c r="Q5529" t="s">
        <v>209</v>
      </c>
    </row>
    <row r="5530" spans="1:17" x14ac:dyDescent="0.3">
      <c r="A5530" t="s">
        <v>11917</v>
      </c>
      <c r="C5530" t="s">
        <v>11918</v>
      </c>
      <c r="D5530" t="s">
        <v>11918</v>
      </c>
      <c r="E5530" s="5">
        <v>46295</v>
      </c>
      <c r="F5530" t="s">
        <v>204</v>
      </c>
      <c r="G5530" t="s">
        <v>220</v>
      </c>
      <c r="H5530">
        <v>848</v>
      </c>
      <c r="I5530">
        <v>0</v>
      </c>
      <c r="J5530">
        <v>0</v>
      </c>
      <c r="K5530">
        <v>848</v>
      </c>
      <c r="L5530" s="5">
        <v>46297</v>
      </c>
      <c r="M5530" t="s">
        <v>11852</v>
      </c>
      <c r="N5530" t="s">
        <v>207</v>
      </c>
      <c r="O5530" t="s">
        <v>11918</v>
      </c>
      <c r="P5530" t="s">
        <v>11454</v>
      </c>
      <c r="Q5530" t="s">
        <v>209</v>
      </c>
    </row>
    <row r="5531" spans="1:17" x14ac:dyDescent="0.3">
      <c r="A5531" t="s">
        <v>11919</v>
      </c>
      <c r="C5531" t="s">
        <v>11920</v>
      </c>
      <c r="D5531" t="s">
        <v>11920</v>
      </c>
      <c r="E5531" s="5">
        <v>46295</v>
      </c>
      <c r="F5531" t="s">
        <v>204</v>
      </c>
      <c r="G5531" t="s">
        <v>205</v>
      </c>
      <c r="H5531">
        <v>2999</v>
      </c>
      <c r="I5531">
        <v>50.98</v>
      </c>
      <c r="J5531">
        <v>9.18</v>
      </c>
      <c r="K5531">
        <v>2938.84</v>
      </c>
      <c r="L5531" s="5">
        <v>46297</v>
      </c>
      <c r="M5531" t="s">
        <v>11852</v>
      </c>
      <c r="N5531" t="s">
        <v>207</v>
      </c>
      <c r="O5531" t="s">
        <v>11920</v>
      </c>
      <c r="P5531" t="s">
        <v>11454</v>
      </c>
      <c r="Q5531" t="s">
        <v>209</v>
      </c>
    </row>
    <row r="5532" spans="1:17" x14ac:dyDescent="0.3">
      <c r="A5532" t="s">
        <v>11921</v>
      </c>
      <c r="C5532" t="s">
        <v>11922</v>
      </c>
      <c r="D5532" t="s">
        <v>11922</v>
      </c>
      <c r="E5532" s="5">
        <v>46295</v>
      </c>
      <c r="F5532" t="s">
        <v>204</v>
      </c>
      <c r="G5532" t="s">
        <v>220</v>
      </c>
      <c r="H5532">
        <v>3499</v>
      </c>
      <c r="I5532">
        <v>10.5</v>
      </c>
      <c r="J5532">
        <v>1.89</v>
      </c>
      <c r="K5532">
        <v>3486.61</v>
      </c>
      <c r="L5532" s="5">
        <v>46297</v>
      </c>
      <c r="M5532" t="s">
        <v>11852</v>
      </c>
      <c r="N5532" t="s">
        <v>207</v>
      </c>
      <c r="O5532" t="s">
        <v>11922</v>
      </c>
      <c r="P5532" t="s">
        <v>11454</v>
      </c>
      <c r="Q5532" t="s">
        <v>209</v>
      </c>
    </row>
    <row r="5533" spans="1:17" x14ac:dyDescent="0.3">
      <c r="A5533" t="s">
        <v>11923</v>
      </c>
      <c r="C5533" t="s">
        <v>11924</v>
      </c>
      <c r="D5533" t="s">
        <v>11924</v>
      </c>
      <c r="E5533" s="5">
        <v>46295</v>
      </c>
      <c r="F5533" t="s">
        <v>204</v>
      </c>
      <c r="G5533" t="s">
        <v>220</v>
      </c>
      <c r="H5533">
        <v>2999</v>
      </c>
      <c r="I5533">
        <v>9</v>
      </c>
      <c r="J5533">
        <v>1.62</v>
      </c>
      <c r="K5533">
        <v>2988.38</v>
      </c>
      <c r="L5533" s="5">
        <v>46297</v>
      </c>
      <c r="M5533" t="s">
        <v>11852</v>
      </c>
      <c r="N5533" t="s">
        <v>207</v>
      </c>
      <c r="O5533" t="s">
        <v>11924</v>
      </c>
      <c r="P5533" t="s">
        <v>11454</v>
      </c>
      <c r="Q5533" t="s">
        <v>209</v>
      </c>
    </row>
    <row r="5534" spans="1:17" x14ac:dyDescent="0.3">
      <c r="A5534" t="s">
        <v>11925</v>
      </c>
      <c r="C5534" t="s">
        <v>11926</v>
      </c>
      <c r="D5534" t="s">
        <v>11927</v>
      </c>
      <c r="E5534" s="5">
        <v>46295</v>
      </c>
      <c r="F5534" t="s">
        <v>204</v>
      </c>
      <c r="G5534" t="s">
        <v>255</v>
      </c>
      <c r="H5534">
        <v>3298</v>
      </c>
      <c r="I5534">
        <v>39.58</v>
      </c>
      <c r="J5534">
        <v>7.12</v>
      </c>
      <c r="K5534">
        <v>3251.3</v>
      </c>
      <c r="L5534" s="5">
        <v>46297</v>
      </c>
      <c r="M5534" t="s">
        <v>11852</v>
      </c>
      <c r="N5534" t="s">
        <v>207</v>
      </c>
      <c r="O5534" t="s">
        <v>11927</v>
      </c>
      <c r="P5534" t="s">
        <v>11454</v>
      </c>
      <c r="Q5534" t="s">
        <v>209</v>
      </c>
    </row>
    <row r="5535" spans="1:17" x14ac:dyDescent="0.3">
      <c r="A5535" t="s">
        <v>11928</v>
      </c>
      <c r="C5535" t="s">
        <v>11929</v>
      </c>
      <c r="D5535" t="s">
        <v>11929</v>
      </c>
      <c r="E5535" s="5">
        <v>46295</v>
      </c>
      <c r="F5535" t="s">
        <v>204</v>
      </c>
      <c r="G5535" t="s">
        <v>220</v>
      </c>
      <c r="H5535">
        <v>5298</v>
      </c>
      <c r="I5535">
        <v>15.89</v>
      </c>
      <c r="J5535">
        <v>2.86</v>
      </c>
      <c r="K5535">
        <v>5279.25</v>
      </c>
      <c r="L5535" s="5">
        <v>46297</v>
      </c>
      <c r="M5535" t="s">
        <v>11852</v>
      </c>
      <c r="N5535" t="s">
        <v>207</v>
      </c>
      <c r="O5535" t="s">
        <v>11929</v>
      </c>
      <c r="P5535" t="s">
        <v>11454</v>
      </c>
      <c r="Q5535" t="s">
        <v>209</v>
      </c>
    </row>
    <row r="5536" spans="1:17" x14ac:dyDescent="0.3">
      <c r="A5536" t="s">
        <v>11930</v>
      </c>
      <c r="C5536" t="s">
        <v>11931</v>
      </c>
      <c r="D5536" t="s">
        <v>11931</v>
      </c>
      <c r="E5536" s="5">
        <v>46295</v>
      </c>
      <c r="F5536" t="s">
        <v>204</v>
      </c>
      <c r="G5536" t="s">
        <v>220</v>
      </c>
      <c r="H5536">
        <v>2498</v>
      </c>
      <c r="I5536">
        <v>7.49</v>
      </c>
      <c r="J5536">
        <v>1.35</v>
      </c>
      <c r="K5536">
        <v>2489.16</v>
      </c>
      <c r="L5536" s="5">
        <v>46297</v>
      </c>
      <c r="M5536" t="s">
        <v>11852</v>
      </c>
      <c r="N5536" t="s">
        <v>207</v>
      </c>
      <c r="O5536" t="s">
        <v>11931</v>
      </c>
      <c r="P5536" t="s">
        <v>11454</v>
      </c>
      <c r="Q5536" t="s">
        <v>209</v>
      </c>
    </row>
    <row r="5537" spans="1:17" x14ac:dyDescent="0.3">
      <c r="A5537" t="s">
        <v>11932</v>
      </c>
      <c r="C5537" t="s">
        <v>11933</v>
      </c>
      <c r="D5537" t="s">
        <v>11933</v>
      </c>
      <c r="E5537" s="5">
        <v>46295</v>
      </c>
      <c r="F5537" t="s">
        <v>204</v>
      </c>
      <c r="G5537" t="s">
        <v>255</v>
      </c>
      <c r="H5537">
        <v>2999</v>
      </c>
      <c r="I5537">
        <v>35.99</v>
      </c>
      <c r="J5537">
        <v>6.48</v>
      </c>
      <c r="K5537">
        <v>2956.53</v>
      </c>
      <c r="L5537" s="5">
        <v>46297</v>
      </c>
      <c r="M5537" t="s">
        <v>11852</v>
      </c>
      <c r="N5537" t="s">
        <v>207</v>
      </c>
      <c r="O5537" t="s">
        <v>11933</v>
      </c>
      <c r="P5537" t="s">
        <v>11454</v>
      </c>
      <c r="Q5537" t="s">
        <v>209</v>
      </c>
    </row>
    <row r="5538" spans="1:17" x14ac:dyDescent="0.3">
      <c r="A5538" t="s">
        <v>11934</v>
      </c>
      <c r="C5538" t="s">
        <v>11935</v>
      </c>
      <c r="D5538" t="s">
        <v>11936</v>
      </c>
      <c r="E5538" s="5">
        <v>46295</v>
      </c>
      <c r="F5538" t="s">
        <v>204</v>
      </c>
      <c r="G5538" t="s">
        <v>213</v>
      </c>
      <c r="H5538">
        <v>4498</v>
      </c>
      <c r="I5538">
        <v>71.97</v>
      </c>
      <c r="J5538">
        <v>12.95</v>
      </c>
      <c r="K5538">
        <v>4413.08</v>
      </c>
      <c r="L5538" s="5">
        <v>46297</v>
      </c>
      <c r="M5538" t="s">
        <v>11852</v>
      </c>
      <c r="N5538" t="s">
        <v>207</v>
      </c>
      <c r="O5538" t="s">
        <v>11936</v>
      </c>
      <c r="P5538" t="s">
        <v>11454</v>
      </c>
      <c r="Q5538" t="s">
        <v>209</v>
      </c>
    </row>
    <row r="5539" spans="1:17" x14ac:dyDescent="0.3">
      <c r="A5539" t="s">
        <v>11937</v>
      </c>
      <c r="C5539" t="s">
        <v>11938</v>
      </c>
      <c r="D5539" t="s">
        <v>11939</v>
      </c>
      <c r="E5539" s="5">
        <v>46295</v>
      </c>
      <c r="F5539" t="s">
        <v>204</v>
      </c>
      <c r="G5539" t="s">
        <v>220</v>
      </c>
      <c r="H5539">
        <v>2998</v>
      </c>
      <c r="I5539">
        <v>8.99</v>
      </c>
      <c r="J5539">
        <v>1.62</v>
      </c>
      <c r="K5539">
        <v>2987.39</v>
      </c>
      <c r="L5539" s="5">
        <v>46297</v>
      </c>
      <c r="M5539" t="s">
        <v>11852</v>
      </c>
      <c r="N5539" t="s">
        <v>207</v>
      </c>
      <c r="O5539" t="s">
        <v>11939</v>
      </c>
      <c r="P5539" t="s">
        <v>11454</v>
      </c>
      <c r="Q5539" t="s">
        <v>209</v>
      </c>
    </row>
    <row r="5540" spans="1:17" x14ac:dyDescent="0.3">
      <c r="A5540" t="s">
        <v>11940</v>
      </c>
      <c r="C5540" t="s">
        <v>11941</v>
      </c>
      <c r="D5540" t="s">
        <v>11941</v>
      </c>
      <c r="E5540" s="5">
        <v>46295</v>
      </c>
      <c r="F5540" t="s">
        <v>204</v>
      </c>
      <c r="G5540" t="s">
        <v>205</v>
      </c>
      <c r="H5540">
        <v>7999</v>
      </c>
      <c r="I5540">
        <v>135.97999999999999</v>
      </c>
      <c r="J5540">
        <v>24.48</v>
      </c>
      <c r="K5540">
        <v>7838.54</v>
      </c>
      <c r="L5540" s="5">
        <v>46297</v>
      </c>
      <c r="M5540" t="s">
        <v>11852</v>
      </c>
      <c r="N5540" t="s">
        <v>207</v>
      </c>
      <c r="O5540" t="s">
        <v>11941</v>
      </c>
      <c r="P5540" t="s">
        <v>11454</v>
      </c>
      <c r="Q5540" t="s">
        <v>209</v>
      </c>
    </row>
    <row r="5541" spans="1:17" x14ac:dyDescent="0.3">
      <c r="A5541" t="s">
        <v>11942</v>
      </c>
      <c r="C5541" t="s">
        <v>11943</v>
      </c>
      <c r="D5541" t="s">
        <v>11943</v>
      </c>
      <c r="E5541" s="5">
        <v>46295</v>
      </c>
      <c r="F5541" t="s">
        <v>204</v>
      </c>
      <c r="G5541" t="s">
        <v>220</v>
      </c>
      <c r="H5541">
        <v>2999</v>
      </c>
      <c r="I5541">
        <v>9</v>
      </c>
      <c r="J5541">
        <v>1.62</v>
      </c>
      <c r="K5541">
        <v>2988.38</v>
      </c>
      <c r="L5541" s="5">
        <v>46297</v>
      </c>
      <c r="M5541" t="s">
        <v>11852</v>
      </c>
      <c r="N5541" t="s">
        <v>207</v>
      </c>
      <c r="O5541" t="s">
        <v>11943</v>
      </c>
      <c r="P5541" t="s">
        <v>11454</v>
      </c>
      <c r="Q5541" t="s">
        <v>209</v>
      </c>
    </row>
    <row r="5542" spans="1:17" x14ac:dyDescent="0.3">
      <c r="A5542" t="s">
        <v>11944</v>
      </c>
      <c r="C5542" t="s">
        <v>11945</v>
      </c>
      <c r="D5542" t="s">
        <v>11945</v>
      </c>
      <c r="E5542" s="5">
        <v>46295</v>
      </c>
      <c r="F5542" t="s">
        <v>204</v>
      </c>
      <c r="G5542" t="s">
        <v>205</v>
      </c>
      <c r="H5542">
        <v>648</v>
      </c>
      <c r="I5542">
        <v>12.31</v>
      </c>
      <c r="J5542">
        <v>2.2200000000000002</v>
      </c>
      <c r="K5542">
        <v>633.47</v>
      </c>
      <c r="L5542" s="5">
        <v>46297</v>
      </c>
      <c r="M5542" t="s">
        <v>11852</v>
      </c>
      <c r="N5542" t="s">
        <v>207</v>
      </c>
      <c r="O5542" t="s">
        <v>11945</v>
      </c>
      <c r="P5542" t="s">
        <v>11454</v>
      </c>
      <c r="Q5542" t="s">
        <v>209</v>
      </c>
    </row>
    <row r="5543" spans="1:17" x14ac:dyDescent="0.3">
      <c r="A5543" t="s">
        <v>11946</v>
      </c>
      <c r="C5543" t="s">
        <v>11947</v>
      </c>
      <c r="D5543" t="s">
        <v>11947</v>
      </c>
      <c r="E5543" s="5">
        <v>46295</v>
      </c>
      <c r="F5543" t="s">
        <v>204</v>
      </c>
      <c r="G5543" t="s">
        <v>213</v>
      </c>
      <c r="H5543">
        <v>499</v>
      </c>
      <c r="I5543">
        <v>8.98</v>
      </c>
      <c r="J5543">
        <v>1.62</v>
      </c>
      <c r="K5543">
        <v>488.4</v>
      </c>
      <c r="L5543" s="5">
        <v>46297</v>
      </c>
      <c r="M5543" t="s">
        <v>11852</v>
      </c>
      <c r="N5543" t="s">
        <v>207</v>
      </c>
      <c r="O5543" t="s">
        <v>11947</v>
      </c>
      <c r="P5543" t="s">
        <v>11454</v>
      </c>
      <c r="Q5543" t="s">
        <v>209</v>
      </c>
    </row>
    <row r="5544" spans="1:17" x14ac:dyDescent="0.3">
      <c r="A5544" t="s">
        <v>11948</v>
      </c>
      <c r="C5544" t="s">
        <v>11949</v>
      </c>
      <c r="D5544" t="s">
        <v>11949</v>
      </c>
      <c r="E5544" s="5">
        <v>46295</v>
      </c>
      <c r="F5544" t="s">
        <v>204</v>
      </c>
      <c r="G5544" t="s">
        <v>205</v>
      </c>
      <c r="H5544">
        <v>349</v>
      </c>
      <c r="I5544">
        <v>6.63</v>
      </c>
      <c r="J5544">
        <v>1.19</v>
      </c>
      <c r="K5544">
        <v>341.18</v>
      </c>
      <c r="L5544" s="5">
        <v>46297</v>
      </c>
      <c r="M5544" t="s">
        <v>11852</v>
      </c>
      <c r="N5544" t="s">
        <v>207</v>
      </c>
      <c r="O5544" t="s">
        <v>11949</v>
      </c>
      <c r="P5544" t="s">
        <v>11454</v>
      </c>
      <c r="Q5544" t="s">
        <v>209</v>
      </c>
    </row>
    <row r="5545" spans="1:17" x14ac:dyDescent="0.3">
      <c r="A5545" t="s">
        <v>11950</v>
      </c>
      <c r="C5545" t="s">
        <v>11951</v>
      </c>
      <c r="D5545" t="s">
        <v>11951</v>
      </c>
      <c r="E5545" s="5">
        <v>46295</v>
      </c>
      <c r="F5545" t="s">
        <v>204</v>
      </c>
      <c r="G5545" t="s">
        <v>220</v>
      </c>
      <c r="H5545">
        <v>1799</v>
      </c>
      <c r="I5545">
        <v>0</v>
      </c>
      <c r="J5545">
        <v>0</v>
      </c>
      <c r="K5545">
        <v>1799</v>
      </c>
      <c r="L5545" s="5">
        <v>46297</v>
      </c>
      <c r="M5545" t="s">
        <v>11852</v>
      </c>
      <c r="N5545" t="s">
        <v>207</v>
      </c>
      <c r="O5545" t="s">
        <v>11951</v>
      </c>
      <c r="P5545" t="s">
        <v>11454</v>
      </c>
      <c r="Q5545" t="s">
        <v>209</v>
      </c>
    </row>
    <row r="5546" spans="1:17" x14ac:dyDescent="0.3">
      <c r="A5546" t="s">
        <v>11952</v>
      </c>
      <c r="C5546" t="s">
        <v>11953</v>
      </c>
      <c r="D5546" t="s">
        <v>11954</v>
      </c>
      <c r="E5546" s="5">
        <v>46295</v>
      </c>
      <c r="F5546" t="s">
        <v>204</v>
      </c>
      <c r="G5546" t="s">
        <v>205</v>
      </c>
      <c r="H5546">
        <v>9297</v>
      </c>
      <c r="I5546">
        <v>158.05000000000001</v>
      </c>
      <c r="J5546">
        <v>28.45</v>
      </c>
      <c r="K5546">
        <v>9110.5</v>
      </c>
      <c r="L5546" s="5">
        <v>46297</v>
      </c>
      <c r="M5546" t="s">
        <v>11852</v>
      </c>
      <c r="N5546" t="s">
        <v>207</v>
      </c>
      <c r="O5546" t="s">
        <v>11954</v>
      </c>
      <c r="P5546" t="s">
        <v>11454</v>
      </c>
      <c r="Q5546" t="s">
        <v>209</v>
      </c>
    </row>
    <row r="5547" spans="1:17" x14ac:dyDescent="0.3">
      <c r="A5547" t="s">
        <v>11955</v>
      </c>
      <c r="C5547" t="s">
        <v>11956</v>
      </c>
      <c r="D5547" t="s">
        <v>11956</v>
      </c>
      <c r="E5547" s="5">
        <v>46295</v>
      </c>
      <c r="F5547" t="s">
        <v>204</v>
      </c>
      <c r="G5547" t="s">
        <v>213</v>
      </c>
      <c r="H5547">
        <v>999</v>
      </c>
      <c r="I5547">
        <v>17.98</v>
      </c>
      <c r="J5547">
        <v>3.24</v>
      </c>
      <c r="K5547">
        <v>977.78</v>
      </c>
      <c r="L5547" s="5">
        <v>46297</v>
      </c>
      <c r="M5547" t="s">
        <v>11852</v>
      </c>
      <c r="N5547" t="s">
        <v>207</v>
      </c>
      <c r="O5547" t="s">
        <v>11956</v>
      </c>
      <c r="P5547" t="s">
        <v>11454</v>
      </c>
      <c r="Q5547" t="s">
        <v>209</v>
      </c>
    </row>
    <row r="5548" spans="1:17" x14ac:dyDescent="0.3">
      <c r="A5548" t="s">
        <v>11957</v>
      </c>
      <c r="C5548" t="s">
        <v>11958</v>
      </c>
      <c r="D5548" t="s">
        <v>11958</v>
      </c>
      <c r="E5548" s="5">
        <v>46295</v>
      </c>
      <c r="F5548" t="s">
        <v>204</v>
      </c>
      <c r="G5548" t="s">
        <v>205</v>
      </c>
      <c r="H5548">
        <v>3147</v>
      </c>
      <c r="I5548">
        <v>53.5</v>
      </c>
      <c r="J5548">
        <v>9.6300000000000008</v>
      </c>
      <c r="K5548">
        <v>3083.87</v>
      </c>
      <c r="L5548" s="5">
        <v>46297</v>
      </c>
      <c r="M5548" t="s">
        <v>11852</v>
      </c>
      <c r="N5548" t="s">
        <v>207</v>
      </c>
      <c r="O5548" t="s">
        <v>11958</v>
      </c>
      <c r="P5548" t="s">
        <v>11454</v>
      </c>
      <c r="Q5548" t="s">
        <v>209</v>
      </c>
    </row>
    <row r="5549" spans="1:17" x14ac:dyDescent="0.3">
      <c r="A5549" t="s">
        <v>11959</v>
      </c>
      <c r="C5549" t="s">
        <v>11960</v>
      </c>
      <c r="D5549" t="s">
        <v>11960</v>
      </c>
      <c r="E5549" s="5">
        <v>46295</v>
      </c>
      <c r="F5549" t="s">
        <v>204</v>
      </c>
      <c r="G5549" t="s">
        <v>220</v>
      </c>
      <c r="H5549">
        <v>2499</v>
      </c>
      <c r="I5549">
        <v>7.5</v>
      </c>
      <c r="J5549">
        <v>1.35</v>
      </c>
      <c r="K5549">
        <v>2490.15</v>
      </c>
      <c r="L5549" s="5">
        <v>46297</v>
      </c>
      <c r="M5549" t="s">
        <v>11852</v>
      </c>
      <c r="N5549" t="s">
        <v>207</v>
      </c>
      <c r="O5549" t="s">
        <v>11960</v>
      </c>
      <c r="P5549" t="s">
        <v>11454</v>
      </c>
      <c r="Q5549" t="s">
        <v>209</v>
      </c>
    </row>
    <row r="5550" spans="1:17" x14ac:dyDescent="0.3">
      <c r="A5550" t="s">
        <v>11961</v>
      </c>
      <c r="C5550" t="s">
        <v>11962</v>
      </c>
      <c r="D5550" t="s">
        <v>11963</v>
      </c>
      <c r="E5550" s="5">
        <v>46295</v>
      </c>
      <c r="F5550" t="s">
        <v>204</v>
      </c>
      <c r="G5550" t="s">
        <v>255</v>
      </c>
      <c r="H5550">
        <v>799</v>
      </c>
      <c r="I5550">
        <v>11.99</v>
      </c>
      <c r="J5550">
        <v>2.16</v>
      </c>
      <c r="K5550">
        <v>784.85</v>
      </c>
      <c r="L5550" s="5">
        <v>46297</v>
      </c>
      <c r="M5550" t="s">
        <v>11852</v>
      </c>
      <c r="N5550" t="s">
        <v>207</v>
      </c>
      <c r="O5550" t="s">
        <v>11963</v>
      </c>
      <c r="P5550" t="s">
        <v>11454</v>
      </c>
      <c r="Q5550" t="s">
        <v>209</v>
      </c>
    </row>
    <row r="5551" spans="1:17" x14ac:dyDescent="0.3">
      <c r="A5551" t="s">
        <v>11964</v>
      </c>
      <c r="C5551" t="s">
        <v>11965</v>
      </c>
      <c r="D5551" t="s">
        <v>11965</v>
      </c>
      <c r="E5551" s="5">
        <v>46295</v>
      </c>
      <c r="F5551" t="s">
        <v>204</v>
      </c>
      <c r="G5551" t="s">
        <v>213</v>
      </c>
      <c r="H5551">
        <v>2798</v>
      </c>
      <c r="I5551">
        <v>44.77</v>
      </c>
      <c r="J5551">
        <v>8.06</v>
      </c>
      <c r="K5551">
        <v>2745.17</v>
      </c>
      <c r="L5551" s="5">
        <v>46297</v>
      </c>
      <c r="M5551" t="s">
        <v>11852</v>
      </c>
      <c r="N5551" t="s">
        <v>207</v>
      </c>
      <c r="O5551" t="s">
        <v>11965</v>
      </c>
      <c r="P5551" t="s">
        <v>11454</v>
      </c>
      <c r="Q5551" t="s">
        <v>209</v>
      </c>
    </row>
    <row r="5552" spans="1:17" x14ac:dyDescent="0.3">
      <c r="A5552" t="s">
        <v>11966</v>
      </c>
      <c r="C5552" t="s">
        <v>11967</v>
      </c>
      <c r="D5552" t="s">
        <v>11967</v>
      </c>
      <c r="E5552" s="5">
        <v>46295</v>
      </c>
      <c r="F5552" t="s">
        <v>204</v>
      </c>
      <c r="G5552" t="s">
        <v>220</v>
      </c>
      <c r="H5552">
        <v>4999</v>
      </c>
      <c r="I5552">
        <v>15</v>
      </c>
      <c r="J5552">
        <v>2.7</v>
      </c>
      <c r="K5552">
        <v>4981.3</v>
      </c>
      <c r="L5552" s="5">
        <v>46297</v>
      </c>
      <c r="M5552" t="s">
        <v>11852</v>
      </c>
      <c r="N5552" t="s">
        <v>207</v>
      </c>
      <c r="O5552" t="s">
        <v>11967</v>
      </c>
      <c r="P5552" t="s">
        <v>11454</v>
      </c>
      <c r="Q5552" t="s">
        <v>209</v>
      </c>
    </row>
    <row r="5553" spans="1:17" x14ac:dyDescent="0.3">
      <c r="A5553" t="s">
        <v>11968</v>
      </c>
      <c r="C5553" t="s">
        <v>11969</v>
      </c>
      <c r="D5553" t="s">
        <v>11969</v>
      </c>
      <c r="E5553" s="5">
        <v>46295</v>
      </c>
      <c r="F5553" t="s">
        <v>204</v>
      </c>
      <c r="G5553" t="s">
        <v>205</v>
      </c>
      <c r="H5553">
        <v>1098</v>
      </c>
      <c r="I5553">
        <v>20.86</v>
      </c>
      <c r="J5553">
        <v>3.75</v>
      </c>
      <c r="K5553">
        <v>1073.3900000000001</v>
      </c>
      <c r="L5553" s="5">
        <v>46297</v>
      </c>
      <c r="M5553" t="s">
        <v>11852</v>
      </c>
      <c r="N5553" t="s">
        <v>207</v>
      </c>
      <c r="O5553" t="s">
        <v>11969</v>
      </c>
      <c r="P5553" t="s">
        <v>11454</v>
      </c>
      <c r="Q5553" t="s">
        <v>209</v>
      </c>
    </row>
    <row r="5554" spans="1:17" x14ac:dyDescent="0.3">
      <c r="A5554" t="s">
        <v>11970</v>
      </c>
      <c r="C5554" t="s">
        <v>11971</v>
      </c>
      <c r="D5554" t="s">
        <v>11971</v>
      </c>
      <c r="E5554" s="5">
        <v>46295</v>
      </c>
      <c r="F5554" t="s">
        <v>204</v>
      </c>
      <c r="G5554" t="s">
        <v>220</v>
      </c>
      <c r="H5554">
        <v>10998</v>
      </c>
      <c r="I5554">
        <v>32.99</v>
      </c>
      <c r="J5554">
        <v>5.94</v>
      </c>
      <c r="K5554">
        <v>10959.07</v>
      </c>
      <c r="L5554" s="5">
        <v>46297</v>
      </c>
      <c r="M5554" t="s">
        <v>11852</v>
      </c>
      <c r="N5554" t="s">
        <v>207</v>
      </c>
      <c r="O5554" t="s">
        <v>11971</v>
      </c>
      <c r="P5554" t="s">
        <v>11454</v>
      </c>
      <c r="Q5554" t="s">
        <v>209</v>
      </c>
    </row>
    <row r="5555" spans="1:17" x14ac:dyDescent="0.3">
      <c r="A5555" t="s">
        <v>11972</v>
      </c>
      <c r="C5555" t="s">
        <v>11973</v>
      </c>
      <c r="D5555" t="s">
        <v>11973</v>
      </c>
      <c r="E5555" s="5">
        <v>46295</v>
      </c>
      <c r="F5555" t="s">
        <v>204</v>
      </c>
      <c r="G5555" t="s">
        <v>205</v>
      </c>
      <c r="H5555">
        <v>12998</v>
      </c>
      <c r="I5555">
        <v>220.97</v>
      </c>
      <c r="J5555">
        <v>39.770000000000003</v>
      </c>
      <c r="K5555">
        <v>12737.26</v>
      </c>
      <c r="L5555" s="5">
        <v>46297</v>
      </c>
      <c r="M5555" t="s">
        <v>11852</v>
      </c>
      <c r="N5555" t="s">
        <v>207</v>
      </c>
      <c r="O5555" t="s">
        <v>11973</v>
      </c>
      <c r="P5555" t="s">
        <v>11454</v>
      </c>
      <c r="Q5555" t="s">
        <v>209</v>
      </c>
    </row>
    <row r="5556" spans="1:17" x14ac:dyDescent="0.3">
      <c r="A5556" t="s">
        <v>11974</v>
      </c>
      <c r="C5556" t="s">
        <v>11975</v>
      </c>
      <c r="D5556" t="s">
        <v>11973</v>
      </c>
      <c r="E5556" s="5">
        <v>46295</v>
      </c>
      <c r="F5556" t="s">
        <v>204</v>
      </c>
      <c r="G5556" t="s">
        <v>205</v>
      </c>
      <c r="H5556">
        <v>12998</v>
      </c>
      <c r="I5556">
        <v>220.97</v>
      </c>
      <c r="J5556">
        <v>39.770000000000003</v>
      </c>
      <c r="K5556">
        <v>12737.26</v>
      </c>
      <c r="L5556" s="5">
        <v>46297</v>
      </c>
      <c r="M5556" t="s">
        <v>11852</v>
      </c>
      <c r="N5556" t="s">
        <v>207</v>
      </c>
      <c r="O5556" t="s">
        <v>11973</v>
      </c>
      <c r="P5556" t="s">
        <v>11454</v>
      </c>
      <c r="Q5556" t="s">
        <v>209</v>
      </c>
    </row>
    <row r="5557" spans="1:17" x14ac:dyDescent="0.3">
      <c r="A5557" t="s">
        <v>11976</v>
      </c>
      <c r="C5557" t="s">
        <v>11977</v>
      </c>
      <c r="D5557" t="s">
        <v>11977</v>
      </c>
      <c r="E5557" s="5">
        <v>46295</v>
      </c>
      <c r="F5557" t="s">
        <v>204</v>
      </c>
      <c r="G5557" t="s">
        <v>205</v>
      </c>
      <c r="H5557">
        <v>3497</v>
      </c>
      <c r="I5557">
        <v>59.45</v>
      </c>
      <c r="J5557">
        <v>10.7</v>
      </c>
      <c r="K5557">
        <v>3426.85</v>
      </c>
      <c r="L5557" s="5">
        <v>46297</v>
      </c>
      <c r="M5557" t="s">
        <v>11852</v>
      </c>
      <c r="N5557" t="s">
        <v>207</v>
      </c>
      <c r="O5557" t="s">
        <v>11977</v>
      </c>
      <c r="P5557" t="s">
        <v>11454</v>
      </c>
      <c r="Q5557" t="s">
        <v>209</v>
      </c>
    </row>
    <row r="5558" spans="1:17" x14ac:dyDescent="0.3">
      <c r="A5558" t="s">
        <v>11978</v>
      </c>
      <c r="C5558" t="s">
        <v>11979</v>
      </c>
      <c r="D5558" t="s">
        <v>11980</v>
      </c>
      <c r="E5558" s="5">
        <v>46295</v>
      </c>
      <c r="F5558" t="s">
        <v>204</v>
      </c>
      <c r="G5558" t="s">
        <v>205</v>
      </c>
      <c r="H5558">
        <v>9197</v>
      </c>
      <c r="I5558">
        <v>156.35</v>
      </c>
      <c r="J5558">
        <v>28.14</v>
      </c>
      <c r="K5558">
        <v>9012.51</v>
      </c>
      <c r="L5558" s="5">
        <v>46297</v>
      </c>
      <c r="M5558" t="s">
        <v>11852</v>
      </c>
      <c r="N5558" t="s">
        <v>207</v>
      </c>
      <c r="O5558" t="s">
        <v>11980</v>
      </c>
      <c r="P5558" t="s">
        <v>11454</v>
      </c>
      <c r="Q5558" t="s">
        <v>209</v>
      </c>
    </row>
    <row r="5559" spans="1:17" x14ac:dyDescent="0.3">
      <c r="A5559" t="s">
        <v>11981</v>
      </c>
      <c r="C5559" t="s">
        <v>11982</v>
      </c>
      <c r="D5559" t="s">
        <v>11982</v>
      </c>
      <c r="E5559" s="5">
        <v>46295</v>
      </c>
      <c r="F5559" t="s">
        <v>204</v>
      </c>
      <c r="G5559" t="s">
        <v>213</v>
      </c>
      <c r="H5559">
        <v>499</v>
      </c>
      <c r="I5559">
        <v>8.98</v>
      </c>
      <c r="J5559">
        <v>1.62</v>
      </c>
      <c r="K5559">
        <v>488.4</v>
      </c>
      <c r="L5559" s="5">
        <v>46297</v>
      </c>
      <c r="M5559" t="s">
        <v>11852</v>
      </c>
      <c r="N5559" t="s">
        <v>207</v>
      </c>
      <c r="O5559" t="s">
        <v>11982</v>
      </c>
      <c r="P5559" t="s">
        <v>11454</v>
      </c>
      <c r="Q5559" t="s">
        <v>209</v>
      </c>
    </row>
    <row r="5560" spans="1:17" x14ac:dyDescent="0.3">
      <c r="A5560" t="s">
        <v>11983</v>
      </c>
      <c r="C5560" t="s">
        <v>11984</v>
      </c>
      <c r="D5560" t="s">
        <v>11984</v>
      </c>
      <c r="E5560" s="5">
        <v>46295</v>
      </c>
      <c r="F5560" t="s">
        <v>204</v>
      </c>
      <c r="G5560" t="s">
        <v>220</v>
      </c>
      <c r="H5560">
        <v>4999</v>
      </c>
      <c r="I5560">
        <v>15</v>
      </c>
      <c r="J5560">
        <v>2.7</v>
      </c>
      <c r="K5560">
        <v>4981.3</v>
      </c>
      <c r="L5560" s="5">
        <v>46297</v>
      </c>
      <c r="M5560" t="s">
        <v>11852</v>
      </c>
      <c r="N5560" t="s">
        <v>207</v>
      </c>
      <c r="O5560" t="s">
        <v>11984</v>
      </c>
      <c r="P5560" t="s">
        <v>11454</v>
      </c>
      <c r="Q5560" t="s">
        <v>209</v>
      </c>
    </row>
    <row r="5561" spans="1:17" x14ac:dyDescent="0.3">
      <c r="A5561" t="s">
        <v>11985</v>
      </c>
      <c r="C5561" t="s">
        <v>11986</v>
      </c>
      <c r="D5561" t="s">
        <v>11986</v>
      </c>
      <c r="E5561" s="5">
        <v>46295</v>
      </c>
      <c r="F5561" t="s">
        <v>204</v>
      </c>
      <c r="G5561" t="s">
        <v>220</v>
      </c>
      <c r="H5561">
        <v>1499</v>
      </c>
      <c r="I5561">
        <v>0</v>
      </c>
      <c r="J5561">
        <v>0</v>
      </c>
      <c r="K5561">
        <v>1499</v>
      </c>
      <c r="L5561" s="5">
        <v>46297</v>
      </c>
      <c r="M5561" t="s">
        <v>11852</v>
      </c>
      <c r="N5561" t="s">
        <v>207</v>
      </c>
      <c r="O5561" t="s">
        <v>11986</v>
      </c>
      <c r="P5561" t="s">
        <v>11454</v>
      </c>
      <c r="Q5561" t="s">
        <v>209</v>
      </c>
    </row>
    <row r="5562" spans="1:17" x14ac:dyDescent="0.3">
      <c r="A5562" t="s">
        <v>11987</v>
      </c>
      <c r="C5562" t="s">
        <v>11988</v>
      </c>
      <c r="D5562" t="s">
        <v>11988</v>
      </c>
      <c r="E5562" s="5">
        <v>46295</v>
      </c>
      <c r="F5562" t="s">
        <v>204</v>
      </c>
      <c r="G5562" t="s">
        <v>213</v>
      </c>
      <c r="H5562">
        <v>1299</v>
      </c>
      <c r="I5562">
        <v>23.38</v>
      </c>
      <c r="J5562">
        <v>4.21</v>
      </c>
      <c r="K5562">
        <v>1271.4100000000001</v>
      </c>
      <c r="L5562" s="5">
        <v>46297</v>
      </c>
      <c r="M5562" t="s">
        <v>11852</v>
      </c>
      <c r="N5562" t="s">
        <v>207</v>
      </c>
      <c r="O5562" t="s">
        <v>11988</v>
      </c>
      <c r="P5562" t="s">
        <v>11454</v>
      </c>
      <c r="Q5562" t="s">
        <v>209</v>
      </c>
    </row>
    <row r="5563" spans="1:17" x14ac:dyDescent="0.3">
      <c r="A5563" t="s">
        <v>11989</v>
      </c>
      <c r="C5563" t="s">
        <v>11990</v>
      </c>
      <c r="D5563" t="s">
        <v>11991</v>
      </c>
      <c r="E5563" s="5">
        <v>46295</v>
      </c>
      <c r="F5563" t="s">
        <v>204</v>
      </c>
      <c r="G5563" t="s">
        <v>220</v>
      </c>
      <c r="H5563">
        <v>2098</v>
      </c>
      <c r="I5563">
        <v>6.29</v>
      </c>
      <c r="J5563">
        <v>1.1299999999999999</v>
      </c>
      <c r="K5563">
        <v>2090.58</v>
      </c>
      <c r="L5563" s="5">
        <v>46297</v>
      </c>
      <c r="M5563" t="s">
        <v>11852</v>
      </c>
      <c r="N5563" t="s">
        <v>207</v>
      </c>
      <c r="O5563" t="s">
        <v>11991</v>
      </c>
      <c r="P5563" t="s">
        <v>11454</v>
      </c>
      <c r="Q5563" t="s">
        <v>209</v>
      </c>
    </row>
    <row r="5564" spans="1:17" x14ac:dyDescent="0.3">
      <c r="A5564" t="s">
        <v>11992</v>
      </c>
      <c r="C5564" t="s">
        <v>11993</v>
      </c>
      <c r="D5564" t="s">
        <v>11993</v>
      </c>
      <c r="E5564" s="5">
        <v>46295</v>
      </c>
      <c r="F5564" t="s">
        <v>204</v>
      </c>
      <c r="G5564" t="s">
        <v>213</v>
      </c>
      <c r="H5564">
        <v>5298</v>
      </c>
      <c r="I5564">
        <v>84.77</v>
      </c>
      <c r="J5564">
        <v>15.26</v>
      </c>
      <c r="K5564">
        <v>5197.97</v>
      </c>
      <c r="L5564" s="5">
        <v>46297</v>
      </c>
      <c r="M5564" t="s">
        <v>11852</v>
      </c>
      <c r="N5564" t="s">
        <v>207</v>
      </c>
      <c r="O5564" t="s">
        <v>11993</v>
      </c>
      <c r="P5564" t="s">
        <v>11454</v>
      </c>
      <c r="Q5564" t="s">
        <v>209</v>
      </c>
    </row>
    <row r="5565" spans="1:17" x14ac:dyDescent="0.3">
      <c r="A5565" t="s">
        <v>11994</v>
      </c>
      <c r="C5565" t="s">
        <v>11995</v>
      </c>
      <c r="D5565" t="s">
        <v>11995</v>
      </c>
      <c r="E5565" s="5">
        <v>46295</v>
      </c>
      <c r="F5565" t="s">
        <v>204</v>
      </c>
      <c r="G5565" t="s">
        <v>205</v>
      </c>
      <c r="H5565">
        <v>799</v>
      </c>
      <c r="I5565">
        <v>15.18</v>
      </c>
      <c r="J5565">
        <v>2.73</v>
      </c>
      <c r="K5565">
        <v>781.09</v>
      </c>
      <c r="L5565" s="5">
        <v>46297</v>
      </c>
      <c r="M5565" t="s">
        <v>11852</v>
      </c>
      <c r="N5565" t="s">
        <v>207</v>
      </c>
      <c r="O5565" t="s">
        <v>11995</v>
      </c>
      <c r="P5565" t="s">
        <v>11454</v>
      </c>
      <c r="Q5565" t="s">
        <v>209</v>
      </c>
    </row>
    <row r="5566" spans="1:17" x14ac:dyDescent="0.3">
      <c r="A5566" t="s">
        <v>11996</v>
      </c>
      <c r="C5566" t="s">
        <v>11997</v>
      </c>
      <c r="D5566" t="s">
        <v>11997</v>
      </c>
      <c r="E5566" s="5">
        <v>46295</v>
      </c>
      <c r="F5566" t="s">
        <v>204</v>
      </c>
      <c r="G5566" t="s">
        <v>255</v>
      </c>
      <c r="H5566">
        <v>299</v>
      </c>
      <c r="I5566">
        <v>4.49</v>
      </c>
      <c r="J5566">
        <v>0.81</v>
      </c>
      <c r="K5566">
        <v>293.7</v>
      </c>
      <c r="L5566" s="5">
        <v>46297</v>
      </c>
      <c r="M5566" t="s">
        <v>11852</v>
      </c>
      <c r="N5566" t="s">
        <v>207</v>
      </c>
      <c r="O5566" t="s">
        <v>11997</v>
      </c>
      <c r="P5566" t="s">
        <v>11454</v>
      </c>
      <c r="Q5566" t="s">
        <v>209</v>
      </c>
    </row>
    <row r="5567" spans="1:17" x14ac:dyDescent="0.3">
      <c r="A5567" t="s">
        <v>11998</v>
      </c>
      <c r="C5567" t="s">
        <v>11999</v>
      </c>
      <c r="D5567" t="s">
        <v>11999</v>
      </c>
      <c r="E5567" s="5">
        <v>46295</v>
      </c>
      <c r="F5567" t="s">
        <v>204</v>
      </c>
      <c r="G5567" t="s">
        <v>220</v>
      </c>
      <c r="H5567">
        <v>999</v>
      </c>
      <c r="I5567">
        <v>0</v>
      </c>
      <c r="J5567">
        <v>0</v>
      </c>
      <c r="K5567">
        <v>999</v>
      </c>
      <c r="L5567" s="5">
        <v>46297</v>
      </c>
      <c r="M5567" t="s">
        <v>11852</v>
      </c>
      <c r="N5567" t="s">
        <v>207</v>
      </c>
      <c r="O5567" t="s">
        <v>11999</v>
      </c>
      <c r="P5567" t="s">
        <v>11454</v>
      </c>
      <c r="Q5567" t="s">
        <v>209</v>
      </c>
    </row>
    <row r="5568" spans="1:17" x14ac:dyDescent="0.3">
      <c r="A5568" t="s">
        <v>12000</v>
      </c>
      <c r="C5568" t="s">
        <v>12001</v>
      </c>
      <c r="D5568" t="s">
        <v>12001</v>
      </c>
      <c r="E5568" s="5">
        <v>46295</v>
      </c>
      <c r="F5568" t="s">
        <v>204</v>
      </c>
      <c r="G5568" t="s">
        <v>220</v>
      </c>
      <c r="H5568">
        <v>5998</v>
      </c>
      <c r="I5568">
        <v>17.989999999999998</v>
      </c>
      <c r="J5568">
        <v>3.24</v>
      </c>
      <c r="K5568">
        <v>5976.77</v>
      </c>
      <c r="L5568" s="5">
        <v>46297</v>
      </c>
      <c r="M5568" t="s">
        <v>11852</v>
      </c>
      <c r="N5568" t="s">
        <v>207</v>
      </c>
      <c r="O5568" t="s">
        <v>12001</v>
      </c>
      <c r="P5568" t="s">
        <v>11454</v>
      </c>
      <c r="Q5568" t="s">
        <v>209</v>
      </c>
    </row>
    <row r="5569" spans="1:17" x14ac:dyDescent="0.3">
      <c r="A5569" t="s">
        <v>12002</v>
      </c>
      <c r="C5569" t="s">
        <v>12003</v>
      </c>
      <c r="D5569" t="s">
        <v>12003</v>
      </c>
      <c r="E5569" s="5">
        <v>46295</v>
      </c>
      <c r="F5569" t="s">
        <v>204</v>
      </c>
      <c r="G5569" t="s">
        <v>213</v>
      </c>
      <c r="H5569">
        <v>2499</v>
      </c>
      <c r="I5569">
        <v>39.979999999999997</v>
      </c>
      <c r="J5569">
        <v>7.2</v>
      </c>
      <c r="K5569">
        <v>2451.8200000000002</v>
      </c>
      <c r="L5569" s="5">
        <v>46297</v>
      </c>
      <c r="M5569" t="s">
        <v>11852</v>
      </c>
      <c r="N5569" t="s">
        <v>207</v>
      </c>
      <c r="O5569" t="s">
        <v>12003</v>
      </c>
      <c r="P5569" t="s">
        <v>11454</v>
      </c>
      <c r="Q5569" t="s">
        <v>209</v>
      </c>
    </row>
    <row r="5570" spans="1:17" x14ac:dyDescent="0.3">
      <c r="A5570" t="s">
        <v>12004</v>
      </c>
      <c r="C5570" t="s">
        <v>12005</v>
      </c>
      <c r="D5570" t="s">
        <v>12005</v>
      </c>
      <c r="E5570" s="5">
        <v>46295</v>
      </c>
      <c r="F5570" t="s">
        <v>204</v>
      </c>
      <c r="G5570" t="s">
        <v>220</v>
      </c>
      <c r="H5570">
        <v>2999</v>
      </c>
      <c r="I5570">
        <v>9</v>
      </c>
      <c r="J5570">
        <v>1.62</v>
      </c>
      <c r="K5570">
        <v>2988.38</v>
      </c>
      <c r="L5570" s="5">
        <v>46297</v>
      </c>
      <c r="M5570" t="s">
        <v>11852</v>
      </c>
      <c r="N5570" t="s">
        <v>207</v>
      </c>
      <c r="O5570" t="s">
        <v>12005</v>
      </c>
      <c r="P5570" t="s">
        <v>11454</v>
      </c>
      <c r="Q5570" t="s">
        <v>209</v>
      </c>
    </row>
    <row r="5571" spans="1:17" x14ac:dyDescent="0.3">
      <c r="A5571" t="s">
        <v>12006</v>
      </c>
      <c r="C5571" t="s">
        <v>12007</v>
      </c>
      <c r="D5571" t="s">
        <v>12007</v>
      </c>
      <c r="E5571" s="5">
        <v>46295</v>
      </c>
      <c r="F5571" t="s">
        <v>204</v>
      </c>
      <c r="G5571" t="s">
        <v>255</v>
      </c>
      <c r="H5571">
        <v>3499</v>
      </c>
      <c r="I5571">
        <v>41.99</v>
      </c>
      <c r="J5571">
        <v>7.56</v>
      </c>
      <c r="K5571">
        <v>3449.45</v>
      </c>
      <c r="L5571" s="5">
        <v>46297</v>
      </c>
      <c r="M5571" t="s">
        <v>11852</v>
      </c>
      <c r="N5571" t="s">
        <v>207</v>
      </c>
      <c r="O5571" t="s">
        <v>12007</v>
      </c>
      <c r="P5571" t="s">
        <v>11454</v>
      </c>
      <c r="Q5571" t="s">
        <v>209</v>
      </c>
    </row>
    <row r="5572" spans="1:17" x14ac:dyDescent="0.3">
      <c r="A5572" t="s">
        <v>12008</v>
      </c>
      <c r="C5572" t="s">
        <v>12009</v>
      </c>
      <c r="D5572" t="s">
        <v>12009</v>
      </c>
      <c r="E5572" s="5">
        <v>46295</v>
      </c>
      <c r="F5572" t="s">
        <v>204</v>
      </c>
      <c r="G5572" t="s">
        <v>205</v>
      </c>
      <c r="H5572">
        <v>4197</v>
      </c>
      <c r="I5572">
        <v>71.349999999999994</v>
      </c>
      <c r="J5572">
        <v>12.84</v>
      </c>
      <c r="K5572">
        <v>4112.8100000000004</v>
      </c>
      <c r="L5572" s="5">
        <v>46297</v>
      </c>
      <c r="M5572" t="s">
        <v>11852</v>
      </c>
      <c r="N5572" t="s">
        <v>207</v>
      </c>
      <c r="O5572" t="s">
        <v>12009</v>
      </c>
      <c r="P5572" t="s">
        <v>11454</v>
      </c>
      <c r="Q5572" t="s">
        <v>209</v>
      </c>
    </row>
    <row r="5573" spans="1:17" x14ac:dyDescent="0.3">
      <c r="A5573" t="s">
        <v>12010</v>
      </c>
      <c r="C5573" t="s">
        <v>12011</v>
      </c>
      <c r="D5573" t="s">
        <v>12011</v>
      </c>
      <c r="E5573" s="5">
        <v>46295</v>
      </c>
      <c r="F5573" t="s">
        <v>204</v>
      </c>
      <c r="G5573" t="s">
        <v>255</v>
      </c>
      <c r="H5573">
        <v>998</v>
      </c>
      <c r="I5573">
        <v>14.97</v>
      </c>
      <c r="J5573">
        <v>2.69</v>
      </c>
      <c r="K5573">
        <v>980.34</v>
      </c>
      <c r="L5573" s="5">
        <v>46297</v>
      </c>
      <c r="M5573" t="s">
        <v>11852</v>
      </c>
      <c r="N5573" t="s">
        <v>207</v>
      </c>
      <c r="O5573" t="s">
        <v>12011</v>
      </c>
      <c r="P5573" t="s">
        <v>11454</v>
      </c>
      <c r="Q5573" t="s">
        <v>209</v>
      </c>
    </row>
    <row r="5574" spans="1:17" x14ac:dyDescent="0.3">
      <c r="A5574" t="s">
        <v>12012</v>
      </c>
      <c r="C5574" t="s">
        <v>12013</v>
      </c>
      <c r="D5574" t="s">
        <v>12013</v>
      </c>
      <c r="E5574" s="5">
        <v>46295</v>
      </c>
      <c r="F5574" t="s">
        <v>204</v>
      </c>
      <c r="G5574" t="s">
        <v>205</v>
      </c>
      <c r="H5574">
        <v>2499</v>
      </c>
      <c r="I5574">
        <v>42.48</v>
      </c>
      <c r="J5574">
        <v>7.65</v>
      </c>
      <c r="K5574">
        <v>2448.87</v>
      </c>
      <c r="L5574" s="5">
        <v>46297</v>
      </c>
      <c r="M5574" t="s">
        <v>11852</v>
      </c>
      <c r="N5574" t="s">
        <v>207</v>
      </c>
      <c r="O5574" t="s">
        <v>12013</v>
      </c>
      <c r="P5574" t="s">
        <v>11454</v>
      </c>
      <c r="Q5574" t="s">
        <v>209</v>
      </c>
    </row>
    <row r="5575" spans="1:17" x14ac:dyDescent="0.3">
      <c r="A5575" t="s">
        <v>12014</v>
      </c>
      <c r="C5575" t="s">
        <v>12015</v>
      </c>
      <c r="D5575" t="s">
        <v>12015</v>
      </c>
      <c r="E5575" s="5">
        <v>46295</v>
      </c>
      <c r="F5575" t="s">
        <v>204</v>
      </c>
      <c r="G5575" t="s">
        <v>220</v>
      </c>
      <c r="H5575">
        <v>4999</v>
      </c>
      <c r="I5575">
        <v>15</v>
      </c>
      <c r="J5575">
        <v>2.7</v>
      </c>
      <c r="K5575">
        <v>4981.3</v>
      </c>
      <c r="L5575" s="5">
        <v>46297</v>
      </c>
      <c r="M5575" t="s">
        <v>11852</v>
      </c>
      <c r="N5575" t="s">
        <v>207</v>
      </c>
      <c r="O5575" t="s">
        <v>12015</v>
      </c>
      <c r="P5575" t="s">
        <v>11454</v>
      </c>
      <c r="Q5575" t="s">
        <v>209</v>
      </c>
    </row>
    <row r="5576" spans="1:17" x14ac:dyDescent="0.3">
      <c r="A5576" t="s">
        <v>12016</v>
      </c>
      <c r="C5576" t="s">
        <v>12017</v>
      </c>
      <c r="D5576" t="s">
        <v>12018</v>
      </c>
      <c r="E5576" s="5">
        <v>46295</v>
      </c>
      <c r="F5576" t="s">
        <v>204</v>
      </c>
      <c r="G5576" t="s">
        <v>220</v>
      </c>
      <c r="H5576">
        <v>3098</v>
      </c>
      <c r="I5576">
        <v>9.2899999999999991</v>
      </c>
      <c r="J5576">
        <v>1.67</v>
      </c>
      <c r="K5576">
        <v>3087.04</v>
      </c>
      <c r="L5576" s="5">
        <v>46297</v>
      </c>
      <c r="M5576" t="s">
        <v>11852</v>
      </c>
      <c r="N5576" t="s">
        <v>207</v>
      </c>
      <c r="O5576" t="s">
        <v>12018</v>
      </c>
      <c r="P5576" t="s">
        <v>11454</v>
      </c>
      <c r="Q5576" t="s">
        <v>209</v>
      </c>
    </row>
    <row r="5577" spans="1:17" x14ac:dyDescent="0.3">
      <c r="A5577" t="s">
        <v>12019</v>
      </c>
      <c r="C5577" t="s">
        <v>12020</v>
      </c>
      <c r="D5577" t="s">
        <v>12020</v>
      </c>
      <c r="E5577" s="5">
        <v>46295</v>
      </c>
      <c r="F5577" t="s">
        <v>204</v>
      </c>
      <c r="G5577" t="s">
        <v>220</v>
      </c>
      <c r="H5577">
        <v>999</v>
      </c>
      <c r="I5577">
        <v>0</v>
      </c>
      <c r="J5577">
        <v>0</v>
      </c>
      <c r="K5577">
        <v>999</v>
      </c>
      <c r="L5577" s="5">
        <v>46297</v>
      </c>
      <c r="M5577" t="s">
        <v>11852</v>
      </c>
      <c r="N5577" t="s">
        <v>207</v>
      </c>
      <c r="O5577" t="s">
        <v>12020</v>
      </c>
      <c r="P5577" t="s">
        <v>11454</v>
      </c>
      <c r="Q5577" t="s">
        <v>209</v>
      </c>
    </row>
    <row r="5578" spans="1:17" x14ac:dyDescent="0.3">
      <c r="A5578" t="s">
        <v>12021</v>
      </c>
      <c r="C5578" t="s">
        <v>12022</v>
      </c>
      <c r="D5578" t="s">
        <v>12022</v>
      </c>
      <c r="E5578" s="5">
        <v>46295</v>
      </c>
      <c r="F5578" t="s">
        <v>204</v>
      </c>
      <c r="G5578" t="s">
        <v>213</v>
      </c>
      <c r="H5578">
        <v>5498</v>
      </c>
      <c r="I5578">
        <v>87.97</v>
      </c>
      <c r="J5578">
        <v>15.83</v>
      </c>
      <c r="K5578">
        <v>5394.2</v>
      </c>
      <c r="L5578" s="5">
        <v>46297</v>
      </c>
      <c r="M5578" t="s">
        <v>11852</v>
      </c>
      <c r="N5578" t="s">
        <v>207</v>
      </c>
      <c r="O5578" t="s">
        <v>12022</v>
      </c>
      <c r="P5578" t="s">
        <v>11454</v>
      </c>
      <c r="Q5578" t="s">
        <v>209</v>
      </c>
    </row>
    <row r="5579" spans="1:17" x14ac:dyDescent="0.3">
      <c r="A5579" t="s">
        <v>12023</v>
      </c>
      <c r="C5579" t="s">
        <v>12024</v>
      </c>
      <c r="D5579" t="s">
        <v>12025</v>
      </c>
      <c r="E5579" s="5">
        <v>46295</v>
      </c>
      <c r="F5579" t="s">
        <v>204</v>
      </c>
      <c r="G5579" t="s">
        <v>205</v>
      </c>
      <c r="H5579">
        <v>3848</v>
      </c>
      <c r="I5579">
        <v>65.42</v>
      </c>
      <c r="J5579">
        <v>11.78</v>
      </c>
      <c r="K5579">
        <v>3770.8</v>
      </c>
      <c r="L5579" s="5">
        <v>46297</v>
      </c>
      <c r="M5579" t="s">
        <v>11852</v>
      </c>
      <c r="N5579" t="s">
        <v>207</v>
      </c>
      <c r="O5579" t="s">
        <v>12025</v>
      </c>
      <c r="P5579" t="s">
        <v>11454</v>
      </c>
      <c r="Q5579" t="s">
        <v>209</v>
      </c>
    </row>
    <row r="5580" spans="1:17" x14ac:dyDescent="0.3">
      <c r="A5580" t="s">
        <v>12026</v>
      </c>
      <c r="C5580" t="s">
        <v>12027</v>
      </c>
      <c r="D5580" t="s">
        <v>12027</v>
      </c>
      <c r="E5580" s="5">
        <v>46295</v>
      </c>
      <c r="F5580" t="s">
        <v>204</v>
      </c>
      <c r="G5580" t="s">
        <v>220</v>
      </c>
      <c r="H5580">
        <v>349</v>
      </c>
      <c r="I5580">
        <v>0</v>
      </c>
      <c r="J5580">
        <v>0</v>
      </c>
      <c r="K5580">
        <v>349</v>
      </c>
      <c r="L5580" s="5">
        <v>46297</v>
      </c>
      <c r="M5580" t="s">
        <v>11852</v>
      </c>
      <c r="N5580" t="s">
        <v>207</v>
      </c>
      <c r="O5580" t="s">
        <v>12027</v>
      </c>
      <c r="P5580" t="s">
        <v>11454</v>
      </c>
      <c r="Q5580" t="s">
        <v>209</v>
      </c>
    </row>
    <row r="5581" spans="1:17" x14ac:dyDescent="0.3">
      <c r="A5581" t="s">
        <v>12028</v>
      </c>
      <c r="C5581" t="s">
        <v>12029</v>
      </c>
      <c r="D5581" t="s">
        <v>12029</v>
      </c>
      <c r="E5581" s="5">
        <v>46295</v>
      </c>
      <c r="F5581" t="s">
        <v>204</v>
      </c>
      <c r="G5581" t="s">
        <v>205</v>
      </c>
      <c r="H5581">
        <v>999</v>
      </c>
      <c r="I5581">
        <v>18.98</v>
      </c>
      <c r="J5581">
        <v>3.42</v>
      </c>
      <c r="K5581">
        <v>976.6</v>
      </c>
      <c r="L5581" s="5">
        <v>46297</v>
      </c>
      <c r="M5581" t="s">
        <v>11852</v>
      </c>
      <c r="N5581" t="s">
        <v>207</v>
      </c>
      <c r="O5581" t="s">
        <v>12029</v>
      </c>
      <c r="P5581" t="s">
        <v>11454</v>
      </c>
      <c r="Q5581" t="s">
        <v>209</v>
      </c>
    </row>
    <row r="5582" spans="1:17" x14ac:dyDescent="0.3">
      <c r="A5582" t="s">
        <v>12030</v>
      </c>
      <c r="C5582" t="s">
        <v>12031</v>
      </c>
      <c r="D5582" t="s">
        <v>12032</v>
      </c>
      <c r="E5582" s="5">
        <v>46295</v>
      </c>
      <c r="F5582" t="s">
        <v>204</v>
      </c>
      <c r="G5582" t="s">
        <v>205</v>
      </c>
      <c r="H5582">
        <v>5348</v>
      </c>
      <c r="I5582">
        <v>90.92</v>
      </c>
      <c r="J5582">
        <v>16.37</v>
      </c>
      <c r="K5582">
        <v>5240.71</v>
      </c>
      <c r="L5582" s="5">
        <v>46297</v>
      </c>
      <c r="M5582" t="s">
        <v>11852</v>
      </c>
      <c r="N5582" t="s">
        <v>207</v>
      </c>
      <c r="O5582" t="s">
        <v>12032</v>
      </c>
      <c r="P5582" t="s">
        <v>11454</v>
      </c>
      <c r="Q5582" t="s">
        <v>209</v>
      </c>
    </row>
    <row r="5583" spans="1:17" x14ac:dyDescent="0.3">
      <c r="A5583" t="s">
        <v>12033</v>
      </c>
      <c r="C5583" t="s">
        <v>12034</v>
      </c>
      <c r="D5583" t="s">
        <v>12034</v>
      </c>
      <c r="E5583" s="5">
        <v>46295</v>
      </c>
      <c r="F5583" t="s">
        <v>204</v>
      </c>
      <c r="G5583" t="s">
        <v>205</v>
      </c>
      <c r="H5583">
        <v>11497</v>
      </c>
      <c r="I5583">
        <v>195.45</v>
      </c>
      <c r="J5583">
        <v>35.18</v>
      </c>
      <c r="K5583">
        <v>11266.37</v>
      </c>
      <c r="L5583" s="5">
        <v>46297</v>
      </c>
      <c r="M5583" t="s">
        <v>11852</v>
      </c>
      <c r="N5583" t="s">
        <v>207</v>
      </c>
      <c r="O5583" t="s">
        <v>12034</v>
      </c>
      <c r="P5583" t="s">
        <v>11454</v>
      </c>
      <c r="Q5583" t="s">
        <v>209</v>
      </c>
    </row>
    <row r="5584" spans="1:17" x14ac:dyDescent="0.3">
      <c r="A5584" t="s">
        <v>12035</v>
      </c>
      <c r="C5584" t="s">
        <v>12036</v>
      </c>
      <c r="D5584" t="s">
        <v>12036</v>
      </c>
      <c r="E5584" s="5">
        <v>46295</v>
      </c>
      <c r="F5584" t="s">
        <v>204</v>
      </c>
      <c r="G5584" t="s">
        <v>213</v>
      </c>
      <c r="H5584">
        <v>4897</v>
      </c>
      <c r="I5584">
        <v>78.349999999999994</v>
      </c>
      <c r="J5584">
        <v>14.1</v>
      </c>
      <c r="K5584">
        <v>4804.55</v>
      </c>
      <c r="L5584" s="5">
        <v>46297</v>
      </c>
      <c r="M5584" t="s">
        <v>11852</v>
      </c>
      <c r="N5584" t="s">
        <v>207</v>
      </c>
      <c r="O5584" t="s">
        <v>12036</v>
      </c>
      <c r="P5584" t="s">
        <v>11454</v>
      </c>
      <c r="Q5584" t="s">
        <v>209</v>
      </c>
    </row>
    <row r="5585" spans="1:17" x14ac:dyDescent="0.3">
      <c r="A5585" t="s">
        <v>12037</v>
      </c>
      <c r="C5585" t="s">
        <v>12038</v>
      </c>
      <c r="D5585" t="s">
        <v>12039</v>
      </c>
      <c r="E5585" s="5">
        <v>46295</v>
      </c>
      <c r="F5585" t="s">
        <v>204</v>
      </c>
      <c r="G5585" t="s">
        <v>220</v>
      </c>
      <c r="H5585">
        <v>1499</v>
      </c>
      <c r="I5585">
        <v>0</v>
      </c>
      <c r="J5585">
        <v>0</v>
      </c>
      <c r="K5585">
        <v>1499</v>
      </c>
      <c r="L5585" s="5">
        <v>46297</v>
      </c>
      <c r="M5585" t="s">
        <v>11852</v>
      </c>
      <c r="N5585" t="s">
        <v>207</v>
      </c>
      <c r="O5585" t="s">
        <v>12039</v>
      </c>
      <c r="P5585" t="s">
        <v>11454</v>
      </c>
      <c r="Q5585" t="s">
        <v>209</v>
      </c>
    </row>
    <row r="5586" spans="1:17" x14ac:dyDescent="0.3">
      <c r="A5586" t="s">
        <v>12040</v>
      </c>
      <c r="C5586" t="s">
        <v>12041</v>
      </c>
      <c r="D5586" t="s">
        <v>12041</v>
      </c>
      <c r="E5586" s="5">
        <v>46295</v>
      </c>
      <c r="F5586" t="s">
        <v>204</v>
      </c>
      <c r="G5586" t="s">
        <v>220</v>
      </c>
      <c r="H5586">
        <v>2298</v>
      </c>
      <c r="I5586">
        <v>6.89</v>
      </c>
      <c r="J5586">
        <v>1.24</v>
      </c>
      <c r="K5586">
        <v>2289.87</v>
      </c>
      <c r="L5586" s="5">
        <v>46297</v>
      </c>
      <c r="M5586" t="s">
        <v>11852</v>
      </c>
      <c r="N5586" t="s">
        <v>207</v>
      </c>
      <c r="O5586" t="s">
        <v>12041</v>
      </c>
      <c r="P5586" t="s">
        <v>11454</v>
      </c>
      <c r="Q5586" t="s">
        <v>209</v>
      </c>
    </row>
    <row r="5587" spans="1:17" x14ac:dyDescent="0.3">
      <c r="A5587" t="s">
        <v>12042</v>
      </c>
      <c r="C5587" t="s">
        <v>12043</v>
      </c>
      <c r="D5587" t="s">
        <v>12043</v>
      </c>
      <c r="E5587" s="5">
        <v>46295</v>
      </c>
      <c r="F5587" t="s">
        <v>204</v>
      </c>
      <c r="G5587" t="s">
        <v>220</v>
      </c>
      <c r="H5587">
        <v>1299</v>
      </c>
      <c r="I5587">
        <v>0</v>
      </c>
      <c r="J5587">
        <v>0</v>
      </c>
      <c r="K5587">
        <v>1299</v>
      </c>
      <c r="L5587" s="5">
        <v>46297</v>
      </c>
      <c r="M5587" t="s">
        <v>11852</v>
      </c>
      <c r="N5587" t="s">
        <v>207</v>
      </c>
      <c r="O5587" t="s">
        <v>12043</v>
      </c>
      <c r="P5587" t="s">
        <v>11454</v>
      </c>
      <c r="Q5587" t="s">
        <v>209</v>
      </c>
    </row>
    <row r="5588" spans="1:17" x14ac:dyDescent="0.3">
      <c r="A5588" t="s">
        <v>12044</v>
      </c>
      <c r="C5588" t="s">
        <v>12045</v>
      </c>
      <c r="D5588" t="s">
        <v>12045</v>
      </c>
      <c r="E5588" s="5">
        <v>46295</v>
      </c>
      <c r="F5588" t="s">
        <v>204</v>
      </c>
      <c r="G5588" t="s">
        <v>213</v>
      </c>
      <c r="H5588">
        <v>1799</v>
      </c>
      <c r="I5588">
        <v>32.380000000000003</v>
      </c>
      <c r="J5588">
        <v>5.83</v>
      </c>
      <c r="K5588">
        <v>1760.79</v>
      </c>
      <c r="L5588" s="5">
        <v>46297</v>
      </c>
      <c r="M5588" t="s">
        <v>11852</v>
      </c>
      <c r="N5588" t="s">
        <v>207</v>
      </c>
      <c r="O5588" t="s">
        <v>12045</v>
      </c>
      <c r="P5588" t="s">
        <v>11454</v>
      </c>
      <c r="Q5588" t="s">
        <v>209</v>
      </c>
    </row>
    <row r="5589" spans="1:17" x14ac:dyDescent="0.3">
      <c r="A5589" t="s">
        <v>12046</v>
      </c>
      <c r="C5589" t="s">
        <v>12047</v>
      </c>
      <c r="D5589" t="s">
        <v>12047</v>
      </c>
      <c r="E5589" s="5">
        <v>46295</v>
      </c>
      <c r="F5589" t="s">
        <v>204</v>
      </c>
      <c r="G5589" t="s">
        <v>220</v>
      </c>
      <c r="H5589">
        <v>599</v>
      </c>
      <c r="I5589">
        <v>0</v>
      </c>
      <c r="J5589">
        <v>0</v>
      </c>
      <c r="K5589">
        <v>599</v>
      </c>
      <c r="L5589" s="5">
        <v>46297</v>
      </c>
      <c r="M5589" t="s">
        <v>11852</v>
      </c>
      <c r="N5589" t="s">
        <v>207</v>
      </c>
      <c r="O5589" t="s">
        <v>12047</v>
      </c>
      <c r="P5589" t="s">
        <v>11454</v>
      </c>
      <c r="Q5589" t="s">
        <v>209</v>
      </c>
    </row>
    <row r="5590" spans="1:17" x14ac:dyDescent="0.3">
      <c r="A5590" t="s">
        <v>12048</v>
      </c>
      <c r="C5590" t="s">
        <v>12049</v>
      </c>
      <c r="D5590" t="s">
        <v>12049</v>
      </c>
      <c r="E5590" s="5">
        <v>46295</v>
      </c>
      <c r="F5590" t="s">
        <v>204</v>
      </c>
      <c r="G5590" t="s">
        <v>213</v>
      </c>
      <c r="H5590">
        <v>3598</v>
      </c>
      <c r="I5590">
        <v>57.57</v>
      </c>
      <c r="J5590">
        <v>10.36</v>
      </c>
      <c r="K5590">
        <v>3530.07</v>
      </c>
      <c r="L5590" s="5">
        <v>46297</v>
      </c>
      <c r="M5590" t="s">
        <v>11852</v>
      </c>
      <c r="N5590" t="s">
        <v>207</v>
      </c>
      <c r="O5590" t="s">
        <v>12049</v>
      </c>
      <c r="P5590" t="s">
        <v>11454</v>
      </c>
      <c r="Q5590" t="s">
        <v>209</v>
      </c>
    </row>
    <row r="5591" spans="1:17" x14ac:dyDescent="0.3">
      <c r="A5591" t="s">
        <v>12050</v>
      </c>
      <c r="C5591" t="s">
        <v>12051</v>
      </c>
      <c r="D5591" t="s">
        <v>12051</v>
      </c>
      <c r="E5591" s="5">
        <v>46295</v>
      </c>
      <c r="F5591" t="s">
        <v>204</v>
      </c>
      <c r="G5591" t="s">
        <v>205</v>
      </c>
      <c r="H5591">
        <v>798</v>
      </c>
      <c r="I5591">
        <v>15.16</v>
      </c>
      <c r="J5591">
        <v>2.73</v>
      </c>
      <c r="K5591">
        <v>780.11</v>
      </c>
      <c r="L5591" s="5">
        <v>46297</v>
      </c>
      <c r="M5591" t="s">
        <v>11852</v>
      </c>
      <c r="N5591" t="s">
        <v>207</v>
      </c>
      <c r="O5591" t="s">
        <v>12051</v>
      </c>
      <c r="P5591" t="s">
        <v>11454</v>
      </c>
      <c r="Q5591" t="s">
        <v>209</v>
      </c>
    </row>
    <row r="5592" spans="1:17" x14ac:dyDescent="0.3">
      <c r="A5592" t="s">
        <v>12052</v>
      </c>
      <c r="C5592" t="s">
        <v>12053</v>
      </c>
      <c r="D5592" t="s">
        <v>12053</v>
      </c>
      <c r="E5592" s="5">
        <v>46295</v>
      </c>
      <c r="F5592" t="s">
        <v>204</v>
      </c>
      <c r="G5592" t="s">
        <v>255</v>
      </c>
      <c r="H5592">
        <v>1799</v>
      </c>
      <c r="I5592">
        <v>26.99</v>
      </c>
      <c r="J5592">
        <v>4.8600000000000003</v>
      </c>
      <c r="K5592">
        <v>1767.15</v>
      </c>
      <c r="L5592" s="5">
        <v>46297</v>
      </c>
      <c r="M5592" t="s">
        <v>11852</v>
      </c>
      <c r="N5592" t="s">
        <v>207</v>
      </c>
      <c r="O5592" t="s">
        <v>12053</v>
      </c>
      <c r="P5592" t="s">
        <v>11454</v>
      </c>
      <c r="Q5592" t="s">
        <v>209</v>
      </c>
    </row>
    <row r="5593" spans="1:17" x14ac:dyDescent="0.3">
      <c r="A5593" t="s">
        <v>12054</v>
      </c>
      <c r="C5593" t="s">
        <v>12055</v>
      </c>
      <c r="D5593" t="s">
        <v>12055</v>
      </c>
      <c r="E5593" s="5">
        <v>46295</v>
      </c>
      <c r="F5593" t="s">
        <v>204</v>
      </c>
      <c r="G5593" t="s">
        <v>205</v>
      </c>
      <c r="H5593">
        <v>5498</v>
      </c>
      <c r="I5593">
        <v>93.47</v>
      </c>
      <c r="J5593">
        <v>16.82</v>
      </c>
      <c r="K5593">
        <v>5387.71</v>
      </c>
      <c r="L5593" s="5">
        <v>46297</v>
      </c>
      <c r="M5593" t="s">
        <v>11852</v>
      </c>
      <c r="N5593" t="s">
        <v>207</v>
      </c>
      <c r="O5593" t="s">
        <v>12055</v>
      </c>
      <c r="P5593" t="s">
        <v>11454</v>
      </c>
      <c r="Q5593" t="s">
        <v>209</v>
      </c>
    </row>
    <row r="5594" spans="1:17" x14ac:dyDescent="0.3">
      <c r="A5594" t="s">
        <v>12056</v>
      </c>
      <c r="C5594" t="s">
        <v>12057</v>
      </c>
      <c r="D5594" t="s">
        <v>12057</v>
      </c>
      <c r="E5594" s="5">
        <v>46295</v>
      </c>
      <c r="F5594" t="s">
        <v>204</v>
      </c>
      <c r="G5594" t="s">
        <v>220</v>
      </c>
      <c r="H5594">
        <v>2499</v>
      </c>
      <c r="I5594">
        <v>7.5</v>
      </c>
      <c r="J5594">
        <v>1.35</v>
      </c>
      <c r="K5594">
        <v>2490.15</v>
      </c>
      <c r="L5594" s="5">
        <v>46297</v>
      </c>
      <c r="M5594" t="s">
        <v>11852</v>
      </c>
      <c r="N5594" t="s">
        <v>207</v>
      </c>
      <c r="O5594" t="s">
        <v>12057</v>
      </c>
      <c r="P5594" t="s">
        <v>11454</v>
      </c>
      <c r="Q5594" t="s">
        <v>209</v>
      </c>
    </row>
    <row r="5595" spans="1:17" x14ac:dyDescent="0.3">
      <c r="A5595" t="s">
        <v>12058</v>
      </c>
      <c r="C5595" t="s">
        <v>12059</v>
      </c>
      <c r="D5595" t="s">
        <v>12059</v>
      </c>
      <c r="E5595" s="5">
        <v>46295</v>
      </c>
      <c r="F5595" t="s">
        <v>204</v>
      </c>
      <c r="G5595" t="s">
        <v>213</v>
      </c>
      <c r="H5595">
        <v>4597</v>
      </c>
      <c r="I5595">
        <v>73.55</v>
      </c>
      <c r="J5595">
        <v>13.24</v>
      </c>
      <c r="K5595">
        <v>4510.21</v>
      </c>
      <c r="L5595" s="5">
        <v>46297</v>
      </c>
      <c r="M5595" t="s">
        <v>11852</v>
      </c>
      <c r="N5595" t="s">
        <v>207</v>
      </c>
      <c r="O5595" t="s">
        <v>12059</v>
      </c>
      <c r="P5595" t="s">
        <v>11454</v>
      </c>
      <c r="Q5595" t="s">
        <v>209</v>
      </c>
    </row>
    <row r="5596" spans="1:17" x14ac:dyDescent="0.3">
      <c r="A5596" t="s">
        <v>12060</v>
      </c>
      <c r="C5596" t="s">
        <v>12061</v>
      </c>
      <c r="D5596" t="s">
        <v>12061</v>
      </c>
      <c r="E5596" s="5">
        <v>46295</v>
      </c>
      <c r="F5596" t="s">
        <v>204</v>
      </c>
      <c r="G5596" t="s">
        <v>220</v>
      </c>
      <c r="H5596">
        <v>4999</v>
      </c>
      <c r="I5596">
        <v>15</v>
      </c>
      <c r="J5596">
        <v>2.7</v>
      </c>
      <c r="K5596">
        <v>4981.3</v>
      </c>
      <c r="L5596" s="5">
        <v>46297</v>
      </c>
      <c r="M5596" t="s">
        <v>11852</v>
      </c>
      <c r="N5596" t="s">
        <v>207</v>
      </c>
      <c r="O5596" t="s">
        <v>12061</v>
      </c>
      <c r="P5596" t="s">
        <v>11454</v>
      </c>
      <c r="Q5596" t="s">
        <v>209</v>
      </c>
    </row>
    <row r="5597" spans="1:17" x14ac:dyDescent="0.3">
      <c r="A5597" t="s">
        <v>12062</v>
      </c>
      <c r="C5597" t="s">
        <v>12063</v>
      </c>
      <c r="D5597" t="s">
        <v>12064</v>
      </c>
      <c r="E5597" s="5">
        <v>46295</v>
      </c>
      <c r="F5597" t="s">
        <v>204</v>
      </c>
      <c r="G5597" t="s">
        <v>213</v>
      </c>
      <c r="H5597">
        <v>299</v>
      </c>
      <c r="I5597">
        <v>5.38</v>
      </c>
      <c r="J5597">
        <v>0.97</v>
      </c>
      <c r="K5597">
        <v>292.64999999999998</v>
      </c>
      <c r="L5597" s="5">
        <v>46297</v>
      </c>
      <c r="M5597" t="s">
        <v>11852</v>
      </c>
      <c r="N5597" t="s">
        <v>207</v>
      </c>
      <c r="O5597" t="s">
        <v>12064</v>
      </c>
      <c r="P5597" t="s">
        <v>11454</v>
      </c>
      <c r="Q5597" t="s">
        <v>209</v>
      </c>
    </row>
    <row r="5598" spans="1:17" x14ac:dyDescent="0.3">
      <c r="A5598" t="s">
        <v>12065</v>
      </c>
      <c r="C5598" t="s">
        <v>12066</v>
      </c>
      <c r="D5598" t="s">
        <v>12066</v>
      </c>
      <c r="E5598" s="5">
        <v>46295</v>
      </c>
      <c r="F5598" t="s">
        <v>204</v>
      </c>
      <c r="G5598" t="s">
        <v>255</v>
      </c>
      <c r="H5598">
        <v>299</v>
      </c>
      <c r="I5598">
        <v>4.49</v>
      </c>
      <c r="J5598">
        <v>0.81</v>
      </c>
      <c r="K5598">
        <v>293.7</v>
      </c>
      <c r="L5598" s="5">
        <v>46297</v>
      </c>
      <c r="M5598" t="s">
        <v>11852</v>
      </c>
      <c r="N5598" t="s">
        <v>207</v>
      </c>
      <c r="O5598" t="s">
        <v>12066</v>
      </c>
      <c r="P5598" t="s">
        <v>11454</v>
      </c>
      <c r="Q5598" t="s">
        <v>209</v>
      </c>
    </row>
    <row r="5599" spans="1:17" x14ac:dyDescent="0.3">
      <c r="A5599" t="s">
        <v>12067</v>
      </c>
      <c r="C5599" t="s">
        <v>12068</v>
      </c>
      <c r="D5599" t="s">
        <v>12068</v>
      </c>
      <c r="E5599" s="5">
        <v>46295</v>
      </c>
      <c r="F5599" t="s">
        <v>204</v>
      </c>
      <c r="G5599" t="s">
        <v>213</v>
      </c>
      <c r="H5599">
        <v>799</v>
      </c>
      <c r="I5599">
        <v>14.38</v>
      </c>
      <c r="J5599">
        <v>2.59</v>
      </c>
      <c r="K5599">
        <v>782.03</v>
      </c>
      <c r="L5599" s="5">
        <v>46297</v>
      </c>
      <c r="M5599" t="s">
        <v>11852</v>
      </c>
      <c r="N5599" t="s">
        <v>207</v>
      </c>
      <c r="O5599" t="s">
        <v>12068</v>
      </c>
      <c r="P5599" t="s">
        <v>11454</v>
      </c>
      <c r="Q5599" t="s">
        <v>209</v>
      </c>
    </row>
    <row r="5600" spans="1:17" x14ac:dyDescent="0.3">
      <c r="A5600" t="s">
        <v>12069</v>
      </c>
      <c r="C5600" t="s">
        <v>12070</v>
      </c>
      <c r="D5600" t="s">
        <v>12070</v>
      </c>
      <c r="E5600" s="5">
        <v>46295</v>
      </c>
      <c r="F5600" t="s">
        <v>204</v>
      </c>
      <c r="G5600" t="s">
        <v>220</v>
      </c>
      <c r="H5600">
        <v>3499</v>
      </c>
      <c r="I5600">
        <v>10.5</v>
      </c>
      <c r="J5600">
        <v>1.89</v>
      </c>
      <c r="K5600">
        <v>3486.61</v>
      </c>
      <c r="L5600" s="5">
        <v>46297</v>
      </c>
      <c r="M5600" t="s">
        <v>11852</v>
      </c>
      <c r="N5600" t="s">
        <v>207</v>
      </c>
      <c r="O5600" t="s">
        <v>12070</v>
      </c>
      <c r="P5600" t="s">
        <v>11454</v>
      </c>
      <c r="Q5600" t="s">
        <v>209</v>
      </c>
    </row>
    <row r="5601" spans="1:17" x14ac:dyDescent="0.3">
      <c r="A5601" t="s">
        <v>12071</v>
      </c>
      <c r="C5601" t="s">
        <v>12072</v>
      </c>
      <c r="D5601" t="s">
        <v>12072</v>
      </c>
      <c r="E5601" s="5">
        <v>46295</v>
      </c>
      <c r="F5601" t="s">
        <v>204</v>
      </c>
      <c r="G5601" t="s">
        <v>213</v>
      </c>
      <c r="H5601">
        <v>3499</v>
      </c>
      <c r="I5601">
        <v>55.98</v>
      </c>
      <c r="J5601">
        <v>10.08</v>
      </c>
      <c r="K5601">
        <v>3432.94</v>
      </c>
      <c r="L5601" s="5">
        <v>46297</v>
      </c>
      <c r="M5601" t="s">
        <v>11852</v>
      </c>
      <c r="N5601" t="s">
        <v>207</v>
      </c>
      <c r="O5601" t="s">
        <v>12072</v>
      </c>
      <c r="P5601" t="s">
        <v>11454</v>
      </c>
      <c r="Q5601" t="s">
        <v>209</v>
      </c>
    </row>
    <row r="5602" spans="1:17" x14ac:dyDescent="0.3">
      <c r="A5602" t="s">
        <v>12073</v>
      </c>
      <c r="C5602" t="s">
        <v>12074</v>
      </c>
      <c r="D5602" t="s">
        <v>12074</v>
      </c>
      <c r="E5602" s="5">
        <v>46295</v>
      </c>
      <c r="F5602" t="s">
        <v>204</v>
      </c>
      <c r="G5602" t="s">
        <v>220</v>
      </c>
      <c r="H5602">
        <v>2999</v>
      </c>
      <c r="I5602">
        <v>9</v>
      </c>
      <c r="J5602">
        <v>1.62</v>
      </c>
      <c r="K5602">
        <v>2988.38</v>
      </c>
      <c r="L5602" s="5">
        <v>46297</v>
      </c>
      <c r="M5602" t="s">
        <v>11852</v>
      </c>
      <c r="N5602" t="s">
        <v>207</v>
      </c>
      <c r="O5602" t="s">
        <v>12074</v>
      </c>
      <c r="P5602" t="s">
        <v>11454</v>
      </c>
      <c r="Q5602" t="s">
        <v>209</v>
      </c>
    </row>
    <row r="5603" spans="1:17" x14ac:dyDescent="0.3">
      <c r="A5603" t="s">
        <v>12075</v>
      </c>
      <c r="C5603" t="s">
        <v>12076</v>
      </c>
      <c r="D5603" t="s">
        <v>12076</v>
      </c>
      <c r="E5603" s="5">
        <v>46295</v>
      </c>
      <c r="F5603" t="s">
        <v>204</v>
      </c>
      <c r="G5603" t="s">
        <v>213</v>
      </c>
      <c r="H5603">
        <v>1799</v>
      </c>
      <c r="I5603">
        <v>32.380000000000003</v>
      </c>
      <c r="J5603">
        <v>5.83</v>
      </c>
      <c r="K5603">
        <v>1760.79</v>
      </c>
      <c r="L5603" s="5">
        <v>46297</v>
      </c>
      <c r="M5603" t="s">
        <v>11852</v>
      </c>
      <c r="N5603" t="s">
        <v>207</v>
      </c>
      <c r="O5603" t="s">
        <v>12076</v>
      </c>
      <c r="P5603" t="s">
        <v>11454</v>
      </c>
      <c r="Q5603" t="s">
        <v>209</v>
      </c>
    </row>
    <row r="5604" spans="1:17" x14ac:dyDescent="0.3">
      <c r="A5604" t="s">
        <v>12077</v>
      </c>
      <c r="C5604" t="s">
        <v>12078</v>
      </c>
      <c r="D5604" t="s">
        <v>12078</v>
      </c>
      <c r="E5604" s="5">
        <v>46295</v>
      </c>
      <c r="F5604" t="s">
        <v>204</v>
      </c>
      <c r="G5604" t="s">
        <v>213</v>
      </c>
      <c r="H5604">
        <v>648</v>
      </c>
      <c r="I5604">
        <v>11.66</v>
      </c>
      <c r="J5604">
        <v>2.1</v>
      </c>
      <c r="K5604">
        <v>634.24</v>
      </c>
      <c r="L5604" s="5">
        <v>46297</v>
      </c>
      <c r="M5604" t="s">
        <v>11852</v>
      </c>
      <c r="N5604" t="s">
        <v>207</v>
      </c>
      <c r="O5604" t="s">
        <v>12078</v>
      </c>
      <c r="P5604" t="s">
        <v>11454</v>
      </c>
      <c r="Q5604" t="s">
        <v>209</v>
      </c>
    </row>
    <row r="5605" spans="1:17" x14ac:dyDescent="0.3">
      <c r="A5605" t="s">
        <v>12079</v>
      </c>
      <c r="C5605" t="s">
        <v>12080</v>
      </c>
      <c r="D5605" t="s">
        <v>12080</v>
      </c>
      <c r="E5605" s="5">
        <v>46295</v>
      </c>
      <c r="F5605" t="s">
        <v>204</v>
      </c>
      <c r="G5605" t="s">
        <v>255</v>
      </c>
      <c r="H5605">
        <v>1499</v>
      </c>
      <c r="I5605">
        <v>22.49</v>
      </c>
      <c r="J5605">
        <v>4.05</v>
      </c>
      <c r="K5605">
        <v>1472.46</v>
      </c>
      <c r="L5605" s="5">
        <v>46297</v>
      </c>
      <c r="M5605" t="s">
        <v>11852</v>
      </c>
      <c r="N5605" t="s">
        <v>207</v>
      </c>
      <c r="O5605" t="s">
        <v>12080</v>
      </c>
      <c r="P5605" t="s">
        <v>11454</v>
      </c>
      <c r="Q5605" t="s">
        <v>209</v>
      </c>
    </row>
    <row r="5606" spans="1:17" x14ac:dyDescent="0.3">
      <c r="A5606" t="s">
        <v>12081</v>
      </c>
      <c r="C5606" t="s">
        <v>12082</v>
      </c>
      <c r="D5606" t="s">
        <v>12082</v>
      </c>
      <c r="E5606" s="5">
        <v>46295</v>
      </c>
      <c r="F5606" t="s">
        <v>204</v>
      </c>
      <c r="G5606" t="s">
        <v>213</v>
      </c>
      <c r="H5606">
        <v>6297</v>
      </c>
      <c r="I5606">
        <v>100.75</v>
      </c>
      <c r="J5606">
        <v>18.14</v>
      </c>
      <c r="K5606">
        <v>6178.11</v>
      </c>
      <c r="L5606" s="5">
        <v>46297</v>
      </c>
      <c r="M5606" t="s">
        <v>11852</v>
      </c>
      <c r="N5606" t="s">
        <v>207</v>
      </c>
      <c r="O5606" t="s">
        <v>12082</v>
      </c>
      <c r="P5606" t="s">
        <v>11454</v>
      </c>
      <c r="Q5606" t="s">
        <v>209</v>
      </c>
    </row>
    <row r="5607" spans="1:17" x14ac:dyDescent="0.3">
      <c r="A5607" t="s">
        <v>12083</v>
      </c>
      <c r="C5607" t="s">
        <v>12084</v>
      </c>
      <c r="D5607" t="s">
        <v>12084</v>
      </c>
      <c r="E5607" s="5">
        <v>46295</v>
      </c>
      <c r="F5607" t="s">
        <v>204</v>
      </c>
      <c r="G5607" t="s">
        <v>220</v>
      </c>
      <c r="H5607">
        <v>12497</v>
      </c>
      <c r="I5607">
        <v>37.49</v>
      </c>
      <c r="J5607">
        <v>6.75</v>
      </c>
      <c r="K5607">
        <v>12452.76</v>
      </c>
      <c r="L5607" s="5">
        <v>46297</v>
      </c>
      <c r="M5607" t="s">
        <v>11852</v>
      </c>
      <c r="N5607" t="s">
        <v>207</v>
      </c>
      <c r="O5607" t="s">
        <v>12084</v>
      </c>
      <c r="P5607" t="s">
        <v>11454</v>
      </c>
      <c r="Q5607" t="s">
        <v>209</v>
      </c>
    </row>
    <row r="5608" spans="1:17" x14ac:dyDescent="0.3">
      <c r="A5608" t="s">
        <v>12085</v>
      </c>
      <c r="C5608" t="s">
        <v>12086</v>
      </c>
      <c r="D5608" t="s">
        <v>12086</v>
      </c>
      <c r="E5608" s="5">
        <v>46295</v>
      </c>
      <c r="F5608" t="s">
        <v>204</v>
      </c>
      <c r="G5608" t="s">
        <v>213</v>
      </c>
      <c r="H5608">
        <v>7597</v>
      </c>
      <c r="I5608">
        <v>121.55</v>
      </c>
      <c r="J5608">
        <v>21.88</v>
      </c>
      <c r="K5608">
        <v>7453.57</v>
      </c>
      <c r="L5608" s="5">
        <v>46297</v>
      </c>
      <c r="M5608" t="s">
        <v>11852</v>
      </c>
      <c r="N5608" t="s">
        <v>207</v>
      </c>
      <c r="O5608" t="s">
        <v>12086</v>
      </c>
      <c r="P5608" t="s">
        <v>11454</v>
      </c>
      <c r="Q5608" t="s">
        <v>209</v>
      </c>
    </row>
    <row r="5609" spans="1:17" x14ac:dyDescent="0.3">
      <c r="A5609" t="s">
        <v>12087</v>
      </c>
      <c r="C5609" t="s">
        <v>12088</v>
      </c>
      <c r="D5609" t="s">
        <v>12089</v>
      </c>
      <c r="E5609" s="5">
        <v>46295</v>
      </c>
      <c r="F5609" t="s">
        <v>204</v>
      </c>
      <c r="G5609" t="s">
        <v>213</v>
      </c>
      <c r="H5609">
        <v>299</v>
      </c>
      <c r="I5609">
        <v>5.38</v>
      </c>
      <c r="J5609">
        <v>0.97</v>
      </c>
      <c r="K5609">
        <v>292.64999999999998</v>
      </c>
      <c r="L5609" s="5">
        <v>46297</v>
      </c>
      <c r="M5609" t="s">
        <v>11852</v>
      </c>
      <c r="N5609" t="s">
        <v>207</v>
      </c>
      <c r="O5609" t="s">
        <v>12089</v>
      </c>
      <c r="P5609" t="s">
        <v>11454</v>
      </c>
      <c r="Q5609" t="s">
        <v>209</v>
      </c>
    </row>
    <row r="5610" spans="1:17" x14ac:dyDescent="0.3">
      <c r="A5610" t="s">
        <v>12090</v>
      </c>
      <c r="C5610" t="s">
        <v>12091</v>
      </c>
      <c r="D5610" t="s">
        <v>12091</v>
      </c>
      <c r="E5610" s="5">
        <v>46295</v>
      </c>
      <c r="F5610" t="s">
        <v>204</v>
      </c>
      <c r="G5610" t="s">
        <v>220</v>
      </c>
      <c r="H5610">
        <v>1798</v>
      </c>
      <c r="I5610">
        <v>0</v>
      </c>
      <c r="J5610">
        <v>0</v>
      </c>
      <c r="K5610">
        <v>1798</v>
      </c>
      <c r="L5610" s="5">
        <v>46297</v>
      </c>
      <c r="M5610" t="s">
        <v>11852</v>
      </c>
      <c r="N5610" t="s">
        <v>207</v>
      </c>
      <c r="O5610" t="s">
        <v>12091</v>
      </c>
      <c r="P5610" t="s">
        <v>11454</v>
      </c>
      <c r="Q5610" t="s">
        <v>209</v>
      </c>
    </row>
    <row r="5611" spans="1:17" x14ac:dyDescent="0.3">
      <c r="A5611" t="s">
        <v>12092</v>
      </c>
      <c r="C5611" t="s">
        <v>12093</v>
      </c>
      <c r="D5611" t="s">
        <v>12093</v>
      </c>
      <c r="E5611" s="5">
        <v>46295</v>
      </c>
      <c r="F5611" t="s">
        <v>204</v>
      </c>
      <c r="G5611" t="s">
        <v>220</v>
      </c>
      <c r="H5611">
        <v>2798</v>
      </c>
      <c r="I5611">
        <v>8.39</v>
      </c>
      <c r="J5611">
        <v>1.51</v>
      </c>
      <c r="K5611">
        <v>2788.1</v>
      </c>
      <c r="L5611" s="5">
        <v>46297</v>
      </c>
      <c r="M5611" t="s">
        <v>11852</v>
      </c>
      <c r="N5611" t="s">
        <v>207</v>
      </c>
      <c r="O5611" t="s">
        <v>12093</v>
      </c>
      <c r="P5611" t="s">
        <v>11454</v>
      </c>
      <c r="Q5611" t="s">
        <v>209</v>
      </c>
    </row>
    <row r="5612" spans="1:17" x14ac:dyDescent="0.3">
      <c r="A5612" t="s">
        <v>12094</v>
      </c>
      <c r="C5612" t="s">
        <v>12095</v>
      </c>
      <c r="D5612" t="s">
        <v>12095</v>
      </c>
      <c r="E5612" s="5">
        <v>46295</v>
      </c>
      <c r="F5612" t="s">
        <v>204</v>
      </c>
      <c r="G5612" t="s">
        <v>220</v>
      </c>
      <c r="H5612">
        <v>299</v>
      </c>
      <c r="I5612">
        <v>0</v>
      </c>
      <c r="J5612">
        <v>0</v>
      </c>
      <c r="K5612">
        <v>299</v>
      </c>
      <c r="L5612" s="5">
        <v>46297</v>
      </c>
      <c r="M5612" t="s">
        <v>11852</v>
      </c>
      <c r="N5612" t="s">
        <v>207</v>
      </c>
      <c r="O5612" t="s">
        <v>12095</v>
      </c>
      <c r="P5612" t="s">
        <v>11454</v>
      </c>
      <c r="Q5612" t="s">
        <v>209</v>
      </c>
    </row>
    <row r="5613" spans="1:17" x14ac:dyDescent="0.3">
      <c r="A5613" t="s">
        <v>12096</v>
      </c>
      <c r="C5613" t="s">
        <v>12097</v>
      </c>
      <c r="D5613" t="s">
        <v>12097</v>
      </c>
      <c r="E5613" s="5">
        <v>46295</v>
      </c>
      <c r="F5613" t="s">
        <v>204</v>
      </c>
      <c r="G5613" t="s">
        <v>213</v>
      </c>
      <c r="H5613">
        <v>4999</v>
      </c>
      <c r="I5613">
        <v>79.98</v>
      </c>
      <c r="J5613">
        <v>14.4</v>
      </c>
      <c r="K5613">
        <v>4904.62</v>
      </c>
      <c r="L5613" s="5">
        <v>46297</v>
      </c>
      <c r="M5613" t="s">
        <v>11852</v>
      </c>
      <c r="N5613" t="s">
        <v>207</v>
      </c>
      <c r="O5613" t="s">
        <v>12097</v>
      </c>
      <c r="P5613" t="s">
        <v>11454</v>
      </c>
      <c r="Q5613" t="s">
        <v>209</v>
      </c>
    </row>
    <row r="5614" spans="1:17" x14ac:dyDescent="0.3">
      <c r="A5614" t="s">
        <v>12098</v>
      </c>
      <c r="C5614" t="s">
        <v>12099</v>
      </c>
      <c r="D5614" t="s">
        <v>12099</v>
      </c>
      <c r="E5614" s="5">
        <v>46295</v>
      </c>
      <c r="F5614" t="s">
        <v>204</v>
      </c>
      <c r="G5614" t="s">
        <v>255</v>
      </c>
      <c r="H5614">
        <v>10498</v>
      </c>
      <c r="I5614">
        <v>94.48</v>
      </c>
      <c r="J5614">
        <v>17.010000000000002</v>
      </c>
      <c r="K5614">
        <v>10386.51</v>
      </c>
      <c r="L5614" s="5">
        <v>46297</v>
      </c>
      <c r="M5614" t="s">
        <v>11852</v>
      </c>
      <c r="N5614" t="s">
        <v>207</v>
      </c>
      <c r="O5614" t="s">
        <v>12099</v>
      </c>
      <c r="P5614" t="s">
        <v>11454</v>
      </c>
      <c r="Q5614" t="s">
        <v>209</v>
      </c>
    </row>
    <row r="5615" spans="1:17" x14ac:dyDescent="0.3">
      <c r="A5615" t="s">
        <v>12100</v>
      </c>
      <c r="C5615" t="s">
        <v>12101</v>
      </c>
      <c r="D5615" t="s">
        <v>12101</v>
      </c>
      <c r="E5615" s="5">
        <v>46295</v>
      </c>
      <c r="F5615" t="s">
        <v>204</v>
      </c>
      <c r="G5615" t="s">
        <v>205</v>
      </c>
      <c r="H5615">
        <v>3499</v>
      </c>
      <c r="I5615">
        <v>59.48</v>
      </c>
      <c r="J5615">
        <v>10.71</v>
      </c>
      <c r="K5615">
        <v>3428.81</v>
      </c>
      <c r="L5615" s="5">
        <v>46297</v>
      </c>
      <c r="M5615" t="s">
        <v>11852</v>
      </c>
      <c r="N5615" t="s">
        <v>207</v>
      </c>
      <c r="O5615" t="s">
        <v>12101</v>
      </c>
      <c r="P5615" t="s">
        <v>11454</v>
      </c>
      <c r="Q5615" t="s">
        <v>209</v>
      </c>
    </row>
    <row r="5616" spans="1:17" x14ac:dyDescent="0.3">
      <c r="A5616" t="s">
        <v>12102</v>
      </c>
      <c r="C5616" t="s">
        <v>12103</v>
      </c>
      <c r="D5616" t="s">
        <v>12103</v>
      </c>
      <c r="E5616" s="5">
        <v>46295</v>
      </c>
      <c r="F5616" t="s">
        <v>204</v>
      </c>
      <c r="G5616" t="s">
        <v>220</v>
      </c>
      <c r="H5616">
        <v>6797</v>
      </c>
      <c r="I5616">
        <v>20.39</v>
      </c>
      <c r="J5616">
        <v>3.67</v>
      </c>
      <c r="K5616">
        <v>6772.94</v>
      </c>
      <c r="L5616" s="5">
        <v>46297</v>
      </c>
      <c r="M5616" t="s">
        <v>11852</v>
      </c>
      <c r="N5616" t="s">
        <v>207</v>
      </c>
      <c r="O5616" t="s">
        <v>12103</v>
      </c>
      <c r="P5616" t="s">
        <v>11454</v>
      </c>
      <c r="Q5616" t="s">
        <v>209</v>
      </c>
    </row>
    <row r="5617" spans="1:17" x14ac:dyDescent="0.3">
      <c r="A5617" t="s">
        <v>12104</v>
      </c>
      <c r="C5617" t="s">
        <v>12105</v>
      </c>
      <c r="D5617" t="s">
        <v>12105</v>
      </c>
      <c r="E5617" s="5">
        <v>46295</v>
      </c>
      <c r="F5617" t="s">
        <v>204</v>
      </c>
      <c r="G5617" t="s">
        <v>220</v>
      </c>
      <c r="H5617">
        <v>9298</v>
      </c>
      <c r="I5617">
        <v>27.89</v>
      </c>
      <c r="J5617">
        <v>5.0199999999999996</v>
      </c>
      <c r="K5617">
        <v>9265.09</v>
      </c>
      <c r="L5617" s="5">
        <v>46297</v>
      </c>
      <c r="M5617" t="s">
        <v>11852</v>
      </c>
      <c r="N5617" t="s">
        <v>207</v>
      </c>
      <c r="O5617" t="s">
        <v>12105</v>
      </c>
      <c r="P5617" t="s">
        <v>11454</v>
      </c>
      <c r="Q5617" t="s">
        <v>209</v>
      </c>
    </row>
    <row r="5618" spans="1:17" x14ac:dyDescent="0.3">
      <c r="A5618" t="s">
        <v>12106</v>
      </c>
      <c r="C5618" t="s">
        <v>12107</v>
      </c>
      <c r="D5618" t="s">
        <v>12107</v>
      </c>
      <c r="E5618" s="5">
        <v>46295</v>
      </c>
      <c r="F5618" t="s">
        <v>204</v>
      </c>
      <c r="G5618" t="s">
        <v>220</v>
      </c>
      <c r="H5618">
        <v>349</v>
      </c>
      <c r="I5618">
        <v>0</v>
      </c>
      <c r="J5618">
        <v>0</v>
      </c>
      <c r="K5618">
        <v>349</v>
      </c>
      <c r="L5618" s="5">
        <v>46297</v>
      </c>
      <c r="M5618" t="s">
        <v>11852</v>
      </c>
      <c r="N5618" t="s">
        <v>207</v>
      </c>
      <c r="O5618" t="s">
        <v>12107</v>
      </c>
      <c r="P5618" t="s">
        <v>11454</v>
      </c>
      <c r="Q5618" t="s">
        <v>209</v>
      </c>
    </row>
    <row r="5619" spans="1:17" x14ac:dyDescent="0.3">
      <c r="A5619" t="s">
        <v>12108</v>
      </c>
      <c r="C5619" t="s">
        <v>12109</v>
      </c>
      <c r="D5619" t="s">
        <v>12109</v>
      </c>
      <c r="E5619" s="5">
        <v>46295</v>
      </c>
      <c r="F5619" t="s">
        <v>204</v>
      </c>
      <c r="G5619" t="s">
        <v>220</v>
      </c>
      <c r="H5619">
        <v>4998</v>
      </c>
      <c r="I5619">
        <v>14.99</v>
      </c>
      <c r="J5619">
        <v>2.7</v>
      </c>
      <c r="K5619">
        <v>4980.3100000000004</v>
      </c>
      <c r="L5619" s="5">
        <v>46297</v>
      </c>
      <c r="M5619" t="s">
        <v>11852</v>
      </c>
      <c r="N5619" t="s">
        <v>207</v>
      </c>
      <c r="O5619" t="s">
        <v>12109</v>
      </c>
      <c r="P5619" t="s">
        <v>11454</v>
      </c>
      <c r="Q5619" t="s">
        <v>209</v>
      </c>
    </row>
    <row r="5620" spans="1:17" x14ac:dyDescent="0.3">
      <c r="A5620" t="s">
        <v>12110</v>
      </c>
      <c r="C5620" t="s">
        <v>12111</v>
      </c>
      <c r="D5620" t="s">
        <v>12111</v>
      </c>
      <c r="E5620" s="5">
        <v>46295</v>
      </c>
      <c r="F5620" t="s">
        <v>204</v>
      </c>
      <c r="G5620" t="s">
        <v>220</v>
      </c>
      <c r="H5620">
        <v>4498</v>
      </c>
      <c r="I5620">
        <v>13.49</v>
      </c>
      <c r="J5620">
        <v>2.4300000000000002</v>
      </c>
      <c r="K5620">
        <v>4482.08</v>
      </c>
      <c r="L5620" s="5">
        <v>46297</v>
      </c>
      <c r="M5620" t="s">
        <v>11852</v>
      </c>
      <c r="N5620" t="s">
        <v>207</v>
      </c>
      <c r="O5620" t="s">
        <v>12111</v>
      </c>
      <c r="P5620" t="s">
        <v>11454</v>
      </c>
      <c r="Q5620" t="s">
        <v>209</v>
      </c>
    </row>
    <row r="5621" spans="1:17" x14ac:dyDescent="0.3">
      <c r="A5621" t="s">
        <v>12112</v>
      </c>
      <c r="C5621" t="s">
        <v>12113</v>
      </c>
      <c r="D5621" t="s">
        <v>12114</v>
      </c>
      <c r="E5621" s="5">
        <v>46295</v>
      </c>
      <c r="F5621" t="s">
        <v>204</v>
      </c>
      <c r="G5621" t="s">
        <v>255</v>
      </c>
      <c r="H5621">
        <v>9498</v>
      </c>
      <c r="I5621">
        <v>113.98</v>
      </c>
      <c r="J5621">
        <v>20.52</v>
      </c>
      <c r="K5621">
        <v>9363.5</v>
      </c>
      <c r="L5621" s="5">
        <v>46297</v>
      </c>
      <c r="M5621" t="s">
        <v>11852</v>
      </c>
      <c r="N5621" t="s">
        <v>207</v>
      </c>
      <c r="O5621" t="s">
        <v>12114</v>
      </c>
      <c r="P5621" t="s">
        <v>11454</v>
      </c>
      <c r="Q5621" t="s">
        <v>209</v>
      </c>
    </row>
    <row r="5622" spans="1:17" x14ac:dyDescent="0.3">
      <c r="A5622" t="s">
        <v>12115</v>
      </c>
      <c r="C5622" t="s">
        <v>12116</v>
      </c>
      <c r="D5622" t="s">
        <v>12116</v>
      </c>
      <c r="E5622" s="5">
        <v>46295</v>
      </c>
      <c r="F5622" t="s">
        <v>204</v>
      </c>
      <c r="G5622" t="s">
        <v>220</v>
      </c>
      <c r="H5622">
        <v>499</v>
      </c>
      <c r="I5622">
        <v>0</v>
      </c>
      <c r="J5622">
        <v>0</v>
      </c>
      <c r="K5622">
        <v>499</v>
      </c>
      <c r="L5622" s="5">
        <v>46297</v>
      </c>
      <c r="M5622" t="s">
        <v>11852</v>
      </c>
      <c r="N5622" t="s">
        <v>207</v>
      </c>
      <c r="O5622" t="s">
        <v>12116</v>
      </c>
      <c r="P5622" t="s">
        <v>11454</v>
      </c>
      <c r="Q5622" t="s">
        <v>209</v>
      </c>
    </row>
    <row r="5623" spans="1:17" x14ac:dyDescent="0.3">
      <c r="A5623" t="s">
        <v>12117</v>
      </c>
      <c r="C5623" t="s">
        <v>12118</v>
      </c>
      <c r="D5623" t="s">
        <v>12118</v>
      </c>
      <c r="E5623" s="5">
        <v>46295</v>
      </c>
      <c r="F5623" t="s">
        <v>204</v>
      </c>
      <c r="G5623" t="s">
        <v>205</v>
      </c>
      <c r="H5623">
        <v>2999</v>
      </c>
      <c r="I5623">
        <v>71.98</v>
      </c>
      <c r="J5623">
        <v>12.96</v>
      </c>
      <c r="K5623">
        <v>2914.06</v>
      </c>
      <c r="L5623" s="5">
        <v>46297</v>
      </c>
      <c r="M5623" t="s">
        <v>11852</v>
      </c>
      <c r="N5623" t="s">
        <v>207</v>
      </c>
      <c r="O5623" t="s">
        <v>12118</v>
      </c>
      <c r="P5623" t="s">
        <v>11454</v>
      </c>
      <c r="Q5623" t="s">
        <v>209</v>
      </c>
    </row>
    <row r="5624" spans="1:17" x14ac:dyDescent="0.3">
      <c r="A5624" t="s">
        <v>12119</v>
      </c>
      <c r="C5624" t="s">
        <v>12120</v>
      </c>
      <c r="D5624" t="s">
        <v>12120</v>
      </c>
      <c r="E5624" s="5">
        <v>46295</v>
      </c>
      <c r="F5624" t="s">
        <v>204</v>
      </c>
      <c r="G5624" t="s">
        <v>213</v>
      </c>
      <c r="H5624">
        <v>8498</v>
      </c>
      <c r="I5624">
        <v>135.97</v>
      </c>
      <c r="J5624">
        <v>24.47</v>
      </c>
      <c r="K5624">
        <v>8337.56</v>
      </c>
      <c r="L5624" s="5">
        <v>46297</v>
      </c>
      <c r="M5624" t="s">
        <v>11852</v>
      </c>
      <c r="N5624" t="s">
        <v>207</v>
      </c>
      <c r="O5624" t="s">
        <v>12120</v>
      </c>
      <c r="P5624" t="s">
        <v>11454</v>
      </c>
      <c r="Q5624" t="s">
        <v>209</v>
      </c>
    </row>
    <row r="5625" spans="1:17" x14ac:dyDescent="0.3">
      <c r="A5625" t="s">
        <v>12121</v>
      </c>
      <c r="C5625" t="s">
        <v>12122</v>
      </c>
      <c r="D5625" t="s">
        <v>12122</v>
      </c>
      <c r="E5625" s="5">
        <v>46295</v>
      </c>
      <c r="F5625" t="s">
        <v>204</v>
      </c>
      <c r="G5625" t="s">
        <v>213</v>
      </c>
      <c r="H5625">
        <v>1598</v>
      </c>
      <c r="I5625">
        <v>28.76</v>
      </c>
      <c r="J5625">
        <v>5.18</v>
      </c>
      <c r="K5625">
        <v>1564.06</v>
      </c>
      <c r="L5625" s="5">
        <v>46297</v>
      </c>
      <c r="M5625" t="s">
        <v>11852</v>
      </c>
      <c r="N5625" t="s">
        <v>207</v>
      </c>
      <c r="O5625" t="s">
        <v>12122</v>
      </c>
      <c r="P5625" t="s">
        <v>11454</v>
      </c>
      <c r="Q5625" t="s">
        <v>209</v>
      </c>
    </row>
    <row r="5626" spans="1:17" x14ac:dyDescent="0.3">
      <c r="A5626" t="s">
        <v>12123</v>
      </c>
      <c r="C5626" t="s">
        <v>12124</v>
      </c>
      <c r="D5626" t="s">
        <v>12124</v>
      </c>
      <c r="E5626" s="5">
        <v>46295</v>
      </c>
      <c r="F5626" t="s">
        <v>204</v>
      </c>
      <c r="G5626" t="s">
        <v>220</v>
      </c>
      <c r="H5626">
        <v>2797</v>
      </c>
      <c r="I5626">
        <v>8.39</v>
      </c>
      <c r="J5626">
        <v>1.51</v>
      </c>
      <c r="K5626">
        <v>2787.1</v>
      </c>
      <c r="L5626" s="5">
        <v>46297</v>
      </c>
      <c r="M5626" t="s">
        <v>11852</v>
      </c>
      <c r="N5626" t="s">
        <v>207</v>
      </c>
      <c r="O5626" t="s">
        <v>12124</v>
      </c>
      <c r="P5626" t="s">
        <v>11454</v>
      </c>
      <c r="Q5626" t="s">
        <v>209</v>
      </c>
    </row>
    <row r="5627" spans="1:17" x14ac:dyDescent="0.3">
      <c r="A5627" t="s">
        <v>12125</v>
      </c>
      <c r="C5627" t="s">
        <v>12126</v>
      </c>
      <c r="D5627" t="s">
        <v>12126</v>
      </c>
      <c r="E5627" s="5">
        <v>46295</v>
      </c>
      <c r="F5627" t="s">
        <v>204</v>
      </c>
      <c r="G5627" t="s">
        <v>220</v>
      </c>
      <c r="H5627">
        <v>5298</v>
      </c>
      <c r="I5627">
        <v>15.89</v>
      </c>
      <c r="J5627">
        <v>2.86</v>
      </c>
      <c r="K5627">
        <v>5279.25</v>
      </c>
      <c r="L5627" s="5">
        <v>46297</v>
      </c>
      <c r="M5627" t="s">
        <v>11852</v>
      </c>
      <c r="N5627" t="s">
        <v>207</v>
      </c>
      <c r="O5627" t="s">
        <v>12126</v>
      </c>
      <c r="P5627" t="s">
        <v>11454</v>
      </c>
      <c r="Q5627" t="s">
        <v>209</v>
      </c>
    </row>
    <row r="5628" spans="1:17" x14ac:dyDescent="0.3">
      <c r="A5628" t="s">
        <v>12127</v>
      </c>
      <c r="C5628" t="s">
        <v>12128</v>
      </c>
      <c r="D5628" t="s">
        <v>12129</v>
      </c>
      <c r="E5628" s="5">
        <v>46295</v>
      </c>
      <c r="F5628" t="s">
        <v>204</v>
      </c>
      <c r="G5628" t="s">
        <v>255</v>
      </c>
      <c r="H5628">
        <v>3798</v>
      </c>
      <c r="I5628">
        <v>45.58</v>
      </c>
      <c r="J5628">
        <v>8.1999999999999993</v>
      </c>
      <c r="K5628">
        <v>3744.22</v>
      </c>
      <c r="L5628" s="5">
        <v>46297</v>
      </c>
      <c r="M5628" t="s">
        <v>11852</v>
      </c>
      <c r="N5628" t="s">
        <v>207</v>
      </c>
      <c r="O5628" t="s">
        <v>12129</v>
      </c>
      <c r="P5628" t="s">
        <v>11454</v>
      </c>
      <c r="Q5628" t="s">
        <v>209</v>
      </c>
    </row>
    <row r="5629" spans="1:17" x14ac:dyDescent="0.3">
      <c r="A5629" t="s">
        <v>12130</v>
      </c>
      <c r="C5629" t="s">
        <v>12131</v>
      </c>
      <c r="D5629" t="s">
        <v>12132</v>
      </c>
      <c r="E5629" s="5">
        <v>46295</v>
      </c>
      <c r="F5629" t="s">
        <v>204</v>
      </c>
      <c r="G5629" t="s">
        <v>220</v>
      </c>
      <c r="H5629">
        <v>4597</v>
      </c>
      <c r="I5629">
        <v>13.79</v>
      </c>
      <c r="J5629">
        <v>2.48</v>
      </c>
      <c r="K5629">
        <v>4580.7299999999996</v>
      </c>
      <c r="L5629" s="5">
        <v>46297</v>
      </c>
      <c r="M5629" t="s">
        <v>11852</v>
      </c>
      <c r="N5629" t="s">
        <v>207</v>
      </c>
      <c r="O5629" t="s">
        <v>12132</v>
      </c>
      <c r="P5629" t="s">
        <v>11454</v>
      </c>
      <c r="Q5629" t="s">
        <v>209</v>
      </c>
    </row>
    <row r="5630" spans="1:17" x14ac:dyDescent="0.3">
      <c r="A5630" t="s">
        <v>12133</v>
      </c>
      <c r="C5630" t="s">
        <v>12134</v>
      </c>
      <c r="D5630" t="s">
        <v>12134</v>
      </c>
      <c r="E5630" s="5">
        <v>46295</v>
      </c>
      <c r="F5630" t="s">
        <v>204</v>
      </c>
      <c r="G5630" t="s">
        <v>220</v>
      </c>
      <c r="H5630">
        <v>1499</v>
      </c>
      <c r="I5630">
        <v>0</v>
      </c>
      <c r="J5630">
        <v>0</v>
      </c>
      <c r="K5630">
        <v>1499</v>
      </c>
      <c r="L5630" s="5">
        <v>46297</v>
      </c>
      <c r="M5630" t="s">
        <v>11852</v>
      </c>
      <c r="N5630" t="s">
        <v>207</v>
      </c>
      <c r="O5630" t="s">
        <v>12134</v>
      </c>
      <c r="P5630" t="s">
        <v>11454</v>
      </c>
      <c r="Q5630" t="s">
        <v>209</v>
      </c>
    </row>
    <row r="5631" spans="1:17" x14ac:dyDescent="0.3">
      <c r="A5631" t="s">
        <v>12135</v>
      </c>
      <c r="C5631" t="s">
        <v>12136</v>
      </c>
      <c r="D5631" t="s">
        <v>12136</v>
      </c>
      <c r="E5631" s="5">
        <v>46295</v>
      </c>
      <c r="F5631" t="s">
        <v>204</v>
      </c>
      <c r="G5631" t="s">
        <v>255</v>
      </c>
      <c r="H5631">
        <v>1098</v>
      </c>
      <c r="I5631">
        <v>16.47</v>
      </c>
      <c r="J5631">
        <v>2.96</v>
      </c>
      <c r="K5631">
        <v>1078.57</v>
      </c>
      <c r="L5631" s="5">
        <v>46297</v>
      </c>
      <c r="M5631" t="s">
        <v>11852</v>
      </c>
      <c r="N5631" t="s">
        <v>207</v>
      </c>
      <c r="O5631" t="s">
        <v>12136</v>
      </c>
      <c r="P5631" t="s">
        <v>11454</v>
      </c>
      <c r="Q5631" t="s">
        <v>209</v>
      </c>
    </row>
    <row r="5632" spans="1:17" x14ac:dyDescent="0.3">
      <c r="A5632" t="s">
        <v>12137</v>
      </c>
      <c r="C5632" t="s">
        <v>12138</v>
      </c>
      <c r="D5632" t="s">
        <v>12138</v>
      </c>
      <c r="E5632" s="5">
        <v>46295</v>
      </c>
      <c r="F5632" t="s">
        <v>204</v>
      </c>
      <c r="G5632" t="s">
        <v>220</v>
      </c>
      <c r="H5632">
        <v>7999</v>
      </c>
      <c r="I5632">
        <v>24</v>
      </c>
      <c r="J5632">
        <v>4.32</v>
      </c>
      <c r="K5632">
        <v>7970.68</v>
      </c>
      <c r="L5632" s="5">
        <v>46297</v>
      </c>
      <c r="M5632" t="s">
        <v>11852</v>
      </c>
      <c r="N5632" t="s">
        <v>207</v>
      </c>
      <c r="O5632" t="s">
        <v>12138</v>
      </c>
      <c r="P5632" t="s">
        <v>11454</v>
      </c>
      <c r="Q5632" t="s">
        <v>209</v>
      </c>
    </row>
    <row r="5633" spans="1:17" x14ac:dyDescent="0.3">
      <c r="A5633" t="s">
        <v>12139</v>
      </c>
      <c r="C5633" t="s">
        <v>12140</v>
      </c>
      <c r="D5633" t="s">
        <v>12140</v>
      </c>
      <c r="E5633" s="5">
        <v>46295</v>
      </c>
      <c r="F5633" t="s">
        <v>204</v>
      </c>
      <c r="G5633" t="s">
        <v>213</v>
      </c>
      <c r="H5633">
        <v>599</v>
      </c>
      <c r="I5633">
        <v>10.78</v>
      </c>
      <c r="J5633">
        <v>1.94</v>
      </c>
      <c r="K5633">
        <v>586.28</v>
      </c>
      <c r="L5633" s="5">
        <v>46297</v>
      </c>
      <c r="M5633" t="s">
        <v>11852</v>
      </c>
      <c r="N5633" t="s">
        <v>207</v>
      </c>
      <c r="O5633" t="s">
        <v>12140</v>
      </c>
      <c r="P5633" t="s">
        <v>11454</v>
      </c>
      <c r="Q5633" t="s">
        <v>209</v>
      </c>
    </row>
    <row r="5634" spans="1:17" x14ac:dyDescent="0.3">
      <c r="A5634" t="s">
        <v>12141</v>
      </c>
      <c r="C5634" t="s">
        <v>12142</v>
      </c>
      <c r="D5634" t="s">
        <v>12142</v>
      </c>
      <c r="E5634" s="5">
        <v>46295</v>
      </c>
      <c r="F5634" t="s">
        <v>204</v>
      </c>
      <c r="G5634" t="s">
        <v>213</v>
      </c>
      <c r="H5634">
        <v>7999</v>
      </c>
      <c r="I5634">
        <v>127.98</v>
      </c>
      <c r="J5634">
        <v>23.04</v>
      </c>
      <c r="K5634">
        <v>7847.98</v>
      </c>
      <c r="L5634" s="5">
        <v>46297</v>
      </c>
      <c r="M5634" t="s">
        <v>11852</v>
      </c>
      <c r="N5634" t="s">
        <v>207</v>
      </c>
      <c r="O5634" t="s">
        <v>12142</v>
      </c>
      <c r="P5634" t="s">
        <v>11454</v>
      </c>
      <c r="Q5634" t="s">
        <v>209</v>
      </c>
    </row>
    <row r="5635" spans="1:17" x14ac:dyDescent="0.3">
      <c r="A5635" t="s">
        <v>12143</v>
      </c>
      <c r="C5635" t="s">
        <v>12144</v>
      </c>
      <c r="D5635" t="s">
        <v>12144</v>
      </c>
      <c r="E5635" s="5">
        <v>46295</v>
      </c>
      <c r="F5635" t="s">
        <v>204</v>
      </c>
      <c r="G5635" t="s">
        <v>220</v>
      </c>
      <c r="H5635">
        <v>499</v>
      </c>
      <c r="I5635">
        <v>0</v>
      </c>
      <c r="J5635">
        <v>0</v>
      </c>
      <c r="K5635">
        <v>499</v>
      </c>
      <c r="L5635" s="5">
        <v>46297</v>
      </c>
      <c r="M5635" t="s">
        <v>11852</v>
      </c>
      <c r="N5635" t="s">
        <v>207</v>
      </c>
      <c r="O5635" t="s">
        <v>12144</v>
      </c>
      <c r="P5635" t="s">
        <v>11454</v>
      </c>
      <c r="Q5635" t="s">
        <v>209</v>
      </c>
    </row>
    <row r="5636" spans="1:17" x14ac:dyDescent="0.3">
      <c r="A5636" t="s">
        <v>12145</v>
      </c>
      <c r="C5636" t="s">
        <v>12146</v>
      </c>
      <c r="D5636" t="s">
        <v>12146</v>
      </c>
      <c r="E5636" s="5">
        <v>46295</v>
      </c>
      <c r="F5636" t="s">
        <v>204</v>
      </c>
      <c r="G5636" t="s">
        <v>255</v>
      </c>
      <c r="H5636">
        <v>999</v>
      </c>
      <c r="I5636">
        <v>14.99</v>
      </c>
      <c r="J5636">
        <v>2.7</v>
      </c>
      <c r="K5636">
        <v>981.31</v>
      </c>
      <c r="L5636" s="5">
        <v>46297</v>
      </c>
      <c r="M5636" t="s">
        <v>11852</v>
      </c>
      <c r="N5636" t="s">
        <v>207</v>
      </c>
      <c r="O5636" t="s">
        <v>12146</v>
      </c>
      <c r="P5636" t="s">
        <v>11454</v>
      </c>
      <c r="Q5636" t="s">
        <v>209</v>
      </c>
    </row>
    <row r="5637" spans="1:17" x14ac:dyDescent="0.3">
      <c r="A5637" t="s">
        <v>12147</v>
      </c>
      <c r="C5637" t="s">
        <v>12148</v>
      </c>
      <c r="D5637" t="s">
        <v>12149</v>
      </c>
      <c r="E5637" s="5">
        <v>46295</v>
      </c>
      <c r="F5637" t="s">
        <v>204</v>
      </c>
      <c r="G5637" t="s">
        <v>205</v>
      </c>
      <c r="H5637">
        <v>8298</v>
      </c>
      <c r="I5637">
        <v>141.07</v>
      </c>
      <c r="J5637">
        <v>25.39</v>
      </c>
      <c r="K5637">
        <v>8131.54</v>
      </c>
      <c r="L5637" s="5">
        <v>46297</v>
      </c>
      <c r="M5637" t="s">
        <v>11852</v>
      </c>
      <c r="N5637" t="s">
        <v>207</v>
      </c>
      <c r="O5637" t="s">
        <v>12149</v>
      </c>
      <c r="P5637" t="s">
        <v>11454</v>
      </c>
      <c r="Q5637" t="s">
        <v>209</v>
      </c>
    </row>
    <row r="5638" spans="1:17" x14ac:dyDescent="0.3">
      <c r="A5638" t="s">
        <v>12150</v>
      </c>
      <c r="C5638" t="s">
        <v>12151</v>
      </c>
      <c r="D5638" t="s">
        <v>12151</v>
      </c>
      <c r="E5638" s="5">
        <v>46295</v>
      </c>
      <c r="F5638" t="s">
        <v>204</v>
      </c>
      <c r="G5638" t="s">
        <v>213</v>
      </c>
      <c r="H5638">
        <v>898</v>
      </c>
      <c r="I5638">
        <v>16.16</v>
      </c>
      <c r="J5638">
        <v>2.91</v>
      </c>
      <c r="K5638">
        <v>878.93</v>
      </c>
      <c r="L5638" s="5">
        <v>46297</v>
      </c>
      <c r="M5638" t="s">
        <v>11852</v>
      </c>
      <c r="N5638" t="s">
        <v>207</v>
      </c>
      <c r="O5638" t="s">
        <v>12151</v>
      </c>
      <c r="P5638" t="s">
        <v>11454</v>
      </c>
      <c r="Q5638" t="s">
        <v>209</v>
      </c>
    </row>
    <row r="5639" spans="1:17" x14ac:dyDescent="0.3">
      <c r="A5639" t="s">
        <v>12152</v>
      </c>
      <c r="C5639" t="s">
        <v>12153</v>
      </c>
      <c r="D5639" t="s">
        <v>12153</v>
      </c>
      <c r="E5639" s="5">
        <v>46295</v>
      </c>
      <c r="F5639" t="s">
        <v>204</v>
      </c>
      <c r="G5639" t="s">
        <v>213</v>
      </c>
      <c r="H5639">
        <v>7999</v>
      </c>
      <c r="I5639">
        <v>127.98</v>
      </c>
      <c r="J5639">
        <v>23.04</v>
      </c>
      <c r="K5639">
        <v>7847.98</v>
      </c>
      <c r="L5639" s="5">
        <v>46297</v>
      </c>
      <c r="M5639" t="s">
        <v>11852</v>
      </c>
      <c r="N5639" t="s">
        <v>207</v>
      </c>
      <c r="O5639" t="s">
        <v>12153</v>
      </c>
      <c r="P5639" t="s">
        <v>11454</v>
      </c>
      <c r="Q5639" t="s">
        <v>209</v>
      </c>
    </row>
    <row r="5640" spans="1:17" x14ac:dyDescent="0.3">
      <c r="A5640" t="s">
        <v>12154</v>
      </c>
      <c r="C5640" t="s">
        <v>12155</v>
      </c>
      <c r="D5640" t="s">
        <v>12155</v>
      </c>
      <c r="E5640" s="5">
        <v>46295</v>
      </c>
      <c r="F5640" t="s">
        <v>204</v>
      </c>
      <c r="G5640" t="s">
        <v>220</v>
      </c>
      <c r="H5640">
        <v>5348</v>
      </c>
      <c r="I5640">
        <v>16.04</v>
      </c>
      <c r="J5640">
        <v>2.89</v>
      </c>
      <c r="K5640">
        <v>5329.07</v>
      </c>
      <c r="L5640" s="5">
        <v>46297</v>
      </c>
      <c r="M5640" t="s">
        <v>11852</v>
      </c>
      <c r="N5640" t="s">
        <v>207</v>
      </c>
      <c r="O5640" t="s">
        <v>12155</v>
      </c>
      <c r="P5640" t="s">
        <v>11454</v>
      </c>
      <c r="Q5640" t="s">
        <v>209</v>
      </c>
    </row>
    <row r="5641" spans="1:17" x14ac:dyDescent="0.3">
      <c r="A5641" t="s">
        <v>12156</v>
      </c>
      <c r="C5641" t="s">
        <v>12157</v>
      </c>
      <c r="D5641" t="s">
        <v>12157</v>
      </c>
      <c r="E5641" s="5">
        <v>46295</v>
      </c>
      <c r="F5641" t="s">
        <v>204</v>
      </c>
      <c r="G5641" t="s">
        <v>220</v>
      </c>
      <c r="H5641">
        <v>3998</v>
      </c>
      <c r="I5641">
        <v>11.99</v>
      </c>
      <c r="J5641">
        <v>2.16</v>
      </c>
      <c r="K5641">
        <v>3983.85</v>
      </c>
      <c r="L5641" s="5">
        <v>46297</v>
      </c>
      <c r="M5641" t="s">
        <v>11852</v>
      </c>
      <c r="N5641" t="s">
        <v>207</v>
      </c>
      <c r="O5641" t="s">
        <v>12157</v>
      </c>
      <c r="P5641" t="s">
        <v>11454</v>
      </c>
      <c r="Q5641" t="s">
        <v>209</v>
      </c>
    </row>
    <row r="5642" spans="1:17" x14ac:dyDescent="0.3">
      <c r="A5642" t="s">
        <v>12158</v>
      </c>
      <c r="C5642" t="s">
        <v>12159</v>
      </c>
      <c r="D5642" t="s">
        <v>12160</v>
      </c>
      <c r="E5642" s="5">
        <v>46295</v>
      </c>
      <c r="F5642" t="s">
        <v>204</v>
      </c>
      <c r="G5642" t="s">
        <v>220</v>
      </c>
      <c r="H5642">
        <v>1299</v>
      </c>
      <c r="I5642">
        <v>0</v>
      </c>
      <c r="J5642">
        <v>0</v>
      </c>
      <c r="K5642">
        <v>1299</v>
      </c>
      <c r="L5642" s="5">
        <v>46297</v>
      </c>
      <c r="M5642" t="s">
        <v>11852</v>
      </c>
      <c r="N5642" t="s">
        <v>207</v>
      </c>
      <c r="O5642" t="s">
        <v>12160</v>
      </c>
      <c r="P5642" t="s">
        <v>11454</v>
      </c>
      <c r="Q5642" t="s">
        <v>209</v>
      </c>
    </row>
    <row r="5643" spans="1:17" x14ac:dyDescent="0.3">
      <c r="A5643" t="s">
        <v>12161</v>
      </c>
      <c r="C5643" t="s">
        <v>12162</v>
      </c>
      <c r="D5643" t="s">
        <v>12162</v>
      </c>
      <c r="E5643" s="5">
        <v>46295</v>
      </c>
      <c r="F5643" t="s">
        <v>204</v>
      </c>
      <c r="G5643" t="s">
        <v>255</v>
      </c>
      <c r="H5643">
        <v>11297</v>
      </c>
      <c r="I5643">
        <v>101.67</v>
      </c>
      <c r="J5643">
        <v>18.3</v>
      </c>
      <c r="K5643">
        <v>11177.03</v>
      </c>
      <c r="L5643" s="5">
        <v>46297</v>
      </c>
      <c r="M5643" t="s">
        <v>11852</v>
      </c>
      <c r="N5643" t="s">
        <v>207</v>
      </c>
      <c r="O5643" t="s">
        <v>12162</v>
      </c>
      <c r="P5643" t="s">
        <v>11454</v>
      </c>
      <c r="Q5643" t="s">
        <v>209</v>
      </c>
    </row>
    <row r="5644" spans="1:17" x14ac:dyDescent="0.3">
      <c r="A5644" t="s">
        <v>12163</v>
      </c>
      <c r="C5644" t="s">
        <v>12164</v>
      </c>
      <c r="D5644" t="s">
        <v>12164</v>
      </c>
      <c r="E5644" s="5">
        <v>46295</v>
      </c>
      <c r="F5644" t="s">
        <v>204</v>
      </c>
      <c r="G5644" t="s">
        <v>220</v>
      </c>
      <c r="H5644">
        <v>898</v>
      </c>
      <c r="I5644">
        <v>0</v>
      </c>
      <c r="J5644">
        <v>0</v>
      </c>
      <c r="K5644">
        <v>898</v>
      </c>
      <c r="L5644" s="5">
        <v>46297</v>
      </c>
      <c r="M5644" t="s">
        <v>11852</v>
      </c>
      <c r="N5644" t="s">
        <v>207</v>
      </c>
      <c r="O5644" t="s">
        <v>12164</v>
      </c>
      <c r="P5644" t="s">
        <v>11454</v>
      </c>
      <c r="Q5644" t="s">
        <v>209</v>
      </c>
    </row>
    <row r="5645" spans="1:17" x14ac:dyDescent="0.3">
      <c r="A5645" t="s">
        <v>12165</v>
      </c>
      <c r="C5645" t="s">
        <v>12166</v>
      </c>
      <c r="D5645" t="s">
        <v>12166</v>
      </c>
      <c r="E5645" s="5">
        <v>46295</v>
      </c>
      <c r="F5645" t="s">
        <v>204</v>
      </c>
      <c r="G5645" t="s">
        <v>220</v>
      </c>
      <c r="H5645">
        <v>2498</v>
      </c>
      <c r="I5645">
        <v>7.49</v>
      </c>
      <c r="J5645">
        <v>1.35</v>
      </c>
      <c r="K5645">
        <v>2489.16</v>
      </c>
      <c r="L5645" s="5">
        <v>46297</v>
      </c>
      <c r="M5645" t="s">
        <v>11852</v>
      </c>
      <c r="N5645" t="s">
        <v>207</v>
      </c>
      <c r="O5645" t="s">
        <v>12166</v>
      </c>
      <c r="P5645" t="s">
        <v>11454</v>
      </c>
      <c r="Q5645" t="s">
        <v>209</v>
      </c>
    </row>
    <row r="5646" spans="1:17" x14ac:dyDescent="0.3">
      <c r="A5646" t="s">
        <v>12167</v>
      </c>
      <c r="C5646" t="s">
        <v>12168</v>
      </c>
      <c r="D5646" t="s">
        <v>12168</v>
      </c>
      <c r="E5646" s="5">
        <v>46295</v>
      </c>
      <c r="F5646" t="s">
        <v>204</v>
      </c>
      <c r="G5646" t="s">
        <v>220</v>
      </c>
      <c r="H5646">
        <v>4798</v>
      </c>
      <c r="I5646">
        <v>14.39</v>
      </c>
      <c r="J5646">
        <v>2.59</v>
      </c>
      <c r="K5646">
        <v>4781.0200000000004</v>
      </c>
      <c r="L5646" s="5">
        <v>46297</v>
      </c>
      <c r="M5646" t="s">
        <v>11852</v>
      </c>
      <c r="N5646" t="s">
        <v>207</v>
      </c>
      <c r="O5646" t="s">
        <v>12168</v>
      </c>
      <c r="P5646" t="s">
        <v>11454</v>
      </c>
      <c r="Q5646" t="s">
        <v>209</v>
      </c>
    </row>
    <row r="5647" spans="1:17" x14ac:dyDescent="0.3">
      <c r="A5647" t="s">
        <v>12169</v>
      </c>
      <c r="C5647" t="s">
        <v>12170</v>
      </c>
      <c r="D5647" t="s">
        <v>12170</v>
      </c>
      <c r="E5647" s="5">
        <v>46295</v>
      </c>
      <c r="F5647" t="s">
        <v>204</v>
      </c>
      <c r="G5647" t="s">
        <v>220</v>
      </c>
      <c r="H5647">
        <v>349</v>
      </c>
      <c r="I5647">
        <v>0</v>
      </c>
      <c r="J5647">
        <v>0</v>
      </c>
      <c r="K5647">
        <v>349</v>
      </c>
      <c r="L5647" s="5">
        <v>46297</v>
      </c>
      <c r="M5647" t="s">
        <v>11852</v>
      </c>
      <c r="N5647" t="s">
        <v>207</v>
      </c>
      <c r="O5647" t="s">
        <v>12170</v>
      </c>
      <c r="P5647" t="s">
        <v>11454</v>
      </c>
      <c r="Q5647" t="s">
        <v>209</v>
      </c>
    </row>
    <row r="5648" spans="1:17" x14ac:dyDescent="0.3">
      <c r="A5648" t="s">
        <v>12171</v>
      </c>
      <c r="C5648" t="s">
        <v>12172</v>
      </c>
      <c r="D5648" t="s">
        <v>12172</v>
      </c>
      <c r="E5648" s="5">
        <v>46295</v>
      </c>
      <c r="F5648" t="s">
        <v>204</v>
      </c>
      <c r="G5648" t="s">
        <v>220</v>
      </c>
      <c r="H5648">
        <v>1299</v>
      </c>
      <c r="I5648">
        <v>0</v>
      </c>
      <c r="J5648">
        <v>0</v>
      </c>
      <c r="K5648">
        <v>1299</v>
      </c>
      <c r="L5648" s="5">
        <v>46297</v>
      </c>
      <c r="M5648" t="s">
        <v>11852</v>
      </c>
      <c r="N5648" t="s">
        <v>207</v>
      </c>
      <c r="O5648" t="s">
        <v>12172</v>
      </c>
      <c r="P5648" t="s">
        <v>11454</v>
      </c>
      <c r="Q5648" t="s">
        <v>209</v>
      </c>
    </row>
    <row r="5649" spans="1:17" x14ac:dyDescent="0.3">
      <c r="A5649" t="s">
        <v>12173</v>
      </c>
      <c r="C5649" t="s">
        <v>12174</v>
      </c>
      <c r="D5649" t="s">
        <v>12175</v>
      </c>
      <c r="E5649" s="5">
        <v>46295</v>
      </c>
      <c r="F5649" t="s">
        <v>204</v>
      </c>
      <c r="G5649" t="s">
        <v>220</v>
      </c>
      <c r="H5649">
        <v>2098</v>
      </c>
      <c r="I5649">
        <v>6.29</v>
      </c>
      <c r="J5649">
        <v>1.1299999999999999</v>
      </c>
      <c r="K5649">
        <v>2090.58</v>
      </c>
      <c r="L5649" s="5">
        <v>46297</v>
      </c>
      <c r="M5649" t="s">
        <v>11852</v>
      </c>
      <c r="N5649" t="s">
        <v>207</v>
      </c>
      <c r="O5649" t="s">
        <v>12175</v>
      </c>
      <c r="P5649" t="s">
        <v>11454</v>
      </c>
      <c r="Q5649" t="s">
        <v>209</v>
      </c>
    </row>
    <row r="5650" spans="1:17" x14ac:dyDescent="0.3">
      <c r="A5650" t="s">
        <v>12176</v>
      </c>
      <c r="C5650" t="s">
        <v>12177</v>
      </c>
      <c r="D5650" t="s">
        <v>12177</v>
      </c>
      <c r="E5650" s="5">
        <v>46295</v>
      </c>
      <c r="F5650" t="s">
        <v>204</v>
      </c>
      <c r="G5650" t="s">
        <v>255</v>
      </c>
      <c r="H5650">
        <v>299</v>
      </c>
      <c r="I5650">
        <v>4.49</v>
      </c>
      <c r="J5650">
        <v>0.81</v>
      </c>
      <c r="K5650">
        <v>293.7</v>
      </c>
      <c r="L5650" s="5">
        <v>46297</v>
      </c>
      <c r="M5650" t="s">
        <v>11852</v>
      </c>
      <c r="N5650" t="s">
        <v>207</v>
      </c>
      <c r="O5650" t="s">
        <v>12177</v>
      </c>
      <c r="P5650" t="s">
        <v>11454</v>
      </c>
      <c r="Q5650" t="s">
        <v>209</v>
      </c>
    </row>
    <row r="5651" spans="1:17" x14ac:dyDescent="0.3">
      <c r="A5651" t="s">
        <v>12178</v>
      </c>
      <c r="C5651" t="s">
        <v>12179</v>
      </c>
      <c r="D5651" t="s">
        <v>12179</v>
      </c>
      <c r="E5651" s="5">
        <v>46295</v>
      </c>
      <c r="F5651" t="s">
        <v>204</v>
      </c>
      <c r="G5651" t="s">
        <v>213</v>
      </c>
      <c r="H5651">
        <v>5348</v>
      </c>
      <c r="I5651">
        <v>85.57</v>
      </c>
      <c r="J5651">
        <v>15.4</v>
      </c>
      <c r="K5651">
        <v>5247.03</v>
      </c>
      <c r="L5651" s="5">
        <v>46297</v>
      </c>
      <c r="M5651" t="s">
        <v>11852</v>
      </c>
      <c r="N5651" t="s">
        <v>207</v>
      </c>
      <c r="O5651" t="s">
        <v>12179</v>
      </c>
      <c r="P5651" t="s">
        <v>11454</v>
      </c>
      <c r="Q5651" t="s">
        <v>209</v>
      </c>
    </row>
    <row r="5652" spans="1:17" x14ac:dyDescent="0.3">
      <c r="A5652" t="s">
        <v>12180</v>
      </c>
      <c r="C5652" t="s">
        <v>12181</v>
      </c>
      <c r="D5652" t="s">
        <v>12182</v>
      </c>
      <c r="E5652" s="5">
        <v>46295</v>
      </c>
      <c r="F5652" t="s">
        <v>204</v>
      </c>
      <c r="G5652" t="s">
        <v>205</v>
      </c>
      <c r="H5652">
        <v>1598</v>
      </c>
      <c r="I5652">
        <v>30.36</v>
      </c>
      <c r="J5652">
        <v>5.46</v>
      </c>
      <c r="K5652">
        <v>1562.18</v>
      </c>
      <c r="L5652" s="5">
        <v>46297</v>
      </c>
      <c r="M5652" t="s">
        <v>11852</v>
      </c>
      <c r="N5652" t="s">
        <v>207</v>
      </c>
      <c r="O5652" t="s">
        <v>12182</v>
      </c>
      <c r="P5652" t="s">
        <v>11454</v>
      </c>
      <c r="Q5652" t="s">
        <v>209</v>
      </c>
    </row>
    <row r="5653" spans="1:17" x14ac:dyDescent="0.3">
      <c r="A5653" t="s">
        <v>12183</v>
      </c>
      <c r="C5653" t="s">
        <v>12184</v>
      </c>
      <c r="D5653" t="s">
        <v>12184</v>
      </c>
      <c r="E5653" s="5">
        <v>46295</v>
      </c>
      <c r="F5653" t="s">
        <v>204</v>
      </c>
      <c r="G5653" t="s">
        <v>220</v>
      </c>
      <c r="H5653">
        <v>4999</v>
      </c>
      <c r="I5653">
        <v>15</v>
      </c>
      <c r="J5653">
        <v>2.7</v>
      </c>
      <c r="K5653">
        <v>4981.3</v>
      </c>
      <c r="L5653" s="5">
        <v>46297</v>
      </c>
      <c r="M5653" t="s">
        <v>11852</v>
      </c>
      <c r="N5653" t="s">
        <v>207</v>
      </c>
      <c r="O5653" t="s">
        <v>12184</v>
      </c>
      <c r="P5653" t="s">
        <v>11454</v>
      </c>
      <c r="Q5653" t="s">
        <v>209</v>
      </c>
    </row>
    <row r="5654" spans="1:17" x14ac:dyDescent="0.3">
      <c r="A5654" t="s">
        <v>12185</v>
      </c>
      <c r="C5654" t="s">
        <v>12186</v>
      </c>
      <c r="D5654" t="s">
        <v>12186</v>
      </c>
      <c r="E5654" s="5">
        <v>46295</v>
      </c>
      <c r="F5654" t="s">
        <v>204</v>
      </c>
      <c r="G5654" t="s">
        <v>205</v>
      </c>
      <c r="H5654">
        <v>7999</v>
      </c>
      <c r="I5654">
        <v>135.97999999999999</v>
      </c>
      <c r="J5654">
        <v>24.48</v>
      </c>
      <c r="K5654">
        <v>7838.54</v>
      </c>
      <c r="L5654" s="5">
        <v>46297</v>
      </c>
      <c r="M5654" t="s">
        <v>11852</v>
      </c>
      <c r="N5654" t="s">
        <v>207</v>
      </c>
      <c r="O5654" t="s">
        <v>12186</v>
      </c>
      <c r="P5654" t="s">
        <v>11454</v>
      </c>
      <c r="Q5654" t="s">
        <v>209</v>
      </c>
    </row>
    <row r="5655" spans="1:17" x14ac:dyDescent="0.3">
      <c r="A5655" t="s">
        <v>12187</v>
      </c>
      <c r="C5655" t="s">
        <v>12188</v>
      </c>
      <c r="D5655" t="s">
        <v>12188</v>
      </c>
      <c r="E5655" s="5">
        <v>46295</v>
      </c>
      <c r="F5655" t="s">
        <v>204</v>
      </c>
      <c r="G5655" t="s">
        <v>213</v>
      </c>
      <c r="H5655">
        <v>3499</v>
      </c>
      <c r="I5655">
        <v>55.98</v>
      </c>
      <c r="J5655">
        <v>10.08</v>
      </c>
      <c r="K5655">
        <v>3432.94</v>
      </c>
      <c r="L5655" s="5">
        <v>46297</v>
      </c>
      <c r="M5655" t="s">
        <v>11852</v>
      </c>
      <c r="N5655" t="s">
        <v>207</v>
      </c>
      <c r="O5655" t="s">
        <v>12188</v>
      </c>
      <c r="P5655" t="s">
        <v>11454</v>
      </c>
      <c r="Q5655" t="s">
        <v>209</v>
      </c>
    </row>
    <row r="5656" spans="1:17" x14ac:dyDescent="0.3">
      <c r="A5656" t="s">
        <v>12189</v>
      </c>
      <c r="C5656" t="s">
        <v>12190</v>
      </c>
      <c r="D5656" t="s">
        <v>12190</v>
      </c>
      <c r="E5656" s="5">
        <v>46295</v>
      </c>
      <c r="F5656" t="s">
        <v>204</v>
      </c>
      <c r="G5656" t="s">
        <v>220</v>
      </c>
      <c r="H5656">
        <v>7397</v>
      </c>
      <c r="I5656">
        <v>22.19</v>
      </c>
      <c r="J5656">
        <v>3.99</v>
      </c>
      <c r="K5656">
        <v>7370.82</v>
      </c>
      <c r="L5656" s="5">
        <v>46297</v>
      </c>
      <c r="M5656" t="s">
        <v>11852</v>
      </c>
      <c r="N5656" t="s">
        <v>207</v>
      </c>
      <c r="O5656" t="s">
        <v>12190</v>
      </c>
      <c r="P5656" t="s">
        <v>11454</v>
      </c>
      <c r="Q5656" t="s">
        <v>209</v>
      </c>
    </row>
    <row r="5657" spans="1:17" x14ac:dyDescent="0.3">
      <c r="A5657" t="s">
        <v>12191</v>
      </c>
      <c r="C5657" t="s">
        <v>12192</v>
      </c>
      <c r="D5657" t="s">
        <v>12192</v>
      </c>
      <c r="E5657" s="5">
        <v>46295</v>
      </c>
      <c r="F5657" t="s">
        <v>204</v>
      </c>
      <c r="G5657" t="s">
        <v>220</v>
      </c>
      <c r="H5657">
        <v>8797</v>
      </c>
      <c r="I5657">
        <v>26.39</v>
      </c>
      <c r="J5657">
        <v>4.75</v>
      </c>
      <c r="K5657">
        <v>8765.86</v>
      </c>
      <c r="L5657" s="5">
        <v>46297</v>
      </c>
      <c r="M5657" t="s">
        <v>11852</v>
      </c>
      <c r="N5657" t="s">
        <v>207</v>
      </c>
      <c r="O5657" t="s">
        <v>12192</v>
      </c>
      <c r="P5657" t="s">
        <v>11454</v>
      </c>
      <c r="Q5657" t="s">
        <v>209</v>
      </c>
    </row>
    <row r="5658" spans="1:17" x14ac:dyDescent="0.3">
      <c r="A5658" t="s">
        <v>12193</v>
      </c>
      <c r="C5658" t="s">
        <v>12194</v>
      </c>
      <c r="D5658" t="s">
        <v>12194</v>
      </c>
      <c r="E5658" s="5">
        <v>46295</v>
      </c>
      <c r="F5658" t="s">
        <v>204</v>
      </c>
      <c r="G5658" t="s">
        <v>255</v>
      </c>
      <c r="H5658">
        <v>4797</v>
      </c>
      <c r="I5658">
        <v>57.56</v>
      </c>
      <c r="J5658">
        <v>10.36</v>
      </c>
      <c r="K5658">
        <v>4729.08</v>
      </c>
      <c r="L5658" s="5">
        <v>46297</v>
      </c>
      <c r="M5658" t="s">
        <v>11852</v>
      </c>
      <c r="N5658" t="s">
        <v>207</v>
      </c>
      <c r="O5658" t="s">
        <v>12194</v>
      </c>
      <c r="P5658" t="s">
        <v>11454</v>
      </c>
      <c r="Q5658" t="s">
        <v>209</v>
      </c>
    </row>
    <row r="5659" spans="1:17" x14ac:dyDescent="0.3">
      <c r="A5659" t="s">
        <v>12195</v>
      </c>
      <c r="C5659" t="s">
        <v>12196</v>
      </c>
      <c r="D5659" t="s">
        <v>12196</v>
      </c>
      <c r="E5659" s="5">
        <v>46295</v>
      </c>
      <c r="F5659" t="s">
        <v>204</v>
      </c>
      <c r="G5659" t="s">
        <v>213</v>
      </c>
      <c r="H5659">
        <v>4498</v>
      </c>
      <c r="I5659">
        <v>71.97</v>
      </c>
      <c r="J5659">
        <v>12.95</v>
      </c>
      <c r="K5659">
        <v>4413.08</v>
      </c>
      <c r="L5659" s="5">
        <v>46297</v>
      </c>
      <c r="M5659" t="s">
        <v>11852</v>
      </c>
      <c r="N5659" t="s">
        <v>207</v>
      </c>
      <c r="O5659" t="s">
        <v>12196</v>
      </c>
      <c r="P5659" t="s">
        <v>11454</v>
      </c>
      <c r="Q5659" t="s">
        <v>209</v>
      </c>
    </row>
    <row r="5660" spans="1:17" x14ac:dyDescent="0.3">
      <c r="A5660" t="s">
        <v>12197</v>
      </c>
      <c r="C5660" t="s">
        <v>12198</v>
      </c>
      <c r="D5660" t="s">
        <v>12199</v>
      </c>
      <c r="E5660" s="5">
        <v>46295</v>
      </c>
      <c r="F5660" t="s">
        <v>204</v>
      </c>
      <c r="G5660" t="s">
        <v>220</v>
      </c>
      <c r="H5660">
        <v>5998</v>
      </c>
      <c r="I5660">
        <v>17.989999999999998</v>
      </c>
      <c r="J5660">
        <v>3.24</v>
      </c>
      <c r="K5660">
        <v>5976.77</v>
      </c>
      <c r="L5660" s="5">
        <v>46297</v>
      </c>
      <c r="M5660" t="s">
        <v>11852</v>
      </c>
      <c r="N5660" t="s">
        <v>207</v>
      </c>
      <c r="O5660" t="s">
        <v>12199</v>
      </c>
      <c r="P5660" t="s">
        <v>11454</v>
      </c>
      <c r="Q5660" t="s">
        <v>209</v>
      </c>
    </row>
    <row r="5661" spans="1:17" x14ac:dyDescent="0.3">
      <c r="A5661" t="s">
        <v>12200</v>
      </c>
      <c r="C5661" t="s">
        <v>12201</v>
      </c>
      <c r="D5661" t="s">
        <v>12201</v>
      </c>
      <c r="E5661" s="5">
        <v>46295</v>
      </c>
      <c r="F5661" t="s">
        <v>204</v>
      </c>
      <c r="G5661" t="s">
        <v>220</v>
      </c>
      <c r="H5661">
        <v>5597</v>
      </c>
      <c r="I5661">
        <v>16.79</v>
      </c>
      <c r="J5661">
        <v>3.02</v>
      </c>
      <c r="K5661">
        <v>5577.19</v>
      </c>
      <c r="L5661" s="5">
        <v>46297</v>
      </c>
      <c r="M5661" t="s">
        <v>11852</v>
      </c>
      <c r="N5661" t="s">
        <v>207</v>
      </c>
      <c r="O5661" t="s">
        <v>12201</v>
      </c>
      <c r="P5661" t="s">
        <v>11454</v>
      </c>
      <c r="Q5661" t="s">
        <v>209</v>
      </c>
    </row>
    <row r="5662" spans="1:17" x14ac:dyDescent="0.3">
      <c r="A5662" t="s">
        <v>12202</v>
      </c>
      <c r="C5662" t="s">
        <v>12203</v>
      </c>
      <c r="D5662" t="s">
        <v>12204</v>
      </c>
      <c r="E5662" s="5">
        <v>46295</v>
      </c>
      <c r="F5662" t="s">
        <v>204</v>
      </c>
      <c r="G5662" t="s">
        <v>220</v>
      </c>
      <c r="H5662">
        <v>12297</v>
      </c>
      <c r="I5662">
        <v>36.89</v>
      </c>
      <c r="J5662">
        <v>6.64</v>
      </c>
      <c r="K5662">
        <v>12253.47</v>
      </c>
      <c r="L5662" s="5">
        <v>46297</v>
      </c>
      <c r="M5662" t="s">
        <v>11852</v>
      </c>
      <c r="N5662" t="s">
        <v>207</v>
      </c>
      <c r="O5662" t="s">
        <v>12204</v>
      </c>
      <c r="P5662" t="s">
        <v>11454</v>
      </c>
      <c r="Q5662" t="s">
        <v>209</v>
      </c>
    </row>
    <row r="5663" spans="1:17" x14ac:dyDescent="0.3">
      <c r="A5663" t="s">
        <v>12205</v>
      </c>
      <c r="C5663" t="s">
        <v>12206</v>
      </c>
      <c r="D5663" t="s">
        <v>12206</v>
      </c>
      <c r="E5663" s="5">
        <v>46295</v>
      </c>
      <c r="F5663" t="s">
        <v>204</v>
      </c>
      <c r="G5663" t="s">
        <v>220</v>
      </c>
      <c r="H5663">
        <v>3499</v>
      </c>
      <c r="I5663">
        <v>10.5</v>
      </c>
      <c r="J5663">
        <v>1.89</v>
      </c>
      <c r="K5663">
        <v>3486.61</v>
      </c>
      <c r="L5663" s="5">
        <v>46297</v>
      </c>
      <c r="M5663" t="s">
        <v>11852</v>
      </c>
      <c r="N5663" t="s">
        <v>207</v>
      </c>
      <c r="O5663" t="s">
        <v>12206</v>
      </c>
      <c r="P5663" t="s">
        <v>11454</v>
      </c>
      <c r="Q5663" t="s">
        <v>209</v>
      </c>
    </row>
    <row r="5664" spans="1:17" x14ac:dyDescent="0.3">
      <c r="A5664" t="s">
        <v>12207</v>
      </c>
      <c r="C5664" t="s">
        <v>12208</v>
      </c>
      <c r="D5664" t="s">
        <v>12208</v>
      </c>
      <c r="E5664" s="5">
        <v>46295</v>
      </c>
      <c r="F5664" t="s">
        <v>204</v>
      </c>
      <c r="G5664" t="s">
        <v>220</v>
      </c>
      <c r="H5664">
        <v>1198</v>
      </c>
      <c r="I5664">
        <v>0</v>
      </c>
      <c r="J5664">
        <v>0</v>
      </c>
      <c r="K5664">
        <v>1198</v>
      </c>
      <c r="L5664" s="5">
        <v>46297</v>
      </c>
      <c r="M5664" t="s">
        <v>11852</v>
      </c>
      <c r="N5664" t="s">
        <v>207</v>
      </c>
      <c r="O5664" t="s">
        <v>12208</v>
      </c>
      <c r="P5664" t="s">
        <v>11454</v>
      </c>
      <c r="Q5664" t="s">
        <v>209</v>
      </c>
    </row>
    <row r="5665" spans="1:17" x14ac:dyDescent="0.3">
      <c r="A5665" t="s">
        <v>12209</v>
      </c>
      <c r="C5665" t="s">
        <v>12210</v>
      </c>
      <c r="D5665" t="s">
        <v>12210</v>
      </c>
      <c r="E5665" s="5">
        <v>46295</v>
      </c>
      <c r="F5665" t="s">
        <v>204</v>
      </c>
      <c r="G5665" t="s">
        <v>205</v>
      </c>
      <c r="H5665">
        <v>799</v>
      </c>
      <c r="I5665">
        <v>15.18</v>
      </c>
      <c r="J5665">
        <v>2.73</v>
      </c>
      <c r="K5665">
        <v>781.09</v>
      </c>
      <c r="L5665" s="5">
        <v>46297</v>
      </c>
      <c r="M5665" t="s">
        <v>11852</v>
      </c>
      <c r="N5665" t="s">
        <v>207</v>
      </c>
      <c r="O5665" t="s">
        <v>12210</v>
      </c>
      <c r="P5665" t="s">
        <v>11454</v>
      </c>
      <c r="Q5665" t="s">
        <v>209</v>
      </c>
    </row>
    <row r="5666" spans="1:17" x14ac:dyDescent="0.3">
      <c r="A5666" t="s">
        <v>12211</v>
      </c>
      <c r="C5666" t="s">
        <v>12212</v>
      </c>
      <c r="D5666" t="s">
        <v>12213</v>
      </c>
      <c r="E5666" s="5">
        <v>46295</v>
      </c>
      <c r="F5666" t="s">
        <v>204</v>
      </c>
      <c r="G5666" t="s">
        <v>205</v>
      </c>
      <c r="H5666">
        <v>999</v>
      </c>
      <c r="I5666">
        <v>18.98</v>
      </c>
      <c r="J5666">
        <v>3.42</v>
      </c>
      <c r="K5666">
        <v>976.6</v>
      </c>
      <c r="L5666" s="5">
        <v>46297</v>
      </c>
      <c r="M5666" t="s">
        <v>11852</v>
      </c>
      <c r="N5666" t="s">
        <v>207</v>
      </c>
      <c r="O5666" t="s">
        <v>12213</v>
      </c>
      <c r="P5666" t="s">
        <v>11454</v>
      </c>
      <c r="Q5666" t="s">
        <v>209</v>
      </c>
    </row>
    <row r="5667" spans="1:17" x14ac:dyDescent="0.3">
      <c r="A5667" t="s">
        <v>12214</v>
      </c>
      <c r="C5667" t="s">
        <v>12215</v>
      </c>
      <c r="D5667" t="s">
        <v>12215</v>
      </c>
      <c r="E5667" s="5">
        <v>46295</v>
      </c>
      <c r="F5667" t="s">
        <v>204</v>
      </c>
      <c r="G5667" t="s">
        <v>220</v>
      </c>
      <c r="H5667">
        <v>3298</v>
      </c>
      <c r="I5667">
        <v>9.89</v>
      </c>
      <c r="J5667">
        <v>1.78</v>
      </c>
      <c r="K5667">
        <v>3286.33</v>
      </c>
      <c r="L5667" s="5">
        <v>46297</v>
      </c>
      <c r="M5667" t="s">
        <v>11852</v>
      </c>
      <c r="N5667" t="s">
        <v>207</v>
      </c>
      <c r="O5667" t="s">
        <v>12215</v>
      </c>
      <c r="P5667" t="s">
        <v>11454</v>
      </c>
      <c r="Q5667" t="s">
        <v>209</v>
      </c>
    </row>
    <row r="5668" spans="1:17" x14ac:dyDescent="0.3">
      <c r="A5668" t="s">
        <v>12216</v>
      </c>
      <c r="C5668" t="s">
        <v>12217</v>
      </c>
      <c r="D5668" t="s">
        <v>12217</v>
      </c>
      <c r="E5668" s="5">
        <v>46295</v>
      </c>
      <c r="F5668" t="s">
        <v>204</v>
      </c>
      <c r="G5668" t="s">
        <v>220</v>
      </c>
      <c r="H5668">
        <v>2999</v>
      </c>
      <c r="I5668">
        <v>9</v>
      </c>
      <c r="J5668">
        <v>1.62</v>
      </c>
      <c r="K5668">
        <v>2988.38</v>
      </c>
      <c r="L5668" s="5">
        <v>46297</v>
      </c>
      <c r="M5668" t="s">
        <v>11852</v>
      </c>
      <c r="N5668" t="s">
        <v>207</v>
      </c>
      <c r="O5668" t="s">
        <v>12217</v>
      </c>
      <c r="P5668" t="s">
        <v>11454</v>
      </c>
      <c r="Q5668" t="s">
        <v>209</v>
      </c>
    </row>
    <row r="5669" spans="1:17" x14ac:dyDescent="0.3">
      <c r="A5669" t="s">
        <v>12218</v>
      </c>
      <c r="C5669" t="s">
        <v>12219</v>
      </c>
      <c r="D5669" t="s">
        <v>12220</v>
      </c>
      <c r="E5669" s="5">
        <v>46295</v>
      </c>
      <c r="F5669" t="s">
        <v>204</v>
      </c>
      <c r="G5669" t="s">
        <v>220</v>
      </c>
      <c r="H5669">
        <v>13997</v>
      </c>
      <c r="I5669">
        <v>41.99</v>
      </c>
      <c r="J5669">
        <v>7.56</v>
      </c>
      <c r="K5669">
        <v>13947.45</v>
      </c>
      <c r="L5669" s="5">
        <v>46297</v>
      </c>
      <c r="M5669" t="s">
        <v>11852</v>
      </c>
      <c r="N5669" t="s">
        <v>207</v>
      </c>
      <c r="O5669" t="s">
        <v>12220</v>
      </c>
      <c r="P5669" t="s">
        <v>11454</v>
      </c>
      <c r="Q5669" t="s">
        <v>209</v>
      </c>
    </row>
    <row r="5670" spans="1:17" x14ac:dyDescent="0.3">
      <c r="A5670" t="s">
        <v>12221</v>
      </c>
      <c r="C5670" t="s">
        <v>12222</v>
      </c>
      <c r="D5670" t="s">
        <v>12222</v>
      </c>
      <c r="E5670" s="5">
        <v>46295</v>
      </c>
      <c r="F5670" t="s">
        <v>204</v>
      </c>
      <c r="G5670" t="s">
        <v>220</v>
      </c>
      <c r="H5670">
        <v>3798</v>
      </c>
      <c r="I5670">
        <v>11.39</v>
      </c>
      <c r="J5670">
        <v>2.0499999999999998</v>
      </c>
      <c r="K5670">
        <v>3784.56</v>
      </c>
      <c r="L5670" s="5">
        <v>46297</v>
      </c>
      <c r="M5670" t="s">
        <v>11852</v>
      </c>
      <c r="N5670" t="s">
        <v>207</v>
      </c>
      <c r="O5670" t="s">
        <v>12222</v>
      </c>
      <c r="P5670" t="s">
        <v>11454</v>
      </c>
      <c r="Q5670" t="s">
        <v>209</v>
      </c>
    </row>
    <row r="5671" spans="1:17" x14ac:dyDescent="0.3">
      <c r="A5671" t="s">
        <v>12223</v>
      </c>
      <c r="C5671" t="s">
        <v>12224</v>
      </c>
      <c r="D5671" t="s">
        <v>12224</v>
      </c>
      <c r="E5671" s="5">
        <v>46295</v>
      </c>
      <c r="F5671" t="s">
        <v>204</v>
      </c>
      <c r="G5671" t="s">
        <v>213</v>
      </c>
      <c r="H5671">
        <v>4999</v>
      </c>
      <c r="I5671">
        <v>79.98</v>
      </c>
      <c r="J5671">
        <v>14.4</v>
      </c>
      <c r="K5671">
        <v>4904.62</v>
      </c>
      <c r="L5671" s="5">
        <v>46297</v>
      </c>
      <c r="M5671" t="s">
        <v>11852</v>
      </c>
      <c r="N5671" t="s">
        <v>207</v>
      </c>
      <c r="O5671" t="s">
        <v>12224</v>
      </c>
      <c r="P5671" t="s">
        <v>11454</v>
      </c>
      <c r="Q5671" t="s">
        <v>209</v>
      </c>
    </row>
    <row r="5672" spans="1:17" x14ac:dyDescent="0.3">
      <c r="A5672" t="s">
        <v>12225</v>
      </c>
      <c r="C5672" t="s">
        <v>12226</v>
      </c>
      <c r="D5672" t="s">
        <v>12226</v>
      </c>
      <c r="E5672" s="5">
        <v>46295</v>
      </c>
      <c r="F5672" t="s">
        <v>204</v>
      </c>
      <c r="G5672" t="s">
        <v>213</v>
      </c>
      <c r="H5672">
        <v>1298</v>
      </c>
      <c r="I5672">
        <v>23.36</v>
      </c>
      <c r="J5672">
        <v>4.2</v>
      </c>
      <c r="K5672">
        <v>1270.44</v>
      </c>
      <c r="L5672" s="5">
        <v>46297</v>
      </c>
      <c r="M5672" t="s">
        <v>11852</v>
      </c>
      <c r="N5672" t="s">
        <v>207</v>
      </c>
      <c r="O5672" t="s">
        <v>12226</v>
      </c>
      <c r="P5672" t="s">
        <v>11454</v>
      </c>
      <c r="Q5672" t="s">
        <v>209</v>
      </c>
    </row>
    <row r="5673" spans="1:17" x14ac:dyDescent="0.3">
      <c r="A5673" t="s">
        <v>12227</v>
      </c>
      <c r="C5673" t="s">
        <v>12228</v>
      </c>
      <c r="D5673" t="s">
        <v>12228</v>
      </c>
      <c r="E5673" s="5">
        <v>46295</v>
      </c>
      <c r="F5673" t="s">
        <v>204</v>
      </c>
      <c r="G5673" t="s">
        <v>220</v>
      </c>
      <c r="H5673">
        <v>5097</v>
      </c>
      <c r="I5673">
        <v>15.29</v>
      </c>
      <c r="J5673">
        <v>2.75</v>
      </c>
      <c r="K5673">
        <v>5078.96</v>
      </c>
      <c r="L5673" s="5">
        <v>46297</v>
      </c>
      <c r="M5673" t="s">
        <v>11852</v>
      </c>
      <c r="N5673" t="s">
        <v>207</v>
      </c>
      <c r="O5673" t="s">
        <v>12228</v>
      </c>
      <c r="P5673" t="s">
        <v>11454</v>
      </c>
      <c r="Q5673" t="s">
        <v>209</v>
      </c>
    </row>
    <row r="5674" spans="1:17" x14ac:dyDescent="0.3">
      <c r="A5674" t="s">
        <v>12229</v>
      </c>
      <c r="C5674" t="s">
        <v>12230</v>
      </c>
      <c r="D5674" t="s">
        <v>12230</v>
      </c>
      <c r="E5674" s="5">
        <v>46295</v>
      </c>
      <c r="F5674" t="s">
        <v>204</v>
      </c>
      <c r="G5674" t="s">
        <v>220</v>
      </c>
      <c r="H5674">
        <v>799</v>
      </c>
      <c r="I5674">
        <v>0</v>
      </c>
      <c r="J5674">
        <v>0</v>
      </c>
      <c r="K5674">
        <v>799</v>
      </c>
      <c r="L5674" s="5">
        <v>46297</v>
      </c>
      <c r="M5674" t="s">
        <v>11852</v>
      </c>
      <c r="N5674" t="s">
        <v>207</v>
      </c>
      <c r="O5674" t="s">
        <v>12230</v>
      </c>
      <c r="P5674" t="s">
        <v>11454</v>
      </c>
      <c r="Q5674" t="s">
        <v>209</v>
      </c>
    </row>
    <row r="5675" spans="1:17" x14ac:dyDescent="0.3">
      <c r="A5675" t="s">
        <v>12231</v>
      </c>
      <c r="C5675" t="s">
        <v>12232</v>
      </c>
      <c r="D5675" t="s">
        <v>12232</v>
      </c>
      <c r="E5675" s="5">
        <v>46295</v>
      </c>
      <c r="F5675" t="s">
        <v>204</v>
      </c>
      <c r="G5675" t="s">
        <v>205</v>
      </c>
      <c r="H5675">
        <v>3098</v>
      </c>
      <c r="I5675">
        <v>52.67</v>
      </c>
      <c r="J5675">
        <v>9.48</v>
      </c>
      <c r="K5675">
        <v>3035.85</v>
      </c>
      <c r="L5675" s="5">
        <v>46297</v>
      </c>
      <c r="M5675" t="s">
        <v>11852</v>
      </c>
      <c r="N5675" t="s">
        <v>207</v>
      </c>
      <c r="O5675" t="s">
        <v>12232</v>
      </c>
      <c r="P5675" t="s">
        <v>11454</v>
      </c>
      <c r="Q5675" t="s">
        <v>209</v>
      </c>
    </row>
    <row r="5676" spans="1:17" x14ac:dyDescent="0.3">
      <c r="A5676" t="s">
        <v>12233</v>
      </c>
      <c r="C5676" t="s">
        <v>12234</v>
      </c>
      <c r="D5676" t="s">
        <v>12235</v>
      </c>
      <c r="E5676" s="5">
        <v>46295</v>
      </c>
      <c r="F5676" t="s">
        <v>204</v>
      </c>
      <c r="G5676" t="s">
        <v>220</v>
      </c>
      <c r="H5676">
        <v>4999</v>
      </c>
      <c r="I5676">
        <v>15</v>
      </c>
      <c r="J5676">
        <v>2.7</v>
      </c>
      <c r="K5676">
        <v>4981.3</v>
      </c>
      <c r="L5676" s="5">
        <v>46297</v>
      </c>
      <c r="M5676" t="s">
        <v>11852</v>
      </c>
      <c r="N5676" t="s">
        <v>207</v>
      </c>
      <c r="O5676" t="s">
        <v>12235</v>
      </c>
      <c r="P5676" t="s">
        <v>11454</v>
      </c>
      <c r="Q5676" t="s">
        <v>209</v>
      </c>
    </row>
    <row r="5677" spans="1:17" x14ac:dyDescent="0.3">
      <c r="A5677" t="s">
        <v>12236</v>
      </c>
      <c r="C5677" t="s">
        <v>12237</v>
      </c>
      <c r="D5677" t="s">
        <v>12237</v>
      </c>
      <c r="E5677" s="5">
        <v>46295</v>
      </c>
      <c r="F5677" t="s">
        <v>204</v>
      </c>
      <c r="G5677" t="s">
        <v>205</v>
      </c>
      <c r="H5677">
        <v>2397</v>
      </c>
      <c r="I5677">
        <v>40.75</v>
      </c>
      <c r="J5677">
        <v>7.34</v>
      </c>
      <c r="K5677">
        <v>2348.91</v>
      </c>
      <c r="L5677" s="5">
        <v>46297</v>
      </c>
      <c r="M5677" t="s">
        <v>11852</v>
      </c>
      <c r="N5677" t="s">
        <v>207</v>
      </c>
      <c r="O5677" t="s">
        <v>12237</v>
      </c>
      <c r="P5677" t="s">
        <v>11454</v>
      </c>
      <c r="Q5677" t="s">
        <v>209</v>
      </c>
    </row>
    <row r="5678" spans="1:17" x14ac:dyDescent="0.3">
      <c r="A5678" t="s">
        <v>12238</v>
      </c>
      <c r="C5678" t="s">
        <v>12239</v>
      </c>
      <c r="D5678" t="s">
        <v>12239</v>
      </c>
      <c r="E5678" s="5">
        <v>46295</v>
      </c>
      <c r="F5678" t="s">
        <v>204</v>
      </c>
      <c r="G5678" t="s">
        <v>213</v>
      </c>
      <c r="H5678">
        <v>1299</v>
      </c>
      <c r="I5678">
        <v>23.38</v>
      </c>
      <c r="J5678">
        <v>4.21</v>
      </c>
      <c r="K5678">
        <v>1271.4100000000001</v>
      </c>
      <c r="L5678" s="5">
        <v>46297</v>
      </c>
      <c r="M5678" t="s">
        <v>11852</v>
      </c>
      <c r="N5678" t="s">
        <v>207</v>
      </c>
      <c r="O5678" t="s">
        <v>12239</v>
      </c>
      <c r="P5678" t="s">
        <v>11454</v>
      </c>
      <c r="Q5678" t="s">
        <v>209</v>
      </c>
    </row>
    <row r="5679" spans="1:17" x14ac:dyDescent="0.3">
      <c r="A5679" t="s">
        <v>12240</v>
      </c>
      <c r="C5679" t="s">
        <v>12241</v>
      </c>
      <c r="D5679" t="s">
        <v>12241</v>
      </c>
      <c r="E5679" s="5">
        <v>46295</v>
      </c>
      <c r="F5679" t="s">
        <v>204</v>
      </c>
      <c r="G5679" t="s">
        <v>255</v>
      </c>
      <c r="H5679">
        <v>999</v>
      </c>
      <c r="I5679">
        <v>14.99</v>
      </c>
      <c r="J5679">
        <v>2.7</v>
      </c>
      <c r="K5679">
        <v>981.31</v>
      </c>
      <c r="L5679" s="5">
        <v>46297</v>
      </c>
      <c r="M5679" t="s">
        <v>11852</v>
      </c>
      <c r="N5679" t="s">
        <v>207</v>
      </c>
      <c r="O5679" t="s">
        <v>12241</v>
      </c>
      <c r="P5679" t="s">
        <v>11454</v>
      </c>
      <c r="Q5679" t="s">
        <v>209</v>
      </c>
    </row>
    <row r="5680" spans="1:17" x14ac:dyDescent="0.3">
      <c r="A5680" t="s">
        <v>12242</v>
      </c>
      <c r="C5680" t="s">
        <v>12243</v>
      </c>
      <c r="D5680" t="s">
        <v>12244</v>
      </c>
      <c r="E5680" s="5">
        <v>46295</v>
      </c>
      <c r="F5680" t="s">
        <v>204</v>
      </c>
      <c r="G5680" t="s">
        <v>220</v>
      </c>
      <c r="H5680">
        <v>599</v>
      </c>
      <c r="I5680">
        <v>0</v>
      </c>
      <c r="J5680">
        <v>0</v>
      </c>
      <c r="K5680">
        <v>599</v>
      </c>
      <c r="L5680" s="5">
        <v>46297</v>
      </c>
      <c r="M5680" t="s">
        <v>11852</v>
      </c>
      <c r="N5680" t="s">
        <v>207</v>
      </c>
      <c r="O5680" t="s">
        <v>12244</v>
      </c>
      <c r="P5680" t="s">
        <v>11454</v>
      </c>
      <c r="Q5680" t="s">
        <v>209</v>
      </c>
    </row>
    <row r="5681" spans="1:17" x14ac:dyDescent="0.3">
      <c r="A5681" t="s">
        <v>12245</v>
      </c>
      <c r="C5681" t="s">
        <v>12246</v>
      </c>
      <c r="D5681" t="s">
        <v>12246</v>
      </c>
      <c r="E5681" s="5">
        <v>46295</v>
      </c>
      <c r="F5681" t="s">
        <v>204</v>
      </c>
      <c r="G5681" t="s">
        <v>220</v>
      </c>
      <c r="H5681">
        <v>299</v>
      </c>
      <c r="I5681">
        <v>0</v>
      </c>
      <c r="J5681">
        <v>0</v>
      </c>
      <c r="K5681">
        <v>299</v>
      </c>
      <c r="L5681" s="5">
        <v>46297</v>
      </c>
      <c r="M5681" t="s">
        <v>11852</v>
      </c>
      <c r="N5681" t="s">
        <v>207</v>
      </c>
      <c r="O5681" t="s">
        <v>12246</v>
      </c>
      <c r="P5681" t="s">
        <v>11454</v>
      </c>
      <c r="Q5681" t="s">
        <v>209</v>
      </c>
    </row>
    <row r="5682" spans="1:17" x14ac:dyDescent="0.3">
      <c r="A5682" t="s">
        <v>12247</v>
      </c>
      <c r="C5682" t="s">
        <v>12248</v>
      </c>
      <c r="D5682" t="s">
        <v>12248</v>
      </c>
      <c r="E5682" s="5">
        <v>46295</v>
      </c>
      <c r="F5682" t="s">
        <v>204</v>
      </c>
      <c r="G5682" t="s">
        <v>220</v>
      </c>
      <c r="H5682">
        <v>499</v>
      </c>
      <c r="I5682">
        <v>0</v>
      </c>
      <c r="J5682">
        <v>0</v>
      </c>
      <c r="K5682">
        <v>499</v>
      </c>
      <c r="L5682" s="5">
        <v>46297</v>
      </c>
      <c r="M5682" t="s">
        <v>11852</v>
      </c>
      <c r="N5682" t="s">
        <v>207</v>
      </c>
      <c r="O5682" t="s">
        <v>12248</v>
      </c>
      <c r="P5682" t="s">
        <v>11454</v>
      </c>
      <c r="Q5682" t="s">
        <v>209</v>
      </c>
    </row>
    <row r="5683" spans="1:17" x14ac:dyDescent="0.3">
      <c r="A5683" t="s">
        <v>12249</v>
      </c>
      <c r="C5683" t="s">
        <v>12250</v>
      </c>
      <c r="D5683" t="s">
        <v>12251</v>
      </c>
      <c r="E5683" s="5">
        <v>46295</v>
      </c>
      <c r="F5683" t="s">
        <v>204</v>
      </c>
      <c r="G5683" t="s">
        <v>255</v>
      </c>
      <c r="H5683">
        <v>999</v>
      </c>
      <c r="I5683">
        <v>14.99</v>
      </c>
      <c r="J5683">
        <v>2.7</v>
      </c>
      <c r="K5683">
        <v>981.31</v>
      </c>
      <c r="L5683" s="5">
        <v>46297</v>
      </c>
      <c r="M5683" t="s">
        <v>11852</v>
      </c>
      <c r="N5683" t="s">
        <v>207</v>
      </c>
      <c r="O5683" t="s">
        <v>12251</v>
      </c>
      <c r="P5683" t="s">
        <v>11454</v>
      </c>
      <c r="Q5683" t="s">
        <v>209</v>
      </c>
    </row>
    <row r="5684" spans="1:17" x14ac:dyDescent="0.3">
      <c r="A5684" t="s">
        <v>12252</v>
      </c>
      <c r="C5684" t="s">
        <v>12253</v>
      </c>
      <c r="D5684" t="s">
        <v>12253</v>
      </c>
      <c r="E5684" s="5">
        <v>46295</v>
      </c>
      <c r="F5684" t="s">
        <v>204</v>
      </c>
      <c r="G5684" t="s">
        <v>213</v>
      </c>
      <c r="H5684">
        <v>3498</v>
      </c>
      <c r="I5684">
        <v>55.97</v>
      </c>
      <c r="J5684">
        <v>10.07</v>
      </c>
      <c r="K5684">
        <v>3431.96</v>
      </c>
      <c r="L5684" s="5">
        <v>46297</v>
      </c>
      <c r="M5684" t="s">
        <v>11852</v>
      </c>
      <c r="N5684" t="s">
        <v>207</v>
      </c>
      <c r="O5684" t="s">
        <v>12253</v>
      </c>
      <c r="P5684" t="s">
        <v>11454</v>
      </c>
      <c r="Q5684" t="s">
        <v>209</v>
      </c>
    </row>
    <row r="5685" spans="1:17" x14ac:dyDescent="0.3">
      <c r="A5685" t="s">
        <v>12254</v>
      </c>
      <c r="C5685" t="s">
        <v>12255</v>
      </c>
      <c r="D5685" t="s">
        <v>12255</v>
      </c>
      <c r="E5685" s="5">
        <v>46295</v>
      </c>
      <c r="F5685" t="s">
        <v>204</v>
      </c>
      <c r="G5685" t="s">
        <v>220</v>
      </c>
      <c r="H5685">
        <v>648</v>
      </c>
      <c r="I5685">
        <v>0</v>
      </c>
      <c r="J5685">
        <v>0</v>
      </c>
      <c r="K5685">
        <v>648</v>
      </c>
      <c r="L5685" s="5">
        <v>46297</v>
      </c>
      <c r="M5685" t="s">
        <v>11852</v>
      </c>
      <c r="N5685" t="s">
        <v>207</v>
      </c>
      <c r="O5685" t="s">
        <v>12255</v>
      </c>
      <c r="P5685" t="s">
        <v>11454</v>
      </c>
      <c r="Q5685" t="s">
        <v>209</v>
      </c>
    </row>
    <row r="5686" spans="1:17" x14ac:dyDescent="0.3">
      <c r="A5686" t="s">
        <v>12256</v>
      </c>
      <c r="C5686" t="s">
        <v>12257</v>
      </c>
      <c r="D5686" t="s">
        <v>12257</v>
      </c>
      <c r="E5686" s="5">
        <v>46295</v>
      </c>
      <c r="F5686" t="s">
        <v>204</v>
      </c>
      <c r="G5686" t="s">
        <v>220</v>
      </c>
      <c r="H5686">
        <v>4498</v>
      </c>
      <c r="I5686">
        <v>13.49</v>
      </c>
      <c r="J5686">
        <v>2.4300000000000002</v>
      </c>
      <c r="K5686">
        <v>4482.08</v>
      </c>
      <c r="L5686" s="5">
        <v>46297</v>
      </c>
      <c r="M5686" t="s">
        <v>11852</v>
      </c>
      <c r="N5686" t="s">
        <v>207</v>
      </c>
      <c r="O5686" t="s">
        <v>12257</v>
      </c>
      <c r="P5686" t="s">
        <v>11454</v>
      </c>
      <c r="Q5686" t="s">
        <v>209</v>
      </c>
    </row>
    <row r="5687" spans="1:17" x14ac:dyDescent="0.3">
      <c r="A5687" t="s">
        <v>12258</v>
      </c>
      <c r="C5687" t="s">
        <v>12259</v>
      </c>
      <c r="D5687" t="s">
        <v>12259</v>
      </c>
      <c r="E5687" s="5">
        <v>46295</v>
      </c>
      <c r="F5687" t="s">
        <v>204</v>
      </c>
      <c r="G5687" t="s">
        <v>255</v>
      </c>
      <c r="H5687">
        <v>6797</v>
      </c>
      <c r="I5687">
        <v>81.56</v>
      </c>
      <c r="J5687">
        <v>14.68</v>
      </c>
      <c r="K5687">
        <v>6700.76</v>
      </c>
      <c r="L5687" s="5">
        <v>46297</v>
      </c>
      <c r="M5687" t="s">
        <v>11852</v>
      </c>
      <c r="N5687" t="s">
        <v>207</v>
      </c>
      <c r="O5687" t="s">
        <v>12259</v>
      </c>
      <c r="P5687" t="s">
        <v>11454</v>
      </c>
      <c r="Q5687" t="s">
        <v>209</v>
      </c>
    </row>
    <row r="5688" spans="1:17" x14ac:dyDescent="0.3">
      <c r="A5688" t="s">
        <v>12260</v>
      </c>
      <c r="C5688" t="s">
        <v>12261</v>
      </c>
      <c r="D5688" t="s">
        <v>12261</v>
      </c>
      <c r="E5688" s="5">
        <v>46295</v>
      </c>
      <c r="F5688" t="s">
        <v>204</v>
      </c>
      <c r="G5688" t="s">
        <v>205</v>
      </c>
      <c r="H5688">
        <v>2897</v>
      </c>
      <c r="I5688">
        <v>49.25</v>
      </c>
      <c r="J5688">
        <v>8.8699999999999992</v>
      </c>
      <c r="K5688">
        <v>2838.88</v>
      </c>
      <c r="L5688" s="5">
        <v>46297</v>
      </c>
      <c r="M5688" t="s">
        <v>11852</v>
      </c>
      <c r="N5688" t="s">
        <v>207</v>
      </c>
      <c r="O5688" t="s">
        <v>12261</v>
      </c>
      <c r="P5688" t="s">
        <v>11454</v>
      </c>
      <c r="Q5688" t="s">
        <v>209</v>
      </c>
    </row>
    <row r="5689" spans="1:17" x14ac:dyDescent="0.3">
      <c r="A5689" t="s">
        <v>12262</v>
      </c>
      <c r="C5689" t="s">
        <v>12263</v>
      </c>
      <c r="D5689" t="s">
        <v>12263</v>
      </c>
      <c r="E5689" s="5">
        <v>46295</v>
      </c>
      <c r="F5689" t="s">
        <v>204</v>
      </c>
      <c r="G5689" t="s">
        <v>220</v>
      </c>
      <c r="H5689">
        <v>2499</v>
      </c>
      <c r="I5689">
        <v>7.5</v>
      </c>
      <c r="J5689">
        <v>1.35</v>
      </c>
      <c r="K5689">
        <v>2490.15</v>
      </c>
      <c r="L5689" s="5">
        <v>46297</v>
      </c>
      <c r="M5689" t="s">
        <v>11852</v>
      </c>
      <c r="N5689" t="s">
        <v>207</v>
      </c>
      <c r="O5689" t="s">
        <v>12263</v>
      </c>
      <c r="P5689" t="s">
        <v>11454</v>
      </c>
      <c r="Q5689" t="s">
        <v>209</v>
      </c>
    </row>
    <row r="5690" spans="1:17" x14ac:dyDescent="0.3">
      <c r="A5690" t="s">
        <v>12264</v>
      </c>
      <c r="C5690" t="s">
        <v>12265</v>
      </c>
      <c r="D5690" t="s">
        <v>12265</v>
      </c>
      <c r="E5690" s="5">
        <v>46295</v>
      </c>
      <c r="F5690" t="s">
        <v>204</v>
      </c>
      <c r="G5690" t="s">
        <v>205</v>
      </c>
      <c r="H5690">
        <v>2398</v>
      </c>
      <c r="I5690">
        <v>57.55</v>
      </c>
      <c r="J5690">
        <v>10.36</v>
      </c>
      <c r="K5690">
        <v>2330.09</v>
      </c>
      <c r="L5690" s="5">
        <v>46297</v>
      </c>
      <c r="M5690" t="s">
        <v>11852</v>
      </c>
      <c r="N5690" t="s">
        <v>207</v>
      </c>
      <c r="O5690" t="s">
        <v>12265</v>
      </c>
      <c r="P5690" t="s">
        <v>11454</v>
      </c>
      <c r="Q5690" t="s">
        <v>209</v>
      </c>
    </row>
    <row r="5691" spans="1:17" x14ac:dyDescent="0.3">
      <c r="A5691" t="s">
        <v>12266</v>
      </c>
      <c r="C5691" t="s">
        <v>12267</v>
      </c>
      <c r="D5691" t="s">
        <v>12267</v>
      </c>
      <c r="E5691" s="5">
        <v>46295</v>
      </c>
      <c r="F5691" t="s">
        <v>204</v>
      </c>
      <c r="G5691" t="s">
        <v>220</v>
      </c>
      <c r="H5691">
        <v>999</v>
      </c>
      <c r="I5691">
        <v>0</v>
      </c>
      <c r="J5691">
        <v>0</v>
      </c>
      <c r="K5691">
        <v>999</v>
      </c>
      <c r="L5691" s="5">
        <v>46297</v>
      </c>
      <c r="M5691" t="s">
        <v>11852</v>
      </c>
      <c r="N5691" t="s">
        <v>207</v>
      </c>
      <c r="O5691" t="s">
        <v>12267</v>
      </c>
      <c r="P5691" t="s">
        <v>11454</v>
      </c>
      <c r="Q5691" t="s">
        <v>209</v>
      </c>
    </row>
    <row r="5692" spans="1:17" x14ac:dyDescent="0.3">
      <c r="A5692" t="s">
        <v>12268</v>
      </c>
      <c r="C5692" t="s">
        <v>12269</v>
      </c>
      <c r="D5692" t="s">
        <v>12269</v>
      </c>
      <c r="E5692" s="5">
        <v>46295</v>
      </c>
      <c r="F5692" t="s">
        <v>204</v>
      </c>
      <c r="G5692" t="s">
        <v>205</v>
      </c>
      <c r="H5692">
        <v>1799</v>
      </c>
      <c r="I5692">
        <v>34.18</v>
      </c>
      <c r="J5692">
        <v>6.15</v>
      </c>
      <c r="K5692">
        <v>1758.67</v>
      </c>
      <c r="L5692" s="5">
        <v>46297</v>
      </c>
      <c r="M5692" t="s">
        <v>11852</v>
      </c>
      <c r="N5692" t="s">
        <v>207</v>
      </c>
      <c r="O5692" t="s">
        <v>12269</v>
      </c>
      <c r="P5692" t="s">
        <v>11454</v>
      </c>
      <c r="Q5692" t="s">
        <v>209</v>
      </c>
    </row>
    <row r="5693" spans="1:17" x14ac:dyDescent="0.3">
      <c r="A5693" t="s">
        <v>12270</v>
      </c>
      <c r="C5693" t="s">
        <v>12271</v>
      </c>
      <c r="D5693" t="s">
        <v>12271</v>
      </c>
      <c r="E5693" s="5">
        <v>46295</v>
      </c>
      <c r="F5693" t="s">
        <v>204</v>
      </c>
      <c r="G5693" t="s">
        <v>220</v>
      </c>
      <c r="H5693">
        <v>599</v>
      </c>
      <c r="I5693">
        <v>0</v>
      </c>
      <c r="J5693">
        <v>0</v>
      </c>
      <c r="K5693">
        <v>599</v>
      </c>
      <c r="L5693" s="5">
        <v>46297</v>
      </c>
      <c r="M5693" t="s">
        <v>11852</v>
      </c>
      <c r="N5693" t="s">
        <v>207</v>
      </c>
      <c r="O5693" t="s">
        <v>12271</v>
      </c>
      <c r="P5693" t="s">
        <v>11454</v>
      </c>
      <c r="Q5693" t="s">
        <v>209</v>
      </c>
    </row>
    <row r="5694" spans="1:17" x14ac:dyDescent="0.3">
      <c r="A5694" t="s">
        <v>12272</v>
      </c>
      <c r="C5694" t="s">
        <v>12273</v>
      </c>
      <c r="D5694" t="s">
        <v>12273</v>
      </c>
      <c r="E5694" s="5">
        <v>46295</v>
      </c>
      <c r="F5694" t="s">
        <v>204</v>
      </c>
      <c r="G5694" t="s">
        <v>213</v>
      </c>
      <c r="H5694">
        <v>3499</v>
      </c>
      <c r="I5694">
        <v>55.98</v>
      </c>
      <c r="J5694">
        <v>10.08</v>
      </c>
      <c r="K5694">
        <v>3432.94</v>
      </c>
      <c r="L5694" s="5">
        <v>46297</v>
      </c>
      <c r="M5694" t="s">
        <v>11852</v>
      </c>
      <c r="N5694" t="s">
        <v>207</v>
      </c>
      <c r="O5694" t="s">
        <v>12273</v>
      </c>
      <c r="P5694" t="s">
        <v>11454</v>
      </c>
      <c r="Q5694" t="s">
        <v>209</v>
      </c>
    </row>
    <row r="5695" spans="1:17" x14ac:dyDescent="0.3">
      <c r="A5695" t="s">
        <v>12274</v>
      </c>
      <c r="C5695" t="s">
        <v>12275</v>
      </c>
      <c r="D5695" t="s">
        <v>12275</v>
      </c>
      <c r="E5695" s="5">
        <v>46295</v>
      </c>
      <c r="F5695" t="s">
        <v>204</v>
      </c>
      <c r="G5695" t="s">
        <v>213</v>
      </c>
      <c r="H5695">
        <v>3499</v>
      </c>
      <c r="I5695">
        <v>55.98</v>
      </c>
      <c r="J5695">
        <v>10.08</v>
      </c>
      <c r="K5695">
        <v>3432.94</v>
      </c>
      <c r="L5695" s="5">
        <v>46297</v>
      </c>
      <c r="M5695" t="s">
        <v>11852</v>
      </c>
      <c r="N5695" t="s">
        <v>207</v>
      </c>
      <c r="O5695" t="s">
        <v>12275</v>
      </c>
      <c r="P5695" t="s">
        <v>11454</v>
      </c>
      <c r="Q5695" t="s">
        <v>209</v>
      </c>
    </row>
    <row r="5696" spans="1:17" x14ac:dyDescent="0.3">
      <c r="A5696" t="s">
        <v>12276</v>
      </c>
      <c r="C5696" t="s">
        <v>12277</v>
      </c>
      <c r="D5696" t="s">
        <v>12277</v>
      </c>
      <c r="E5696" s="5">
        <v>46295</v>
      </c>
      <c r="F5696" t="s">
        <v>204</v>
      </c>
      <c r="G5696" t="s">
        <v>220</v>
      </c>
      <c r="H5696">
        <v>599</v>
      </c>
      <c r="I5696">
        <v>0</v>
      </c>
      <c r="J5696">
        <v>0</v>
      </c>
      <c r="K5696">
        <v>599</v>
      </c>
      <c r="L5696" s="5">
        <v>46297</v>
      </c>
      <c r="M5696" t="s">
        <v>11852</v>
      </c>
      <c r="N5696" t="s">
        <v>207</v>
      </c>
      <c r="O5696" t="s">
        <v>12277</v>
      </c>
      <c r="P5696" t="s">
        <v>11454</v>
      </c>
      <c r="Q5696" t="s">
        <v>209</v>
      </c>
    </row>
    <row r="5697" spans="1:17" x14ac:dyDescent="0.3">
      <c r="A5697" t="s">
        <v>12278</v>
      </c>
      <c r="C5697" t="s">
        <v>12279</v>
      </c>
      <c r="D5697" t="s">
        <v>12279</v>
      </c>
      <c r="E5697" s="5">
        <v>46295</v>
      </c>
      <c r="F5697" t="s">
        <v>204</v>
      </c>
      <c r="G5697" t="s">
        <v>213</v>
      </c>
      <c r="H5697">
        <v>3098</v>
      </c>
      <c r="I5697">
        <v>49.57</v>
      </c>
      <c r="J5697">
        <v>8.92</v>
      </c>
      <c r="K5697">
        <v>3039.51</v>
      </c>
      <c r="L5697" s="5">
        <v>46297</v>
      </c>
      <c r="M5697" t="s">
        <v>11852</v>
      </c>
      <c r="N5697" t="s">
        <v>207</v>
      </c>
      <c r="O5697" t="s">
        <v>12279</v>
      </c>
      <c r="P5697" t="s">
        <v>11454</v>
      </c>
      <c r="Q5697" t="s">
        <v>209</v>
      </c>
    </row>
    <row r="5698" spans="1:17" x14ac:dyDescent="0.3">
      <c r="A5698" t="s">
        <v>12280</v>
      </c>
      <c r="C5698" t="s">
        <v>12281</v>
      </c>
      <c r="D5698" t="s">
        <v>12281</v>
      </c>
      <c r="E5698" s="5">
        <v>46295</v>
      </c>
      <c r="F5698" t="s">
        <v>204</v>
      </c>
      <c r="G5698" t="s">
        <v>220</v>
      </c>
      <c r="H5698">
        <v>7097</v>
      </c>
      <c r="I5698">
        <v>21.29</v>
      </c>
      <c r="J5698">
        <v>3.83</v>
      </c>
      <c r="K5698">
        <v>7071.88</v>
      </c>
      <c r="L5698" s="5">
        <v>46297</v>
      </c>
      <c r="M5698" t="s">
        <v>11852</v>
      </c>
      <c r="N5698" t="s">
        <v>207</v>
      </c>
      <c r="O5698" t="s">
        <v>12281</v>
      </c>
      <c r="P5698" t="s">
        <v>11454</v>
      </c>
      <c r="Q5698" t="s">
        <v>209</v>
      </c>
    </row>
    <row r="5699" spans="1:17" x14ac:dyDescent="0.3">
      <c r="A5699" t="s">
        <v>12282</v>
      </c>
      <c r="C5699" t="s">
        <v>12283</v>
      </c>
      <c r="D5699" t="s">
        <v>12283</v>
      </c>
      <c r="E5699" s="5">
        <v>46295</v>
      </c>
      <c r="F5699" t="s">
        <v>204</v>
      </c>
      <c r="G5699" t="s">
        <v>213</v>
      </c>
      <c r="H5699">
        <v>7999</v>
      </c>
      <c r="I5699">
        <v>127.98</v>
      </c>
      <c r="J5699">
        <v>23.04</v>
      </c>
      <c r="K5699">
        <v>7847.98</v>
      </c>
      <c r="L5699" s="5">
        <v>46297</v>
      </c>
      <c r="M5699" t="s">
        <v>11852</v>
      </c>
      <c r="N5699" t="s">
        <v>207</v>
      </c>
      <c r="O5699" t="s">
        <v>12283</v>
      </c>
      <c r="P5699" t="s">
        <v>11454</v>
      </c>
      <c r="Q5699" t="s">
        <v>209</v>
      </c>
    </row>
    <row r="5700" spans="1:17" x14ac:dyDescent="0.3">
      <c r="A5700" t="s">
        <v>12284</v>
      </c>
      <c r="C5700" t="s">
        <v>12285</v>
      </c>
      <c r="D5700" t="s">
        <v>12285</v>
      </c>
      <c r="E5700" s="5">
        <v>46295</v>
      </c>
      <c r="F5700" t="s">
        <v>204</v>
      </c>
      <c r="G5700" t="s">
        <v>220</v>
      </c>
      <c r="H5700">
        <v>1499</v>
      </c>
      <c r="I5700">
        <v>0</v>
      </c>
      <c r="J5700">
        <v>0</v>
      </c>
      <c r="K5700">
        <v>1499</v>
      </c>
      <c r="L5700" s="5">
        <v>46297</v>
      </c>
      <c r="M5700" t="s">
        <v>11852</v>
      </c>
      <c r="N5700" t="s">
        <v>207</v>
      </c>
      <c r="O5700" t="s">
        <v>12285</v>
      </c>
      <c r="P5700" t="s">
        <v>11454</v>
      </c>
      <c r="Q5700" t="s">
        <v>209</v>
      </c>
    </row>
    <row r="5701" spans="1:17" x14ac:dyDescent="0.3">
      <c r="A5701" t="s">
        <v>12286</v>
      </c>
      <c r="C5701" t="s">
        <v>12287</v>
      </c>
      <c r="D5701" t="s">
        <v>12287</v>
      </c>
      <c r="E5701" s="5">
        <v>46295</v>
      </c>
      <c r="F5701" t="s">
        <v>204</v>
      </c>
      <c r="G5701" t="s">
        <v>220</v>
      </c>
      <c r="H5701">
        <v>2999</v>
      </c>
      <c r="I5701">
        <v>9</v>
      </c>
      <c r="J5701">
        <v>1.62</v>
      </c>
      <c r="K5701">
        <v>2988.38</v>
      </c>
      <c r="L5701" s="5">
        <v>46297</v>
      </c>
      <c r="M5701" t="s">
        <v>11852</v>
      </c>
      <c r="N5701" t="s">
        <v>207</v>
      </c>
      <c r="O5701" t="s">
        <v>12287</v>
      </c>
      <c r="P5701" t="s">
        <v>11454</v>
      </c>
      <c r="Q5701" t="s">
        <v>209</v>
      </c>
    </row>
    <row r="5702" spans="1:17" x14ac:dyDescent="0.3">
      <c r="A5702" t="s">
        <v>12288</v>
      </c>
      <c r="C5702" t="s">
        <v>12289</v>
      </c>
      <c r="D5702" t="s">
        <v>12289</v>
      </c>
      <c r="E5702" s="5">
        <v>46295</v>
      </c>
      <c r="F5702" t="s">
        <v>204</v>
      </c>
      <c r="G5702" t="s">
        <v>220</v>
      </c>
      <c r="H5702">
        <v>499</v>
      </c>
      <c r="I5702">
        <v>0</v>
      </c>
      <c r="J5702">
        <v>0</v>
      </c>
      <c r="K5702">
        <v>499</v>
      </c>
      <c r="L5702" s="5">
        <v>46297</v>
      </c>
      <c r="M5702" t="s">
        <v>11852</v>
      </c>
      <c r="N5702" t="s">
        <v>207</v>
      </c>
      <c r="O5702" t="s">
        <v>12289</v>
      </c>
      <c r="P5702" t="s">
        <v>11454</v>
      </c>
      <c r="Q5702" t="s">
        <v>209</v>
      </c>
    </row>
    <row r="5703" spans="1:17" x14ac:dyDescent="0.3">
      <c r="A5703" t="s">
        <v>12290</v>
      </c>
      <c r="C5703" t="s">
        <v>12291</v>
      </c>
      <c r="D5703" t="s">
        <v>12291</v>
      </c>
      <c r="E5703" s="5">
        <v>46295</v>
      </c>
      <c r="F5703" t="s">
        <v>204</v>
      </c>
      <c r="G5703" t="s">
        <v>213</v>
      </c>
      <c r="H5703">
        <v>299</v>
      </c>
      <c r="I5703">
        <v>5.38</v>
      </c>
      <c r="J5703">
        <v>0.97</v>
      </c>
      <c r="K5703">
        <v>292.64999999999998</v>
      </c>
      <c r="L5703" s="5">
        <v>46297</v>
      </c>
      <c r="M5703" t="s">
        <v>11852</v>
      </c>
      <c r="N5703" t="s">
        <v>207</v>
      </c>
      <c r="O5703" t="s">
        <v>12291</v>
      </c>
      <c r="P5703" t="s">
        <v>11454</v>
      </c>
      <c r="Q5703" t="s">
        <v>209</v>
      </c>
    </row>
    <row r="5704" spans="1:17" x14ac:dyDescent="0.3">
      <c r="A5704" t="s">
        <v>12292</v>
      </c>
      <c r="C5704" t="s">
        <v>12293</v>
      </c>
      <c r="D5704" t="s">
        <v>12294</v>
      </c>
      <c r="E5704" s="5">
        <v>46295</v>
      </c>
      <c r="F5704" t="s">
        <v>204</v>
      </c>
      <c r="G5704" t="s">
        <v>255</v>
      </c>
      <c r="H5704">
        <v>2499</v>
      </c>
      <c r="I5704">
        <v>29.99</v>
      </c>
      <c r="J5704">
        <v>5.4</v>
      </c>
      <c r="K5704">
        <v>2463.61</v>
      </c>
      <c r="L5704" s="5">
        <v>46297</v>
      </c>
      <c r="M5704" t="s">
        <v>11852</v>
      </c>
      <c r="N5704" t="s">
        <v>207</v>
      </c>
      <c r="O5704" t="s">
        <v>12294</v>
      </c>
      <c r="P5704" t="s">
        <v>11454</v>
      </c>
      <c r="Q5704" t="s">
        <v>209</v>
      </c>
    </row>
    <row r="5705" spans="1:17" x14ac:dyDescent="0.3">
      <c r="A5705" t="s">
        <v>12295</v>
      </c>
      <c r="C5705" t="s">
        <v>12296</v>
      </c>
      <c r="D5705" t="s">
        <v>12297</v>
      </c>
      <c r="E5705" s="5">
        <v>46295</v>
      </c>
      <c r="F5705" t="s">
        <v>204</v>
      </c>
      <c r="G5705" t="s">
        <v>205</v>
      </c>
      <c r="H5705">
        <v>999</v>
      </c>
      <c r="I5705">
        <v>18.98</v>
      </c>
      <c r="J5705">
        <v>3.42</v>
      </c>
      <c r="K5705">
        <v>976.6</v>
      </c>
      <c r="L5705" s="5">
        <v>46297</v>
      </c>
      <c r="M5705" t="s">
        <v>11852</v>
      </c>
      <c r="N5705" t="s">
        <v>207</v>
      </c>
      <c r="O5705" t="s">
        <v>12297</v>
      </c>
      <c r="P5705" t="s">
        <v>11454</v>
      </c>
      <c r="Q5705" t="s">
        <v>209</v>
      </c>
    </row>
    <row r="5706" spans="1:17" x14ac:dyDescent="0.3">
      <c r="A5706" t="s">
        <v>12298</v>
      </c>
      <c r="C5706" t="s">
        <v>12299</v>
      </c>
      <c r="D5706" t="s">
        <v>12299</v>
      </c>
      <c r="E5706" s="5">
        <v>46295</v>
      </c>
      <c r="F5706" t="s">
        <v>204</v>
      </c>
      <c r="G5706" t="s">
        <v>255</v>
      </c>
      <c r="H5706">
        <v>349</v>
      </c>
      <c r="I5706">
        <v>5.24</v>
      </c>
      <c r="J5706">
        <v>0.94</v>
      </c>
      <c r="K5706">
        <v>342.82</v>
      </c>
      <c r="L5706" s="5">
        <v>46297</v>
      </c>
      <c r="M5706" t="s">
        <v>11852</v>
      </c>
      <c r="N5706" t="s">
        <v>207</v>
      </c>
      <c r="O5706" t="s">
        <v>12299</v>
      </c>
      <c r="P5706" t="s">
        <v>11454</v>
      </c>
      <c r="Q5706" t="s">
        <v>209</v>
      </c>
    </row>
    <row r="5707" spans="1:17" x14ac:dyDescent="0.3">
      <c r="A5707" t="s">
        <v>12300</v>
      </c>
      <c r="C5707" t="s">
        <v>12301</v>
      </c>
      <c r="D5707" t="s">
        <v>12301</v>
      </c>
      <c r="E5707" s="5">
        <v>46295</v>
      </c>
      <c r="F5707" t="s">
        <v>204</v>
      </c>
      <c r="G5707" t="s">
        <v>213</v>
      </c>
      <c r="H5707">
        <v>2999</v>
      </c>
      <c r="I5707">
        <v>47.98</v>
      </c>
      <c r="J5707">
        <v>8.64</v>
      </c>
      <c r="K5707">
        <v>2942.38</v>
      </c>
      <c r="L5707" s="5">
        <v>46297</v>
      </c>
      <c r="M5707" t="s">
        <v>11852</v>
      </c>
      <c r="N5707" t="s">
        <v>207</v>
      </c>
      <c r="O5707" t="s">
        <v>12301</v>
      </c>
      <c r="P5707" t="s">
        <v>11454</v>
      </c>
      <c r="Q5707" t="s">
        <v>209</v>
      </c>
    </row>
    <row r="5708" spans="1:17" x14ac:dyDescent="0.3">
      <c r="A5708" t="s">
        <v>12302</v>
      </c>
      <c r="C5708" t="s">
        <v>12303</v>
      </c>
      <c r="D5708" t="s">
        <v>12303</v>
      </c>
      <c r="E5708" s="5">
        <v>46295</v>
      </c>
      <c r="F5708" t="s">
        <v>204</v>
      </c>
      <c r="G5708" t="s">
        <v>220</v>
      </c>
      <c r="H5708">
        <v>599</v>
      </c>
      <c r="I5708">
        <v>0</v>
      </c>
      <c r="J5708">
        <v>0</v>
      </c>
      <c r="K5708">
        <v>599</v>
      </c>
      <c r="L5708" s="5">
        <v>46297</v>
      </c>
      <c r="M5708" t="s">
        <v>11852</v>
      </c>
      <c r="N5708" t="s">
        <v>207</v>
      </c>
      <c r="O5708" t="s">
        <v>12303</v>
      </c>
      <c r="P5708" t="s">
        <v>11454</v>
      </c>
      <c r="Q5708" t="s">
        <v>209</v>
      </c>
    </row>
    <row r="5709" spans="1:17" x14ac:dyDescent="0.3">
      <c r="A5709" t="s">
        <v>12304</v>
      </c>
      <c r="B5709" t="s">
        <v>11248</v>
      </c>
      <c r="E5709" s="5">
        <v>46295</v>
      </c>
      <c r="F5709" t="s">
        <v>921</v>
      </c>
      <c r="G5709" t="s">
        <v>220</v>
      </c>
      <c r="H5709">
        <v>599</v>
      </c>
      <c r="I5709">
        <v>0</v>
      </c>
      <c r="J5709">
        <v>0</v>
      </c>
      <c r="K5709">
        <v>-599</v>
      </c>
      <c r="L5709" s="5">
        <v>46297</v>
      </c>
      <c r="M5709" t="s">
        <v>11852</v>
      </c>
      <c r="N5709" t="s">
        <v>207</v>
      </c>
      <c r="O5709" t="s">
        <v>11250</v>
      </c>
      <c r="P5709" t="s">
        <v>11454</v>
      </c>
    </row>
    <row r="5710" spans="1:17" x14ac:dyDescent="0.3">
      <c r="A5710" t="s">
        <v>12305</v>
      </c>
      <c r="B5710" t="s">
        <v>10836</v>
      </c>
      <c r="E5710" s="5">
        <v>46295</v>
      </c>
      <c r="F5710" t="s">
        <v>921</v>
      </c>
      <c r="G5710" t="s">
        <v>205</v>
      </c>
      <c r="H5710">
        <v>499</v>
      </c>
      <c r="I5710">
        <v>0</v>
      </c>
      <c r="J5710">
        <v>0</v>
      </c>
      <c r="K5710">
        <v>-499</v>
      </c>
      <c r="L5710" s="5">
        <v>46297</v>
      </c>
      <c r="M5710" t="s">
        <v>11852</v>
      </c>
      <c r="N5710" t="s">
        <v>207</v>
      </c>
      <c r="O5710" t="s">
        <v>10837</v>
      </c>
      <c r="P5710" t="s">
        <v>11454</v>
      </c>
    </row>
    <row r="5711" spans="1:17" x14ac:dyDescent="0.3">
      <c r="A5711" t="s">
        <v>12306</v>
      </c>
      <c r="B5711" t="s">
        <v>10519</v>
      </c>
      <c r="E5711" s="5">
        <v>46295</v>
      </c>
      <c r="F5711" t="s">
        <v>921</v>
      </c>
      <c r="G5711" t="s">
        <v>220</v>
      </c>
      <c r="H5711">
        <v>999</v>
      </c>
      <c r="I5711">
        <v>0</v>
      </c>
      <c r="J5711">
        <v>0</v>
      </c>
      <c r="K5711">
        <v>-999</v>
      </c>
      <c r="L5711" s="5">
        <v>46297</v>
      </c>
      <c r="M5711" t="s">
        <v>11852</v>
      </c>
      <c r="N5711" t="s">
        <v>207</v>
      </c>
      <c r="O5711" t="s">
        <v>10520</v>
      </c>
      <c r="P5711" t="s">
        <v>11454</v>
      </c>
    </row>
    <row r="5712" spans="1:17" x14ac:dyDescent="0.3">
      <c r="A5712" t="s">
        <v>12307</v>
      </c>
      <c r="B5712" t="s">
        <v>11423</v>
      </c>
      <c r="E5712" s="5">
        <v>46295</v>
      </c>
      <c r="F5712" t="s">
        <v>921</v>
      </c>
      <c r="G5712" t="s">
        <v>213</v>
      </c>
      <c r="H5712">
        <v>2999</v>
      </c>
      <c r="I5712">
        <v>0</v>
      </c>
      <c r="J5712">
        <v>0</v>
      </c>
      <c r="K5712">
        <v>-2999</v>
      </c>
      <c r="L5712" s="5">
        <v>46297</v>
      </c>
      <c r="M5712" t="s">
        <v>11852</v>
      </c>
      <c r="N5712" t="s">
        <v>207</v>
      </c>
      <c r="O5712" t="s">
        <v>11424</v>
      </c>
      <c r="P5712" t="s">
        <v>11454</v>
      </c>
    </row>
    <row r="5713" spans="1:16" x14ac:dyDescent="0.3">
      <c r="A5713" t="s">
        <v>12308</v>
      </c>
      <c r="B5713" t="s">
        <v>10500</v>
      </c>
      <c r="E5713" s="5">
        <v>46295</v>
      </c>
      <c r="F5713" t="s">
        <v>921</v>
      </c>
      <c r="G5713" t="s">
        <v>213</v>
      </c>
      <c r="H5713">
        <v>1299</v>
      </c>
      <c r="I5713">
        <v>0</v>
      </c>
      <c r="J5713">
        <v>0</v>
      </c>
      <c r="K5713">
        <v>-1299</v>
      </c>
      <c r="L5713" s="5">
        <v>46297</v>
      </c>
      <c r="M5713" t="s">
        <v>11852</v>
      </c>
      <c r="N5713" t="s">
        <v>207</v>
      </c>
      <c r="O5713" t="s">
        <v>10502</v>
      </c>
      <c r="P5713" t="s">
        <v>11454</v>
      </c>
    </row>
    <row r="5714" spans="1:16" x14ac:dyDescent="0.3">
      <c r="A5714" t="s">
        <v>12309</v>
      </c>
      <c r="B5714" t="s">
        <v>10541</v>
      </c>
      <c r="E5714" s="5">
        <v>46295</v>
      </c>
      <c r="F5714" t="s">
        <v>921</v>
      </c>
      <c r="G5714" t="s">
        <v>213</v>
      </c>
      <c r="H5714">
        <v>1499</v>
      </c>
      <c r="I5714">
        <v>0</v>
      </c>
      <c r="J5714">
        <v>0</v>
      </c>
      <c r="K5714">
        <v>-1499</v>
      </c>
      <c r="L5714" s="5">
        <v>46297</v>
      </c>
      <c r="M5714" t="s">
        <v>11852</v>
      </c>
      <c r="N5714" t="s">
        <v>207</v>
      </c>
      <c r="O5714" t="s">
        <v>10542</v>
      </c>
      <c r="P5714" t="s">
        <v>11454</v>
      </c>
    </row>
    <row r="5715" spans="1:16" x14ac:dyDescent="0.3">
      <c r="A5715" t="s">
        <v>12310</v>
      </c>
      <c r="B5715" t="s">
        <v>10909</v>
      </c>
      <c r="E5715" s="5">
        <v>46295</v>
      </c>
      <c r="F5715" t="s">
        <v>921</v>
      </c>
      <c r="G5715" t="s">
        <v>213</v>
      </c>
      <c r="H5715">
        <v>299</v>
      </c>
      <c r="I5715">
        <v>0</v>
      </c>
      <c r="J5715">
        <v>0</v>
      </c>
      <c r="K5715">
        <v>-299</v>
      </c>
      <c r="L5715" s="5">
        <v>46297</v>
      </c>
      <c r="M5715" t="s">
        <v>11852</v>
      </c>
      <c r="N5715" t="s">
        <v>207</v>
      </c>
      <c r="O5715" t="s">
        <v>10910</v>
      </c>
      <c r="P5715" t="s">
        <v>11454</v>
      </c>
    </row>
    <row r="5716" spans="1:16" x14ac:dyDescent="0.3">
      <c r="A5716" t="s">
        <v>12311</v>
      </c>
      <c r="B5716" t="s">
        <v>11934</v>
      </c>
      <c r="E5716" s="5">
        <v>46295</v>
      </c>
      <c r="F5716" t="s">
        <v>921</v>
      </c>
      <c r="G5716" t="s">
        <v>213</v>
      </c>
      <c r="H5716">
        <v>4498</v>
      </c>
      <c r="I5716">
        <v>0</v>
      </c>
      <c r="J5716">
        <v>0</v>
      </c>
      <c r="K5716">
        <v>-4498</v>
      </c>
      <c r="L5716" s="5">
        <v>46297</v>
      </c>
      <c r="M5716" t="s">
        <v>11852</v>
      </c>
      <c r="N5716" t="s">
        <v>207</v>
      </c>
      <c r="O5716" t="s">
        <v>11936</v>
      </c>
      <c r="P5716" t="s">
        <v>11454</v>
      </c>
    </row>
    <row r="5717" spans="1:16" x14ac:dyDescent="0.3">
      <c r="A5717" t="s">
        <v>12312</v>
      </c>
      <c r="B5717" t="s">
        <v>11179</v>
      </c>
      <c r="E5717" s="5">
        <v>46295</v>
      </c>
      <c r="F5717" t="s">
        <v>921</v>
      </c>
      <c r="G5717" t="s">
        <v>220</v>
      </c>
      <c r="H5717">
        <v>4999</v>
      </c>
      <c r="I5717">
        <v>0</v>
      </c>
      <c r="J5717">
        <v>0</v>
      </c>
      <c r="K5717">
        <v>-4999</v>
      </c>
      <c r="L5717" s="5">
        <v>46297</v>
      </c>
      <c r="M5717" t="s">
        <v>11852</v>
      </c>
      <c r="N5717" t="s">
        <v>207</v>
      </c>
      <c r="O5717" t="s">
        <v>11180</v>
      </c>
      <c r="P5717" t="s">
        <v>11454</v>
      </c>
    </row>
    <row r="5718" spans="1:16" x14ac:dyDescent="0.3">
      <c r="A5718" t="s">
        <v>12313</v>
      </c>
      <c r="B5718" t="s">
        <v>11681</v>
      </c>
      <c r="E5718" s="5">
        <v>46295</v>
      </c>
      <c r="F5718" t="s">
        <v>921</v>
      </c>
      <c r="G5718" t="s">
        <v>220</v>
      </c>
      <c r="H5718">
        <v>4999</v>
      </c>
      <c r="I5718">
        <v>0</v>
      </c>
      <c r="J5718">
        <v>0</v>
      </c>
      <c r="K5718">
        <v>-4999</v>
      </c>
      <c r="L5718" s="5">
        <v>46297</v>
      </c>
      <c r="M5718" t="s">
        <v>11852</v>
      </c>
      <c r="N5718" t="s">
        <v>207</v>
      </c>
      <c r="O5718" t="s">
        <v>11682</v>
      </c>
      <c r="P5718" t="s">
        <v>11454</v>
      </c>
    </row>
    <row r="5719" spans="1:16" x14ac:dyDescent="0.3">
      <c r="A5719" t="s">
        <v>12314</v>
      </c>
      <c r="B5719" t="s">
        <v>10964</v>
      </c>
      <c r="E5719" s="5">
        <v>46295</v>
      </c>
      <c r="F5719" t="s">
        <v>921</v>
      </c>
      <c r="G5719" t="s">
        <v>205</v>
      </c>
      <c r="H5719">
        <v>1499</v>
      </c>
      <c r="I5719">
        <v>0</v>
      </c>
      <c r="J5719">
        <v>0</v>
      </c>
      <c r="K5719">
        <v>-1499</v>
      </c>
      <c r="L5719" s="5">
        <v>46297</v>
      </c>
      <c r="M5719" t="s">
        <v>11852</v>
      </c>
      <c r="N5719" t="s">
        <v>207</v>
      </c>
      <c r="O5719" t="s">
        <v>10965</v>
      </c>
      <c r="P5719" t="s">
        <v>11454</v>
      </c>
    </row>
    <row r="5720" spans="1:16" x14ac:dyDescent="0.3">
      <c r="A5720" t="s">
        <v>12315</v>
      </c>
      <c r="B5720" t="s">
        <v>12021</v>
      </c>
      <c r="E5720" s="5">
        <v>46295</v>
      </c>
      <c r="F5720" t="s">
        <v>921</v>
      </c>
      <c r="G5720" t="s">
        <v>213</v>
      </c>
      <c r="H5720">
        <v>5498</v>
      </c>
      <c r="I5720">
        <v>0</v>
      </c>
      <c r="J5720">
        <v>0</v>
      </c>
      <c r="K5720">
        <v>-5498</v>
      </c>
      <c r="L5720" s="5">
        <v>46297</v>
      </c>
      <c r="M5720" t="s">
        <v>11852</v>
      </c>
      <c r="N5720" t="s">
        <v>207</v>
      </c>
      <c r="O5720" t="s">
        <v>12022</v>
      </c>
      <c r="P5720" t="s">
        <v>11454</v>
      </c>
    </row>
    <row r="5721" spans="1:16" x14ac:dyDescent="0.3">
      <c r="A5721" t="s">
        <v>12316</v>
      </c>
      <c r="B5721" t="s">
        <v>12156</v>
      </c>
      <c r="E5721" s="5">
        <v>46295</v>
      </c>
      <c r="F5721" t="s">
        <v>921</v>
      </c>
      <c r="G5721" t="s">
        <v>220</v>
      </c>
      <c r="H5721">
        <v>3998</v>
      </c>
      <c r="I5721">
        <v>0</v>
      </c>
      <c r="J5721">
        <v>0</v>
      </c>
      <c r="K5721">
        <v>-3998</v>
      </c>
      <c r="L5721" s="5">
        <v>46297</v>
      </c>
      <c r="M5721" t="s">
        <v>11852</v>
      </c>
      <c r="N5721" t="s">
        <v>207</v>
      </c>
      <c r="O5721" t="s">
        <v>12157</v>
      </c>
      <c r="P5721" t="s">
        <v>11454</v>
      </c>
    </row>
    <row r="5722" spans="1:16" x14ac:dyDescent="0.3">
      <c r="A5722" t="s">
        <v>12317</v>
      </c>
      <c r="B5722" t="s">
        <v>12054</v>
      </c>
      <c r="E5722" s="5">
        <v>46295</v>
      </c>
      <c r="F5722" t="s">
        <v>921</v>
      </c>
      <c r="G5722" t="s">
        <v>205</v>
      </c>
      <c r="H5722">
        <v>5498</v>
      </c>
      <c r="I5722">
        <v>0</v>
      </c>
      <c r="J5722">
        <v>0</v>
      </c>
      <c r="K5722">
        <v>-5498</v>
      </c>
      <c r="L5722" s="5">
        <v>46297</v>
      </c>
      <c r="M5722" t="s">
        <v>11852</v>
      </c>
      <c r="N5722" t="s">
        <v>207</v>
      </c>
      <c r="O5722" t="s">
        <v>12055</v>
      </c>
      <c r="P5722" t="s">
        <v>11454</v>
      </c>
    </row>
    <row r="5723" spans="1:16" x14ac:dyDescent="0.3">
      <c r="A5723" t="s">
        <v>12318</v>
      </c>
      <c r="B5723" t="s">
        <v>11685</v>
      </c>
      <c r="E5723" s="5">
        <v>46295</v>
      </c>
      <c r="F5723" t="s">
        <v>921</v>
      </c>
      <c r="G5723" t="s">
        <v>220</v>
      </c>
      <c r="H5723">
        <v>998</v>
      </c>
      <c r="I5723">
        <v>0</v>
      </c>
      <c r="J5723">
        <v>0</v>
      </c>
      <c r="K5723">
        <v>-998</v>
      </c>
      <c r="L5723" s="5">
        <v>46297</v>
      </c>
      <c r="M5723" t="s">
        <v>11852</v>
      </c>
      <c r="N5723" t="s">
        <v>207</v>
      </c>
      <c r="O5723" t="s">
        <v>11686</v>
      </c>
      <c r="P5723" t="s">
        <v>11454</v>
      </c>
    </row>
    <row r="5724" spans="1:16" x14ac:dyDescent="0.3">
      <c r="A5724" t="s">
        <v>12319</v>
      </c>
      <c r="B5724" t="s">
        <v>9827</v>
      </c>
      <c r="E5724" s="5">
        <v>46295</v>
      </c>
      <c r="F5724" t="s">
        <v>921</v>
      </c>
      <c r="G5724" t="s">
        <v>220</v>
      </c>
      <c r="H5724">
        <v>1198</v>
      </c>
      <c r="I5724">
        <v>0</v>
      </c>
      <c r="J5724">
        <v>0</v>
      </c>
      <c r="K5724">
        <v>-1198</v>
      </c>
      <c r="L5724" s="5">
        <v>46297</v>
      </c>
      <c r="M5724" t="s">
        <v>11852</v>
      </c>
      <c r="N5724" t="s">
        <v>207</v>
      </c>
      <c r="O5724" t="s">
        <v>9828</v>
      </c>
      <c r="P5724" t="s">
        <v>11454</v>
      </c>
    </row>
    <row r="5725" spans="1:16" x14ac:dyDescent="0.3">
      <c r="A5725" t="s">
        <v>12320</v>
      </c>
      <c r="B5725" t="s">
        <v>10259</v>
      </c>
      <c r="E5725" s="5">
        <v>46295</v>
      </c>
      <c r="F5725" t="s">
        <v>921</v>
      </c>
      <c r="G5725" t="s">
        <v>213</v>
      </c>
      <c r="H5725">
        <v>9298</v>
      </c>
      <c r="I5725">
        <v>0</v>
      </c>
      <c r="J5725">
        <v>0</v>
      </c>
      <c r="K5725">
        <v>-9298</v>
      </c>
      <c r="L5725" s="5">
        <v>46297</v>
      </c>
      <c r="M5725" t="s">
        <v>11852</v>
      </c>
      <c r="N5725" t="s">
        <v>207</v>
      </c>
      <c r="O5725" t="s">
        <v>10260</v>
      </c>
      <c r="P5725" t="s">
        <v>11454</v>
      </c>
    </row>
    <row r="5726" spans="1:16" x14ac:dyDescent="0.3">
      <c r="A5726" t="s">
        <v>12321</v>
      </c>
      <c r="B5726" t="s">
        <v>11026</v>
      </c>
      <c r="E5726" s="5">
        <v>46295</v>
      </c>
      <c r="F5726" t="s">
        <v>921</v>
      </c>
      <c r="G5726" t="s">
        <v>220</v>
      </c>
      <c r="H5726">
        <v>7999</v>
      </c>
      <c r="I5726">
        <v>0</v>
      </c>
      <c r="J5726">
        <v>0</v>
      </c>
      <c r="K5726">
        <v>-7999</v>
      </c>
      <c r="L5726" s="5">
        <v>46297</v>
      </c>
      <c r="M5726" t="s">
        <v>11852</v>
      </c>
      <c r="N5726" t="s">
        <v>207</v>
      </c>
      <c r="O5726" t="s">
        <v>11027</v>
      </c>
      <c r="P5726" t="s">
        <v>11454</v>
      </c>
    </row>
    <row r="5727" spans="1:16" x14ac:dyDescent="0.3">
      <c r="A5727" t="s">
        <v>12322</v>
      </c>
      <c r="B5727" t="s">
        <v>11794</v>
      </c>
      <c r="E5727" s="5">
        <v>46295</v>
      </c>
      <c r="F5727" t="s">
        <v>921</v>
      </c>
      <c r="G5727" t="s">
        <v>220</v>
      </c>
      <c r="H5727">
        <v>2999</v>
      </c>
      <c r="I5727">
        <v>0</v>
      </c>
      <c r="J5727">
        <v>0</v>
      </c>
      <c r="K5727">
        <v>-2999</v>
      </c>
      <c r="L5727" s="5">
        <v>46297</v>
      </c>
      <c r="M5727" t="s">
        <v>11852</v>
      </c>
      <c r="N5727" t="s">
        <v>207</v>
      </c>
      <c r="O5727" t="s">
        <v>11795</v>
      </c>
      <c r="P5727" t="s">
        <v>11454</v>
      </c>
    </row>
    <row r="5728" spans="1:16" x14ac:dyDescent="0.3">
      <c r="A5728" t="s">
        <v>12323</v>
      </c>
      <c r="B5728" t="s">
        <v>11327</v>
      </c>
      <c r="E5728" s="5">
        <v>46295</v>
      </c>
      <c r="F5728" t="s">
        <v>921</v>
      </c>
      <c r="G5728" t="s">
        <v>220</v>
      </c>
      <c r="H5728">
        <v>349</v>
      </c>
      <c r="I5728">
        <v>0</v>
      </c>
      <c r="J5728">
        <v>0</v>
      </c>
      <c r="K5728">
        <v>-349</v>
      </c>
      <c r="L5728" s="5">
        <v>46297</v>
      </c>
      <c r="M5728" t="s">
        <v>11852</v>
      </c>
      <c r="N5728" t="s">
        <v>207</v>
      </c>
      <c r="O5728" t="s">
        <v>11328</v>
      </c>
      <c r="P5728" t="s">
        <v>11454</v>
      </c>
    </row>
    <row r="5729" spans="1:16" x14ac:dyDescent="0.3">
      <c r="A5729" t="s">
        <v>12324</v>
      </c>
      <c r="B5729" t="s">
        <v>11376</v>
      </c>
      <c r="E5729" s="5">
        <v>46295</v>
      </c>
      <c r="F5729" t="s">
        <v>921</v>
      </c>
      <c r="G5729" t="s">
        <v>205</v>
      </c>
      <c r="H5729">
        <v>7999</v>
      </c>
      <c r="I5729">
        <v>0</v>
      </c>
      <c r="J5729">
        <v>0</v>
      </c>
      <c r="K5729">
        <v>-7999</v>
      </c>
      <c r="L5729" s="5">
        <v>46297</v>
      </c>
      <c r="M5729" t="s">
        <v>11852</v>
      </c>
      <c r="N5729" t="s">
        <v>207</v>
      </c>
      <c r="O5729" t="s">
        <v>11378</v>
      </c>
      <c r="P5729" t="s">
        <v>11454</v>
      </c>
    </row>
    <row r="5730" spans="1:16" x14ac:dyDescent="0.3">
      <c r="A5730" t="s">
        <v>12325</v>
      </c>
      <c r="B5730" t="s">
        <v>12274</v>
      </c>
      <c r="E5730" s="5">
        <v>46295</v>
      </c>
      <c r="F5730" t="s">
        <v>921</v>
      </c>
      <c r="G5730" t="s">
        <v>213</v>
      </c>
      <c r="H5730">
        <v>3499</v>
      </c>
      <c r="I5730">
        <v>0</v>
      </c>
      <c r="J5730">
        <v>0</v>
      </c>
      <c r="K5730">
        <v>-3499</v>
      </c>
      <c r="L5730" s="5">
        <v>46297</v>
      </c>
      <c r="M5730" t="s">
        <v>11852</v>
      </c>
      <c r="N5730" t="s">
        <v>207</v>
      </c>
      <c r="O5730" t="s">
        <v>12275</v>
      </c>
      <c r="P5730" t="s">
        <v>11454</v>
      </c>
    </row>
    <row r="5731" spans="1:16" x14ac:dyDescent="0.3">
      <c r="A5731" t="s">
        <v>12326</v>
      </c>
      <c r="B5731" t="s">
        <v>12012</v>
      </c>
      <c r="E5731" s="5">
        <v>46295</v>
      </c>
      <c r="F5731" t="s">
        <v>921</v>
      </c>
      <c r="G5731" t="s">
        <v>205</v>
      </c>
      <c r="H5731">
        <v>2499</v>
      </c>
      <c r="I5731">
        <v>0</v>
      </c>
      <c r="J5731">
        <v>0</v>
      </c>
      <c r="K5731">
        <v>-2499</v>
      </c>
      <c r="L5731" s="5">
        <v>46297</v>
      </c>
      <c r="M5731" t="s">
        <v>11852</v>
      </c>
      <c r="N5731" t="s">
        <v>207</v>
      </c>
      <c r="O5731" t="s">
        <v>12013</v>
      </c>
      <c r="P5731" t="s">
        <v>11454</v>
      </c>
    </row>
    <row r="5732" spans="1:16" x14ac:dyDescent="0.3">
      <c r="A5732" t="s">
        <v>12327</v>
      </c>
      <c r="B5732" t="s">
        <v>10342</v>
      </c>
      <c r="E5732" s="5">
        <v>46295</v>
      </c>
      <c r="F5732" t="s">
        <v>921</v>
      </c>
      <c r="G5732" t="s">
        <v>213</v>
      </c>
      <c r="H5732">
        <v>349</v>
      </c>
      <c r="I5732">
        <v>0</v>
      </c>
      <c r="J5732">
        <v>0</v>
      </c>
      <c r="K5732">
        <v>-349</v>
      </c>
      <c r="L5732" s="5">
        <v>46297</v>
      </c>
      <c r="M5732" t="s">
        <v>11852</v>
      </c>
      <c r="N5732" t="s">
        <v>207</v>
      </c>
      <c r="O5732" t="s">
        <v>10343</v>
      </c>
      <c r="P5732" t="s">
        <v>11454</v>
      </c>
    </row>
    <row r="5733" spans="1:16" x14ac:dyDescent="0.3">
      <c r="A5733" t="s">
        <v>12328</v>
      </c>
      <c r="B5733" t="s">
        <v>10169</v>
      </c>
      <c r="E5733" s="5">
        <v>46295</v>
      </c>
      <c r="F5733" t="s">
        <v>921</v>
      </c>
      <c r="G5733" t="s">
        <v>220</v>
      </c>
      <c r="H5733">
        <v>8998</v>
      </c>
      <c r="I5733">
        <v>0</v>
      </c>
      <c r="J5733">
        <v>0</v>
      </c>
      <c r="K5733">
        <v>-8998</v>
      </c>
      <c r="L5733" s="5">
        <v>46297</v>
      </c>
      <c r="M5733" t="s">
        <v>11852</v>
      </c>
      <c r="N5733" t="s">
        <v>207</v>
      </c>
      <c r="O5733" t="s">
        <v>10170</v>
      </c>
      <c r="P5733" t="s">
        <v>11454</v>
      </c>
    </row>
    <row r="5734" spans="1:16" x14ac:dyDescent="0.3">
      <c r="A5734" t="s">
        <v>12329</v>
      </c>
      <c r="B5734" t="s">
        <v>9946</v>
      </c>
      <c r="E5734" s="5">
        <v>46295</v>
      </c>
      <c r="F5734" t="s">
        <v>921</v>
      </c>
      <c r="G5734" t="s">
        <v>220</v>
      </c>
      <c r="H5734">
        <v>2798</v>
      </c>
      <c r="I5734">
        <v>0</v>
      </c>
      <c r="J5734">
        <v>0</v>
      </c>
      <c r="K5734">
        <v>-2798</v>
      </c>
      <c r="L5734" s="5">
        <v>46297</v>
      </c>
      <c r="M5734" t="s">
        <v>11852</v>
      </c>
      <c r="N5734" t="s">
        <v>207</v>
      </c>
      <c r="O5734" t="s">
        <v>9947</v>
      </c>
      <c r="P5734" t="s">
        <v>11454</v>
      </c>
    </row>
    <row r="5735" spans="1:16" x14ac:dyDescent="0.3">
      <c r="A5735" t="s">
        <v>12330</v>
      </c>
      <c r="B5735" t="s">
        <v>11381</v>
      </c>
      <c r="E5735" s="5">
        <v>46295</v>
      </c>
      <c r="F5735" t="s">
        <v>921</v>
      </c>
      <c r="G5735" t="s">
        <v>213</v>
      </c>
      <c r="H5735">
        <v>1799</v>
      </c>
      <c r="I5735">
        <v>0</v>
      </c>
      <c r="J5735">
        <v>0</v>
      </c>
      <c r="K5735">
        <v>-1799</v>
      </c>
      <c r="L5735" s="5">
        <v>46297</v>
      </c>
      <c r="M5735" t="s">
        <v>11852</v>
      </c>
      <c r="N5735" t="s">
        <v>207</v>
      </c>
      <c r="O5735" t="s">
        <v>11382</v>
      </c>
      <c r="P5735" t="s">
        <v>11454</v>
      </c>
    </row>
    <row r="5736" spans="1:16" x14ac:dyDescent="0.3">
      <c r="A5736" t="s">
        <v>12331</v>
      </c>
      <c r="B5736" t="s">
        <v>10140</v>
      </c>
      <c r="E5736" s="5">
        <v>46295</v>
      </c>
      <c r="F5736" t="s">
        <v>921</v>
      </c>
      <c r="G5736" t="s">
        <v>255</v>
      </c>
      <c r="H5736">
        <v>499</v>
      </c>
      <c r="I5736">
        <v>0</v>
      </c>
      <c r="J5736">
        <v>0</v>
      </c>
      <c r="K5736">
        <v>-499</v>
      </c>
      <c r="L5736" s="5">
        <v>46297</v>
      </c>
      <c r="M5736" t="s">
        <v>11852</v>
      </c>
      <c r="N5736" t="s">
        <v>207</v>
      </c>
      <c r="O5736" t="s">
        <v>10141</v>
      </c>
      <c r="P5736" t="s">
        <v>11454</v>
      </c>
    </row>
    <row r="5737" spans="1:16" x14ac:dyDescent="0.3">
      <c r="A5737" t="s">
        <v>12332</v>
      </c>
      <c r="B5737" t="s">
        <v>11518</v>
      </c>
      <c r="E5737" s="5">
        <v>46295</v>
      </c>
      <c r="F5737" t="s">
        <v>921</v>
      </c>
      <c r="G5737" t="s">
        <v>213</v>
      </c>
      <c r="H5737">
        <v>9498</v>
      </c>
      <c r="I5737">
        <v>0</v>
      </c>
      <c r="J5737">
        <v>0</v>
      </c>
      <c r="K5737">
        <v>-9498</v>
      </c>
      <c r="L5737" s="5">
        <v>46297</v>
      </c>
      <c r="M5737" t="s">
        <v>11852</v>
      </c>
      <c r="N5737" t="s">
        <v>207</v>
      </c>
      <c r="O5737" t="s">
        <v>11519</v>
      </c>
      <c r="P5737" t="s">
        <v>11454</v>
      </c>
    </row>
    <row r="5738" spans="1:16" x14ac:dyDescent="0.3">
      <c r="A5738" t="s">
        <v>12333</v>
      </c>
      <c r="B5738" t="s">
        <v>11756</v>
      </c>
      <c r="E5738" s="5">
        <v>46295</v>
      </c>
      <c r="F5738" t="s">
        <v>921</v>
      </c>
      <c r="G5738" t="s">
        <v>205</v>
      </c>
      <c r="H5738">
        <v>2499</v>
      </c>
      <c r="I5738">
        <v>0</v>
      </c>
      <c r="J5738">
        <v>0</v>
      </c>
      <c r="K5738">
        <v>-2499</v>
      </c>
      <c r="L5738" s="5">
        <v>46297</v>
      </c>
      <c r="M5738" t="s">
        <v>11852</v>
      </c>
      <c r="N5738" t="s">
        <v>207</v>
      </c>
      <c r="O5738" t="s">
        <v>11757</v>
      </c>
      <c r="P5738" t="s">
        <v>11454</v>
      </c>
    </row>
    <row r="5739" spans="1:16" x14ac:dyDescent="0.3">
      <c r="A5739" t="s">
        <v>12334</v>
      </c>
      <c r="B5739" t="s">
        <v>11538</v>
      </c>
      <c r="E5739" s="5">
        <v>46295</v>
      </c>
      <c r="F5739" t="s">
        <v>921</v>
      </c>
      <c r="G5739" t="s">
        <v>213</v>
      </c>
      <c r="H5739">
        <v>3298</v>
      </c>
      <c r="I5739">
        <v>0</v>
      </c>
      <c r="J5739">
        <v>0</v>
      </c>
      <c r="K5739">
        <v>-3298</v>
      </c>
      <c r="L5739" s="5">
        <v>46297</v>
      </c>
      <c r="M5739" t="s">
        <v>11852</v>
      </c>
      <c r="N5739" t="s">
        <v>207</v>
      </c>
      <c r="O5739" t="s">
        <v>11539</v>
      </c>
      <c r="P5739" t="s">
        <v>11454</v>
      </c>
    </row>
    <row r="5740" spans="1:16" x14ac:dyDescent="0.3">
      <c r="A5740" t="s">
        <v>12335</v>
      </c>
      <c r="B5740" t="s">
        <v>11776</v>
      </c>
      <c r="E5740" s="5">
        <v>46295</v>
      </c>
      <c r="F5740" t="s">
        <v>921</v>
      </c>
      <c r="G5740" t="s">
        <v>220</v>
      </c>
      <c r="H5740">
        <v>2697</v>
      </c>
      <c r="I5740">
        <v>0</v>
      </c>
      <c r="J5740">
        <v>0</v>
      </c>
      <c r="K5740">
        <v>-2697</v>
      </c>
      <c r="L5740" s="5">
        <v>46297</v>
      </c>
      <c r="M5740" t="s">
        <v>11852</v>
      </c>
      <c r="N5740" t="s">
        <v>207</v>
      </c>
      <c r="O5740" t="s">
        <v>11778</v>
      </c>
      <c r="P5740" t="s">
        <v>11454</v>
      </c>
    </row>
    <row r="5741" spans="1:16" x14ac:dyDescent="0.3">
      <c r="A5741" t="s">
        <v>12336</v>
      </c>
      <c r="B5741" t="s">
        <v>10829</v>
      </c>
      <c r="E5741" s="5">
        <v>46295</v>
      </c>
      <c r="F5741" t="s">
        <v>921</v>
      </c>
      <c r="G5741" t="s">
        <v>205</v>
      </c>
      <c r="H5741">
        <v>999</v>
      </c>
      <c r="I5741">
        <v>0</v>
      </c>
      <c r="J5741">
        <v>0</v>
      </c>
      <c r="K5741">
        <v>-999</v>
      </c>
      <c r="L5741" s="5">
        <v>46297</v>
      </c>
      <c r="M5741" t="s">
        <v>11852</v>
      </c>
      <c r="N5741" t="s">
        <v>207</v>
      </c>
      <c r="O5741" t="s">
        <v>10830</v>
      </c>
      <c r="P5741" t="s">
        <v>11454</v>
      </c>
    </row>
    <row r="5742" spans="1:16" x14ac:dyDescent="0.3">
      <c r="A5742" t="s">
        <v>12337</v>
      </c>
      <c r="B5742" t="s">
        <v>10138</v>
      </c>
      <c r="E5742" s="5">
        <v>46295</v>
      </c>
      <c r="F5742" t="s">
        <v>921</v>
      </c>
      <c r="G5742" t="s">
        <v>213</v>
      </c>
      <c r="H5742">
        <v>12297</v>
      </c>
      <c r="I5742">
        <v>0</v>
      </c>
      <c r="J5742">
        <v>0</v>
      </c>
      <c r="K5742">
        <v>-12297</v>
      </c>
      <c r="L5742" s="5">
        <v>46297</v>
      </c>
      <c r="M5742" t="s">
        <v>11852</v>
      </c>
      <c r="N5742" t="s">
        <v>207</v>
      </c>
      <c r="O5742" t="s">
        <v>10139</v>
      </c>
      <c r="P5742" t="s">
        <v>11454</v>
      </c>
    </row>
    <row r="5743" spans="1:16" x14ac:dyDescent="0.3">
      <c r="A5743" t="s">
        <v>12338</v>
      </c>
      <c r="B5743" t="s">
        <v>10073</v>
      </c>
      <c r="E5743" s="5">
        <v>46295</v>
      </c>
      <c r="F5743" t="s">
        <v>921</v>
      </c>
      <c r="G5743" t="s">
        <v>220</v>
      </c>
      <c r="H5743">
        <v>10998</v>
      </c>
      <c r="I5743">
        <v>0</v>
      </c>
      <c r="J5743">
        <v>0</v>
      </c>
      <c r="K5743">
        <v>-10998</v>
      </c>
      <c r="L5743" s="5">
        <v>46297</v>
      </c>
      <c r="M5743" t="s">
        <v>11852</v>
      </c>
      <c r="N5743" t="s">
        <v>207</v>
      </c>
      <c r="O5743" t="s">
        <v>10075</v>
      </c>
      <c r="P5743" t="s">
        <v>11454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bank_statement_cleaned</vt:lpstr>
      <vt:lpstr>batch_recon</vt:lpstr>
      <vt:lpstr>formulas</vt:lpstr>
      <vt:lpstr>bank_statement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 KRISHNAN</dc:creator>
  <cp:lastModifiedBy>SRI KRISHNAN</cp:lastModifiedBy>
  <dcterms:created xsi:type="dcterms:W3CDTF">2015-06-05T18:17:20Z</dcterms:created>
  <dcterms:modified xsi:type="dcterms:W3CDTF">2026-10-21T13:43:11Z</dcterms:modified>
</cp:coreProperties>
</file>