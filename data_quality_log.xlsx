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RI KRISHNAN\Downloads\"/>
    </mc:Choice>
  </mc:AlternateContent>
  <xr:revisionPtr revIDLastSave="0" documentId="13_ncr:1_{57406890-DE68-4842-90A7-084BCEA521FF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ta Quality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6" i="1" l="1"/>
  <c r="D35" i="1"/>
  <c r="D34" i="1"/>
  <c r="D33" i="1"/>
  <c r="E29" i="1"/>
  <c r="E28" i="1"/>
  <c r="E27" i="1"/>
</calcChain>
</file>

<file path=xl/sharedStrings.xml><?xml version="1.0" encoding="utf-8"?>
<sst xmlns="http://schemas.openxmlformats.org/spreadsheetml/2006/main" count="177" uniqueCount="125">
  <si>
    <t>Data quality log</t>
  </si>
  <si>
    <t>Green = fixed, yellow = observation (not an error), blue = checked and found clean.</t>
  </si>
  <si>
    <t>#</t>
  </si>
  <si>
    <t>Type</t>
  </si>
  <si>
    <t>File</t>
  </si>
  <si>
    <t>Problem</t>
  </si>
  <si>
    <t>Rows / INR affected</t>
  </si>
  <si>
    <t>Example</t>
  </si>
  <si>
    <t>How fixed</t>
  </si>
  <si>
    <t>Where fixed</t>
  </si>
  <si>
    <t>Impact if left unfixed</t>
  </si>
  <si>
    <t>Fixed</t>
  </si>
  <si>
    <t>orders.csv</t>
  </si>
  <si>
    <t>Order dates in 3 formats (dd-mm-yyyy, yyyy-mm-dd, dd/mm/yyyy)</t>
  </si>
  <si>
    <t>6,000 rows (3,600 / 1,812 / 588)</t>
  </si>
  <si>
    <t>21-09-2026 | 2026-09-08 | 22/09/2026</t>
  </si>
  <si>
    <t>Parsed each format and converted to one real date, read day-first (all dates fall in 1-30 Sep 2026)</t>
  </si>
  <si>
    <t>orders_cleaned!B</t>
  </si>
  <si>
    <t>Text dates cannot be sorted, filtered or charted by day</t>
  </si>
  <si>
    <t>Amounts stored as text with thousands commas</t>
  </si>
  <si>
    <t>266 rows</t>
  </si>
  <si>
    <t>5,498.00</t>
  </si>
  <si>
    <t>Removed the comma and converted to a number</t>
  </si>
  <si>
    <t>orders_cleaned!H (order_amount_cleaned)</t>
  </si>
  <si>
    <t>Text amounts are skipped by SUM, so sales would be understated</t>
  </si>
  <si>
    <t>Blank city</t>
  </si>
  <si>
    <t>180 rows (164 are Paid orders)</t>
  </si>
  <si>
    <t>ORD26000080</t>
  </si>
  <si>
    <t>Kept the order and set city_clean to "Unknown". City is not used in matching</t>
  </si>
  <si>
    <t>orders_cleaned!I (city_clean)</t>
  </si>
  <si>
    <t>None on the reconciliation; needed for any city analysis</t>
  </si>
  <si>
    <t>pg_transactions.csv</t>
  </si>
  <si>
    <t>Exact duplicate rows (same pg_txn_id and every value)</t>
  </si>
  <si>
    <t>10 rows; gross INR 25,386; net INR 25,162.89</t>
  </si>
  <si>
    <t>pay_420000156 (INR 499)</t>
  </si>
  <si>
    <t>Removed the second occurrence and kept an audit copy of the 10 rows. Sheet now has 5,742 rows. These are NOT the 6 real duplicate charges (different pg_txn_id, same order), which stay in the data</t>
  </si>
  <si>
    <t>pg_transaction_cleaned!N (dup_flag)</t>
  </si>
  <si>
    <t>Left in, 7 batches are overstated by INR 25,162.89 and show as false short-paid</t>
  </si>
  <si>
    <t>Order reference in lowercase</t>
  </si>
  <si>
    <t>464 rows</t>
  </si>
  <si>
    <t>ord26001416</t>
  </si>
  <si>
    <t>Converted to uppercase (UPPER)</t>
  </si>
  <si>
    <t>pg_transaction_cleaned!D</t>
  </si>
  <si>
    <t>Would not match orders.csv, giving false "payment with no order"</t>
  </si>
  <si>
    <t>Order reference with a hyphen</t>
  </si>
  <si>
    <t>169 rows</t>
  </si>
  <si>
    <t>ORD-26000130</t>
  </si>
  <si>
    <t>Removed the hyphen (SUBSTITUTE)</t>
  </si>
  <si>
    <t>Same as above</t>
  </si>
  <si>
    <t>Order reference padded with trailing spaces</t>
  </si>
  <si>
    <t>231 rows</t>
  </si>
  <si>
    <t>'ORD26001432  '</t>
  </si>
  <si>
    <t>Trimmed the spaces (TRIM)</t>
  </si>
  <si>
    <t>Refund rows have no order reference (linked only through original_payment_id)</t>
  </si>
  <si>
    <t>243 rows</t>
  </si>
  <si>
    <t>rfnd_BDDX8L3AAXM0 -&gt; pay_420002554</t>
  </si>
  <si>
    <t>Left the reference blank. order_key is looked up through original_payment_id -&gt; original capture -&gt; order</t>
  </si>
  <si>
    <t>pg_transaction_cleaned!O (order_key)</t>
  </si>
  <si>
    <t>Refunds could not be matched to orders</t>
  </si>
  <si>
    <t>bank_statement.csv</t>
  </si>
  <si>
    <t>Non-gateway rows mixed in (COD remittance, marketplace payout, GST, salary, rent, AWS, vendor, bank charges)</t>
  </si>
  <si>
    <t>8 rows: 2 credits INR 2,07,300.55; 6 debits INR 11,82,240.20</t>
  </si>
  <si>
    <t>NEFT CR-COD REMITTANCE-SWIFTSHIP LOGISTICS</t>
  </si>
  <si>
    <t>Kept on the sheet but tagged source = Other and excluded from the gateway match (no batch ID)</t>
  </si>
  <si>
    <t>bank_statement_cleaned!I (source)</t>
  </si>
  <si>
    <t>Would inflate cash received if counted as gateway money</t>
  </si>
  <si>
    <t>Settlement batch ID exists only inside the narration text</t>
  </si>
  <si>
    <t>27 rows</t>
  </si>
  <si>
    <t>...PAYGATE SOLUTIONS PVT LTD-STL-20260903</t>
  </si>
  <si>
    <t>Extracted with MID/FIND on "STL-" into a batch_id column</t>
  </si>
  <si>
    <t>bank_statement_cleaned!H (batch_id)</t>
  </si>
  <si>
    <t>No way to match batches to the gateway without it</t>
  </si>
  <si>
    <t>Debit and credit in separate columns, blanks instead of zeros</t>
  </si>
  <si>
    <t>29 blank debits, 6 blank credits</t>
  </si>
  <si>
    <t>Any gateway row has a credit and no debit</t>
  </si>
  <si>
    <t>Blanks converted to 0 in debit_cleaned and credit_cleaned</t>
  </si>
  <si>
    <t>bank_statement_cleaned!F, G</t>
  </si>
  <si>
    <t>Needed for clean totals and net movement</t>
  </si>
  <si>
    <t>mdr_rate_card.csv</t>
  </si>
  <si>
    <t>Top slab has a blank upper limit</t>
  </si>
  <si>
    <t>4 slabs</t>
  </si>
  <si>
    <t>UPI above 2,000 (amount_up_to blank)</t>
  </si>
  <si>
    <t>Blank upper limit replaced with 999,999,999 so range lookups work</t>
  </si>
  <si>
    <t>mdr_rate_cleaned!F</t>
  </si>
  <si>
    <t>Payments above the last limit would match no slab</t>
  </si>
  <si>
    <t>Rates stored as whole percentages (1.8 means 1.8%)</t>
  </si>
  <si>
    <t>9 rows</t>
  </si>
  <si>
    <t>Card 0-2,000: 1.8</t>
  </si>
  <si>
    <t>Divided by 100 before calculating; GST 18 treated as 18%</t>
  </si>
  <si>
    <t>mdr_rate_cleaned!G, H</t>
  </si>
  <si>
    <t>Fees would be calculated 100 times too high</t>
  </si>
  <si>
    <t>Observation</t>
  </si>
  <si>
    <t>436 rows settle in October, after the bank statement ends on 30 Sep</t>
  </si>
  <si>
    <t>436 rows; net INR 12,65,526.90</t>
  </si>
  <si>
    <t>Batches STL-20261001 and STL-20261002</t>
  </si>
  <si>
    <t>Not an error. Flagged settlement_period = Oct-Due and shown as a timing difference in the bridge</t>
  </si>
  <si>
    <t>pg_transaction_cleaned!P</t>
  </si>
  <si>
    <t>Cash is still on its way, not lost</t>
  </si>
  <si>
    <t>Refund rows carry a negative net_amount and zero fees</t>
  </si>
  <si>
    <t>rfnd_BDDX8L3AAXM0</t>
  </si>
  <si>
    <t>Sign kept as is, so refunds net off inside each settlement batch total</t>
  </si>
  <si>
    <t>pg_transaction_cleaned!K</t>
  </si>
  <si>
    <t>Needed so batch totals match the bank</t>
  </si>
  <si>
    <t>Checked: clean</t>
  </si>
  <si>
    <t>order_id unique</t>
  </si>
  <si>
    <t>6,000 unique of 6,000</t>
  </si>
  <si>
    <t>No action needed</t>
  </si>
  <si>
    <t>payment_method and order_status spelled consistently, no stray spaces</t>
  </si>
  <si>
    <t>4 methods, 4 statuses</t>
  </si>
  <si>
    <t>Amounts numeric and net = gross - MDR - GST on every capture</t>
  </si>
  <si>
    <t>5,499 captures</t>
  </si>
  <si>
    <t>Every payment settles exactly 2 days after the transaction date</t>
  </si>
  <si>
    <t>5,742 rows</t>
  </si>
  <si>
    <t>Payment method on the gateway matches the order on every matched payment</t>
  </si>
  <si>
    <t>5,491 matched payments</t>
  </si>
  <si>
    <t>UTR unique on every row</t>
  </si>
  <si>
    <t>35 rows</t>
  </si>
  <si>
    <t>Rows before</t>
  </si>
  <si>
    <t>Rows removed</t>
  </si>
  <si>
    <t>Rows after</t>
  </si>
  <si>
    <t>Note</t>
  </si>
  <si>
    <t>Nothing removed; values converted in place</t>
  </si>
  <si>
    <t>10 exact duplicate rows removed (audit copy kept)</t>
  </si>
  <si>
    <t>8 non-gateway rows kept but excluded from the gateway match</t>
  </si>
  <si>
    <t>Nothing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</si>
</sst>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0" borderId="0" xfId="0" applyFont="1"/>
    <xf numFmtId="0" fontId="3" fillId="2" borderId="1" xfId="0" applyFont="1" applyFill="1" applyBorder="1" applyAlignment="1">
      <alignment wrapText="1"/>
    </xf>
    <xf numFmtId="0" fontId="2" fillId="0" borderId="1" xfId="0" applyFont="1" applyBorder="1"/>
    <xf numFmtId="3" fontId="5" fillId="0" borderId="1" xfId="0" applyNumberFormat="1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zoomScaleNormal="100" workbookViewId="0">
      <pane ySplit="4" topLeftCell="A5" activePane="bottomLeft" state="frozen"/>
      <selection pane="bottomLeft" activeCell="F19" sqref="F19"/>
    </sheetView>
  </sheetViews>
  <sheetFormatPr defaultColWidth="8.6640625" defaultRowHeight="14.4" x14ac:dyDescent="0.3"/>
  <cols>
    <col min="1" max="1" width="17.44140625" customWidth="1"/>
    <col min="2" max="2" width="19.6640625" customWidth="1"/>
    <col min="3" max="3" width="20" customWidth="1"/>
    <col min="4" max="4" width="48" customWidth="1"/>
    <col min="5" max="5" width="53.88671875" customWidth="1"/>
    <col min="6" max="6" width="34" customWidth="1"/>
    <col min="7" max="7" width="60" customWidth="1"/>
    <col min="8" max="8" width="32" customWidth="1"/>
    <col min="9" max="9" width="44" customWidth="1"/>
  </cols>
  <sheetData>
    <row r="1" spans="1:9" ht="16.8" x14ac:dyDescent="0.3">
      <c r="A1" s="1" t="s">
        <v>0</v>
      </c>
    </row>
    <row r="2" spans="1:9" x14ac:dyDescent="0.3">
      <c r="A2" s="2" t="s">
        <v>1</v>
      </c>
    </row>
    <row r="4" spans="1:9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26.4" x14ac:dyDescent="0.3">
      <c r="A5" s="4">
        <v>1</v>
      </c>
      <c r="B5" s="5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</row>
    <row r="6" spans="1:9" ht="26.4" x14ac:dyDescent="0.3">
      <c r="A6" s="4">
        <v>2</v>
      </c>
      <c r="B6" s="5" t="s">
        <v>11</v>
      </c>
      <c r="C6" s="4" t="s">
        <v>12</v>
      </c>
      <c r="D6" s="4" t="s">
        <v>19</v>
      </c>
      <c r="E6" s="4" t="s">
        <v>20</v>
      </c>
      <c r="F6" s="4" t="s">
        <v>21</v>
      </c>
      <c r="G6" s="4" t="s">
        <v>22</v>
      </c>
      <c r="H6" s="4" t="s">
        <v>23</v>
      </c>
      <c r="I6" s="4" t="s">
        <v>24</v>
      </c>
    </row>
    <row r="7" spans="1:9" ht="26.4" x14ac:dyDescent="0.3">
      <c r="A7" s="4">
        <v>3</v>
      </c>
      <c r="B7" s="5" t="s">
        <v>11</v>
      </c>
      <c r="C7" s="4" t="s">
        <v>12</v>
      </c>
      <c r="D7" s="4" t="s">
        <v>25</v>
      </c>
      <c r="E7" s="4" t="s">
        <v>26</v>
      </c>
      <c r="F7" s="4" t="s">
        <v>27</v>
      </c>
      <c r="G7" s="4" t="s">
        <v>28</v>
      </c>
      <c r="H7" s="4" t="s">
        <v>29</v>
      </c>
      <c r="I7" s="4" t="s">
        <v>30</v>
      </c>
    </row>
    <row r="8" spans="1:9" ht="39.6" x14ac:dyDescent="0.3">
      <c r="A8" s="4">
        <v>4</v>
      </c>
      <c r="B8" s="5" t="s">
        <v>11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36</v>
      </c>
      <c r="I8" s="4" t="s">
        <v>37</v>
      </c>
    </row>
    <row r="9" spans="1:9" ht="26.4" x14ac:dyDescent="0.3">
      <c r="A9" s="4">
        <v>5</v>
      </c>
      <c r="B9" s="5" t="s">
        <v>11</v>
      </c>
      <c r="C9" s="4" t="s">
        <v>31</v>
      </c>
      <c r="D9" s="4" t="s">
        <v>38</v>
      </c>
      <c r="E9" s="4" t="s">
        <v>39</v>
      </c>
      <c r="F9" s="4" t="s">
        <v>40</v>
      </c>
      <c r="G9" s="4" t="s">
        <v>41</v>
      </c>
      <c r="H9" s="4" t="s">
        <v>42</v>
      </c>
      <c r="I9" s="4" t="s">
        <v>43</v>
      </c>
    </row>
    <row r="10" spans="1:9" x14ac:dyDescent="0.3">
      <c r="A10" s="4">
        <v>6</v>
      </c>
      <c r="B10" s="5" t="s">
        <v>11</v>
      </c>
      <c r="C10" s="4" t="s">
        <v>31</v>
      </c>
      <c r="D10" s="4" t="s">
        <v>44</v>
      </c>
      <c r="E10" s="4" t="s">
        <v>45</v>
      </c>
      <c r="F10" s="4" t="s">
        <v>46</v>
      </c>
      <c r="G10" s="4" t="s">
        <v>47</v>
      </c>
      <c r="H10" s="4" t="s">
        <v>42</v>
      </c>
      <c r="I10" s="4" t="s">
        <v>48</v>
      </c>
    </row>
    <row r="11" spans="1:9" x14ac:dyDescent="0.3">
      <c r="A11" s="4">
        <v>7</v>
      </c>
      <c r="B11" s="5" t="s">
        <v>11</v>
      </c>
      <c r="C11" s="4" t="s">
        <v>31</v>
      </c>
      <c r="D11" s="4" t="s">
        <v>49</v>
      </c>
      <c r="E11" s="4" t="s">
        <v>50</v>
      </c>
      <c r="F11" s="4" t="s">
        <v>51</v>
      </c>
      <c r="G11" s="4" t="s">
        <v>52</v>
      </c>
      <c r="H11" s="4" t="s">
        <v>42</v>
      </c>
      <c r="I11" s="4" t="s">
        <v>48</v>
      </c>
    </row>
    <row r="12" spans="1:9" ht="26.4" x14ac:dyDescent="0.3">
      <c r="A12" s="4">
        <v>8</v>
      </c>
      <c r="B12" s="5" t="s">
        <v>11</v>
      </c>
      <c r="C12" s="4" t="s">
        <v>31</v>
      </c>
      <c r="D12" s="4" t="s">
        <v>53</v>
      </c>
      <c r="E12" s="4" t="s">
        <v>54</v>
      </c>
      <c r="F12" s="4" t="s">
        <v>55</v>
      </c>
      <c r="G12" s="4" t="s">
        <v>56</v>
      </c>
      <c r="H12" s="4" t="s">
        <v>57</v>
      </c>
      <c r="I12" s="4" t="s">
        <v>58</v>
      </c>
    </row>
    <row r="13" spans="1:9" ht="39.6" x14ac:dyDescent="0.3">
      <c r="A13" s="4">
        <v>9</v>
      </c>
      <c r="B13" s="5" t="s">
        <v>11</v>
      </c>
      <c r="C13" s="4" t="s">
        <v>59</v>
      </c>
      <c r="D13" s="4" t="s">
        <v>60</v>
      </c>
      <c r="E13" s="4" t="s">
        <v>61</v>
      </c>
      <c r="F13" s="4" t="s">
        <v>62</v>
      </c>
      <c r="G13" s="4" t="s">
        <v>63</v>
      </c>
      <c r="H13" s="4" t="s">
        <v>64</v>
      </c>
      <c r="I13" s="4" t="s">
        <v>65</v>
      </c>
    </row>
    <row r="14" spans="1:9" ht="26.4" x14ac:dyDescent="0.3">
      <c r="A14" s="4">
        <v>10</v>
      </c>
      <c r="B14" s="5" t="s">
        <v>11</v>
      </c>
      <c r="C14" s="4" t="s">
        <v>59</v>
      </c>
      <c r="D14" s="4" t="s">
        <v>66</v>
      </c>
      <c r="E14" s="4" t="s">
        <v>67</v>
      </c>
      <c r="F14" s="4" t="s">
        <v>68</v>
      </c>
      <c r="G14" s="4" t="s">
        <v>69</v>
      </c>
      <c r="H14" s="4" t="s">
        <v>70</v>
      </c>
      <c r="I14" s="4" t="s">
        <v>71</v>
      </c>
    </row>
    <row r="15" spans="1:9" ht="26.4" x14ac:dyDescent="0.3">
      <c r="A15" s="4">
        <v>11</v>
      </c>
      <c r="B15" s="5" t="s">
        <v>11</v>
      </c>
      <c r="C15" s="4" t="s">
        <v>59</v>
      </c>
      <c r="D15" s="4" t="s">
        <v>72</v>
      </c>
      <c r="E15" s="4" t="s">
        <v>73</v>
      </c>
      <c r="F15" s="4" t="s">
        <v>74</v>
      </c>
      <c r="G15" s="4" t="s">
        <v>75</v>
      </c>
      <c r="H15" s="4" t="s">
        <v>76</v>
      </c>
      <c r="I15" s="4" t="s">
        <v>77</v>
      </c>
    </row>
    <row r="16" spans="1:9" x14ac:dyDescent="0.3">
      <c r="A16" s="4">
        <v>12</v>
      </c>
      <c r="B16" s="5" t="s">
        <v>11</v>
      </c>
      <c r="C16" s="4" t="s">
        <v>78</v>
      </c>
      <c r="D16" s="4" t="s">
        <v>79</v>
      </c>
      <c r="E16" s="4" t="s">
        <v>80</v>
      </c>
      <c r="F16" s="4" t="s">
        <v>81</v>
      </c>
      <c r="G16" s="4" t="s">
        <v>82</v>
      </c>
      <c r="H16" s="4" t="s">
        <v>83</v>
      </c>
      <c r="I16" s="4" t="s">
        <v>84</v>
      </c>
    </row>
    <row r="17" spans="1:9" x14ac:dyDescent="0.3">
      <c r="A17" s="4">
        <v>13</v>
      </c>
      <c r="B17" s="5" t="s">
        <v>11</v>
      </c>
      <c r="C17" s="4" t="s">
        <v>78</v>
      </c>
      <c r="D17" s="4" t="s">
        <v>85</v>
      </c>
      <c r="E17" s="4" t="s">
        <v>86</v>
      </c>
      <c r="F17" s="4" t="s">
        <v>87</v>
      </c>
      <c r="G17" s="4" t="s">
        <v>88</v>
      </c>
      <c r="H17" s="4" t="s">
        <v>89</v>
      </c>
      <c r="I17" s="4" t="s">
        <v>90</v>
      </c>
    </row>
    <row r="18" spans="1:9" ht="26.4" x14ac:dyDescent="0.3">
      <c r="A18" s="4">
        <v>14</v>
      </c>
      <c r="B18" s="6" t="s">
        <v>91</v>
      </c>
      <c r="C18" s="4" t="s">
        <v>31</v>
      </c>
      <c r="D18" s="4" t="s">
        <v>92</v>
      </c>
      <c r="E18" s="4" t="s">
        <v>93</v>
      </c>
      <c r="F18" s="4" t="s">
        <v>94</v>
      </c>
      <c r="G18" s="4" t="s">
        <v>95</v>
      </c>
      <c r="H18" s="4" t="s">
        <v>96</v>
      </c>
      <c r="I18" s="4" t="s">
        <v>97</v>
      </c>
    </row>
    <row r="19" spans="1:9" x14ac:dyDescent="0.3">
      <c r="A19" s="4">
        <v>15</v>
      </c>
      <c r="B19" s="6" t="s">
        <v>91</v>
      </c>
      <c r="C19" s="4" t="s">
        <v>31</v>
      </c>
      <c r="D19" s="4" t="s">
        <v>98</v>
      </c>
      <c r="E19" s="4" t="s">
        <v>54</v>
      </c>
      <c r="F19" s="4" t="s">
        <v>99</v>
      </c>
      <c r="G19" s="4" t="s">
        <v>100</v>
      </c>
      <c r="H19" s="4" t="s">
        <v>101</v>
      </c>
      <c r="I19" s="4" t="s">
        <v>102</v>
      </c>
    </row>
    <row r="20" spans="1:9" x14ac:dyDescent="0.3">
      <c r="A20" s="4">
        <v>16</v>
      </c>
      <c r="B20" s="7" t="s">
        <v>103</v>
      </c>
      <c r="C20" s="4" t="s">
        <v>12</v>
      </c>
      <c r="D20" s="4" t="s">
        <v>104</v>
      </c>
      <c r="E20" s="4" t="s">
        <v>105</v>
      </c>
      <c r="F20" s="4"/>
      <c r="G20" s="4" t="s">
        <v>106</v>
      </c>
      <c r="H20" s="4"/>
      <c r="I20" s="4"/>
    </row>
    <row r="21" spans="1:9" ht="26.4" x14ac:dyDescent="0.3">
      <c r="A21" s="4">
        <v>17</v>
      </c>
      <c r="B21" s="7" t="s">
        <v>103</v>
      </c>
      <c r="C21" s="4" t="s">
        <v>12</v>
      </c>
      <c r="D21" s="4" t="s">
        <v>107</v>
      </c>
      <c r="E21" s="4" t="s">
        <v>108</v>
      </c>
      <c r="F21" s="4"/>
      <c r="G21" s="4" t="s">
        <v>106</v>
      </c>
      <c r="H21" s="4"/>
      <c r="I21" s="4"/>
    </row>
    <row r="22" spans="1:9" ht="26.4" x14ac:dyDescent="0.3">
      <c r="A22" s="4">
        <v>18</v>
      </c>
      <c r="B22" s="7" t="s">
        <v>103</v>
      </c>
      <c r="C22" s="4" t="s">
        <v>31</v>
      </c>
      <c r="D22" s="4" t="s">
        <v>109</v>
      </c>
      <c r="E22" s="4" t="s">
        <v>110</v>
      </c>
      <c r="F22" s="4"/>
      <c r="G22" s="4" t="s">
        <v>106</v>
      </c>
      <c r="H22" s="4"/>
      <c r="I22" s="4"/>
    </row>
    <row r="23" spans="1:9" ht="26.4" x14ac:dyDescent="0.3">
      <c r="A23" s="4">
        <v>19</v>
      </c>
      <c r="B23" s="7" t="s">
        <v>103</v>
      </c>
      <c r="C23" s="4" t="s">
        <v>31</v>
      </c>
      <c r="D23" s="4" t="s">
        <v>111</v>
      </c>
      <c r="E23" s="4" t="s">
        <v>112</v>
      </c>
      <c r="F23" s="4"/>
      <c r="G23" s="4" t="s">
        <v>106</v>
      </c>
      <c r="H23" s="4"/>
      <c r="I23" s="4"/>
    </row>
    <row r="24" spans="1:9" ht="26.4" x14ac:dyDescent="0.3">
      <c r="A24" s="4">
        <v>20</v>
      </c>
      <c r="B24" s="7" t="s">
        <v>103</v>
      </c>
      <c r="C24" s="4" t="s">
        <v>31</v>
      </c>
      <c r="D24" s="4" t="s">
        <v>113</v>
      </c>
      <c r="E24" s="4" t="s">
        <v>114</v>
      </c>
      <c r="F24" s="4"/>
      <c r="G24" s="4" t="s">
        <v>106</v>
      </c>
      <c r="H24" s="4"/>
      <c r="I24" s="4"/>
    </row>
    <row r="25" spans="1:9" x14ac:dyDescent="0.3">
      <c r="A25" s="4">
        <v>21</v>
      </c>
      <c r="B25" s="7" t="s">
        <v>103</v>
      </c>
      <c r="C25" s="4" t="s">
        <v>59</v>
      </c>
      <c r="D25" s="4" t="s">
        <v>115</v>
      </c>
      <c r="E25" s="4" t="s">
        <v>116</v>
      </c>
      <c r="F25" s="4"/>
      <c r="G25" s="4" t="s">
        <v>106</v>
      </c>
      <c r="H25" s="4"/>
      <c r="I25" s="4"/>
    </row>
    <row r="27" spans="1:9" x14ac:dyDescent="0.3">
      <c r="D27" s="8" t="s">
        <v>11</v>
      </c>
      <c r="E27" s="2">
        <f>COUNTIF($B$5:$B$25,D27)</f>
        <v>13</v>
      </c>
    </row>
    <row r="28" spans="1:9" x14ac:dyDescent="0.3">
      <c r="D28" s="8" t="s">
        <v>91</v>
      </c>
      <c r="E28" s="2">
        <f>COUNTIF($B$5:$B$25,D28)</f>
        <v>2</v>
      </c>
    </row>
    <row r="29" spans="1:9" x14ac:dyDescent="0.3">
      <c r="D29" s="8" t="s">
        <v>103</v>
      </c>
      <c r="E29" s="2">
        <f>COUNTIF($B$5:$B$25,D29)</f>
        <v>6</v>
      </c>
    </row>
    <row r="32" spans="1:9" x14ac:dyDescent="0.3">
      <c r="A32" s="9" t="s">
        <v>4</v>
      </c>
      <c r="B32" s="9" t="s">
        <v>117</v>
      </c>
      <c r="C32" s="9" t="s">
        <v>118</v>
      </c>
      <c r="D32" s="9" t="s">
        <v>119</v>
      </c>
      <c r="E32" s="9" t="s">
        <v>120</v>
      </c>
    </row>
    <row r="33" spans="1:5" x14ac:dyDescent="0.3">
      <c r="A33" s="10" t="s">
        <v>12</v>
      </c>
      <c r="B33" s="11">
        <v>6000</v>
      </c>
      <c r="C33" s="11">
        <v>0</v>
      </c>
      <c r="D33" s="12">
        <f>B33-C33</f>
        <v>6000</v>
      </c>
      <c r="E33" s="10" t="s">
        <v>121</v>
      </c>
    </row>
    <row r="34" spans="1:5" x14ac:dyDescent="0.3">
      <c r="A34" s="10" t="s">
        <v>31</v>
      </c>
      <c r="B34" s="11">
        <v>5752</v>
      </c>
      <c r="C34" s="11">
        <v>10</v>
      </c>
      <c r="D34" s="12">
        <f>B34-C34</f>
        <v>5742</v>
      </c>
      <c r="E34" s="10" t="s">
        <v>122</v>
      </c>
    </row>
    <row r="35" spans="1:5" x14ac:dyDescent="0.3">
      <c r="A35" s="10" t="s">
        <v>59</v>
      </c>
      <c r="B35" s="11">
        <v>35</v>
      </c>
      <c r="C35" s="11">
        <v>0</v>
      </c>
      <c r="D35" s="12">
        <f>B35-C35</f>
        <v>35</v>
      </c>
      <c r="E35" s="10" t="s">
        <v>123</v>
      </c>
    </row>
    <row r="36" spans="1:5" x14ac:dyDescent="0.3">
      <c r="A36" s="10" t="s">
        <v>78</v>
      </c>
      <c r="B36" s="11">
        <v>9</v>
      </c>
      <c r="C36" s="11">
        <v>0</v>
      </c>
      <c r="D36" s="12">
        <f>B36-C36</f>
        <v>9</v>
      </c>
      <c r="E36" s="10" t="s">
        <v>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Quality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SRI KRISHNAN</cp:lastModifiedBy>
  <cp:revision>0</cp:revision>
  <dcterms:created xsi:type="dcterms:W3CDTF">2026-10-20T10:43:49Z</dcterms:created>
  <dcterms:modified xsi:type="dcterms:W3CDTF">2026-10-20T10:48:25Z</dcterms:modified>
  <dc:language>en-US</dc:language>
</cp:coreProperties>
</file>